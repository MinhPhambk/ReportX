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03. GIÁ TRỊ HÀNG TỒN KHO\2024\"/>
    </mc:Choice>
  </mc:AlternateContent>
  <xr:revisionPtr revIDLastSave="0" documentId="13_ncr:1_{9CE630C1-3482-4C3A-B9A7-C00E923C0E56}" xr6:coauthVersionLast="47" xr6:coauthVersionMax="47" xr10:uidLastSave="{00000000-0000-0000-0000-000000000000}"/>
  <bookViews>
    <workbookView xWindow="-108" yWindow="-108" windowWidth="23256" windowHeight="12456" firstSheet="16" activeTab="29" xr2:uid="{00000000-000D-0000-FFFF-FFFF00000000}"/>
  </bookViews>
  <sheets>
    <sheet name="1.6" sheetId="1" r:id="rId1"/>
    <sheet name="2.6" sheetId="2" r:id="rId2"/>
    <sheet name="3.6" sheetId="3" r:id="rId3"/>
    <sheet name="4.6" sheetId="4" r:id="rId4"/>
    <sheet name="5.6" sheetId="5" r:id="rId5"/>
    <sheet name="6.6" sheetId="6" r:id="rId6"/>
    <sheet name="7.6" sheetId="7" r:id="rId7"/>
    <sheet name="8.6" sheetId="8" r:id="rId8"/>
    <sheet name="9.6" sheetId="9" r:id="rId9"/>
    <sheet name="10.6" sheetId="10" r:id="rId10"/>
    <sheet name="11.6" sheetId="11" r:id="rId11"/>
    <sheet name="12.6" sheetId="12" r:id="rId12"/>
    <sheet name="13.6" sheetId="13" r:id="rId13"/>
    <sheet name="14.6" sheetId="15" r:id="rId14"/>
    <sheet name="15.6" sheetId="16" r:id="rId15"/>
    <sheet name="16.6" sheetId="17" r:id="rId16"/>
    <sheet name="17.6" sheetId="18" r:id="rId17"/>
    <sheet name="18.6" sheetId="19" r:id="rId18"/>
    <sheet name="19.6" sheetId="21" r:id="rId19"/>
    <sheet name="20.6" sheetId="22" r:id="rId20"/>
    <sheet name="21.6" sheetId="23" r:id="rId21"/>
    <sheet name="22.6" sheetId="24" r:id="rId22"/>
    <sheet name="23.6" sheetId="25" r:id="rId23"/>
    <sheet name="24.6" sheetId="26" r:id="rId24"/>
    <sheet name="25.6" sheetId="27" r:id="rId25"/>
    <sheet name="26.6" sheetId="28" r:id="rId26"/>
    <sheet name="27.6" sheetId="29" r:id="rId27"/>
    <sheet name="28.6" sheetId="30" r:id="rId28"/>
    <sheet name="29.6" sheetId="31" r:id="rId29"/>
    <sheet name="30.6" sheetId="32" r:id="rId30"/>
  </sheets>
  <definedNames>
    <definedName name="_xlnm._FilterDatabase" localSheetId="0" hidden="1">'1.6'!$A$2:$D$672</definedName>
    <definedName name="_xlnm._FilterDatabase" localSheetId="9" hidden="1">'10.6'!$A$2:$D$672</definedName>
    <definedName name="_xlnm._FilterDatabase" localSheetId="10" hidden="1">'11.6'!$A$2:$D$672</definedName>
    <definedName name="_xlnm._FilterDatabase" localSheetId="11" hidden="1">'12.6'!$A$2:$D$672</definedName>
    <definedName name="_xlnm._FilterDatabase" localSheetId="12" hidden="1">'13.6'!$A$2:$IU$671</definedName>
    <definedName name="_xlnm._FilterDatabase" localSheetId="13" hidden="1">'14.6'!$A$2:$IU$671</definedName>
    <definedName name="_xlnm._FilterDatabase" localSheetId="14" hidden="1">'15.6'!$A$2:$D$672</definedName>
    <definedName name="_xlnm._FilterDatabase" localSheetId="15" hidden="1">'16.6'!$A$2:$D$672</definedName>
    <definedName name="_xlnm._FilterDatabase" localSheetId="16" hidden="1">'17.6'!$A$2:$D$464</definedName>
    <definedName name="_xlnm._FilterDatabase" localSheetId="17" hidden="1">'18.6'!$A$2:$D$672</definedName>
    <definedName name="_xlnm._FilterDatabase" localSheetId="18" hidden="1">'19.6'!$A$2:$D$672</definedName>
    <definedName name="_xlnm._FilterDatabase" localSheetId="1" hidden="1">'2.6'!$A$2:$D$672</definedName>
    <definedName name="_xlnm._FilterDatabase" localSheetId="19" hidden="1">'20.6'!$A$2:$D$192</definedName>
    <definedName name="_xlnm._FilterDatabase" localSheetId="20" hidden="1">'21.6'!$A$2:$D$384</definedName>
    <definedName name="_xlnm._FilterDatabase" localSheetId="21" hidden="1">'22.6'!$A$2:$D$672</definedName>
    <definedName name="_xlnm._FilterDatabase" localSheetId="22" hidden="1">'23.6'!$A$2:$D$672</definedName>
    <definedName name="_xlnm._FilterDatabase" localSheetId="23" hidden="1">'24.6'!$A$2:$D$672</definedName>
    <definedName name="_xlnm._FilterDatabase" localSheetId="24" hidden="1">'25.6'!$A$2:$D$672</definedName>
    <definedName name="_xlnm._FilterDatabase" localSheetId="25" hidden="1">'26.6'!$A$2:$D$672</definedName>
    <definedName name="_xlnm._FilterDatabase" localSheetId="26" hidden="1">'27.6'!$A$2:$D$672</definedName>
    <definedName name="_xlnm._FilterDatabase" localSheetId="27" hidden="1">'28.6'!$A$2:$D$672</definedName>
    <definedName name="_xlnm._FilterDatabase" localSheetId="28" hidden="1">'29.6'!$A$2:$D$673</definedName>
    <definedName name="_xlnm._FilterDatabase" localSheetId="2" hidden="1">'3.6'!$A$2:$D$672</definedName>
    <definedName name="_xlnm._FilterDatabase" localSheetId="29" hidden="1">'30.6'!$A$2:$IT$672</definedName>
    <definedName name="_xlnm._FilterDatabase" localSheetId="3" hidden="1">'4.6'!$A$2:$E$672</definedName>
    <definedName name="_xlnm._FilterDatabase" localSheetId="4" hidden="1">'5.6'!$A$2:$D$672</definedName>
    <definedName name="_xlnm._FilterDatabase" localSheetId="5" hidden="1">'6.6'!$A$2:$D$672</definedName>
    <definedName name="_xlnm._FilterDatabase" localSheetId="6" hidden="1">'7.6'!$A$2:$D$672</definedName>
    <definedName name="_xlnm._FilterDatabase" localSheetId="7" hidden="1">'8.6'!$A$2:$D$672</definedName>
    <definedName name="_xlnm._FilterDatabase" localSheetId="8" hidden="1">'9.6'!$A$2:$D$672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81" i="32" l="1"/>
  <c r="L682" i="32" l="1"/>
  <c r="L678" i="32"/>
  <c r="I680" i="32"/>
  <c r="E673" i="32" l="1"/>
  <c r="I678" i="32" l="1"/>
  <c r="D675" i="31"/>
  <c r="E555" i="32"/>
  <c r="E541" i="32"/>
  <c r="E519" i="32"/>
  <c r="E503" i="32"/>
  <c r="E496" i="32"/>
  <c r="E471" i="32"/>
  <c r="E426" i="32"/>
  <c r="E413" i="32"/>
  <c r="E390" i="32"/>
  <c r="E388" i="32"/>
  <c r="E361" i="32"/>
  <c r="E354" i="32"/>
  <c r="E336" i="32"/>
  <c r="E311" i="32"/>
  <c r="E292" i="32"/>
  <c r="E289" i="32"/>
  <c r="E275" i="32"/>
  <c r="E271" i="32"/>
  <c r="E264" i="32"/>
  <c r="E260" i="32"/>
  <c r="E255" i="32"/>
  <c r="E252" i="32"/>
  <c r="E249" i="32"/>
  <c r="E228" i="32"/>
  <c r="E212" i="32"/>
  <c r="E210" i="32"/>
  <c r="E204" i="32"/>
  <c r="E203" i="32"/>
  <c r="E188" i="32"/>
  <c r="E185" i="32"/>
  <c r="E178" i="32"/>
  <c r="E172" i="32"/>
  <c r="E150" i="32"/>
  <c r="E112" i="32"/>
  <c r="E105" i="32"/>
  <c r="E82" i="32"/>
  <c r="E79" i="32"/>
  <c r="E65" i="32"/>
  <c r="E62" i="32"/>
  <c r="E39" i="32"/>
  <c r="E29" i="32"/>
  <c r="E26" i="32"/>
  <c r="E21" i="32"/>
  <c r="E19" i="32"/>
  <c r="E16" i="32"/>
  <c r="E4" i="32"/>
  <c r="E671" i="32" l="1"/>
  <c r="E341" i="32"/>
  <c r="E672" i="32" s="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2" i="31"/>
  <c r="D143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6" i="31"/>
  <c r="D167" i="31"/>
  <c r="D168" i="31"/>
  <c r="D169" i="31"/>
  <c r="D170" i="31"/>
  <c r="D171" i="31"/>
  <c r="D172" i="31"/>
  <c r="D173" i="31"/>
  <c r="D174" i="31"/>
  <c r="D175" i="31"/>
  <c r="D176" i="31"/>
  <c r="D177" i="31"/>
  <c r="D178" i="31"/>
  <c r="D179" i="31"/>
  <c r="D180" i="31"/>
  <c r="D181" i="31"/>
  <c r="D182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3" i="31"/>
  <c r="D254" i="31"/>
  <c r="D255" i="31"/>
  <c r="D256" i="31"/>
  <c r="D257" i="31"/>
  <c r="D258" i="31"/>
  <c r="D259" i="31"/>
  <c r="D261" i="31"/>
  <c r="D262" i="31"/>
  <c r="D263" i="31"/>
  <c r="D265" i="31"/>
  <c r="D266" i="31"/>
  <c r="D267" i="31"/>
  <c r="D268" i="31"/>
  <c r="D269" i="31"/>
  <c r="D270" i="31"/>
  <c r="D271" i="31"/>
  <c r="D272" i="31"/>
  <c r="D273" i="31"/>
  <c r="D274" i="31"/>
  <c r="D276" i="31"/>
  <c r="D277" i="31"/>
  <c r="D278" i="31"/>
  <c r="D279" i="31"/>
  <c r="D280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6" i="31"/>
  <c r="D297" i="31"/>
  <c r="D298" i="31"/>
  <c r="D299" i="31"/>
  <c r="D300" i="31"/>
  <c r="D301" i="31"/>
  <c r="D302" i="31"/>
  <c r="D303" i="31"/>
  <c r="D304" i="31"/>
  <c r="D305" i="31"/>
  <c r="D306" i="31"/>
  <c r="D307" i="31"/>
  <c r="D308" i="31"/>
  <c r="D309" i="31"/>
  <c r="D310" i="31"/>
  <c r="D311" i="31"/>
  <c r="D312" i="31"/>
  <c r="D313" i="31"/>
  <c r="D314" i="31"/>
  <c r="D315" i="31"/>
  <c r="D316" i="31"/>
  <c r="D317" i="31"/>
  <c r="D318" i="31"/>
  <c r="D319" i="31"/>
  <c r="D320" i="31"/>
  <c r="D321" i="31"/>
  <c r="D322" i="31"/>
  <c r="D323" i="31"/>
  <c r="D324" i="31"/>
  <c r="D325" i="31"/>
  <c r="D326" i="31"/>
  <c r="D327" i="31"/>
  <c r="D328" i="31"/>
  <c r="D329" i="31"/>
  <c r="D330" i="31"/>
  <c r="D331" i="31"/>
  <c r="D332" i="31"/>
  <c r="D333" i="31"/>
  <c r="D334" i="31"/>
  <c r="D335" i="31"/>
  <c r="D336" i="31"/>
  <c r="D337" i="31"/>
  <c r="D338" i="31"/>
  <c r="D339" i="31"/>
  <c r="D340" i="31"/>
  <c r="D342" i="31"/>
  <c r="D345" i="31"/>
  <c r="D346" i="31"/>
  <c r="D347" i="31"/>
  <c r="D348" i="31"/>
  <c r="D349" i="31"/>
  <c r="D350" i="31"/>
  <c r="D351" i="31"/>
  <c r="D352" i="31"/>
  <c r="D353" i="31"/>
  <c r="D354" i="31"/>
  <c r="D355" i="31"/>
  <c r="D356" i="31"/>
  <c r="D357" i="31"/>
  <c r="D358" i="31"/>
  <c r="D359" i="31"/>
  <c r="D360" i="31"/>
  <c r="D361" i="31"/>
  <c r="D362" i="31"/>
  <c r="D364" i="31"/>
  <c r="D365" i="31"/>
  <c r="D366" i="31"/>
  <c r="D367" i="31"/>
  <c r="D368" i="31"/>
  <c r="D369" i="31"/>
  <c r="D370" i="31"/>
  <c r="D371" i="31"/>
  <c r="D372" i="31"/>
  <c r="D373" i="31"/>
  <c r="D374" i="31"/>
  <c r="D375" i="31"/>
  <c r="D376" i="31"/>
  <c r="D377" i="31"/>
  <c r="D378" i="31"/>
  <c r="D379" i="31"/>
  <c r="D380" i="31"/>
  <c r="D381" i="31"/>
  <c r="D382" i="31"/>
  <c r="D383" i="31"/>
  <c r="D384" i="31"/>
  <c r="D385" i="31"/>
  <c r="D386" i="31"/>
  <c r="D387" i="31"/>
  <c r="D388" i="31"/>
  <c r="D389" i="31"/>
  <c r="D390" i="31"/>
  <c r="D391" i="31"/>
  <c r="D392" i="31"/>
  <c r="D393" i="31"/>
  <c r="D394" i="31"/>
  <c r="D395" i="31"/>
  <c r="D396" i="31"/>
  <c r="D397" i="31"/>
  <c r="D398" i="31"/>
  <c r="D399" i="31"/>
  <c r="D400" i="31"/>
  <c r="D401" i="31"/>
  <c r="D402" i="31"/>
  <c r="D403" i="31"/>
  <c r="D404" i="31"/>
  <c r="D405" i="31"/>
  <c r="D406" i="31"/>
  <c r="D407" i="31"/>
  <c r="D408" i="31"/>
  <c r="D409" i="31"/>
  <c r="D410" i="31"/>
  <c r="D411" i="31"/>
  <c r="D412" i="31"/>
  <c r="D413" i="31"/>
  <c r="D414" i="31"/>
  <c r="D415" i="31"/>
  <c r="D416" i="31"/>
  <c r="D417" i="31"/>
  <c r="D418" i="31"/>
  <c r="D419" i="31"/>
  <c r="D420" i="31"/>
  <c r="D421" i="31"/>
  <c r="D422" i="31"/>
  <c r="D423" i="31"/>
  <c r="D424" i="31"/>
  <c r="D425" i="31"/>
  <c r="D426" i="31"/>
  <c r="D427" i="31"/>
  <c r="D428" i="31"/>
  <c r="D429" i="31"/>
  <c r="D430" i="31"/>
  <c r="D431" i="31"/>
  <c r="D432" i="31"/>
  <c r="D433" i="31"/>
  <c r="D434" i="31"/>
  <c r="D435" i="31"/>
  <c r="D436" i="31"/>
  <c r="D437" i="31"/>
  <c r="D438" i="31"/>
  <c r="D439" i="31"/>
  <c r="D440" i="31"/>
  <c r="D441" i="31"/>
  <c r="D442" i="31"/>
  <c r="D443" i="31"/>
  <c r="D444" i="31"/>
  <c r="D445" i="31"/>
  <c r="D446" i="31"/>
  <c r="D447" i="31"/>
  <c r="D448" i="31"/>
  <c r="D449" i="31"/>
  <c r="D450" i="31"/>
  <c r="D451" i="31"/>
  <c r="D452" i="31"/>
  <c r="D453" i="31"/>
  <c r="D454" i="31"/>
  <c r="D455" i="31"/>
  <c r="D456" i="31"/>
  <c r="D457" i="31"/>
  <c r="D458" i="31"/>
  <c r="D459" i="31"/>
  <c r="D460" i="31"/>
  <c r="D461" i="31"/>
  <c r="D462" i="31"/>
  <c r="D463" i="31"/>
  <c r="D464" i="31"/>
  <c r="D465" i="31"/>
  <c r="D466" i="31"/>
  <c r="D467" i="31"/>
  <c r="D468" i="31"/>
  <c r="D469" i="31"/>
  <c r="D470" i="31"/>
  <c r="D471" i="31"/>
  <c r="D472" i="31"/>
  <c r="D474" i="31"/>
  <c r="D475" i="31"/>
  <c r="D476" i="31"/>
  <c r="D477" i="31"/>
  <c r="D478" i="31"/>
  <c r="D479" i="31"/>
  <c r="D480" i="31"/>
  <c r="D481" i="31"/>
  <c r="D482" i="31"/>
  <c r="D483" i="31"/>
  <c r="D484" i="31"/>
  <c r="D485" i="31"/>
  <c r="D486" i="31"/>
  <c r="D487" i="31"/>
  <c r="D488" i="31"/>
  <c r="D489" i="31"/>
  <c r="D490" i="31"/>
  <c r="D491" i="31"/>
  <c r="D492" i="31"/>
  <c r="D493" i="31"/>
  <c r="D494" i="31"/>
  <c r="D495" i="31"/>
  <c r="D496" i="31"/>
  <c r="D497" i="31"/>
  <c r="D498" i="31"/>
  <c r="D499" i="31"/>
  <c r="D500" i="31"/>
  <c r="D501" i="31"/>
  <c r="D502" i="31"/>
  <c r="D503" i="31"/>
  <c r="D504" i="31"/>
  <c r="D505" i="31"/>
  <c r="D506" i="31"/>
  <c r="D507" i="31"/>
  <c r="D508" i="31"/>
  <c r="D509" i="31"/>
  <c r="D510" i="31"/>
  <c r="D511" i="31"/>
  <c r="D512" i="31"/>
  <c r="D513" i="31"/>
  <c r="D514" i="31"/>
  <c r="D515" i="31"/>
  <c r="D516" i="31"/>
  <c r="D517" i="31"/>
  <c r="D518" i="31"/>
  <c r="D519" i="31"/>
  <c r="D520" i="31"/>
  <c r="D521" i="31"/>
  <c r="D522" i="31"/>
  <c r="D523" i="31"/>
  <c r="D524" i="31"/>
  <c r="D525" i="31"/>
  <c r="D526" i="31"/>
  <c r="D527" i="31"/>
  <c r="D528" i="31"/>
  <c r="D529" i="31"/>
  <c r="D530" i="31"/>
  <c r="D531" i="31"/>
  <c r="D532" i="31"/>
  <c r="D533" i="31"/>
  <c r="D534" i="31"/>
  <c r="D535" i="31"/>
  <c r="D536" i="31"/>
  <c r="D537" i="31"/>
  <c r="D538" i="31"/>
  <c r="D539" i="31"/>
  <c r="D540" i="31"/>
  <c r="D541" i="31"/>
  <c r="D542" i="31"/>
  <c r="D544" i="31"/>
  <c r="D545" i="31"/>
  <c r="D546" i="31"/>
  <c r="D547" i="31"/>
  <c r="D548" i="31"/>
  <c r="D549" i="31"/>
  <c r="D550" i="31"/>
  <c r="D551" i="31"/>
  <c r="D552" i="31"/>
  <c r="D553" i="31"/>
  <c r="D554" i="31"/>
  <c r="D555" i="31"/>
  <c r="D556" i="31"/>
  <c r="D558" i="31"/>
  <c r="D559" i="31"/>
  <c r="D560" i="31"/>
  <c r="D561" i="31"/>
  <c r="D562" i="31"/>
  <c r="D563" i="31"/>
  <c r="D564" i="31"/>
  <c r="D565" i="31"/>
  <c r="D566" i="31"/>
  <c r="D567" i="31"/>
  <c r="D568" i="31"/>
  <c r="D569" i="31"/>
  <c r="D570" i="31"/>
  <c r="D571" i="31"/>
  <c r="D572" i="31"/>
  <c r="D573" i="31"/>
  <c r="D574" i="31"/>
  <c r="D575" i="31"/>
  <c r="D576" i="31"/>
  <c r="D577" i="31"/>
  <c r="D578" i="31"/>
  <c r="D579" i="31"/>
  <c r="D580" i="31"/>
  <c r="D581" i="31"/>
  <c r="D582" i="31"/>
  <c r="D583" i="31"/>
  <c r="D584" i="31"/>
  <c r="D585" i="31"/>
  <c r="D586" i="31"/>
  <c r="D587" i="31"/>
  <c r="D588" i="31"/>
  <c r="D589" i="31"/>
  <c r="D590" i="31"/>
  <c r="D591" i="31"/>
  <c r="D592" i="31"/>
  <c r="D593" i="31"/>
  <c r="D594" i="31"/>
  <c r="D595" i="31"/>
  <c r="D596" i="31"/>
  <c r="D597" i="31"/>
  <c r="D598" i="31"/>
  <c r="D599" i="31"/>
  <c r="D600" i="31"/>
  <c r="D601" i="31"/>
  <c r="D602" i="31"/>
  <c r="D603" i="31"/>
  <c r="D604" i="31"/>
  <c r="D605" i="31"/>
  <c r="D606" i="31"/>
  <c r="D607" i="31"/>
  <c r="D608" i="31"/>
  <c r="D609" i="31"/>
  <c r="D610" i="31"/>
  <c r="D611" i="31"/>
  <c r="D612" i="31"/>
  <c r="D613" i="31"/>
  <c r="D614" i="31"/>
  <c r="D615" i="31"/>
  <c r="D616" i="31"/>
  <c r="D617" i="31"/>
  <c r="D618" i="31"/>
  <c r="D619" i="31"/>
  <c r="D620" i="31"/>
  <c r="D621" i="31"/>
  <c r="D622" i="31"/>
  <c r="D623" i="31"/>
  <c r="D624" i="31"/>
  <c r="D625" i="31"/>
  <c r="D626" i="31"/>
  <c r="D627" i="31"/>
  <c r="D628" i="31"/>
  <c r="D629" i="31"/>
  <c r="D630" i="31"/>
  <c r="D631" i="31"/>
  <c r="D632" i="31"/>
  <c r="D633" i="31"/>
  <c r="D634" i="31"/>
  <c r="D635" i="31"/>
  <c r="D636" i="31"/>
  <c r="D637" i="31"/>
  <c r="D638" i="31"/>
  <c r="D639" i="31"/>
  <c r="D640" i="31"/>
  <c r="D641" i="31"/>
  <c r="D642" i="31"/>
  <c r="D643" i="31"/>
  <c r="D644" i="31"/>
  <c r="D645" i="31"/>
  <c r="D646" i="31"/>
  <c r="D647" i="31"/>
  <c r="D648" i="31"/>
  <c r="D649" i="31"/>
  <c r="D650" i="31"/>
  <c r="D651" i="31"/>
  <c r="D652" i="31"/>
  <c r="D653" i="31"/>
  <c r="D654" i="31"/>
  <c r="D655" i="31"/>
  <c r="D656" i="31"/>
  <c r="D657" i="31"/>
  <c r="D658" i="31"/>
  <c r="D659" i="31"/>
  <c r="D660" i="31"/>
  <c r="D661" i="31"/>
  <c r="D662" i="31"/>
  <c r="D663" i="31"/>
  <c r="D664" i="31"/>
  <c r="D665" i="31"/>
  <c r="D666" i="31"/>
  <c r="D667" i="31"/>
  <c r="D668" i="31"/>
  <c r="D669" i="31"/>
  <c r="D670" i="31"/>
  <c r="D671" i="31"/>
  <c r="D672" i="31"/>
  <c r="B557" i="31"/>
  <c r="D557" i="31" s="1"/>
  <c r="B543" i="31"/>
  <c r="D543" i="31" s="1"/>
  <c r="B473" i="31"/>
  <c r="D473" i="31" s="1"/>
  <c r="B363" i="31"/>
  <c r="D363" i="31" s="1"/>
  <c r="D4" i="31"/>
  <c r="B295" i="31"/>
  <c r="D295" i="31" s="1"/>
  <c r="B275" i="31"/>
  <c r="D275" i="31" s="1"/>
  <c r="B264" i="31"/>
  <c r="D264" i="31" s="1"/>
  <c r="B260" i="31"/>
  <c r="D260" i="31" s="1"/>
  <c r="B252" i="31"/>
  <c r="D252" i="31" s="1"/>
  <c r="B105" i="31"/>
  <c r="B341" i="31" s="1"/>
  <c r="B65" i="31"/>
  <c r="D65" i="31" s="1"/>
  <c r="B673" i="31" l="1"/>
  <c r="D105" i="31"/>
  <c r="D341" i="31" s="1"/>
  <c r="D673" i="31"/>
  <c r="D4" i="30"/>
  <c r="D5" i="30"/>
  <c r="D6" i="30"/>
  <c r="D7" i="30"/>
  <c r="D8" i="30"/>
  <c r="D9" i="30"/>
  <c r="D10" i="30"/>
  <c r="D11" i="30"/>
  <c r="D12" i="30"/>
  <c r="D13" i="30"/>
  <c r="D14" i="30"/>
  <c r="D16" i="30"/>
  <c r="D17" i="30"/>
  <c r="D19" i="30"/>
  <c r="D20" i="30"/>
  <c r="D21" i="30"/>
  <c r="D22" i="30"/>
  <c r="D23" i="30"/>
  <c r="D24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2" i="30"/>
  <c r="D83" i="30"/>
  <c r="D84" i="30"/>
  <c r="D85" i="30"/>
  <c r="D86" i="30"/>
  <c r="D87" i="30"/>
  <c r="D88" i="30"/>
  <c r="D89" i="30"/>
  <c r="D90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3" i="30"/>
  <c r="D204" i="30"/>
  <c r="D205" i="30"/>
  <c r="D206" i="30"/>
  <c r="D207" i="30"/>
  <c r="D208" i="30"/>
  <c r="D209" i="30"/>
  <c r="D210" i="30"/>
  <c r="D211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2" i="30"/>
  <c r="D253" i="30"/>
  <c r="D254" i="30"/>
  <c r="D255" i="30"/>
  <c r="D256" i="30"/>
  <c r="D257" i="30"/>
  <c r="D258" i="30"/>
  <c r="D260" i="30"/>
  <c r="D261" i="30"/>
  <c r="D262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314" i="30"/>
  <c r="D315" i="30"/>
  <c r="D316" i="30"/>
  <c r="D317" i="30"/>
  <c r="D318" i="30"/>
  <c r="D319" i="30"/>
  <c r="D320" i="30"/>
  <c r="D321" i="30"/>
  <c r="D322" i="30"/>
  <c r="D323" i="30"/>
  <c r="D324" i="30"/>
  <c r="D325" i="30"/>
  <c r="D326" i="30"/>
  <c r="D327" i="30"/>
  <c r="D328" i="30"/>
  <c r="D329" i="30"/>
  <c r="D330" i="30"/>
  <c r="D331" i="30"/>
  <c r="D332" i="30"/>
  <c r="D333" i="30"/>
  <c r="D334" i="30"/>
  <c r="D335" i="30"/>
  <c r="D336" i="30"/>
  <c r="D337" i="30"/>
  <c r="D338" i="30"/>
  <c r="D339" i="30"/>
  <c r="D341" i="30"/>
  <c r="D344" i="30"/>
  <c r="D345" i="30"/>
  <c r="D346" i="30"/>
  <c r="D347" i="30"/>
  <c r="D348" i="30"/>
  <c r="D349" i="30"/>
  <c r="D350" i="30"/>
  <c r="D351" i="30"/>
  <c r="D352" i="30"/>
  <c r="D353" i="30"/>
  <c r="D354" i="30"/>
  <c r="D355" i="30"/>
  <c r="D356" i="30"/>
  <c r="D357" i="30"/>
  <c r="D358" i="30"/>
  <c r="D359" i="30"/>
  <c r="D360" i="30"/>
  <c r="D361" i="30"/>
  <c r="D362" i="30"/>
  <c r="D363" i="30"/>
  <c r="D364" i="30"/>
  <c r="D365" i="30"/>
  <c r="D366" i="30"/>
  <c r="D367" i="30"/>
  <c r="D368" i="30"/>
  <c r="D369" i="30"/>
  <c r="D370" i="30"/>
  <c r="D371" i="30"/>
  <c r="D372" i="30"/>
  <c r="D373" i="30"/>
  <c r="D374" i="30"/>
  <c r="D375" i="30"/>
  <c r="D376" i="30"/>
  <c r="D378" i="30"/>
  <c r="D379" i="30"/>
  <c r="D380" i="30"/>
  <c r="D381" i="30"/>
  <c r="D382" i="30"/>
  <c r="D383" i="30"/>
  <c r="D384" i="30"/>
  <c r="D386" i="30"/>
  <c r="D387" i="30"/>
  <c r="D388" i="30"/>
  <c r="D390" i="30"/>
  <c r="D391" i="30"/>
  <c r="D392" i="30"/>
  <c r="D393" i="30"/>
  <c r="D394" i="30"/>
  <c r="D395" i="30"/>
  <c r="D396" i="30"/>
  <c r="D397" i="30"/>
  <c r="D398" i="30"/>
  <c r="D399" i="30"/>
  <c r="D400" i="30"/>
  <c r="D401" i="30"/>
  <c r="D402" i="30"/>
  <c r="D403" i="30"/>
  <c r="D404" i="30"/>
  <c r="D405" i="30"/>
  <c r="D406" i="30"/>
  <c r="D407" i="30"/>
  <c r="D408" i="30"/>
  <c r="D409" i="30"/>
  <c r="D410" i="30"/>
  <c r="D411" i="30"/>
  <c r="D412" i="30"/>
  <c r="D413" i="30"/>
  <c r="D414" i="30"/>
  <c r="D415" i="30"/>
  <c r="D416" i="30"/>
  <c r="D417" i="30"/>
  <c r="D418" i="30"/>
  <c r="D419" i="30"/>
  <c r="D420" i="30"/>
  <c r="D421" i="30"/>
  <c r="D422" i="30"/>
  <c r="D423" i="30"/>
  <c r="D424" i="30"/>
  <c r="D425" i="30"/>
  <c r="D426" i="30"/>
  <c r="D427" i="30"/>
  <c r="D428" i="30"/>
  <c r="D429" i="30"/>
  <c r="D430" i="30"/>
  <c r="D431" i="30"/>
  <c r="D432" i="30"/>
  <c r="D433" i="30"/>
  <c r="D434" i="30"/>
  <c r="D435" i="30"/>
  <c r="D436" i="30"/>
  <c r="D437" i="30"/>
  <c r="D438" i="30"/>
  <c r="D439" i="30"/>
  <c r="D440" i="30"/>
  <c r="D441" i="30"/>
  <c r="D442" i="30"/>
  <c r="D443" i="30"/>
  <c r="D444" i="30"/>
  <c r="D445" i="30"/>
  <c r="D446" i="30"/>
  <c r="D447" i="30"/>
  <c r="D448" i="30"/>
  <c r="D449" i="30"/>
  <c r="D450" i="30"/>
  <c r="D451" i="30"/>
  <c r="D452" i="30"/>
  <c r="D453" i="30"/>
  <c r="D454" i="30"/>
  <c r="D455" i="30"/>
  <c r="D456" i="30"/>
  <c r="D457" i="30"/>
  <c r="D458" i="30"/>
  <c r="D459" i="30"/>
  <c r="D460" i="30"/>
  <c r="D462" i="30"/>
  <c r="D463" i="30"/>
  <c r="D464" i="30"/>
  <c r="D465" i="30"/>
  <c r="D466" i="30"/>
  <c r="D467" i="30"/>
  <c r="D468" i="30"/>
  <c r="D469" i="30"/>
  <c r="D470" i="30"/>
  <c r="D471" i="30"/>
  <c r="D472" i="30"/>
  <c r="D473" i="30"/>
  <c r="D474" i="30"/>
  <c r="D475" i="30"/>
  <c r="D476" i="30"/>
  <c r="D477" i="30"/>
  <c r="D478" i="30"/>
  <c r="D479" i="30"/>
  <c r="D480" i="30"/>
  <c r="D481" i="30"/>
  <c r="D482" i="30"/>
  <c r="D483" i="30"/>
  <c r="D484" i="30"/>
  <c r="D485" i="30"/>
  <c r="D486" i="30"/>
  <c r="D487" i="30"/>
  <c r="D488" i="30"/>
  <c r="D489" i="30"/>
  <c r="D490" i="30"/>
  <c r="D491" i="30"/>
  <c r="D492" i="30"/>
  <c r="D493" i="30"/>
  <c r="D494" i="30"/>
  <c r="D495" i="30"/>
  <c r="D496" i="30"/>
  <c r="D497" i="30"/>
  <c r="D498" i="30"/>
  <c r="D499" i="30"/>
  <c r="D500" i="30"/>
  <c r="D501" i="30"/>
  <c r="D502" i="30"/>
  <c r="D503" i="30"/>
  <c r="D504" i="30"/>
  <c r="D505" i="30"/>
  <c r="D506" i="30"/>
  <c r="D507" i="30"/>
  <c r="D509" i="30"/>
  <c r="D510" i="30"/>
  <c r="D511" i="30"/>
  <c r="D512" i="30"/>
  <c r="D513" i="30"/>
  <c r="D514" i="30"/>
  <c r="D515" i="30"/>
  <c r="D516" i="30"/>
  <c r="D517" i="30"/>
  <c r="D518" i="30"/>
  <c r="D519" i="30"/>
  <c r="D520" i="30"/>
  <c r="D521" i="30"/>
  <c r="D522" i="30"/>
  <c r="D523" i="30"/>
  <c r="D524" i="30"/>
  <c r="D525" i="30"/>
  <c r="D526" i="30"/>
  <c r="D527" i="30"/>
  <c r="D528" i="30"/>
  <c r="D529" i="30"/>
  <c r="D530" i="30"/>
  <c r="D531" i="30"/>
  <c r="D532" i="30"/>
  <c r="D533" i="30"/>
  <c r="D534" i="30"/>
  <c r="D535" i="30"/>
  <c r="D536" i="30"/>
  <c r="D537" i="30"/>
  <c r="D538" i="30"/>
  <c r="D539" i="30"/>
  <c r="D540" i="30"/>
  <c r="D541" i="30"/>
  <c r="D542" i="30"/>
  <c r="D543" i="30"/>
  <c r="D544" i="30"/>
  <c r="D545" i="30"/>
  <c r="D546" i="30"/>
  <c r="D547" i="30"/>
  <c r="D548" i="30"/>
  <c r="D549" i="30"/>
  <c r="D550" i="30"/>
  <c r="D551" i="30"/>
  <c r="D552" i="30"/>
  <c r="D553" i="30"/>
  <c r="D554" i="30"/>
  <c r="D555" i="30"/>
  <c r="D556" i="30"/>
  <c r="D557" i="30"/>
  <c r="D558" i="30"/>
  <c r="D559" i="30"/>
  <c r="D560" i="30"/>
  <c r="D561" i="30"/>
  <c r="D562" i="30"/>
  <c r="D563" i="30"/>
  <c r="D564" i="30"/>
  <c r="D565" i="30"/>
  <c r="D566" i="30"/>
  <c r="D567" i="30"/>
  <c r="D568" i="30"/>
  <c r="D569" i="30"/>
  <c r="D570" i="30"/>
  <c r="D571" i="30"/>
  <c r="D572" i="30"/>
  <c r="D573" i="30"/>
  <c r="D574" i="30"/>
  <c r="D575" i="30"/>
  <c r="D576" i="30"/>
  <c r="D577" i="30"/>
  <c r="D578" i="30"/>
  <c r="D579" i="30"/>
  <c r="D580" i="30"/>
  <c r="D581" i="30"/>
  <c r="D582" i="30"/>
  <c r="D583" i="30"/>
  <c r="D584" i="30"/>
  <c r="D585" i="30"/>
  <c r="D586" i="30"/>
  <c r="D587" i="30"/>
  <c r="D588" i="30"/>
  <c r="D589" i="30"/>
  <c r="D590" i="30"/>
  <c r="D591" i="30"/>
  <c r="D592" i="30"/>
  <c r="D593" i="30"/>
  <c r="D594" i="30"/>
  <c r="D595" i="30"/>
  <c r="D596" i="30"/>
  <c r="D597" i="30"/>
  <c r="D598" i="30"/>
  <c r="D599" i="30"/>
  <c r="D600" i="30"/>
  <c r="D601" i="30"/>
  <c r="D602" i="30"/>
  <c r="D603" i="30"/>
  <c r="D604" i="30"/>
  <c r="D605" i="30"/>
  <c r="D606" i="30"/>
  <c r="D607" i="30"/>
  <c r="D608" i="30"/>
  <c r="D609" i="30"/>
  <c r="D610" i="30"/>
  <c r="D611" i="30"/>
  <c r="D612" i="30"/>
  <c r="D613" i="30"/>
  <c r="D614" i="30"/>
  <c r="D615" i="30"/>
  <c r="D616" i="30"/>
  <c r="D617" i="30"/>
  <c r="D618" i="30"/>
  <c r="D619" i="30"/>
  <c r="D620" i="30"/>
  <c r="D621" i="30"/>
  <c r="D622" i="30"/>
  <c r="D623" i="30"/>
  <c r="D624" i="30"/>
  <c r="D625" i="30"/>
  <c r="D626" i="30"/>
  <c r="D627" i="30"/>
  <c r="D628" i="30"/>
  <c r="D629" i="30"/>
  <c r="D630" i="30"/>
  <c r="D631" i="30"/>
  <c r="D632" i="30"/>
  <c r="D633" i="30"/>
  <c r="D634" i="30"/>
  <c r="D635" i="30"/>
  <c r="D636" i="30"/>
  <c r="D637" i="30"/>
  <c r="D638" i="30"/>
  <c r="D639" i="30"/>
  <c r="D640" i="30"/>
  <c r="D641" i="30"/>
  <c r="D642" i="30"/>
  <c r="D643" i="30"/>
  <c r="D644" i="30"/>
  <c r="D645" i="30"/>
  <c r="D646" i="30"/>
  <c r="D647" i="30"/>
  <c r="D648" i="30"/>
  <c r="D649" i="30"/>
  <c r="D650" i="30"/>
  <c r="D651" i="30"/>
  <c r="D652" i="30"/>
  <c r="D653" i="30"/>
  <c r="D654" i="30"/>
  <c r="D655" i="30"/>
  <c r="D656" i="30"/>
  <c r="D657" i="30"/>
  <c r="D658" i="30"/>
  <c r="D659" i="30"/>
  <c r="D660" i="30"/>
  <c r="D661" i="30"/>
  <c r="D662" i="30"/>
  <c r="D663" i="30"/>
  <c r="D664" i="30"/>
  <c r="D665" i="30"/>
  <c r="D666" i="30"/>
  <c r="D667" i="30"/>
  <c r="D668" i="30"/>
  <c r="D669" i="30"/>
  <c r="D670" i="30"/>
  <c r="D671" i="30"/>
  <c r="D3" i="30"/>
  <c r="B508" i="30"/>
  <c r="D508" i="30" s="1"/>
  <c r="B461" i="30"/>
  <c r="D461" i="30" s="1"/>
  <c r="B454" i="30"/>
  <c r="B389" i="30"/>
  <c r="D389" i="30" s="1"/>
  <c r="B385" i="30"/>
  <c r="D385" i="30" s="1"/>
  <c r="B377" i="30"/>
  <c r="D377" i="30" s="1"/>
  <c r="B294" i="30"/>
  <c r="D294" i="30" s="1"/>
  <c r="B263" i="30"/>
  <c r="D263" i="30" s="1"/>
  <c r="B259" i="30"/>
  <c r="D259" i="30" s="1"/>
  <c r="B251" i="30"/>
  <c r="D251" i="30" s="1"/>
  <c r="B227" i="30"/>
  <c r="D227" i="30" s="1"/>
  <c r="B212" i="30"/>
  <c r="D212" i="30" s="1"/>
  <c r="B202" i="30"/>
  <c r="D202" i="30" s="1"/>
  <c r="B91" i="30"/>
  <c r="D91" i="30" s="1"/>
  <c r="B81" i="30"/>
  <c r="D81" i="30" s="1"/>
  <c r="B25" i="30"/>
  <c r="D25" i="30" s="1"/>
  <c r="B18" i="30"/>
  <c r="D18" i="30" s="1"/>
  <c r="B15" i="30"/>
  <c r="B672" i="30" l="1"/>
  <c r="B340" i="30"/>
  <c r="D15" i="30"/>
  <c r="D340" i="30" s="1"/>
  <c r="D672" i="30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7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270" i="29"/>
  <c r="D271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290" i="29"/>
  <c r="D291" i="29"/>
  <c r="D292" i="29"/>
  <c r="D293" i="29"/>
  <c r="D294" i="29"/>
  <c r="D295" i="29"/>
  <c r="D296" i="29"/>
  <c r="D297" i="29"/>
  <c r="D298" i="29"/>
  <c r="D299" i="29"/>
  <c r="D300" i="29"/>
  <c r="D301" i="29"/>
  <c r="D302" i="29"/>
  <c r="D303" i="29"/>
  <c r="D304" i="29"/>
  <c r="D305" i="29"/>
  <c r="D306" i="29"/>
  <c r="D307" i="29"/>
  <c r="D308" i="29"/>
  <c r="D309" i="29"/>
  <c r="D310" i="29"/>
  <c r="D311" i="29"/>
  <c r="D312" i="29"/>
  <c r="D313" i="29"/>
  <c r="D314" i="29"/>
  <c r="D315" i="29"/>
  <c r="D316" i="29"/>
  <c r="D318" i="29"/>
  <c r="D319" i="29"/>
  <c r="D320" i="29"/>
  <c r="D321" i="29"/>
  <c r="D322" i="29"/>
  <c r="D323" i="29"/>
  <c r="D324" i="29"/>
  <c r="D325" i="29"/>
  <c r="D326" i="29"/>
  <c r="D327" i="29"/>
  <c r="D328" i="29"/>
  <c r="D329" i="29"/>
  <c r="D330" i="29"/>
  <c r="D331" i="29"/>
  <c r="D332" i="29"/>
  <c r="D333" i="29"/>
  <c r="D334" i="29"/>
  <c r="D335" i="29"/>
  <c r="D336" i="29"/>
  <c r="D337" i="29"/>
  <c r="D338" i="29"/>
  <c r="D339" i="29"/>
  <c r="D341" i="29"/>
  <c r="D344" i="29"/>
  <c r="D345" i="29"/>
  <c r="D346" i="29"/>
  <c r="D347" i="29"/>
  <c r="D348" i="29"/>
  <c r="D349" i="29"/>
  <c r="D350" i="29"/>
  <c r="D351" i="29"/>
  <c r="D352" i="29"/>
  <c r="D353" i="29"/>
  <c r="D354" i="29"/>
  <c r="D355" i="29"/>
  <c r="D356" i="29"/>
  <c r="D357" i="29"/>
  <c r="D358" i="29"/>
  <c r="D359" i="29"/>
  <c r="D360" i="29"/>
  <c r="D361" i="29"/>
  <c r="D363" i="29"/>
  <c r="D364" i="29"/>
  <c r="D365" i="29"/>
  <c r="D366" i="29"/>
  <c r="D367" i="29"/>
  <c r="D368" i="29"/>
  <c r="D369" i="29"/>
  <c r="D370" i="29"/>
  <c r="D371" i="29"/>
  <c r="D372" i="29"/>
  <c r="D373" i="29"/>
  <c r="D374" i="29"/>
  <c r="D375" i="29"/>
  <c r="D376" i="29"/>
  <c r="D377" i="29"/>
  <c r="D378" i="29"/>
  <c r="D379" i="29"/>
  <c r="D380" i="29"/>
  <c r="D381" i="29"/>
  <c r="D382" i="29"/>
  <c r="D383" i="29"/>
  <c r="D384" i="29"/>
  <c r="D385" i="29"/>
  <c r="D386" i="29"/>
  <c r="D387" i="29"/>
  <c r="D388" i="29"/>
  <c r="D390" i="29"/>
  <c r="D391" i="29"/>
  <c r="D392" i="29"/>
  <c r="D393" i="29"/>
  <c r="D394" i="29"/>
  <c r="D395" i="29"/>
  <c r="D396" i="29"/>
  <c r="D397" i="29"/>
  <c r="D398" i="29"/>
  <c r="D399" i="29"/>
  <c r="D400" i="29"/>
  <c r="D401" i="29"/>
  <c r="D402" i="29"/>
  <c r="D403" i="29"/>
  <c r="D404" i="29"/>
  <c r="D405" i="29"/>
  <c r="D406" i="29"/>
  <c r="D407" i="29"/>
  <c r="D408" i="29"/>
  <c r="D409" i="29"/>
  <c r="D410" i="29"/>
  <c r="D411" i="29"/>
  <c r="D412" i="29"/>
  <c r="D413" i="29"/>
  <c r="D414" i="29"/>
  <c r="D415" i="29"/>
  <c r="D416" i="29"/>
  <c r="D417" i="29"/>
  <c r="D418" i="29"/>
  <c r="D419" i="29"/>
  <c r="D420" i="29"/>
  <c r="D421" i="29"/>
  <c r="D422" i="29"/>
  <c r="D423" i="29"/>
  <c r="D424" i="29"/>
  <c r="D425" i="29"/>
  <c r="D426" i="29"/>
  <c r="D427" i="29"/>
  <c r="D428" i="29"/>
  <c r="D429" i="29"/>
  <c r="D430" i="29"/>
  <c r="D431" i="29"/>
  <c r="D432" i="29"/>
  <c r="D433" i="29"/>
  <c r="D434" i="29"/>
  <c r="D435" i="29"/>
  <c r="D436" i="29"/>
  <c r="D437" i="29"/>
  <c r="D438" i="29"/>
  <c r="D439" i="29"/>
  <c r="D440" i="29"/>
  <c r="D441" i="29"/>
  <c r="D442" i="29"/>
  <c r="D443" i="29"/>
  <c r="D444" i="29"/>
  <c r="D445" i="29"/>
  <c r="D446" i="29"/>
  <c r="D447" i="29"/>
  <c r="D448" i="29"/>
  <c r="D449" i="29"/>
  <c r="D450" i="29"/>
  <c r="D451" i="29"/>
  <c r="D452" i="29"/>
  <c r="D453" i="29"/>
  <c r="D454" i="29"/>
  <c r="D455" i="29"/>
  <c r="D456" i="29"/>
  <c r="D457" i="29"/>
  <c r="D458" i="29"/>
  <c r="D459" i="29"/>
  <c r="D460" i="29"/>
  <c r="D461" i="29"/>
  <c r="D462" i="29"/>
  <c r="D463" i="29"/>
  <c r="D464" i="29"/>
  <c r="D465" i="29"/>
  <c r="D466" i="29"/>
  <c r="D467" i="29"/>
  <c r="D468" i="29"/>
  <c r="D469" i="29"/>
  <c r="D470" i="29"/>
  <c r="D471" i="29"/>
  <c r="D472" i="29"/>
  <c r="D473" i="29"/>
  <c r="D474" i="29"/>
  <c r="D475" i="29"/>
  <c r="D476" i="29"/>
  <c r="D477" i="29"/>
  <c r="D478" i="29"/>
  <c r="D479" i="29"/>
  <c r="D480" i="29"/>
  <c r="D481" i="29"/>
  <c r="D482" i="29"/>
  <c r="D483" i="29"/>
  <c r="D484" i="29"/>
  <c r="D485" i="29"/>
  <c r="D486" i="29"/>
  <c r="D487" i="29"/>
  <c r="D488" i="29"/>
  <c r="D489" i="29"/>
  <c r="D490" i="29"/>
  <c r="D491" i="29"/>
  <c r="D492" i="29"/>
  <c r="D493" i="29"/>
  <c r="D494" i="29"/>
  <c r="D495" i="29"/>
  <c r="D496" i="29"/>
  <c r="D497" i="29"/>
  <c r="D498" i="29"/>
  <c r="D499" i="29"/>
  <c r="D500" i="29"/>
  <c r="D501" i="29"/>
  <c r="D502" i="29"/>
  <c r="D503" i="29"/>
  <c r="D504" i="29"/>
  <c r="D505" i="29"/>
  <c r="D506" i="29"/>
  <c r="D507" i="29"/>
  <c r="D508" i="29"/>
  <c r="D509" i="29"/>
  <c r="D510" i="29"/>
  <c r="D511" i="29"/>
  <c r="D512" i="29"/>
  <c r="D513" i="29"/>
  <c r="D514" i="29"/>
  <c r="D515" i="29"/>
  <c r="D516" i="29"/>
  <c r="D517" i="29"/>
  <c r="D518" i="29"/>
  <c r="D519" i="29"/>
  <c r="D520" i="29"/>
  <c r="D521" i="29"/>
  <c r="D522" i="29"/>
  <c r="D523" i="29"/>
  <c r="D524" i="29"/>
  <c r="D525" i="29"/>
  <c r="D526" i="29"/>
  <c r="D527" i="29"/>
  <c r="D528" i="29"/>
  <c r="D529" i="29"/>
  <c r="D530" i="29"/>
  <c r="D531" i="29"/>
  <c r="D532" i="29"/>
  <c r="D533" i="29"/>
  <c r="D534" i="29"/>
  <c r="D535" i="29"/>
  <c r="D536" i="29"/>
  <c r="D537" i="29"/>
  <c r="D538" i="29"/>
  <c r="D539" i="29"/>
  <c r="D540" i="29"/>
  <c r="D541" i="29"/>
  <c r="D542" i="29"/>
  <c r="D543" i="29"/>
  <c r="D544" i="29"/>
  <c r="D545" i="29"/>
  <c r="D546" i="29"/>
  <c r="D547" i="29"/>
  <c r="D548" i="29"/>
  <c r="D549" i="29"/>
  <c r="D550" i="29"/>
  <c r="D551" i="29"/>
  <c r="D552" i="29"/>
  <c r="D553" i="29"/>
  <c r="D554" i="29"/>
  <c r="D555" i="29"/>
  <c r="D556" i="29"/>
  <c r="D557" i="29"/>
  <c r="D558" i="29"/>
  <c r="D559" i="29"/>
  <c r="D560" i="29"/>
  <c r="D561" i="29"/>
  <c r="D562" i="29"/>
  <c r="D563" i="29"/>
  <c r="D564" i="29"/>
  <c r="D565" i="29"/>
  <c r="D566" i="29"/>
  <c r="D567" i="29"/>
  <c r="D568" i="29"/>
  <c r="D569" i="29"/>
  <c r="D570" i="29"/>
  <c r="D571" i="29"/>
  <c r="D572" i="29"/>
  <c r="D573" i="29"/>
  <c r="D574" i="29"/>
  <c r="D575" i="29"/>
  <c r="D576" i="29"/>
  <c r="D577" i="29"/>
  <c r="D578" i="29"/>
  <c r="D579" i="29"/>
  <c r="D580" i="29"/>
  <c r="D581" i="29"/>
  <c r="D582" i="29"/>
  <c r="D583" i="29"/>
  <c r="D584" i="29"/>
  <c r="D585" i="29"/>
  <c r="D586" i="29"/>
  <c r="D587" i="29"/>
  <c r="D588" i="29"/>
  <c r="D589" i="29"/>
  <c r="D590" i="29"/>
  <c r="D591" i="29"/>
  <c r="D592" i="29"/>
  <c r="D593" i="29"/>
  <c r="D594" i="29"/>
  <c r="D595" i="29"/>
  <c r="D596" i="29"/>
  <c r="D597" i="29"/>
  <c r="D598" i="29"/>
  <c r="D599" i="29"/>
  <c r="D600" i="29"/>
  <c r="D601" i="29"/>
  <c r="D602" i="29"/>
  <c r="D603" i="29"/>
  <c r="D604" i="29"/>
  <c r="D605" i="29"/>
  <c r="D606" i="29"/>
  <c r="D607" i="29"/>
  <c r="D608" i="29"/>
  <c r="D609" i="29"/>
  <c r="D610" i="29"/>
  <c r="D611" i="29"/>
  <c r="D612" i="29"/>
  <c r="D613" i="29"/>
  <c r="D614" i="29"/>
  <c r="D615" i="29"/>
  <c r="D616" i="29"/>
  <c r="D617" i="29"/>
  <c r="D618" i="29"/>
  <c r="D619" i="29"/>
  <c r="D620" i="29"/>
  <c r="D621" i="29"/>
  <c r="D622" i="29"/>
  <c r="D623" i="29"/>
  <c r="D624" i="29"/>
  <c r="D625" i="29"/>
  <c r="D626" i="29"/>
  <c r="D627" i="29"/>
  <c r="D628" i="29"/>
  <c r="D629" i="29"/>
  <c r="D630" i="29"/>
  <c r="D631" i="29"/>
  <c r="D632" i="29"/>
  <c r="D633" i="29"/>
  <c r="D634" i="29"/>
  <c r="D635" i="29"/>
  <c r="D636" i="29"/>
  <c r="D637" i="29"/>
  <c r="D638" i="29"/>
  <c r="D639" i="29"/>
  <c r="D640" i="29"/>
  <c r="D641" i="29"/>
  <c r="D642" i="29"/>
  <c r="D643" i="29"/>
  <c r="D644" i="29"/>
  <c r="D645" i="29"/>
  <c r="D646" i="29"/>
  <c r="D647" i="29"/>
  <c r="D648" i="29"/>
  <c r="D649" i="29"/>
  <c r="D650" i="29"/>
  <c r="D651" i="29"/>
  <c r="D652" i="29"/>
  <c r="D653" i="29"/>
  <c r="D654" i="29"/>
  <c r="D655" i="29"/>
  <c r="D656" i="29"/>
  <c r="D657" i="29"/>
  <c r="D658" i="29"/>
  <c r="D659" i="29"/>
  <c r="D660" i="29"/>
  <c r="D661" i="29"/>
  <c r="D662" i="29"/>
  <c r="D663" i="29"/>
  <c r="D664" i="29"/>
  <c r="D665" i="29"/>
  <c r="D666" i="29"/>
  <c r="D667" i="29"/>
  <c r="D668" i="29"/>
  <c r="D669" i="29"/>
  <c r="D670" i="29"/>
  <c r="D671" i="29"/>
  <c r="D3" i="29"/>
  <c r="B389" i="29"/>
  <c r="B362" i="29"/>
  <c r="D362" i="29" s="1"/>
  <c r="B317" i="29"/>
  <c r="D317" i="29" s="1"/>
  <c r="B269" i="29"/>
  <c r="D269" i="29" s="1"/>
  <c r="B182" i="29"/>
  <c r="D182" i="29" s="1"/>
  <c r="B143" i="29"/>
  <c r="D143" i="29" s="1"/>
  <c r="B116" i="29"/>
  <c r="D116" i="29" s="1"/>
  <c r="B68" i="29"/>
  <c r="D68" i="29" s="1"/>
  <c r="B66" i="29"/>
  <c r="D66" i="29" s="1"/>
  <c r="B29" i="29"/>
  <c r="B24" i="29"/>
  <c r="B672" i="29" l="1"/>
  <c r="B340" i="29"/>
  <c r="D674" i="30"/>
  <c r="D24" i="29"/>
  <c r="D340" i="29" s="1"/>
  <c r="D674" i="29" s="1"/>
  <c r="D389" i="29"/>
  <c r="D672" i="29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9" i="28"/>
  <c r="D220" i="28"/>
  <c r="D221" i="28"/>
  <c r="D222" i="28"/>
  <c r="D223" i="28"/>
  <c r="D224" i="28"/>
  <c r="D225" i="28"/>
  <c r="D226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2" i="28"/>
  <c r="D253" i="28"/>
  <c r="D254" i="28"/>
  <c r="D255" i="28"/>
  <c r="D256" i="28"/>
  <c r="D257" i="28"/>
  <c r="D258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1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5" i="28"/>
  <c r="D456" i="28"/>
  <c r="D457" i="28"/>
  <c r="D458" i="28"/>
  <c r="D459" i="28"/>
  <c r="D460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504" i="28"/>
  <c r="D505" i="28"/>
  <c r="D506" i="28"/>
  <c r="D507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3" i="28"/>
  <c r="D524" i="28"/>
  <c r="D525" i="28"/>
  <c r="D526" i="28"/>
  <c r="D527" i="28"/>
  <c r="D528" i="28"/>
  <c r="D529" i="28"/>
  <c r="D530" i="28"/>
  <c r="D531" i="28"/>
  <c r="D532" i="28"/>
  <c r="D533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3" i="28"/>
  <c r="B534" i="28"/>
  <c r="D534" i="28" s="1"/>
  <c r="B522" i="28"/>
  <c r="D522" i="28" s="1"/>
  <c r="B508" i="28"/>
  <c r="D508" i="28" s="1"/>
  <c r="B486" i="28"/>
  <c r="B461" i="28"/>
  <c r="D461" i="28" s="1"/>
  <c r="B454" i="28"/>
  <c r="D454" i="28" s="1"/>
  <c r="B385" i="28"/>
  <c r="D385" i="28" s="1"/>
  <c r="B259" i="28"/>
  <c r="D259" i="28" s="1"/>
  <c r="B251" i="28"/>
  <c r="D251" i="28" s="1"/>
  <c r="B227" i="28"/>
  <c r="D227" i="28" s="1"/>
  <c r="B218" i="28"/>
  <c r="D218" i="28" s="1"/>
  <c r="B202" i="28"/>
  <c r="D202" i="28" s="1"/>
  <c r="B64" i="28"/>
  <c r="D64" i="28" s="1"/>
  <c r="B38" i="28"/>
  <c r="D38" i="28" s="1"/>
  <c r="B25" i="28"/>
  <c r="B18" i="28"/>
  <c r="D18" i="28" s="1"/>
  <c r="D340" i="28" l="1"/>
  <c r="B672" i="28"/>
  <c r="D672" i="28"/>
  <c r="D674" i="28" s="1"/>
  <c r="B340" i="28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9" i="27"/>
  <c r="D20" i="27"/>
  <c r="D21" i="27"/>
  <c r="D22" i="27"/>
  <c r="D23" i="27"/>
  <c r="D24" i="27"/>
  <c r="D26" i="27"/>
  <c r="D27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2" i="27"/>
  <c r="D253" i="27"/>
  <c r="D254" i="27"/>
  <c r="D255" i="27"/>
  <c r="D256" i="27"/>
  <c r="D257" i="27"/>
  <c r="D258" i="27"/>
  <c r="D259" i="27"/>
  <c r="D260" i="27"/>
  <c r="D261" i="27"/>
  <c r="D262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285" i="27"/>
  <c r="D286" i="27"/>
  <c r="D287" i="27"/>
  <c r="D288" i="27"/>
  <c r="D289" i="27"/>
  <c r="D290" i="27"/>
  <c r="D291" i="27"/>
  <c r="D292" i="27"/>
  <c r="D293" i="27"/>
  <c r="D294" i="27"/>
  <c r="D295" i="27"/>
  <c r="D296" i="27"/>
  <c r="D297" i="27"/>
  <c r="D298" i="27"/>
  <c r="D299" i="27"/>
  <c r="D300" i="27"/>
  <c r="D301" i="27"/>
  <c r="D302" i="27"/>
  <c r="D303" i="27"/>
  <c r="D304" i="27"/>
  <c r="D305" i="27"/>
  <c r="D306" i="27"/>
  <c r="D307" i="27"/>
  <c r="D308" i="27"/>
  <c r="D309" i="27"/>
  <c r="D310" i="27"/>
  <c r="D311" i="27"/>
  <c r="D312" i="27"/>
  <c r="D313" i="27"/>
  <c r="D314" i="27"/>
  <c r="D315" i="27"/>
  <c r="D316" i="27"/>
  <c r="D317" i="27"/>
  <c r="D318" i="27"/>
  <c r="D319" i="27"/>
  <c r="D320" i="27"/>
  <c r="D321" i="27"/>
  <c r="D322" i="27"/>
  <c r="D323" i="27"/>
  <c r="D324" i="27"/>
  <c r="D325" i="27"/>
  <c r="D326" i="27"/>
  <c r="D327" i="27"/>
  <c r="D328" i="27"/>
  <c r="D329" i="27"/>
  <c r="D330" i="27"/>
  <c r="D331" i="27"/>
  <c r="D332" i="27"/>
  <c r="D333" i="27"/>
  <c r="D334" i="27"/>
  <c r="D335" i="27"/>
  <c r="D336" i="27"/>
  <c r="D337" i="27"/>
  <c r="D338" i="27"/>
  <c r="D339" i="27"/>
  <c r="D341" i="27"/>
  <c r="D344" i="27"/>
  <c r="D345" i="27"/>
  <c r="D346" i="27"/>
  <c r="D347" i="27"/>
  <c r="D348" i="27"/>
  <c r="D349" i="27"/>
  <c r="D350" i="27"/>
  <c r="D351" i="27"/>
  <c r="D352" i="27"/>
  <c r="D353" i="27"/>
  <c r="D354" i="27"/>
  <c r="D355" i="27"/>
  <c r="D356" i="27"/>
  <c r="D357" i="27"/>
  <c r="D358" i="27"/>
  <c r="D359" i="27"/>
  <c r="D360" i="27"/>
  <c r="D361" i="27"/>
  <c r="D363" i="27"/>
  <c r="D364" i="27"/>
  <c r="D365" i="27"/>
  <c r="D366" i="27"/>
  <c r="D367" i="27"/>
  <c r="D368" i="27"/>
  <c r="D369" i="27"/>
  <c r="D370" i="27"/>
  <c r="D371" i="27"/>
  <c r="D372" i="27"/>
  <c r="D373" i="27"/>
  <c r="D374" i="27"/>
  <c r="D375" i="27"/>
  <c r="D376" i="27"/>
  <c r="D377" i="27"/>
  <c r="D378" i="27"/>
  <c r="D379" i="27"/>
  <c r="D380" i="27"/>
  <c r="D381" i="27"/>
  <c r="D382" i="27"/>
  <c r="D383" i="27"/>
  <c r="D384" i="27"/>
  <c r="D385" i="27"/>
  <c r="D386" i="27"/>
  <c r="D387" i="27"/>
  <c r="D388" i="27"/>
  <c r="D390" i="27"/>
  <c r="D391" i="27"/>
  <c r="D392" i="27"/>
  <c r="D393" i="27"/>
  <c r="D394" i="27"/>
  <c r="D395" i="27"/>
  <c r="D396" i="27"/>
  <c r="D397" i="27"/>
  <c r="D398" i="27"/>
  <c r="D399" i="27"/>
  <c r="D400" i="27"/>
  <c r="D401" i="27"/>
  <c r="D402" i="27"/>
  <c r="D403" i="27"/>
  <c r="D404" i="27"/>
  <c r="D405" i="27"/>
  <c r="D406" i="27"/>
  <c r="D407" i="27"/>
  <c r="D408" i="27"/>
  <c r="D409" i="27"/>
  <c r="D410" i="27"/>
  <c r="D411" i="27"/>
  <c r="D412" i="27"/>
  <c r="D413" i="27"/>
  <c r="D415" i="27"/>
  <c r="D416" i="27"/>
  <c r="D417" i="27"/>
  <c r="D418" i="27"/>
  <c r="D419" i="27"/>
  <c r="D420" i="27"/>
  <c r="D421" i="27"/>
  <c r="D422" i="27"/>
  <c r="D423" i="27"/>
  <c r="D424" i="27"/>
  <c r="D425" i="27"/>
  <c r="D426" i="27"/>
  <c r="D427" i="27"/>
  <c r="D428" i="27"/>
  <c r="D429" i="27"/>
  <c r="D430" i="27"/>
  <c r="D431" i="27"/>
  <c r="D432" i="27"/>
  <c r="D433" i="27"/>
  <c r="D434" i="27"/>
  <c r="D435" i="27"/>
  <c r="D436" i="27"/>
  <c r="D437" i="27"/>
  <c r="D438" i="27"/>
  <c r="D439" i="27"/>
  <c r="D440" i="27"/>
  <c r="D441" i="27"/>
  <c r="D442" i="27"/>
  <c r="D443" i="27"/>
  <c r="D444" i="27"/>
  <c r="D445" i="27"/>
  <c r="D446" i="27"/>
  <c r="D447" i="27"/>
  <c r="D448" i="27"/>
  <c r="D449" i="27"/>
  <c r="D450" i="27"/>
  <c r="D451" i="27"/>
  <c r="D452" i="27"/>
  <c r="D453" i="27"/>
  <c r="D454" i="27"/>
  <c r="D455" i="27"/>
  <c r="D456" i="27"/>
  <c r="D457" i="27"/>
  <c r="D458" i="27"/>
  <c r="D459" i="27"/>
  <c r="D460" i="27"/>
  <c r="D461" i="27"/>
  <c r="D462" i="27"/>
  <c r="D463" i="27"/>
  <c r="D464" i="27"/>
  <c r="D465" i="27"/>
  <c r="D466" i="27"/>
  <c r="D467" i="27"/>
  <c r="D468" i="27"/>
  <c r="D469" i="27"/>
  <c r="D470" i="27"/>
  <c r="D471" i="27"/>
  <c r="D473" i="27"/>
  <c r="D474" i="27"/>
  <c r="D475" i="27"/>
  <c r="D476" i="27"/>
  <c r="D477" i="27"/>
  <c r="D478" i="27"/>
  <c r="D479" i="27"/>
  <c r="D480" i="27"/>
  <c r="D481" i="27"/>
  <c r="D482" i="27"/>
  <c r="D483" i="27"/>
  <c r="D484" i="27"/>
  <c r="D485" i="27"/>
  <c r="D486" i="27"/>
  <c r="D487" i="27"/>
  <c r="D488" i="27"/>
  <c r="D489" i="27"/>
  <c r="D490" i="27"/>
  <c r="D491" i="27"/>
  <c r="D492" i="27"/>
  <c r="D493" i="27"/>
  <c r="D494" i="27"/>
  <c r="D495" i="27"/>
  <c r="D496" i="27"/>
  <c r="D497" i="27"/>
  <c r="D498" i="27"/>
  <c r="D499" i="27"/>
  <c r="D500" i="27"/>
  <c r="D501" i="27"/>
  <c r="D502" i="27"/>
  <c r="D503" i="27"/>
  <c r="D504" i="27"/>
  <c r="D505" i="27"/>
  <c r="D506" i="27"/>
  <c r="D507" i="27"/>
  <c r="D508" i="27"/>
  <c r="D509" i="27"/>
  <c r="D510" i="27"/>
  <c r="D511" i="27"/>
  <c r="D512" i="27"/>
  <c r="D513" i="27"/>
  <c r="D514" i="27"/>
  <c r="D515" i="27"/>
  <c r="D516" i="27"/>
  <c r="D517" i="27"/>
  <c r="D518" i="27"/>
  <c r="D519" i="27"/>
  <c r="D520" i="27"/>
  <c r="D521" i="27"/>
  <c r="D522" i="27"/>
  <c r="D523" i="27"/>
  <c r="D524" i="27"/>
  <c r="D525" i="27"/>
  <c r="D526" i="27"/>
  <c r="D527" i="27"/>
  <c r="D528" i="27"/>
  <c r="D529" i="27"/>
  <c r="D530" i="27"/>
  <c r="D531" i="27"/>
  <c r="D532" i="27"/>
  <c r="D533" i="27"/>
  <c r="D534" i="27"/>
  <c r="D535" i="27"/>
  <c r="D536" i="27"/>
  <c r="D537" i="27"/>
  <c r="D538" i="27"/>
  <c r="D539" i="27"/>
  <c r="D540" i="27"/>
  <c r="D541" i="27"/>
  <c r="D543" i="27"/>
  <c r="D544" i="27"/>
  <c r="D545" i="27"/>
  <c r="D546" i="27"/>
  <c r="D547" i="27"/>
  <c r="D548" i="27"/>
  <c r="D549" i="27"/>
  <c r="D550" i="27"/>
  <c r="D551" i="27"/>
  <c r="D552" i="27"/>
  <c r="D554" i="27"/>
  <c r="D555" i="27"/>
  <c r="D557" i="27"/>
  <c r="D558" i="27"/>
  <c r="D559" i="27"/>
  <c r="D560" i="27"/>
  <c r="D561" i="27"/>
  <c r="D562" i="27"/>
  <c r="D563" i="27"/>
  <c r="D564" i="27"/>
  <c r="D565" i="27"/>
  <c r="D566" i="27"/>
  <c r="D567" i="27"/>
  <c r="D568" i="27"/>
  <c r="D569" i="27"/>
  <c r="D570" i="27"/>
  <c r="D571" i="27"/>
  <c r="D572" i="27"/>
  <c r="D573" i="27"/>
  <c r="D574" i="27"/>
  <c r="D575" i="27"/>
  <c r="D576" i="27"/>
  <c r="D577" i="27"/>
  <c r="D578" i="27"/>
  <c r="D579" i="27"/>
  <c r="D580" i="27"/>
  <c r="D581" i="27"/>
  <c r="D582" i="27"/>
  <c r="D583" i="27"/>
  <c r="D584" i="27"/>
  <c r="D585" i="27"/>
  <c r="D586" i="27"/>
  <c r="D587" i="27"/>
  <c r="D588" i="27"/>
  <c r="D589" i="27"/>
  <c r="D590" i="27"/>
  <c r="D591" i="27"/>
  <c r="D592" i="27"/>
  <c r="D593" i="27"/>
  <c r="D594" i="27"/>
  <c r="D595" i="27"/>
  <c r="D596" i="27"/>
  <c r="D597" i="27"/>
  <c r="D598" i="27"/>
  <c r="D599" i="27"/>
  <c r="D600" i="27"/>
  <c r="D601" i="27"/>
  <c r="D602" i="27"/>
  <c r="D603" i="27"/>
  <c r="D604" i="27"/>
  <c r="D605" i="27"/>
  <c r="D606" i="27"/>
  <c r="D607" i="27"/>
  <c r="D608" i="27"/>
  <c r="D609" i="27"/>
  <c r="D610" i="27"/>
  <c r="D611" i="27"/>
  <c r="D612" i="27"/>
  <c r="D613" i="27"/>
  <c r="D614" i="27"/>
  <c r="D615" i="27"/>
  <c r="D616" i="27"/>
  <c r="D617" i="27"/>
  <c r="D618" i="27"/>
  <c r="D619" i="27"/>
  <c r="D620" i="27"/>
  <c r="D621" i="27"/>
  <c r="D622" i="27"/>
  <c r="D623" i="27"/>
  <c r="D624" i="27"/>
  <c r="D625" i="27"/>
  <c r="D626" i="27"/>
  <c r="D627" i="27"/>
  <c r="D628" i="27"/>
  <c r="D629" i="27"/>
  <c r="D630" i="27"/>
  <c r="D631" i="27"/>
  <c r="D632" i="27"/>
  <c r="D633" i="27"/>
  <c r="D634" i="27"/>
  <c r="D635" i="27"/>
  <c r="D636" i="27"/>
  <c r="D637" i="27"/>
  <c r="D638" i="27"/>
  <c r="D639" i="27"/>
  <c r="D640" i="27"/>
  <c r="D641" i="27"/>
  <c r="D642" i="27"/>
  <c r="D643" i="27"/>
  <c r="D644" i="27"/>
  <c r="D645" i="27"/>
  <c r="D646" i="27"/>
  <c r="D647" i="27"/>
  <c r="D648" i="27"/>
  <c r="D649" i="27"/>
  <c r="D650" i="27"/>
  <c r="D651" i="27"/>
  <c r="D652" i="27"/>
  <c r="D653" i="27"/>
  <c r="D654" i="27"/>
  <c r="D655" i="27"/>
  <c r="D656" i="27"/>
  <c r="D657" i="27"/>
  <c r="D658" i="27"/>
  <c r="D659" i="27"/>
  <c r="D660" i="27"/>
  <c r="D661" i="27"/>
  <c r="D662" i="27"/>
  <c r="D663" i="27"/>
  <c r="D664" i="27"/>
  <c r="D665" i="27"/>
  <c r="D666" i="27"/>
  <c r="D667" i="27"/>
  <c r="D668" i="27"/>
  <c r="D669" i="27"/>
  <c r="D670" i="27"/>
  <c r="D671" i="27"/>
  <c r="D3" i="27"/>
  <c r="B556" i="27"/>
  <c r="D556" i="27" s="1"/>
  <c r="B553" i="27"/>
  <c r="D553" i="27" s="1"/>
  <c r="B542" i="27"/>
  <c r="D542" i="27" s="1"/>
  <c r="B472" i="27"/>
  <c r="D472" i="27" s="1"/>
  <c r="B414" i="27"/>
  <c r="D414" i="27" s="1"/>
  <c r="B389" i="27"/>
  <c r="D389" i="27" s="1"/>
  <c r="B362" i="27"/>
  <c r="D362" i="27" s="1"/>
  <c r="B263" i="27"/>
  <c r="D263" i="27" s="1"/>
  <c r="B251" i="27"/>
  <c r="D251" i="27" s="1"/>
  <c r="B227" i="27"/>
  <c r="D227" i="27" s="1"/>
  <c r="B202" i="27"/>
  <c r="D202" i="27" s="1"/>
  <c r="B28" i="27"/>
  <c r="D28" i="27" s="1"/>
  <c r="B25" i="27"/>
  <c r="D25" i="27" s="1"/>
  <c r="B18" i="27"/>
  <c r="D18" i="27" s="1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9" i="26"/>
  <c r="D20" i="26"/>
  <c r="D21" i="26"/>
  <c r="D22" i="26"/>
  <c r="D23" i="26"/>
  <c r="D24" i="26"/>
  <c r="D26" i="26"/>
  <c r="D27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2" i="26"/>
  <c r="D253" i="26"/>
  <c r="D254" i="26"/>
  <c r="D255" i="26"/>
  <c r="D256" i="26"/>
  <c r="D257" i="26"/>
  <c r="D258" i="26"/>
  <c r="D260" i="26"/>
  <c r="D261" i="26"/>
  <c r="D262" i="26"/>
  <c r="D264" i="26"/>
  <c r="D265" i="26"/>
  <c r="D266" i="26"/>
  <c r="D267" i="26"/>
  <c r="D268" i="26"/>
  <c r="D269" i="26"/>
  <c r="D270" i="26"/>
  <c r="D271" i="26"/>
  <c r="D272" i="26"/>
  <c r="D273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2" i="26"/>
  <c r="D293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1" i="26"/>
  <c r="D344" i="26"/>
  <c r="D345" i="26"/>
  <c r="D346" i="26"/>
  <c r="D347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D642" i="26"/>
  <c r="D643" i="26"/>
  <c r="D644" i="26"/>
  <c r="D645" i="26"/>
  <c r="D646" i="26"/>
  <c r="D647" i="26"/>
  <c r="D648" i="26"/>
  <c r="D649" i="26"/>
  <c r="D650" i="26"/>
  <c r="D651" i="26"/>
  <c r="D652" i="26"/>
  <c r="D653" i="26"/>
  <c r="D654" i="26"/>
  <c r="D655" i="26"/>
  <c r="D656" i="26"/>
  <c r="D657" i="26"/>
  <c r="D658" i="26"/>
  <c r="D659" i="26"/>
  <c r="D660" i="26"/>
  <c r="D661" i="26"/>
  <c r="D662" i="26"/>
  <c r="D663" i="26"/>
  <c r="D664" i="26"/>
  <c r="D665" i="26"/>
  <c r="D666" i="26"/>
  <c r="D667" i="26"/>
  <c r="D668" i="26"/>
  <c r="D669" i="26"/>
  <c r="D670" i="26"/>
  <c r="D671" i="26"/>
  <c r="D3" i="26"/>
  <c r="B556" i="26"/>
  <c r="D556" i="26" s="1"/>
  <c r="B542" i="26"/>
  <c r="D542" i="26" s="1"/>
  <c r="B520" i="26"/>
  <c r="D520" i="26" s="1"/>
  <c r="B497" i="26"/>
  <c r="D497" i="26" s="1"/>
  <c r="B414" i="26"/>
  <c r="D414" i="26" s="1"/>
  <c r="B389" i="26"/>
  <c r="B362" i="26"/>
  <c r="D362" i="26" s="1"/>
  <c r="B348" i="26"/>
  <c r="D348" i="26" s="1"/>
  <c r="B294" i="26"/>
  <c r="D294" i="26" s="1"/>
  <c r="B291" i="26"/>
  <c r="D291" i="26" s="1"/>
  <c r="B274" i="26"/>
  <c r="D274" i="26" s="1"/>
  <c r="B263" i="26"/>
  <c r="D263" i="26" s="1"/>
  <c r="B259" i="26"/>
  <c r="D259" i="26" s="1"/>
  <c r="B251" i="26"/>
  <c r="D251" i="26" s="1"/>
  <c r="B227" i="26"/>
  <c r="D227" i="26" s="1"/>
  <c r="B202" i="26"/>
  <c r="D202" i="26" s="1"/>
  <c r="B169" i="26"/>
  <c r="D169" i="26" s="1"/>
  <c r="B111" i="26"/>
  <c r="D111" i="26" s="1"/>
  <c r="B91" i="26"/>
  <c r="D91" i="26" s="1"/>
  <c r="B64" i="26"/>
  <c r="D64" i="26" s="1"/>
  <c r="B28" i="26"/>
  <c r="D28" i="26" s="1"/>
  <c r="B25" i="26"/>
  <c r="D25" i="26" s="1"/>
  <c r="B18" i="26"/>
  <c r="D340" i="27" l="1"/>
  <c r="B340" i="26"/>
  <c r="D672" i="27"/>
  <c r="D674" i="27" s="1"/>
  <c r="B672" i="27"/>
  <c r="B340" i="27"/>
  <c r="D18" i="26"/>
  <c r="D340" i="26" s="1"/>
  <c r="B672" i="26"/>
  <c r="D672" i="26"/>
  <c r="D24" i="25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5" i="25"/>
  <c r="D26" i="25"/>
  <c r="D27" i="25"/>
  <c r="D28" i="25"/>
  <c r="D30" i="25"/>
  <c r="D31" i="25"/>
  <c r="D32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48" i="25"/>
  <c r="D249" i="25"/>
  <c r="D250" i="25"/>
  <c r="D251" i="25"/>
  <c r="D252" i="25"/>
  <c r="D253" i="25"/>
  <c r="D254" i="25"/>
  <c r="D255" i="25"/>
  <c r="D256" i="25"/>
  <c r="D257" i="25"/>
  <c r="D258" i="25"/>
  <c r="D259" i="25"/>
  <c r="D260" i="25"/>
  <c r="D261" i="25"/>
  <c r="D262" i="25"/>
  <c r="D263" i="25"/>
  <c r="D264" i="25"/>
  <c r="D265" i="25"/>
  <c r="D266" i="25"/>
  <c r="D267" i="25"/>
  <c r="D268" i="25"/>
  <c r="D269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2" i="25"/>
  <c r="D283" i="25"/>
  <c r="D285" i="25"/>
  <c r="D286" i="25"/>
  <c r="D287" i="25"/>
  <c r="D288" i="25"/>
  <c r="D289" i="25"/>
  <c r="D290" i="25"/>
  <c r="D291" i="25"/>
  <c r="D292" i="25"/>
  <c r="D293" i="25"/>
  <c r="D294" i="25"/>
  <c r="D295" i="25"/>
  <c r="D296" i="25"/>
  <c r="D297" i="25"/>
  <c r="D298" i="25"/>
  <c r="D299" i="25"/>
  <c r="D300" i="25"/>
  <c r="D301" i="25"/>
  <c r="D302" i="25"/>
  <c r="D303" i="25"/>
  <c r="D304" i="25"/>
  <c r="D305" i="25"/>
  <c r="D306" i="25"/>
  <c r="D307" i="25"/>
  <c r="D308" i="25"/>
  <c r="D309" i="25"/>
  <c r="D310" i="25"/>
  <c r="D311" i="25"/>
  <c r="D312" i="25"/>
  <c r="D313" i="25"/>
  <c r="D314" i="25"/>
  <c r="D315" i="25"/>
  <c r="D316" i="25"/>
  <c r="D318" i="25"/>
  <c r="D319" i="25"/>
  <c r="D320" i="25"/>
  <c r="D321" i="25"/>
  <c r="D322" i="25"/>
  <c r="D323" i="25"/>
  <c r="D324" i="25"/>
  <c r="D325" i="25"/>
  <c r="D326" i="25"/>
  <c r="D327" i="25"/>
  <c r="D328" i="25"/>
  <c r="D329" i="25"/>
  <c r="D330" i="25"/>
  <c r="D331" i="25"/>
  <c r="D332" i="25"/>
  <c r="D333" i="25"/>
  <c r="D334" i="25"/>
  <c r="D335" i="25"/>
  <c r="D336" i="25"/>
  <c r="D337" i="25"/>
  <c r="D338" i="25"/>
  <c r="D339" i="25"/>
  <c r="D341" i="25"/>
  <c r="D344" i="25"/>
  <c r="D345" i="25"/>
  <c r="D346" i="25"/>
  <c r="D347" i="25"/>
  <c r="D348" i="25"/>
  <c r="D349" i="25"/>
  <c r="D350" i="25"/>
  <c r="D351" i="25"/>
  <c r="D352" i="25"/>
  <c r="D353" i="25"/>
  <c r="D354" i="25"/>
  <c r="D355" i="25"/>
  <c r="D356" i="25"/>
  <c r="D357" i="25"/>
  <c r="D358" i="25"/>
  <c r="D359" i="25"/>
  <c r="D360" i="25"/>
  <c r="D361" i="25"/>
  <c r="D362" i="25"/>
  <c r="D363" i="25"/>
  <c r="D364" i="25"/>
  <c r="D365" i="25"/>
  <c r="D366" i="25"/>
  <c r="D367" i="25"/>
  <c r="D368" i="25"/>
  <c r="D369" i="25"/>
  <c r="D370" i="25"/>
  <c r="D371" i="25"/>
  <c r="D372" i="25"/>
  <c r="D373" i="25"/>
  <c r="D374" i="25"/>
  <c r="D375" i="25"/>
  <c r="D376" i="25"/>
  <c r="D377" i="25"/>
  <c r="D378" i="25"/>
  <c r="D379" i="25"/>
  <c r="D381" i="25"/>
  <c r="D382" i="25"/>
  <c r="D383" i="25"/>
  <c r="D384" i="25"/>
  <c r="D385" i="25"/>
  <c r="D386" i="25"/>
  <c r="D387" i="25"/>
  <c r="D388" i="25"/>
  <c r="D390" i="25"/>
  <c r="D391" i="25"/>
  <c r="D392" i="25"/>
  <c r="D393" i="25"/>
  <c r="D394" i="25"/>
  <c r="D395" i="25"/>
  <c r="D396" i="25"/>
  <c r="D397" i="25"/>
  <c r="D398" i="25"/>
  <c r="D399" i="25"/>
  <c r="D400" i="25"/>
  <c r="D401" i="25"/>
  <c r="D402" i="25"/>
  <c r="D403" i="25"/>
  <c r="D404" i="25"/>
  <c r="D405" i="25"/>
  <c r="D406" i="25"/>
  <c r="D407" i="25"/>
  <c r="D408" i="25"/>
  <c r="D409" i="25"/>
  <c r="D410" i="25"/>
  <c r="D411" i="25"/>
  <c r="D412" i="25"/>
  <c r="D413" i="25"/>
  <c r="D414" i="25"/>
  <c r="D415" i="25"/>
  <c r="D416" i="25"/>
  <c r="D417" i="25"/>
  <c r="D418" i="25"/>
  <c r="D419" i="25"/>
  <c r="D420" i="25"/>
  <c r="D421" i="25"/>
  <c r="D422" i="25"/>
  <c r="D423" i="25"/>
  <c r="D424" i="25"/>
  <c r="D425" i="25"/>
  <c r="D426" i="25"/>
  <c r="D427" i="25"/>
  <c r="D428" i="25"/>
  <c r="D429" i="25"/>
  <c r="D430" i="25"/>
  <c r="D431" i="25"/>
  <c r="D432" i="25"/>
  <c r="D433" i="25"/>
  <c r="D434" i="25"/>
  <c r="D435" i="25"/>
  <c r="D436" i="25"/>
  <c r="D437" i="25"/>
  <c r="D438" i="25"/>
  <c r="D439" i="25"/>
  <c r="D440" i="25"/>
  <c r="D441" i="25"/>
  <c r="D442" i="25"/>
  <c r="D443" i="25"/>
  <c r="D444" i="25"/>
  <c r="D445" i="25"/>
  <c r="D446" i="25"/>
  <c r="D447" i="25"/>
  <c r="D448" i="25"/>
  <c r="D449" i="25"/>
  <c r="D450" i="25"/>
  <c r="D451" i="25"/>
  <c r="D452" i="25"/>
  <c r="D453" i="25"/>
  <c r="D454" i="25"/>
  <c r="D456" i="25"/>
  <c r="D457" i="25"/>
  <c r="D458" i="25"/>
  <c r="D459" i="25"/>
  <c r="D460" i="25"/>
  <c r="D462" i="25"/>
  <c r="D463" i="25"/>
  <c r="D464" i="25"/>
  <c r="D465" i="25"/>
  <c r="D466" i="25"/>
  <c r="D467" i="25"/>
  <c r="D468" i="25"/>
  <c r="D469" i="25"/>
  <c r="D470" i="25"/>
  <c r="D471" i="25"/>
  <c r="D472" i="25"/>
  <c r="D473" i="25"/>
  <c r="D474" i="25"/>
  <c r="D475" i="25"/>
  <c r="D476" i="25"/>
  <c r="D477" i="25"/>
  <c r="D478" i="25"/>
  <c r="D479" i="25"/>
  <c r="D480" i="25"/>
  <c r="D481" i="25"/>
  <c r="D482" i="25"/>
  <c r="D483" i="25"/>
  <c r="D484" i="25"/>
  <c r="D485" i="25"/>
  <c r="D487" i="25"/>
  <c r="D488" i="25"/>
  <c r="D489" i="25"/>
  <c r="D490" i="25"/>
  <c r="D491" i="25"/>
  <c r="D492" i="25"/>
  <c r="D493" i="25"/>
  <c r="D494" i="25"/>
  <c r="D495" i="25"/>
  <c r="D496" i="25"/>
  <c r="D497" i="25"/>
  <c r="D498" i="25"/>
  <c r="D499" i="25"/>
  <c r="D500" i="25"/>
  <c r="D501" i="25"/>
  <c r="D502" i="25"/>
  <c r="D503" i="25"/>
  <c r="D504" i="25"/>
  <c r="D505" i="25"/>
  <c r="D506" i="25"/>
  <c r="D507" i="25"/>
  <c r="D508" i="25"/>
  <c r="D509" i="25"/>
  <c r="D510" i="25"/>
  <c r="D511" i="25"/>
  <c r="D512" i="25"/>
  <c r="D513" i="25"/>
  <c r="D514" i="25"/>
  <c r="D515" i="25"/>
  <c r="D516" i="25"/>
  <c r="D517" i="25"/>
  <c r="D518" i="25"/>
  <c r="D519" i="25"/>
  <c r="D520" i="25"/>
  <c r="D521" i="25"/>
  <c r="D523" i="25"/>
  <c r="D524" i="25"/>
  <c r="D525" i="25"/>
  <c r="D526" i="25"/>
  <c r="D527" i="25"/>
  <c r="D528" i="25"/>
  <c r="D529" i="25"/>
  <c r="D530" i="25"/>
  <c r="D531" i="25"/>
  <c r="D532" i="25"/>
  <c r="D533" i="25"/>
  <c r="D534" i="25"/>
  <c r="D535" i="25"/>
  <c r="D536" i="25"/>
  <c r="D537" i="25"/>
  <c r="D538" i="25"/>
  <c r="D539" i="25"/>
  <c r="D540" i="25"/>
  <c r="D541" i="25"/>
  <c r="D542" i="25"/>
  <c r="D543" i="25"/>
  <c r="D544" i="25"/>
  <c r="D545" i="25"/>
  <c r="D546" i="25"/>
  <c r="D547" i="25"/>
  <c r="D548" i="25"/>
  <c r="D549" i="25"/>
  <c r="D550" i="25"/>
  <c r="D551" i="25"/>
  <c r="D552" i="25"/>
  <c r="D553" i="25"/>
  <c r="D554" i="25"/>
  <c r="D555" i="25"/>
  <c r="D556" i="25"/>
  <c r="D557" i="25"/>
  <c r="D558" i="25"/>
  <c r="D559" i="25"/>
  <c r="D560" i="25"/>
  <c r="D561" i="25"/>
  <c r="D562" i="25"/>
  <c r="D563" i="25"/>
  <c r="D564" i="25"/>
  <c r="D565" i="25"/>
  <c r="D566" i="25"/>
  <c r="D567" i="25"/>
  <c r="D568" i="25"/>
  <c r="D569" i="25"/>
  <c r="D570" i="25"/>
  <c r="D571" i="25"/>
  <c r="D573" i="25"/>
  <c r="D574" i="25"/>
  <c r="D575" i="25"/>
  <c r="D576" i="25"/>
  <c r="D577" i="25"/>
  <c r="D578" i="25"/>
  <c r="D579" i="25"/>
  <c r="D580" i="25"/>
  <c r="D581" i="25"/>
  <c r="D582" i="25"/>
  <c r="D583" i="25"/>
  <c r="D584" i="25"/>
  <c r="D585" i="25"/>
  <c r="D586" i="25"/>
  <c r="D587" i="25"/>
  <c r="D588" i="25"/>
  <c r="D589" i="25"/>
  <c r="D590" i="25"/>
  <c r="D591" i="25"/>
  <c r="D592" i="25"/>
  <c r="D593" i="25"/>
  <c r="D594" i="25"/>
  <c r="D595" i="25"/>
  <c r="D596" i="25"/>
  <c r="D597" i="25"/>
  <c r="D598" i="25"/>
  <c r="D599" i="25"/>
  <c r="D600" i="25"/>
  <c r="D601" i="25"/>
  <c r="D602" i="25"/>
  <c r="D603" i="25"/>
  <c r="D604" i="25"/>
  <c r="D605" i="25"/>
  <c r="D606" i="25"/>
  <c r="D607" i="25"/>
  <c r="D608" i="25"/>
  <c r="D609" i="25"/>
  <c r="D610" i="25"/>
  <c r="D611" i="25"/>
  <c r="D612" i="25"/>
  <c r="D613" i="25"/>
  <c r="D614" i="25"/>
  <c r="D615" i="25"/>
  <c r="D616" i="25"/>
  <c r="D617" i="25"/>
  <c r="D618" i="25"/>
  <c r="D619" i="25"/>
  <c r="D620" i="25"/>
  <c r="D621" i="25"/>
  <c r="D622" i="25"/>
  <c r="D623" i="25"/>
  <c r="D624" i="25"/>
  <c r="D625" i="25"/>
  <c r="D626" i="25"/>
  <c r="D627" i="25"/>
  <c r="D628" i="25"/>
  <c r="D629" i="25"/>
  <c r="D630" i="25"/>
  <c r="D631" i="25"/>
  <c r="D632" i="25"/>
  <c r="D633" i="25"/>
  <c r="D634" i="25"/>
  <c r="D635" i="25"/>
  <c r="D636" i="25"/>
  <c r="D637" i="25"/>
  <c r="D638" i="25"/>
  <c r="D639" i="25"/>
  <c r="D640" i="25"/>
  <c r="D641" i="25"/>
  <c r="D642" i="25"/>
  <c r="D643" i="25"/>
  <c r="D644" i="25"/>
  <c r="D645" i="25"/>
  <c r="D646" i="25"/>
  <c r="D647" i="25"/>
  <c r="D648" i="25"/>
  <c r="D649" i="25"/>
  <c r="D650" i="25"/>
  <c r="D651" i="25"/>
  <c r="D652" i="25"/>
  <c r="D653" i="25"/>
  <c r="D654" i="25"/>
  <c r="D655" i="25"/>
  <c r="D656" i="25"/>
  <c r="D657" i="25"/>
  <c r="D658" i="25"/>
  <c r="D659" i="25"/>
  <c r="D660" i="25"/>
  <c r="D661" i="25"/>
  <c r="D662" i="25"/>
  <c r="D663" i="25"/>
  <c r="D664" i="25"/>
  <c r="D665" i="25"/>
  <c r="D666" i="25"/>
  <c r="D667" i="25"/>
  <c r="D668" i="25"/>
  <c r="D669" i="25"/>
  <c r="D670" i="25"/>
  <c r="D671" i="25"/>
  <c r="B572" i="25"/>
  <c r="D572" i="25" s="1"/>
  <c r="B522" i="25"/>
  <c r="D522" i="25" s="1"/>
  <c r="B486" i="25"/>
  <c r="D486" i="25" s="1"/>
  <c r="B461" i="25"/>
  <c r="D461" i="25" s="1"/>
  <c r="B455" i="25"/>
  <c r="D455" i="25" s="1"/>
  <c r="B389" i="25"/>
  <c r="D389" i="25" s="1"/>
  <c r="B380" i="25"/>
  <c r="D380" i="25" s="1"/>
  <c r="D3" i="25"/>
  <c r="B317" i="25"/>
  <c r="D317" i="25" s="1"/>
  <c r="B284" i="25"/>
  <c r="D284" i="25" s="1"/>
  <c r="B219" i="25"/>
  <c r="D219" i="25" s="1"/>
  <c r="B171" i="25"/>
  <c r="D171" i="25" s="1"/>
  <c r="B153" i="25"/>
  <c r="D153" i="25" s="1"/>
  <c r="B117" i="25"/>
  <c r="D117" i="25" s="1"/>
  <c r="B65" i="25"/>
  <c r="D65" i="25" s="1"/>
  <c r="B64" i="25"/>
  <c r="D64" i="25" s="1"/>
  <c r="B33" i="25"/>
  <c r="D33" i="25" s="1"/>
  <c r="B29" i="25"/>
  <c r="D29" i="25" s="1"/>
  <c r="B24" i="25"/>
  <c r="D674" i="26" l="1"/>
  <c r="D340" i="25"/>
  <c r="B672" i="25"/>
  <c r="D672" i="25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308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2" i="24"/>
  <c r="D333" i="24"/>
  <c r="D334" i="24"/>
  <c r="D335" i="24"/>
  <c r="D336" i="24"/>
  <c r="D337" i="24"/>
  <c r="D338" i="24"/>
  <c r="D339" i="24"/>
  <c r="D341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59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2" i="24"/>
  <c r="D383" i="24"/>
  <c r="D384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7" i="24"/>
  <c r="D408" i="24"/>
  <c r="D409" i="24"/>
  <c r="D410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5" i="24"/>
  <c r="D456" i="24"/>
  <c r="D457" i="24"/>
  <c r="D458" i="24"/>
  <c r="D459" i="24"/>
  <c r="D460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7" i="24"/>
  <c r="D488" i="24"/>
  <c r="D489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512" i="24"/>
  <c r="D51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559" i="24"/>
  <c r="D560" i="24"/>
  <c r="D561" i="24"/>
  <c r="D562" i="24"/>
  <c r="D563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609" i="24"/>
  <c r="D610" i="24"/>
  <c r="D611" i="24"/>
  <c r="D612" i="24"/>
  <c r="D613" i="24"/>
  <c r="D614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65" i="24"/>
  <c r="D666" i="24"/>
  <c r="D667" i="24"/>
  <c r="D668" i="24"/>
  <c r="D669" i="24"/>
  <c r="D670" i="24"/>
  <c r="D671" i="24"/>
  <c r="D3" i="24"/>
  <c r="B486" i="24"/>
  <c r="D486" i="24" s="1"/>
  <c r="B461" i="24"/>
  <c r="D461" i="24" s="1"/>
  <c r="B454" i="24"/>
  <c r="B385" i="24"/>
  <c r="D385" i="24" s="1"/>
  <c r="B331" i="24"/>
  <c r="D331" i="24" s="1"/>
  <c r="B263" i="24"/>
  <c r="D263" i="24" s="1"/>
  <c r="B81" i="24"/>
  <c r="B25" i="24"/>
  <c r="D25" i="24" s="1"/>
  <c r="D674" i="25" l="1"/>
  <c r="B340" i="24"/>
  <c r="B672" i="24"/>
  <c r="D81" i="24"/>
  <c r="D340" i="24" s="1"/>
  <c r="D454" i="24"/>
  <c r="D672" i="24" s="1"/>
  <c r="D674" i="24" s="1"/>
  <c r="D4" i="23"/>
  <c r="D5" i="23"/>
  <c r="D6" i="23"/>
  <c r="D7" i="23"/>
  <c r="D8" i="23"/>
  <c r="D9" i="23"/>
  <c r="D10" i="23"/>
  <c r="D11" i="23"/>
  <c r="D12" i="23"/>
  <c r="D13" i="23"/>
  <c r="D14" i="23"/>
  <c r="D16" i="23"/>
  <c r="D17" i="23"/>
  <c r="D19" i="23"/>
  <c r="D20" i="23"/>
  <c r="D21" i="23"/>
  <c r="D22" i="23"/>
  <c r="D23" i="23"/>
  <c r="D24" i="23"/>
  <c r="D26" i="23"/>
  <c r="D27" i="23"/>
  <c r="D29" i="23"/>
  <c r="D30" i="23"/>
  <c r="D31" i="23"/>
  <c r="D32" i="23"/>
  <c r="D33" i="23"/>
  <c r="D34" i="23"/>
  <c r="D35" i="23"/>
  <c r="D36" i="23"/>
  <c r="D37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2" i="23"/>
  <c r="D83" i="23"/>
  <c r="D84" i="23"/>
  <c r="D85" i="23"/>
  <c r="D86" i="23"/>
  <c r="D87" i="23"/>
  <c r="D88" i="23"/>
  <c r="D89" i="23"/>
  <c r="D90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260" i="23"/>
  <c r="D261" i="23"/>
  <c r="D262" i="23"/>
  <c r="D264" i="23"/>
  <c r="D265" i="23"/>
  <c r="D266" i="23"/>
  <c r="D267" i="23"/>
  <c r="D268" i="23"/>
  <c r="D269" i="23"/>
  <c r="D270" i="23"/>
  <c r="D271" i="23"/>
  <c r="D272" i="23"/>
  <c r="D273" i="23"/>
  <c r="D275" i="23"/>
  <c r="D276" i="23"/>
  <c r="D277" i="23"/>
  <c r="D278" i="23"/>
  <c r="D279" i="23"/>
  <c r="D280" i="23"/>
  <c r="D281" i="23"/>
  <c r="D282" i="23"/>
  <c r="D283" i="23"/>
  <c r="D284" i="23"/>
  <c r="D285" i="23"/>
  <c r="D286" i="23"/>
  <c r="D287" i="23"/>
  <c r="D288" i="23"/>
  <c r="D289" i="23"/>
  <c r="D290" i="23"/>
  <c r="D291" i="23"/>
  <c r="D292" i="23"/>
  <c r="D293" i="23"/>
  <c r="D294" i="23"/>
  <c r="D295" i="23"/>
  <c r="D296" i="23"/>
  <c r="D297" i="23"/>
  <c r="D298" i="23"/>
  <c r="D299" i="23"/>
  <c r="D300" i="23"/>
  <c r="D301" i="23"/>
  <c r="D302" i="23"/>
  <c r="D303" i="23"/>
  <c r="D304" i="23"/>
  <c r="D305" i="23"/>
  <c r="D306" i="23"/>
  <c r="D307" i="23"/>
  <c r="D308" i="23"/>
  <c r="D309" i="23"/>
  <c r="D310" i="23"/>
  <c r="D311" i="23"/>
  <c r="D312" i="23"/>
  <c r="D313" i="23"/>
  <c r="D314" i="23"/>
  <c r="D315" i="23"/>
  <c r="D316" i="23"/>
  <c r="D317" i="23"/>
  <c r="D318" i="23"/>
  <c r="D319" i="23"/>
  <c r="D320" i="23"/>
  <c r="D321" i="23"/>
  <c r="D322" i="23"/>
  <c r="D323" i="23"/>
  <c r="D324" i="23"/>
  <c r="D325" i="23"/>
  <c r="D326" i="23"/>
  <c r="D327" i="23"/>
  <c r="D328" i="23"/>
  <c r="D329" i="23"/>
  <c r="D330" i="23"/>
  <c r="D331" i="23"/>
  <c r="D332" i="23"/>
  <c r="D333" i="23"/>
  <c r="D334" i="23"/>
  <c r="D335" i="23"/>
  <c r="D336" i="23"/>
  <c r="D337" i="23"/>
  <c r="D338" i="23"/>
  <c r="D339" i="23"/>
  <c r="D341" i="23"/>
  <c r="D344" i="23"/>
  <c r="D345" i="23"/>
  <c r="D346" i="23"/>
  <c r="D347" i="23"/>
  <c r="D348" i="23"/>
  <c r="D349" i="23"/>
  <c r="D350" i="23"/>
  <c r="D351" i="23"/>
  <c r="D352" i="23"/>
  <c r="D353" i="23"/>
  <c r="D354" i="23"/>
  <c r="D355" i="23"/>
  <c r="D356" i="23"/>
  <c r="D357" i="23"/>
  <c r="D358" i="23"/>
  <c r="D359" i="23"/>
  <c r="D360" i="23"/>
  <c r="D361" i="23"/>
  <c r="D362" i="23"/>
  <c r="D363" i="23"/>
  <c r="D364" i="23"/>
  <c r="D365" i="23"/>
  <c r="D366" i="23"/>
  <c r="D367" i="23"/>
  <c r="D368" i="23"/>
  <c r="D369" i="23"/>
  <c r="D370" i="23"/>
  <c r="D371" i="23"/>
  <c r="D372" i="23"/>
  <c r="D373" i="23"/>
  <c r="D374" i="23"/>
  <c r="D375" i="23"/>
  <c r="D376" i="23"/>
  <c r="D377" i="23"/>
  <c r="D378" i="23"/>
  <c r="D379" i="23"/>
  <c r="D380" i="23"/>
  <c r="D381" i="23"/>
  <c r="D382" i="23"/>
  <c r="D383" i="23"/>
  <c r="D3" i="23"/>
  <c r="B274" i="23"/>
  <c r="D274" i="23" s="1"/>
  <c r="B263" i="23"/>
  <c r="D263" i="23" s="1"/>
  <c r="B259" i="23"/>
  <c r="D259" i="23" s="1"/>
  <c r="B202" i="23"/>
  <c r="D202" i="23" s="1"/>
  <c r="B91" i="23"/>
  <c r="D91" i="23" s="1"/>
  <c r="B81" i="23"/>
  <c r="D81" i="23" s="1"/>
  <c r="B38" i="23"/>
  <c r="D38" i="23" s="1"/>
  <c r="B28" i="23"/>
  <c r="D28" i="23" s="1"/>
  <c r="B25" i="23"/>
  <c r="D25" i="23" s="1"/>
  <c r="B18" i="23"/>
  <c r="D18" i="23" s="1"/>
  <c r="B15" i="23"/>
  <c r="D15" i="23" s="1"/>
  <c r="D384" i="23" l="1"/>
  <c r="D340" i="23"/>
  <c r="D386" i="23" s="1"/>
  <c r="B340" i="23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8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3" i="22"/>
  <c r="D147" i="22" l="1"/>
  <c r="D192" i="22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6" i="21"/>
  <c r="D27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5" i="21"/>
  <c r="D256" i="21"/>
  <c r="D257" i="21"/>
  <c r="D258" i="21"/>
  <c r="D259" i="21"/>
  <c r="D260" i="21"/>
  <c r="D261" i="21"/>
  <c r="D262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7" i="21"/>
  <c r="D318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1" i="21"/>
  <c r="D344" i="21"/>
  <c r="D345" i="21"/>
  <c r="D346" i="21"/>
  <c r="D347" i="21"/>
  <c r="D349" i="21"/>
  <c r="D350" i="21"/>
  <c r="D351" i="21"/>
  <c r="D352" i="21"/>
  <c r="D353" i="21"/>
  <c r="D354" i="21"/>
  <c r="D355" i="21"/>
  <c r="D356" i="21"/>
  <c r="D357" i="21"/>
  <c r="D358" i="21"/>
  <c r="D359" i="21"/>
  <c r="D360" i="21"/>
  <c r="D361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5" i="21"/>
  <c r="D466" i="21"/>
  <c r="D467" i="21"/>
  <c r="D468" i="21"/>
  <c r="D469" i="21"/>
  <c r="D470" i="21"/>
  <c r="D471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7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3" i="21"/>
  <c r="D514" i="21"/>
  <c r="D515" i="21"/>
  <c r="D516" i="21"/>
  <c r="D517" i="21"/>
  <c r="D518" i="21"/>
  <c r="D519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5" i="21"/>
  <c r="D536" i="21"/>
  <c r="D537" i="21"/>
  <c r="D538" i="21"/>
  <c r="D539" i="21"/>
  <c r="D540" i="21"/>
  <c r="D541" i="21"/>
  <c r="D543" i="21"/>
  <c r="D544" i="21"/>
  <c r="D545" i="21"/>
  <c r="D546" i="21"/>
  <c r="D547" i="21"/>
  <c r="D548" i="21"/>
  <c r="D549" i="21"/>
  <c r="D550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6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6" i="21"/>
  <c r="D617" i="21"/>
  <c r="D618" i="21"/>
  <c r="D619" i="21"/>
  <c r="D620" i="21"/>
  <c r="D621" i="21"/>
  <c r="D622" i="21"/>
  <c r="D623" i="21"/>
  <c r="D624" i="21"/>
  <c r="D625" i="21"/>
  <c r="D626" i="21"/>
  <c r="D627" i="21"/>
  <c r="D628" i="21"/>
  <c r="D629" i="21"/>
  <c r="D630" i="21"/>
  <c r="D631" i="21"/>
  <c r="D632" i="21"/>
  <c r="D633" i="21"/>
  <c r="D634" i="21"/>
  <c r="D635" i="21"/>
  <c r="D636" i="21"/>
  <c r="D637" i="21"/>
  <c r="D638" i="21"/>
  <c r="D639" i="21"/>
  <c r="D640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665" i="21"/>
  <c r="D666" i="21"/>
  <c r="D667" i="21"/>
  <c r="D668" i="21"/>
  <c r="D669" i="21"/>
  <c r="D670" i="21"/>
  <c r="D671" i="21"/>
  <c r="D3" i="21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5" i="19"/>
  <c r="D66" i="19"/>
  <c r="D67" i="19"/>
  <c r="D68" i="19"/>
  <c r="D69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1" i="19"/>
  <c r="D344" i="19"/>
  <c r="D345" i="19"/>
  <c r="D346" i="19"/>
  <c r="D347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3" i="19"/>
  <c r="D544" i="19"/>
  <c r="D545" i="19"/>
  <c r="D546" i="19"/>
  <c r="D547" i="19"/>
  <c r="D548" i="19"/>
  <c r="D549" i="19"/>
  <c r="D550" i="19"/>
  <c r="D551" i="19"/>
  <c r="D552" i="19"/>
  <c r="D553" i="19"/>
  <c r="D554" i="19"/>
  <c r="D555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665" i="19"/>
  <c r="D666" i="19"/>
  <c r="D667" i="19"/>
  <c r="D668" i="19"/>
  <c r="D669" i="19"/>
  <c r="D670" i="19"/>
  <c r="D671" i="19"/>
  <c r="D3" i="19"/>
  <c r="B551" i="21"/>
  <c r="D551" i="21" s="1"/>
  <c r="B542" i="21"/>
  <c r="D542" i="21" s="1"/>
  <c r="B520" i="21"/>
  <c r="D520" i="21" s="1"/>
  <c r="B472" i="21"/>
  <c r="D472" i="21" s="1"/>
  <c r="B414" i="21"/>
  <c r="D414" i="21" s="1"/>
  <c r="B389" i="21"/>
  <c r="D389" i="21" s="1"/>
  <c r="B362" i="21"/>
  <c r="D362" i="21" s="1"/>
  <c r="B348" i="21"/>
  <c r="B263" i="21"/>
  <c r="D263" i="21" s="1"/>
  <c r="B254" i="21"/>
  <c r="D254" i="21" s="1"/>
  <c r="B203" i="21"/>
  <c r="D203" i="21" s="1"/>
  <c r="B111" i="21"/>
  <c r="D111" i="21" s="1"/>
  <c r="B87" i="21"/>
  <c r="D87" i="21" s="1"/>
  <c r="B64" i="21"/>
  <c r="D64" i="21" s="1"/>
  <c r="B28" i="21"/>
  <c r="D28" i="21" s="1"/>
  <c r="B25" i="21"/>
  <c r="D194" i="22" l="1"/>
  <c r="B340" i="21"/>
  <c r="B672" i="21"/>
  <c r="D348" i="21"/>
  <c r="D672" i="21" s="1"/>
  <c r="D25" i="21"/>
  <c r="D340" i="21" s="1"/>
  <c r="B556" i="19"/>
  <c r="D556" i="19" s="1"/>
  <c r="B542" i="19"/>
  <c r="D542" i="19" s="1"/>
  <c r="B520" i="19"/>
  <c r="D520" i="19" s="1"/>
  <c r="B414" i="19"/>
  <c r="D414" i="19" s="1"/>
  <c r="B389" i="19"/>
  <c r="D389" i="19" s="1"/>
  <c r="B348" i="19"/>
  <c r="B263" i="19"/>
  <c r="D263" i="19" s="1"/>
  <c r="B203" i="19"/>
  <c r="D203" i="19" s="1"/>
  <c r="B202" i="19"/>
  <c r="D202" i="19" s="1"/>
  <c r="B70" i="19"/>
  <c r="D70" i="19" s="1"/>
  <c r="B64" i="19"/>
  <c r="D64" i="19" s="1"/>
  <c r="B38" i="19"/>
  <c r="D38" i="19" s="1"/>
  <c r="B25" i="19"/>
  <c r="D25" i="19" s="1"/>
  <c r="D340" i="19" l="1"/>
  <c r="D674" i="21"/>
  <c r="B340" i="19"/>
  <c r="B672" i="19"/>
  <c r="D348" i="19"/>
  <c r="D672" i="19" s="1"/>
  <c r="D674" i="19" s="1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3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3" i="18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9" i="17"/>
  <c r="D30" i="17"/>
  <c r="D31" i="17"/>
  <c r="D32" i="17"/>
  <c r="D33" i="17"/>
  <c r="D34" i="17"/>
  <c r="D35" i="17"/>
  <c r="D36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295" i="17"/>
  <c r="D296" i="17"/>
  <c r="D297" i="17"/>
  <c r="D298" i="17"/>
  <c r="D299" i="17"/>
  <c r="D300" i="17"/>
  <c r="D301" i="17"/>
  <c r="D302" i="17"/>
  <c r="D303" i="17"/>
  <c r="D304" i="17"/>
  <c r="D305" i="17"/>
  <c r="D306" i="17"/>
  <c r="D307" i="17"/>
  <c r="D308" i="17"/>
  <c r="D309" i="17"/>
  <c r="D310" i="17"/>
  <c r="D311" i="17"/>
  <c r="D312" i="17"/>
  <c r="D313" i="17"/>
  <c r="D314" i="17"/>
  <c r="D315" i="17"/>
  <c r="D316" i="17"/>
  <c r="D317" i="17"/>
  <c r="D318" i="17"/>
  <c r="D319" i="17"/>
  <c r="D320" i="17"/>
  <c r="D321" i="17"/>
  <c r="D322" i="17"/>
  <c r="D323" i="17"/>
  <c r="D324" i="17"/>
  <c r="D325" i="17"/>
  <c r="D326" i="17"/>
  <c r="D327" i="17"/>
  <c r="D328" i="17"/>
  <c r="D329" i="17"/>
  <c r="D330" i="17"/>
  <c r="D331" i="17"/>
  <c r="D332" i="17"/>
  <c r="D333" i="17"/>
  <c r="D334" i="17"/>
  <c r="D335" i="17"/>
  <c r="D336" i="17"/>
  <c r="D337" i="17"/>
  <c r="D338" i="17"/>
  <c r="D339" i="17"/>
  <c r="D341" i="17"/>
  <c r="D344" i="17"/>
  <c r="D345" i="17"/>
  <c r="D346" i="17"/>
  <c r="D347" i="17"/>
  <c r="D348" i="17"/>
  <c r="D349" i="17"/>
  <c r="D350" i="17"/>
  <c r="D351" i="17"/>
  <c r="D352" i="17"/>
  <c r="D353" i="17"/>
  <c r="D354" i="17"/>
  <c r="D355" i="17"/>
  <c r="D356" i="17"/>
  <c r="D357" i="17"/>
  <c r="D358" i="17"/>
  <c r="D359" i="17"/>
  <c r="D360" i="17"/>
  <c r="D361" i="17"/>
  <c r="D363" i="17"/>
  <c r="D364" i="17"/>
  <c r="D365" i="17"/>
  <c r="D366" i="17"/>
  <c r="D367" i="17"/>
  <c r="D368" i="17"/>
  <c r="D369" i="17"/>
  <c r="D370" i="17"/>
  <c r="D371" i="17"/>
  <c r="D372" i="17"/>
  <c r="D373" i="17"/>
  <c r="D374" i="17"/>
  <c r="D375" i="17"/>
  <c r="D376" i="17"/>
  <c r="D377" i="17"/>
  <c r="D378" i="17"/>
  <c r="D379" i="17"/>
  <c r="D380" i="17"/>
  <c r="D381" i="17"/>
  <c r="D382" i="17"/>
  <c r="D383" i="17"/>
  <c r="D384" i="17"/>
  <c r="D385" i="17"/>
  <c r="D386" i="17"/>
  <c r="D387" i="17"/>
  <c r="D388" i="17"/>
  <c r="D390" i="17"/>
  <c r="D391" i="17"/>
  <c r="D392" i="17"/>
  <c r="D393" i="17"/>
  <c r="D394" i="17"/>
  <c r="D395" i="17"/>
  <c r="D396" i="17"/>
  <c r="D397" i="17"/>
  <c r="D398" i="17"/>
  <c r="D399" i="17"/>
  <c r="D400" i="17"/>
  <c r="D401" i="17"/>
  <c r="D402" i="17"/>
  <c r="D403" i="17"/>
  <c r="D404" i="17"/>
  <c r="D405" i="17"/>
  <c r="D406" i="17"/>
  <c r="D407" i="17"/>
  <c r="D408" i="17"/>
  <c r="D409" i="17"/>
  <c r="D410" i="17"/>
  <c r="D411" i="17"/>
  <c r="D412" i="17"/>
  <c r="D413" i="17"/>
  <c r="D415" i="17"/>
  <c r="D416" i="17"/>
  <c r="D417" i="17"/>
  <c r="D418" i="17"/>
  <c r="D419" i="17"/>
  <c r="D420" i="17"/>
  <c r="D421" i="17"/>
  <c r="D422" i="17"/>
  <c r="D423" i="17"/>
  <c r="D424" i="17"/>
  <c r="D425" i="17"/>
  <c r="D426" i="17"/>
  <c r="D427" i="17"/>
  <c r="D428" i="17"/>
  <c r="D429" i="17"/>
  <c r="D430" i="17"/>
  <c r="D431" i="17"/>
  <c r="D432" i="17"/>
  <c r="D433" i="17"/>
  <c r="D434" i="17"/>
  <c r="D435" i="17"/>
  <c r="D436" i="17"/>
  <c r="D437" i="17"/>
  <c r="D438" i="17"/>
  <c r="D439" i="17"/>
  <c r="D440" i="17"/>
  <c r="D441" i="17"/>
  <c r="D442" i="17"/>
  <c r="D443" i="17"/>
  <c r="D444" i="17"/>
  <c r="D445" i="17"/>
  <c r="D446" i="17"/>
  <c r="D447" i="17"/>
  <c r="D448" i="17"/>
  <c r="D449" i="17"/>
  <c r="D450" i="17"/>
  <c r="D451" i="17"/>
  <c r="D452" i="17"/>
  <c r="D453" i="17"/>
  <c r="D454" i="17"/>
  <c r="D455" i="17"/>
  <c r="D456" i="17"/>
  <c r="D457" i="17"/>
  <c r="D458" i="17"/>
  <c r="D459" i="17"/>
  <c r="D460" i="17"/>
  <c r="D461" i="17"/>
  <c r="D462" i="17"/>
  <c r="D463" i="17"/>
  <c r="D464" i="17"/>
  <c r="D465" i="17"/>
  <c r="D466" i="17"/>
  <c r="D467" i="17"/>
  <c r="D468" i="17"/>
  <c r="D469" i="17"/>
  <c r="D470" i="17"/>
  <c r="D471" i="17"/>
  <c r="D472" i="17"/>
  <c r="D473" i="17"/>
  <c r="D474" i="17"/>
  <c r="D475" i="17"/>
  <c r="D476" i="17"/>
  <c r="D477" i="17"/>
  <c r="D478" i="17"/>
  <c r="D479" i="17"/>
  <c r="D480" i="17"/>
  <c r="D481" i="17"/>
  <c r="D482" i="17"/>
  <c r="D483" i="17"/>
  <c r="D484" i="17"/>
  <c r="D485" i="17"/>
  <c r="D486" i="17"/>
  <c r="D487" i="17"/>
  <c r="D488" i="17"/>
  <c r="D489" i="17"/>
  <c r="D490" i="17"/>
  <c r="D491" i="17"/>
  <c r="D492" i="17"/>
  <c r="D493" i="17"/>
  <c r="D494" i="17"/>
  <c r="D495" i="17"/>
  <c r="D496" i="17"/>
  <c r="D497" i="17"/>
  <c r="D498" i="17"/>
  <c r="D499" i="17"/>
  <c r="D500" i="17"/>
  <c r="D501" i="17"/>
  <c r="D502" i="17"/>
  <c r="D503" i="17"/>
  <c r="D504" i="17"/>
  <c r="D505" i="17"/>
  <c r="D506" i="17"/>
  <c r="D507" i="17"/>
  <c r="D508" i="17"/>
  <c r="D509" i="17"/>
  <c r="D510" i="17"/>
  <c r="D511" i="17"/>
  <c r="D512" i="17"/>
  <c r="D513" i="17"/>
  <c r="D514" i="17"/>
  <c r="D515" i="17"/>
  <c r="D516" i="17"/>
  <c r="D517" i="17"/>
  <c r="D518" i="17"/>
  <c r="D519" i="17"/>
  <c r="D521" i="17"/>
  <c r="D522" i="17"/>
  <c r="D523" i="17"/>
  <c r="D524" i="17"/>
  <c r="D525" i="17"/>
  <c r="D526" i="17"/>
  <c r="D527" i="17"/>
  <c r="D528" i="17"/>
  <c r="D529" i="17"/>
  <c r="D530" i="17"/>
  <c r="D531" i="17"/>
  <c r="D532" i="17"/>
  <c r="D533" i="17"/>
  <c r="D534" i="17"/>
  <c r="D535" i="17"/>
  <c r="D536" i="17"/>
  <c r="D537" i="17"/>
  <c r="D538" i="17"/>
  <c r="D539" i="17"/>
  <c r="D540" i="17"/>
  <c r="D541" i="17"/>
  <c r="D543" i="17"/>
  <c r="D544" i="17"/>
  <c r="D545" i="17"/>
  <c r="D546" i="17"/>
  <c r="D547" i="17"/>
  <c r="D548" i="17"/>
  <c r="D549" i="17"/>
  <c r="D550" i="17"/>
  <c r="D551" i="17"/>
  <c r="D552" i="17"/>
  <c r="D553" i="17"/>
  <c r="D554" i="17"/>
  <c r="D555" i="17"/>
  <c r="D557" i="17"/>
  <c r="D558" i="17"/>
  <c r="D559" i="17"/>
  <c r="D560" i="17"/>
  <c r="D561" i="17"/>
  <c r="D562" i="17"/>
  <c r="D563" i="17"/>
  <c r="D564" i="17"/>
  <c r="D565" i="17"/>
  <c r="D566" i="17"/>
  <c r="D567" i="17"/>
  <c r="D568" i="17"/>
  <c r="D569" i="17"/>
  <c r="D570" i="17"/>
  <c r="D571" i="17"/>
  <c r="D572" i="17"/>
  <c r="D573" i="17"/>
  <c r="D574" i="17"/>
  <c r="D575" i="17"/>
  <c r="D576" i="17"/>
  <c r="D577" i="17"/>
  <c r="D578" i="17"/>
  <c r="D579" i="17"/>
  <c r="D580" i="17"/>
  <c r="D581" i="17"/>
  <c r="D582" i="17"/>
  <c r="D583" i="17"/>
  <c r="D584" i="17"/>
  <c r="D585" i="17"/>
  <c r="D586" i="17"/>
  <c r="D587" i="17"/>
  <c r="D588" i="17"/>
  <c r="D589" i="17"/>
  <c r="D590" i="17"/>
  <c r="D591" i="17"/>
  <c r="D592" i="17"/>
  <c r="D593" i="17"/>
  <c r="D594" i="17"/>
  <c r="D595" i="17"/>
  <c r="D596" i="17"/>
  <c r="D597" i="17"/>
  <c r="D598" i="17"/>
  <c r="D599" i="17"/>
  <c r="D600" i="17"/>
  <c r="D601" i="17"/>
  <c r="D602" i="17"/>
  <c r="D603" i="17"/>
  <c r="D604" i="17"/>
  <c r="D605" i="17"/>
  <c r="D606" i="17"/>
  <c r="D607" i="17"/>
  <c r="D608" i="17"/>
  <c r="D609" i="17"/>
  <c r="D610" i="17"/>
  <c r="D611" i="17"/>
  <c r="D612" i="17"/>
  <c r="D613" i="17"/>
  <c r="D614" i="17"/>
  <c r="D615" i="17"/>
  <c r="D616" i="17"/>
  <c r="D617" i="17"/>
  <c r="D618" i="17"/>
  <c r="D619" i="17"/>
  <c r="D620" i="17"/>
  <c r="D621" i="17"/>
  <c r="D622" i="17"/>
  <c r="D623" i="17"/>
  <c r="D624" i="17"/>
  <c r="D625" i="17"/>
  <c r="D626" i="17"/>
  <c r="D627" i="17"/>
  <c r="D628" i="17"/>
  <c r="D629" i="17"/>
  <c r="D630" i="17"/>
  <c r="D631" i="17"/>
  <c r="D632" i="17"/>
  <c r="D633" i="17"/>
  <c r="D634" i="17"/>
  <c r="D635" i="17"/>
  <c r="D636" i="17"/>
  <c r="D637" i="17"/>
  <c r="D638" i="17"/>
  <c r="D639" i="17"/>
  <c r="D640" i="17"/>
  <c r="D641" i="17"/>
  <c r="D642" i="17"/>
  <c r="D643" i="17"/>
  <c r="D644" i="17"/>
  <c r="D645" i="17"/>
  <c r="D646" i="17"/>
  <c r="D647" i="17"/>
  <c r="D648" i="17"/>
  <c r="D649" i="17"/>
  <c r="D650" i="17"/>
  <c r="D651" i="17"/>
  <c r="D652" i="17"/>
  <c r="D653" i="17"/>
  <c r="D654" i="17"/>
  <c r="D655" i="17"/>
  <c r="D656" i="17"/>
  <c r="D657" i="17"/>
  <c r="D658" i="17"/>
  <c r="D659" i="17"/>
  <c r="D660" i="17"/>
  <c r="D661" i="17"/>
  <c r="D662" i="17"/>
  <c r="D663" i="17"/>
  <c r="D664" i="17"/>
  <c r="D665" i="17"/>
  <c r="D666" i="17"/>
  <c r="D667" i="17"/>
  <c r="D668" i="17"/>
  <c r="D669" i="17"/>
  <c r="D670" i="17"/>
  <c r="D671" i="17"/>
  <c r="D3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2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3" i="16"/>
  <c r="D254" i="16"/>
  <c r="D255" i="16"/>
  <c r="D256" i="16"/>
  <c r="D257" i="16"/>
  <c r="D258" i="16"/>
  <c r="D259" i="16"/>
  <c r="D260" i="16"/>
  <c r="D261" i="16"/>
  <c r="D262" i="16"/>
  <c r="D263" i="16"/>
  <c r="D265" i="16"/>
  <c r="D266" i="16"/>
  <c r="D267" i="16"/>
  <c r="D268" i="16"/>
  <c r="D269" i="16"/>
  <c r="D270" i="16"/>
  <c r="D271" i="16"/>
  <c r="D272" i="16"/>
  <c r="D273" i="16"/>
  <c r="D275" i="16"/>
  <c r="D276" i="16"/>
  <c r="D277" i="16"/>
  <c r="D278" i="16"/>
  <c r="D279" i="16"/>
  <c r="D280" i="16"/>
  <c r="D281" i="16"/>
  <c r="D282" i="16"/>
  <c r="D283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1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501" i="16"/>
  <c r="D502" i="16"/>
  <c r="D503" i="16"/>
  <c r="D504" i="16"/>
  <c r="D505" i="16"/>
  <c r="D506" i="16"/>
  <c r="D507" i="16"/>
  <c r="D508" i="16"/>
  <c r="D509" i="16"/>
  <c r="D510" i="16"/>
  <c r="D511" i="16"/>
  <c r="D512" i="16"/>
  <c r="D513" i="16"/>
  <c r="D514" i="16"/>
  <c r="D515" i="16"/>
  <c r="D516" i="16"/>
  <c r="D517" i="16"/>
  <c r="D518" i="16"/>
  <c r="D519" i="16"/>
  <c r="D520" i="16"/>
  <c r="D521" i="16"/>
  <c r="D523" i="16"/>
  <c r="D524" i="16"/>
  <c r="D525" i="16"/>
  <c r="D526" i="16"/>
  <c r="D527" i="16"/>
  <c r="D528" i="16"/>
  <c r="D529" i="16"/>
  <c r="D530" i="16"/>
  <c r="D531" i="16"/>
  <c r="D532" i="16"/>
  <c r="D533" i="16"/>
  <c r="D534" i="16"/>
  <c r="D535" i="16"/>
  <c r="D536" i="16"/>
  <c r="D537" i="16"/>
  <c r="D538" i="16"/>
  <c r="D539" i="16"/>
  <c r="D540" i="16"/>
  <c r="D541" i="16"/>
  <c r="D542" i="16"/>
  <c r="D543" i="16"/>
  <c r="D544" i="16"/>
  <c r="D545" i="16"/>
  <c r="D546" i="16"/>
  <c r="D547" i="16"/>
  <c r="D548" i="16"/>
  <c r="D549" i="16"/>
  <c r="D550" i="16"/>
  <c r="D551" i="16"/>
  <c r="D552" i="16"/>
  <c r="D553" i="16"/>
  <c r="D555" i="16"/>
  <c r="D556" i="16"/>
  <c r="D557" i="16"/>
  <c r="D558" i="16"/>
  <c r="D559" i="16"/>
  <c r="D560" i="16"/>
  <c r="D561" i="16"/>
  <c r="D562" i="16"/>
  <c r="D563" i="16"/>
  <c r="D564" i="16"/>
  <c r="D565" i="16"/>
  <c r="D566" i="16"/>
  <c r="D567" i="16"/>
  <c r="D568" i="16"/>
  <c r="D569" i="16"/>
  <c r="D570" i="16"/>
  <c r="D571" i="16"/>
  <c r="D572" i="16"/>
  <c r="D573" i="16"/>
  <c r="D574" i="16"/>
  <c r="D575" i="16"/>
  <c r="D576" i="16"/>
  <c r="D577" i="16"/>
  <c r="D578" i="16"/>
  <c r="D579" i="16"/>
  <c r="D580" i="16"/>
  <c r="D581" i="16"/>
  <c r="D582" i="16"/>
  <c r="D583" i="16"/>
  <c r="D584" i="16"/>
  <c r="D585" i="16"/>
  <c r="D586" i="16"/>
  <c r="D587" i="16"/>
  <c r="D588" i="16"/>
  <c r="D589" i="16"/>
  <c r="D590" i="16"/>
  <c r="D591" i="16"/>
  <c r="D592" i="16"/>
  <c r="D593" i="16"/>
  <c r="D594" i="16"/>
  <c r="D595" i="16"/>
  <c r="D596" i="16"/>
  <c r="D597" i="16"/>
  <c r="D598" i="16"/>
  <c r="D599" i="16"/>
  <c r="D600" i="16"/>
  <c r="D601" i="16"/>
  <c r="D602" i="16"/>
  <c r="D603" i="16"/>
  <c r="D604" i="16"/>
  <c r="D605" i="16"/>
  <c r="D606" i="16"/>
  <c r="D607" i="16"/>
  <c r="D608" i="16"/>
  <c r="D609" i="16"/>
  <c r="D610" i="16"/>
  <c r="D611" i="16"/>
  <c r="D612" i="16"/>
  <c r="D613" i="16"/>
  <c r="D614" i="16"/>
  <c r="D615" i="16"/>
  <c r="D616" i="16"/>
  <c r="D617" i="16"/>
  <c r="D618" i="16"/>
  <c r="D619" i="16"/>
  <c r="D620" i="16"/>
  <c r="D621" i="16"/>
  <c r="D622" i="16"/>
  <c r="D623" i="16"/>
  <c r="D624" i="16"/>
  <c r="D625" i="16"/>
  <c r="D626" i="16"/>
  <c r="D627" i="16"/>
  <c r="D628" i="16"/>
  <c r="D629" i="16"/>
  <c r="D630" i="16"/>
  <c r="D631" i="16"/>
  <c r="D632" i="16"/>
  <c r="D633" i="16"/>
  <c r="D634" i="16"/>
  <c r="D635" i="16"/>
  <c r="D636" i="16"/>
  <c r="D637" i="16"/>
  <c r="D638" i="16"/>
  <c r="D639" i="16"/>
  <c r="D640" i="16"/>
  <c r="D641" i="16"/>
  <c r="D642" i="16"/>
  <c r="D643" i="16"/>
  <c r="D644" i="16"/>
  <c r="D645" i="16"/>
  <c r="D646" i="16"/>
  <c r="D647" i="16"/>
  <c r="D648" i="16"/>
  <c r="D649" i="16"/>
  <c r="D650" i="16"/>
  <c r="D651" i="16"/>
  <c r="D652" i="16"/>
  <c r="D653" i="16"/>
  <c r="D654" i="16"/>
  <c r="D655" i="16"/>
  <c r="D656" i="16"/>
  <c r="D657" i="16"/>
  <c r="D658" i="16"/>
  <c r="D659" i="16"/>
  <c r="D660" i="16"/>
  <c r="D661" i="16"/>
  <c r="D662" i="16"/>
  <c r="D663" i="16"/>
  <c r="D664" i="16"/>
  <c r="D665" i="16"/>
  <c r="D666" i="16"/>
  <c r="D667" i="16"/>
  <c r="D668" i="16"/>
  <c r="D669" i="16"/>
  <c r="D670" i="16"/>
  <c r="D671" i="16"/>
  <c r="D3" i="16"/>
  <c r="B348" i="18"/>
  <c r="D348" i="18" s="1"/>
  <c r="B334" i="18"/>
  <c r="D334" i="18" s="1"/>
  <c r="B312" i="18"/>
  <c r="D312" i="18" s="1"/>
  <c r="B154" i="18"/>
  <c r="D154" i="18" s="1"/>
  <c r="B556" i="17"/>
  <c r="D556" i="17" s="1"/>
  <c r="B542" i="17"/>
  <c r="D542" i="17" s="1"/>
  <c r="B520" i="17"/>
  <c r="D520" i="17" s="1"/>
  <c r="B414" i="17"/>
  <c r="D414" i="17" s="1"/>
  <c r="B389" i="17"/>
  <c r="D389" i="17" s="1"/>
  <c r="B362" i="17"/>
  <c r="B203" i="17"/>
  <c r="D203" i="17" s="1"/>
  <c r="B202" i="17"/>
  <c r="D202" i="17" s="1"/>
  <c r="B37" i="17"/>
  <c r="D37" i="17" s="1"/>
  <c r="B28" i="17"/>
  <c r="D28" i="17" s="1"/>
  <c r="B554" i="16"/>
  <c r="D554" i="16" s="1"/>
  <c r="B522" i="16"/>
  <c r="D522" i="16" s="1"/>
  <c r="B362" i="16"/>
  <c r="B284" i="16"/>
  <c r="D284" i="16" s="1"/>
  <c r="B274" i="16"/>
  <c r="D274" i="16" s="1"/>
  <c r="B264" i="16"/>
  <c r="D264" i="16" s="1"/>
  <c r="B252" i="16"/>
  <c r="D252" i="16" s="1"/>
  <c r="B200" i="16"/>
  <c r="D200" i="16" s="1"/>
  <c r="B87" i="16"/>
  <c r="D87" i="16" s="1"/>
  <c r="B53" i="16"/>
  <c r="D53" i="16" s="1"/>
  <c r="B51" i="16"/>
  <c r="B672" i="16" l="1"/>
  <c r="B672" i="17"/>
  <c r="D132" i="18"/>
  <c r="D340" i="17"/>
  <c r="D362" i="17"/>
  <c r="B340" i="17"/>
  <c r="D464" i="18"/>
  <c r="D466" i="18" s="1"/>
  <c r="B464" i="18"/>
  <c r="D672" i="17"/>
  <c r="D674" i="17" s="1"/>
  <c r="D362" i="16"/>
  <c r="D672" i="16" s="1"/>
  <c r="B340" i="16"/>
  <c r="D51" i="16"/>
  <c r="D340" i="16" s="1"/>
  <c r="D408" i="13"/>
  <c r="D179" i="13"/>
  <c r="E179" i="13" s="1"/>
  <c r="E151" i="13"/>
  <c r="E86" i="13"/>
  <c r="D215" i="15"/>
  <c r="E215" i="15" s="1"/>
  <c r="E212" i="15"/>
  <c r="D179" i="15"/>
  <c r="E179" i="15" s="1"/>
  <c r="D625" i="15"/>
  <c r="E625" i="15" s="1"/>
  <c r="D619" i="15"/>
  <c r="E619" i="15" s="1"/>
  <c r="D605" i="15"/>
  <c r="E605" i="15" s="1"/>
  <c r="D594" i="15"/>
  <c r="E594" i="15" s="1"/>
  <c r="D590" i="15"/>
  <c r="E590" i="15" s="1"/>
  <c r="D585" i="15"/>
  <c r="E585" i="15" s="1"/>
  <c r="D582" i="15"/>
  <c r="E582" i="15" s="1"/>
  <c r="D558" i="15"/>
  <c r="E558" i="15" s="1"/>
  <c r="D547" i="15"/>
  <c r="E547" i="15" s="1"/>
  <c r="D542" i="15"/>
  <c r="E542" i="15" s="1"/>
  <c r="D534" i="15"/>
  <c r="E534" i="15" s="1"/>
  <c r="D533" i="15"/>
  <c r="E533" i="15" s="1"/>
  <c r="D518" i="15"/>
  <c r="E518" i="15" s="1"/>
  <c r="D516" i="15"/>
  <c r="E516" i="15" s="1"/>
  <c r="D515" i="15"/>
  <c r="E515" i="15" s="1"/>
  <c r="D502" i="15"/>
  <c r="E502" i="15" s="1"/>
  <c r="E500" i="15"/>
  <c r="D442" i="15"/>
  <c r="E442" i="15" s="1"/>
  <c r="E435" i="15"/>
  <c r="D411" i="15"/>
  <c r="E411" i="15" s="1"/>
  <c r="D395" i="15"/>
  <c r="E395" i="15" s="1"/>
  <c r="D359" i="15"/>
  <c r="E359" i="15" s="1"/>
  <c r="E356" i="15"/>
  <c r="D349" i="15"/>
  <c r="E349" i="15" s="1"/>
  <c r="E346" i="15"/>
  <c r="D334" i="15"/>
  <c r="E334" i="15" s="1"/>
  <c r="D625" i="13"/>
  <c r="E625" i="13" s="1"/>
  <c r="E622" i="13"/>
  <c r="D605" i="13"/>
  <c r="E605" i="13" s="1"/>
  <c r="D601" i="13"/>
  <c r="E601" i="13" s="1"/>
  <c r="D594" i="13"/>
  <c r="E594" i="13" s="1"/>
  <c r="D590" i="13"/>
  <c r="E590" i="13" s="1"/>
  <c r="D585" i="13"/>
  <c r="E585" i="13" s="1"/>
  <c r="D582" i="13"/>
  <c r="E582" i="13" s="1"/>
  <c r="D558" i="13"/>
  <c r="E558" i="13" s="1"/>
  <c r="D547" i="13"/>
  <c r="E547" i="13" s="1"/>
  <c r="D542" i="13"/>
  <c r="E542" i="13" s="1"/>
  <c r="D534" i="13"/>
  <c r="E534" i="13" s="1"/>
  <c r="D533" i="13"/>
  <c r="E533" i="13" s="1"/>
  <c r="D518" i="13"/>
  <c r="E518" i="13" s="1"/>
  <c r="D515" i="13"/>
  <c r="E515" i="13" s="1"/>
  <c r="D502" i="13"/>
  <c r="E502" i="13" s="1"/>
  <c r="E500" i="13"/>
  <c r="D492" i="13"/>
  <c r="E492" i="13" s="1"/>
  <c r="D442" i="13"/>
  <c r="E442" i="13" s="1"/>
  <c r="E435" i="13"/>
  <c r="E401" i="13"/>
  <c r="D388" i="13"/>
  <c r="E388" i="13" s="1"/>
  <c r="D386" i="13"/>
  <c r="E386" i="13" s="1"/>
  <c r="E385" i="13"/>
  <c r="D359" i="13"/>
  <c r="E359" i="13" s="1"/>
  <c r="E351" i="13"/>
  <c r="D349" i="13"/>
  <c r="E349" i="13" s="1"/>
  <c r="D334" i="13"/>
  <c r="E334" i="13" s="1"/>
  <c r="E21" i="13"/>
  <c r="E647" i="15"/>
  <c r="E622" i="15"/>
  <c r="E559" i="15"/>
  <c r="E548" i="15"/>
  <c r="E540" i="15"/>
  <c r="E506" i="15"/>
  <c r="E469" i="15"/>
  <c r="E412" i="15"/>
  <c r="E374" i="15"/>
  <c r="E351" i="15"/>
  <c r="E201" i="15"/>
  <c r="E163" i="15"/>
  <c r="E156" i="15"/>
  <c r="E131" i="15"/>
  <c r="E120" i="15"/>
  <c r="E86" i="15"/>
  <c r="E73" i="15"/>
  <c r="E48" i="15"/>
  <c r="E24" i="15"/>
  <c r="E21" i="15"/>
  <c r="E14" i="15"/>
  <c r="E7" i="15"/>
  <c r="E666" i="13"/>
  <c r="E552" i="13"/>
  <c r="E540" i="13"/>
  <c r="E508" i="13"/>
  <c r="E418" i="13"/>
  <c r="E408" i="13"/>
  <c r="E356" i="13"/>
  <c r="E346" i="13"/>
  <c r="E201" i="13"/>
  <c r="E163" i="13"/>
  <c r="E156" i="13"/>
  <c r="E131" i="13"/>
  <c r="E120" i="13"/>
  <c r="E73" i="13"/>
  <c r="E48" i="13"/>
  <c r="E14" i="13"/>
  <c r="E7" i="13"/>
  <c r="D674" i="16" l="1"/>
  <c r="E671" i="13"/>
  <c r="E331" i="13"/>
  <c r="E331" i="15"/>
  <c r="E671" i="15"/>
  <c r="E672" i="15" s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8" i="12"/>
  <c r="D229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8" i="12"/>
  <c r="D249" i="12"/>
  <c r="D250" i="12"/>
  <c r="D252" i="12"/>
  <c r="D253" i="12"/>
  <c r="D254" i="12"/>
  <c r="D255" i="12"/>
  <c r="D256" i="12"/>
  <c r="D257" i="12"/>
  <c r="D258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6" i="12"/>
  <c r="D277" i="12"/>
  <c r="D278" i="12"/>
  <c r="D279" i="12"/>
  <c r="D280" i="12"/>
  <c r="D281" i="12"/>
  <c r="D282" i="12"/>
  <c r="D283" i="12"/>
  <c r="D284" i="12"/>
  <c r="D285" i="12"/>
  <c r="D286" i="12"/>
  <c r="D287" i="12"/>
  <c r="D288" i="12"/>
  <c r="D289" i="12"/>
  <c r="D290" i="12"/>
  <c r="D291" i="12"/>
  <c r="D292" i="12"/>
  <c r="D293" i="12"/>
  <c r="D295" i="12"/>
  <c r="D296" i="12"/>
  <c r="D297" i="12"/>
  <c r="D298" i="12"/>
  <c r="D299" i="12"/>
  <c r="D300" i="12"/>
  <c r="D301" i="12"/>
  <c r="D302" i="12"/>
  <c r="D303" i="12"/>
  <c r="D304" i="12"/>
  <c r="D305" i="12"/>
  <c r="D306" i="12"/>
  <c r="D307" i="12"/>
  <c r="D308" i="12"/>
  <c r="D309" i="12"/>
  <c r="D310" i="12"/>
  <c r="D311" i="12"/>
  <c r="D312" i="12"/>
  <c r="D313" i="12"/>
  <c r="D314" i="12"/>
  <c r="D315" i="12"/>
  <c r="D316" i="12"/>
  <c r="D317" i="12"/>
  <c r="D318" i="12"/>
  <c r="D319" i="12"/>
  <c r="D320" i="12"/>
  <c r="D321" i="12"/>
  <c r="D322" i="12"/>
  <c r="D323" i="12"/>
  <c r="D324" i="12"/>
  <c r="D325" i="12"/>
  <c r="D326" i="12"/>
  <c r="D327" i="12"/>
  <c r="D328" i="12"/>
  <c r="D329" i="12"/>
  <c r="D330" i="12"/>
  <c r="D331" i="12"/>
  <c r="D332" i="12"/>
  <c r="D333" i="12"/>
  <c r="D334" i="12"/>
  <c r="D335" i="12"/>
  <c r="D336" i="12"/>
  <c r="D337" i="12"/>
  <c r="D338" i="12"/>
  <c r="D339" i="12"/>
  <c r="D341" i="12"/>
  <c r="D344" i="12"/>
  <c r="D345" i="12"/>
  <c r="D346" i="12"/>
  <c r="D347" i="12"/>
  <c r="D348" i="12"/>
  <c r="D349" i="12"/>
  <c r="D350" i="12"/>
  <c r="D351" i="12"/>
  <c r="D352" i="12"/>
  <c r="D353" i="12"/>
  <c r="D354" i="12"/>
  <c r="D355" i="12"/>
  <c r="D356" i="12"/>
  <c r="D357" i="12"/>
  <c r="D358" i="12"/>
  <c r="D359" i="12"/>
  <c r="D360" i="12"/>
  <c r="D361" i="12"/>
  <c r="D362" i="12"/>
  <c r="D363" i="12"/>
  <c r="D364" i="12"/>
  <c r="D365" i="12"/>
  <c r="D366" i="12"/>
  <c r="D367" i="12"/>
  <c r="D368" i="12"/>
  <c r="D369" i="12"/>
  <c r="D370" i="12"/>
  <c r="D371" i="12"/>
  <c r="D372" i="12"/>
  <c r="D373" i="12"/>
  <c r="D374" i="12"/>
  <c r="D375" i="12"/>
  <c r="D376" i="12"/>
  <c r="D377" i="12"/>
  <c r="D378" i="12"/>
  <c r="D379" i="12"/>
  <c r="D380" i="12"/>
  <c r="D381" i="12"/>
  <c r="D382" i="12"/>
  <c r="D383" i="12"/>
  <c r="D384" i="12"/>
  <c r="D385" i="12"/>
  <c r="D386" i="12"/>
  <c r="D387" i="12"/>
  <c r="D388" i="12"/>
  <c r="D390" i="12"/>
  <c r="D391" i="12"/>
  <c r="D392" i="12"/>
  <c r="D393" i="12"/>
  <c r="D394" i="12"/>
  <c r="D395" i="12"/>
  <c r="D396" i="12"/>
  <c r="D397" i="12"/>
  <c r="D398" i="12"/>
  <c r="D399" i="12"/>
  <c r="D400" i="12"/>
  <c r="D401" i="12"/>
  <c r="D402" i="12"/>
  <c r="D403" i="12"/>
  <c r="D404" i="12"/>
  <c r="D405" i="12"/>
  <c r="D406" i="12"/>
  <c r="D407" i="12"/>
  <c r="D408" i="12"/>
  <c r="D409" i="12"/>
  <c r="D410" i="12"/>
  <c r="D411" i="12"/>
  <c r="D412" i="12"/>
  <c r="D413" i="12"/>
  <c r="D414" i="12"/>
  <c r="D415" i="12"/>
  <c r="D416" i="12"/>
  <c r="D417" i="12"/>
  <c r="D418" i="12"/>
  <c r="D419" i="12"/>
  <c r="D420" i="12"/>
  <c r="D421" i="12"/>
  <c r="D422" i="12"/>
  <c r="D423" i="12"/>
  <c r="D424" i="12"/>
  <c r="D425" i="12"/>
  <c r="D426" i="12"/>
  <c r="D427" i="12"/>
  <c r="D428" i="12"/>
  <c r="D429" i="12"/>
  <c r="D430" i="12"/>
  <c r="D431" i="12"/>
  <c r="D432" i="12"/>
  <c r="D433" i="12"/>
  <c r="D434" i="12"/>
  <c r="D435" i="12"/>
  <c r="D436" i="12"/>
  <c r="D437" i="12"/>
  <c r="D438" i="12"/>
  <c r="D439" i="12"/>
  <c r="D440" i="12"/>
  <c r="D441" i="12"/>
  <c r="D442" i="12"/>
  <c r="D443" i="12"/>
  <c r="D444" i="12"/>
  <c r="D445" i="12"/>
  <c r="D446" i="12"/>
  <c r="D447" i="12"/>
  <c r="D448" i="12"/>
  <c r="D449" i="12"/>
  <c r="D450" i="12"/>
  <c r="D451" i="12"/>
  <c r="D452" i="12"/>
  <c r="D453" i="12"/>
  <c r="D454" i="12"/>
  <c r="D455" i="12"/>
  <c r="D456" i="12"/>
  <c r="D457" i="12"/>
  <c r="D458" i="12"/>
  <c r="D459" i="12"/>
  <c r="D460" i="12"/>
  <c r="D461" i="12"/>
  <c r="D462" i="12"/>
  <c r="D463" i="12"/>
  <c r="D464" i="12"/>
  <c r="D465" i="12"/>
  <c r="D466" i="12"/>
  <c r="D467" i="12"/>
  <c r="D468" i="12"/>
  <c r="D469" i="12"/>
  <c r="D470" i="12"/>
  <c r="D471" i="12"/>
  <c r="D473" i="12"/>
  <c r="D474" i="12"/>
  <c r="D475" i="12"/>
  <c r="D476" i="12"/>
  <c r="D477" i="12"/>
  <c r="D478" i="12"/>
  <c r="D479" i="12"/>
  <c r="D480" i="12"/>
  <c r="D481" i="12"/>
  <c r="D482" i="12"/>
  <c r="D483" i="12"/>
  <c r="D484" i="12"/>
  <c r="D485" i="12"/>
  <c r="D486" i="12"/>
  <c r="D487" i="12"/>
  <c r="D488" i="12"/>
  <c r="D489" i="12"/>
  <c r="D490" i="12"/>
  <c r="D491" i="12"/>
  <c r="D492" i="12"/>
  <c r="D493" i="12"/>
  <c r="D494" i="12"/>
  <c r="D495" i="12"/>
  <c r="D496" i="12"/>
  <c r="D497" i="12"/>
  <c r="D498" i="12"/>
  <c r="D499" i="12"/>
  <c r="D500" i="12"/>
  <c r="D501" i="12"/>
  <c r="D502" i="12"/>
  <c r="D503" i="12"/>
  <c r="D504" i="12"/>
  <c r="D505" i="12"/>
  <c r="D506" i="12"/>
  <c r="D507" i="12"/>
  <c r="D508" i="12"/>
  <c r="D509" i="12"/>
  <c r="D510" i="12"/>
  <c r="D511" i="12"/>
  <c r="D512" i="12"/>
  <c r="D513" i="12"/>
  <c r="D514" i="12"/>
  <c r="D515" i="12"/>
  <c r="D516" i="12"/>
  <c r="D517" i="12"/>
  <c r="D518" i="12"/>
  <c r="D519" i="12"/>
  <c r="D521" i="12"/>
  <c r="D522" i="12"/>
  <c r="D523" i="12"/>
  <c r="D524" i="12"/>
  <c r="D525" i="12"/>
  <c r="D526" i="12"/>
  <c r="D527" i="12"/>
  <c r="D528" i="12"/>
  <c r="D529" i="12"/>
  <c r="D530" i="12"/>
  <c r="D531" i="12"/>
  <c r="D532" i="12"/>
  <c r="D533" i="12"/>
  <c r="D534" i="12"/>
  <c r="D535" i="12"/>
  <c r="D536" i="12"/>
  <c r="D537" i="12"/>
  <c r="D538" i="12"/>
  <c r="D539" i="12"/>
  <c r="D540" i="12"/>
  <c r="D541" i="12"/>
  <c r="D543" i="12"/>
  <c r="D544" i="12"/>
  <c r="D545" i="12"/>
  <c r="D546" i="12"/>
  <c r="D547" i="12"/>
  <c r="D548" i="12"/>
  <c r="D549" i="12"/>
  <c r="D550" i="12"/>
  <c r="D551" i="12"/>
  <c r="D552" i="12"/>
  <c r="D553" i="12"/>
  <c r="D554" i="12"/>
  <c r="D555" i="12"/>
  <c r="D557" i="12"/>
  <c r="D558" i="12"/>
  <c r="D559" i="12"/>
  <c r="D560" i="12"/>
  <c r="D561" i="12"/>
  <c r="D562" i="12"/>
  <c r="D563" i="12"/>
  <c r="D564" i="12"/>
  <c r="D565" i="12"/>
  <c r="D566" i="12"/>
  <c r="D567" i="12"/>
  <c r="D568" i="12"/>
  <c r="D569" i="12"/>
  <c r="D570" i="12"/>
  <c r="D571" i="12"/>
  <c r="D572" i="12"/>
  <c r="D573" i="12"/>
  <c r="D574" i="12"/>
  <c r="D575" i="12"/>
  <c r="D576" i="12"/>
  <c r="D577" i="12"/>
  <c r="D578" i="12"/>
  <c r="D579" i="12"/>
  <c r="D580" i="12"/>
  <c r="D581" i="12"/>
  <c r="D582" i="12"/>
  <c r="D583" i="12"/>
  <c r="D584" i="12"/>
  <c r="D585" i="12"/>
  <c r="D586" i="12"/>
  <c r="D587" i="12"/>
  <c r="D588" i="12"/>
  <c r="D589" i="12"/>
  <c r="D590" i="12"/>
  <c r="D591" i="12"/>
  <c r="D592" i="12"/>
  <c r="D593" i="12"/>
  <c r="D594" i="12"/>
  <c r="D595" i="12"/>
  <c r="D596" i="12"/>
  <c r="D597" i="12"/>
  <c r="D598" i="12"/>
  <c r="D599" i="12"/>
  <c r="D600" i="12"/>
  <c r="D601" i="12"/>
  <c r="D602" i="12"/>
  <c r="D603" i="12"/>
  <c r="D604" i="12"/>
  <c r="D605" i="12"/>
  <c r="D606" i="12"/>
  <c r="D607" i="12"/>
  <c r="D608" i="12"/>
  <c r="D609" i="12"/>
  <c r="D610" i="12"/>
  <c r="D611" i="12"/>
  <c r="D612" i="12"/>
  <c r="D613" i="12"/>
  <c r="D614" i="12"/>
  <c r="D615" i="12"/>
  <c r="D616" i="12"/>
  <c r="D617" i="12"/>
  <c r="D618" i="12"/>
  <c r="D619" i="12"/>
  <c r="D620" i="12"/>
  <c r="D621" i="12"/>
  <c r="D622" i="12"/>
  <c r="D623" i="12"/>
  <c r="D624" i="12"/>
  <c r="D625" i="12"/>
  <c r="D626" i="12"/>
  <c r="D627" i="12"/>
  <c r="D628" i="12"/>
  <c r="D629" i="12"/>
  <c r="D630" i="12"/>
  <c r="D631" i="12"/>
  <c r="D632" i="12"/>
  <c r="D633" i="12"/>
  <c r="D634" i="12"/>
  <c r="D635" i="12"/>
  <c r="D636" i="12"/>
  <c r="D637" i="12"/>
  <c r="D638" i="12"/>
  <c r="D639" i="12"/>
  <c r="D640" i="12"/>
  <c r="D641" i="12"/>
  <c r="D642" i="12"/>
  <c r="D643" i="12"/>
  <c r="D644" i="12"/>
  <c r="D645" i="12"/>
  <c r="D646" i="12"/>
  <c r="D647" i="12"/>
  <c r="D648" i="12"/>
  <c r="D649" i="12"/>
  <c r="D650" i="12"/>
  <c r="D651" i="12"/>
  <c r="D652" i="12"/>
  <c r="D653" i="12"/>
  <c r="D654" i="12"/>
  <c r="D655" i="12"/>
  <c r="D656" i="12"/>
  <c r="D657" i="12"/>
  <c r="D658" i="12"/>
  <c r="D659" i="12"/>
  <c r="D660" i="12"/>
  <c r="D661" i="12"/>
  <c r="D662" i="12"/>
  <c r="D663" i="12"/>
  <c r="D664" i="12"/>
  <c r="D665" i="12"/>
  <c r="D666" i="12"/>
  <c r="D667" i="12"/>
  <c r="D668" i="12"/>
  <c r="D669" i="12"/>
  <c r="D670" i="12"/>
  <c r="D671" i="12"/>
  <c r="D3" i="12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9" i="11"/>
  <c r="D20" i="11"/>
  <c r="D21" i="11"/>
  <c r="D22" i="11"/>
  <c r="D23" i="11"/>
  <c r="D24" i="11"/>
  <c r="D25" i="11"/>
  <c r="D26" i="11"/>
  <c r="D27" i="11"/>
  <c r="D29" i="11"/>
  <c r="D30" i="11"/>
  <c r="D31" i="11"/>
  <c r="D32" i="11"/>
  <c r="D33" i="11"/>
  <c r="D34" i="11"/>
  <c r="D35" i="11"/>
  <c r="D36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2" i="11"/>
  <c r="D253" i="11"/>
  <c r="D255" i="11"/>
  <c r="D256" i="11"/>
  <c r="D257" i="11"/>
  <c r="D258" i="11"/>
  <c r="D260" i="11"/>
  <c r="D261" i="11"/>
  <c r="D262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1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3" i="11"/>
  <c r="B556" i="12"/>
  <c r="D556" i="12" s="1"/>
  <c r="B542" i="12"/>
  <c r="D542" i="12" s="1"/>
  <c r="B520" i="12"/>
  <c r="D520" i="12" s="1"/>
  <c r="B472" i="12"/>
  <c r="D472" i="12" s="1"/>
  <c r="B389" i="12"/>
  <c r="D389" i="12" s="1"/>
  <c r="B294" i="12"/>
  <c r="D294" i="12" s="1"/>
  <c r="B275" i="12"/>
  <c r="D275" i="12" s="1"/>
  <c r="B259" i="12"/>
  <c r="D259" i="12" s="1"/>
  <c r="B251" i="12"/>
  <c r="D251" i="12" s="1"/>
  <c r="B230" i="12"/>
  <c r="D230" i="12" s="1"/>
  <c r="B227" i="12"/>
  <c r="D227" i="12" s="1"/>
  <c r="B203" i="12"/>
  <c r="D203" i="12" s="1"/>
  <c r="B57" i="12"/>
  <c r="D57" i="12" s="1"/>
  <c r="B18" i="12"/>
  <c r="D18" i="12" s="1"/>
  <c r="B571" i="11"/>
  <c r="D571" i="11" s="1"/>
  <c r="B570" i="11"/>
  <c r="D570" i="11" s="1"/>
  <c r="B556" i="11"/>
  <c r="D556" i="11" s="1"/>
  <c r="B520" i="11"/>
  <c r="D520" i="11" s="1"/>
  <c r="B427" i="11"/>
  <c r="D427" i="11" s="1"/>
  <c r="B389" i="11"/>
  <c r="D389" i="11" s="1"/>
  <c r="B362" i="11"/>
  <c r="D362" i="11" s="1"/>
  <c r="B263" i="11"/>
  <c r="D263" i="11" s="1"/>
  <c r="B259" i="11"/>
  <c r="D259" i="11" s="1"/>
  <c r="B254" i="11"/>
  <c r="D254" i="11" s="1"/>
  <c r="B251" i="11"/>
  <c r="D251" i="11" s="1"/>
  <c r="B230" i="11"/>
  <c r="D230" i="11" s="1"/>
  <c r="B203" i="11"/>
  <c r="D203" i="11" s="1"/>
  <c r="B202" i="11"/>
  <c r="D202" i="11" s="1"/>
  <c r="B111" i="11"/>
  <c r="D111" i="11" s="1"/>
  <c r="B87" i="11"/>
  <c r="D87" i="11" s="1"/>
  <c r="B37" i="11"/>
  <c r="D37" i="11" s="1"/>
  <c r="B28" i="11"/>
  <c r="D28" i="11" s="1"/>
  <c r="B18" i="11"/>
  <c r="D18" i="11" s="1"/>
  <c r="E672" i="13" l="1"/>
  <c r="D340" i="11"/>
  <c r="D340" i="12"/>
  <c r="B340" i="11"/>
  <c r="D672" i="12"/>
  <c r="B340" i="12"/>
  <c r="B672" i="12"/>
  <c r="D672" i="11"/>
  <c r="D674" i="11" s="1"/>
  <c r="B672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6" i="10"/>
  <c r="D27" i="10"/>
  <c r="D29" i="10"/>
  <c r="D30" i="10"/>
  <c r="D31" i="10"/>
  <c r="D32" i="10"/>
  <c r="D33" i="10"/>
  <c r="D34" i="10"/>
  <c r="D35" i="10"/>
  <c r="D36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2" i="10"/>
  <c r="D253" i="10"/>
  <c r="D254" i="10"/>
  <c r="D255" i="10"/>
  <c r="D256" i="10"/>
  <c r="D257" i="10"/>
  <c r="D258" i="10"/>
  <c r="D259" i="10"/>
  <c r="D260" i="10"/>
  <c r="D261" i="10"/>
  <c r="D262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1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1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3" i="10"/>
  <c r="D544" i="10"/>
  <c r="D545" i="10"/>
  <c r="D546" i="10"/>
  <c r="D547" i="10"/>
  <c r="D548" i="10"/>
  <c r="D549" i="10"/>
  <c r="D550" i="10"/>
  <c r="D552" i="10"/>
  <c r="D553" i="10"/>
  <c r="D554" i="10"/>
  <c r="D555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3" i="10"/>
  <c r="B571" i="10"/>
  <c r="D571" i="10" s="1"/>
  <c r="B556" i="10"/>
  <c r="D556" i="10" s="1"/>
  <c r="B551" i="10"/>
  <c r="D551" i="10" s="1"/>
  <c r="B542" i="10"/>
  <c r="D542" i="10" s="1"/>
  <c r="B520" i="10"/>
  <c r="D520" i="10" s="1"/>
  <c r="B472" i="10"/>
  <c r="D472" i="10" s="1"/>
  <c r="B470" i="10"/>
  <c r="D470" i="10" s="1"/>
  <c r="B414" i="10"/>
  <c r="D414" i="10" s="1"/>
  <c r="B389" i="10"/>
  <c r="D389" i="10" s="1"/>
  <c r="B362" i="10"/>
  <c r="D362" i="10" s="1"/>
  <c r="B263" i="10"/>
  <c r="D263" i="10" s="1"/>
  <c r="B251" i="10"/>
  <c r="D251" i="10" s="1"/>
  <c r="B230" i="10"/>
  <c r="D230" i="10" s="1"/>
  <c r="B203" i="10"/>
  <c r="D203" i="10" s="1"/>
  <c r="B202" i="10"/>
  <c r="D202" i="10" s="1"/>
  <c r="B185" i="10"/>
  <c r="D185" i="10" s="1"/>
  <c r="B154" i="10"/>
  <c r="D154" i="10" s="1"/>
  <c r="B111" i="10"/>
  <c r="D111" i="10" s="1"/>
  <c r="B37" i="10"/>
  <c r="D37" i="10" s="1"/>
  <c r="B28" i="10"/>
  <c r="D28" i="10" s="1"/>
  <c r="B25" i="10"/>
  <c r="D341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B571" i="9"/>
  <c r="D571" i="9" s="1"/>
  <c r="B556" i="9"/>
  <c r="D556" i="9" s="1"/>
  <c r="B542" i="9"/>
  <c r="D542" i="9" s="1"/>
  <c r="B520" i="9"/>
  <c r="D520" i="9" s="1"/>
  <c r="B389" i="9"/>
  <c r="D389" i="9" s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9" i="9"/>
  <c r="D30" i="9"/>
  <c r="D31" i="9"/>
  <c r="D32" i="9"/>
  <c r="D33" i="9"/>
  <c r="D34" i="9"/>
  <c r="D35" i="9"/>
  <c r="D36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" i="9"/>
  <c r="B203" i="9"/>
  <c r="B54" i="9"/>
  <c r="D54" i="9" s="1"/>
  <c r="B37" i="9"/>
  <c r="D37" i="9" s="1"/>
  <c r="B28" i="9"/>
  <c r="D28" i="9" s="1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345" i="8"/>
  <c r="B571" i="8"/>
  <c r="D571" i="8" s="1"/>
  <c r="B542" i="8"/>
  <c r="D542" i="8" s="1"/>
  <c r="B520" i="8"/>
  <c r="D520" i="8" s="1"/>
  <c r="B389" i="8"/>
  <c r="D389" i="8" s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20" i="8"/>
  <c r="D21" i="8"/>
  <c r="D22" i="8"/>
  <c r="D23" i="8"/>
  <c r="D24" i="8"/>
  <c r="D25" i="8"/>
  <c r="D26" i="8"/>
  <c r="D27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5" i="8"/>
  <c r="D256" i="8"/>
  <c r="D257" i="8"/>
  <c r="D258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1" i="8"/>
  <c r="D3" i="8"/>
  <c r="B259" i="8"/>
  <c r="D259" i="8" s="1"/>
  <c r="B254" i="8"/>
  <c r="D254" i="8" s="1"/>
  <c r="B230" i="8"/>
  <c r="D230" i="8" s="1"/>
  <c r="B203" i="8"/>
  <c r="D203" i="8" s="1"/>
  <c r="B81" i="8"/>
  <c r="D81" i="8" s="1"/>
  <c r="B80" i="8"/>
  <c r="D80" i="8" s="1"/>
  <c r="B28" i="8"/>
  <c r="D28" i="8" s="1"/>
  <c r="B19" i="8"/>
  <c r="D674" i="12" l="1"/>
  <c r="B340" i="9"/>
  <c r="B672" i="8"/>
  <c r="B340" i="10"/>
  <c r="B340" i="8"/>
  <c r="B672" i="10"/>
  <c r="B672" i="9"/>
  <c r="D203" i="9"/>
  <c r="D340" i="9" s="1"/>
  <c r="D25" i="10"/>
  <c r="D340" i="10" s="1"/>
  <c r="D19" i="8"/>
  <c r="D672" i="10"/>
  <c r="D672" i="9"/>
  <c r="D672" i="8"/>
  <c r="D340" i="8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1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3" i="7"/>
  <c r="B672" i="7"/>
  <c r="B251" i="7"/>
  <c r="D251" i="7" s="1"/>
  <c r="B202" i="7"/>
  <c r="D202" i="7" s="1"/>
  <c r="B185" i="7"/>
  <c r="D185" i="7" s="1"/>
  <c r="B169" i="7"/>
  <c r="D169" i="7" s="1"/>
  <c r="B28" i="7"/>
  <c r="D28" i="7" s="1"/>
  <c r="D675" i="10" l="1"/>
  <c r="D674" i="8"/>
  <c r="D674" i="9"/>
  <c r="D340" i="7"/>
  <c r="B340" i="7"/>
  <c r="D672" i="7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2" i="6"/>
  <c r="D253" i="6"/>
  <c r="D255" i="6"/>
  <c r="D256" i="6"/>
  <c r="D257" i="6"/>
  <c r="D258" i="6"/>
  <c r="D260" i="6"/>
  <c r="D261" i="6"/>
  <c r="D262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1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1" i="6"/>
  <c r="D382" i="6"/>
  <c r="D383" i="6"/>
  <c r="D384" i="6"/>
  <c r="D385" i="6"/>
  <c r="D386" i="6"/>
  <c r="D387" i="6"/>
  <c r="D388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6" i="6"/>
  <c r="D457" i="6"/>
  <c r="D458" i="6"/>
  <c r="D459" i="6"/>
  <c r="D460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3" i="6"/>
  <c r="B572" i="6"/>
  <c r="D572" i="6" s="1"/>
  <c r="B530" i="6"/>
  <c r="D530" i="6" s="1"/>
  <c r="B524" i="6"/>
  <c r="B508" i="6"/>
  <c r="B486" i="6"/>
  <c r="D486" i="6" s="1"/>
  <c r="B461" i="6"/>
  <c r="D461" i="6" s="1"/>
  <c r="B455" i="6"/>
  <c r="D455" i="6" s="1"/>
  <c r="B409" i="6"/>
  <c r="D409" i="6" s="1"/>
  <c r="B389" i="6"/>
  <c r="D389" i="6" s="1"/>
  <c r="B380" i="6"/>
  <c r="D380" i="6" s="1"/>
  <c r="B263" i="6"/>
  <c r="D263" i="6" s="1"/>
  <c r="B259" i="6"/>
  <c r="D259" i="6" s="1"/>
  <c r="B254" i="6"/>
  <c r="D254" i="6" s="1"/>
  <c r="B251" i="6"/>
  <c r="D251" i="6" s="1"/>
  <c r="B203" i="6"/>
  <c r="D203" i="6" s="1"/>
  <c r="B202" i="6"/>
  <c r="D202" i="6" s="1"/>
  <c r="B185" i="6"/>
  <c r="D185" i="6" s="1"/>
  <c r="B171" i="6"/>
  <c r="D171" i="6" s="1"/>
  <c r="B111" i="6"/>
  <c r="D111" i="6" s="1"/>
  <c r="B80" i="6"/>
  <c r="D80" i="6" s="1"/>
  <c r="B79" i="6"/>
  <c r="D79" i="6" s="1"/>
  <c r="B37" i="6"/>
  <c r="D37" i="6" s="1"/>
  <c r="B28" i="6"/>
  <c r="B18" i="6"/>
  <c r="D18" i="6" s="1"/>
  <c r="D674" i="7" l="1"/>
  <c r="D340" i="6"/>
  <c r="D672" i="6"/>
  <c r="D674" i="6" s="1"/>
  <c r="B340" i="6"/>
  <c r="B672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9" i="5"/>
  <c r="D20" i="5"/>
  <c r="D21" i="5"/>
  <c r="D22" i="5"/>
  <c r="D23" i="5"/>
  <c r="D24" i="5"/>
  <c r="D25" i="5"/>
  <c r="D26" i="5"/>
  <c r="D27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4" i="5"/>
  <c r="D205" i="5"/>
  <c r="D206" i="5"/>
  <c r="D207" i="5"/>
  <c r="D208" i="5"/>
  <c r="D209" i="5"/>
  <c r="D210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2" i="5"/>
  <c r="D253" i="5"/>
  <c r="D254" i="5"/>
  <c r="D255" i="5"/>
  <c r="D256" i="5"/>
  <c r="D257" i="5"/>
  <c r="D258" i="5"/>
  <c r="D260" i="5"/>
  <c r="D261" i="5"/>
  <c r="D262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1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3" i="5"/>
  <c r="B520" i="5"/>
  <c r="D520" i="5" s="1"/>
  <c r="B504" i="5"/>
  <c r="B472" i="5"/>
  <c r="B263" i="5"/>
  <c r="D263" i="5" s="1"/>
  <c r="B259" i="5"/>
  <c r="D259" i="5" s="1"/>
  <c r="B251" i="5"/>
  <c r="D251" i="5" s="1"/>
  <c r="B211" i="5"/>
  <c r="D211" i="5" s="1"/>
  <c r="B203" i="5"/>
  <c r="D203" i="5" s="1"/>
  <c r="B202" i="5"/>
  <c r="D202" i="5" s="1"/>
  <c r="B185" i="5"/>
  <c r="D185" i="5" s="1"/>
  <c r="B28" i="5"/>
  <c r="D28" i="5" s="1"/>
  <c r="B18" i="5"/>
  <c r="D18" i="5" s="1"/>
  <c r="B672" i="5" l="1"/>
  <c r="D340" i="5"/>
  <c r="B340" i="5"/>
  <c r="D472" i="5"/>
  <c r="D672" i="5" s="1"/>
  <c r="D675" i="5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6" i="4"/>
  <c r="D27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9" i="4"/>
  <c r="D220" i="4"/>
  <c r="D221" i="4"/>
  <c r="D222" i="4"/>
  <c r="D223" i="4"/>
  <c r="D224" i="4"/>
  <c r="D225" i="4"/>
  <c r="D226" i="4"/>
  <c r="D227" i="4"/>
  <c r="D228" i="4"/>
  <c r="D229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2" i="4"/>
  <c r="D253" i="4"/>
  <c r="D254" i="4"/>
  <c r="D255" i="4"/>
  <c r="D256" i="4"/>
  <c r="D257" i="4"/>
  <c r="D258" i="4"/>
  <c r="D260" i="4"/>
  <c r="D261" i="4"/>
  <c r="D262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1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3" i="4"/>
  <c r="D544" i="4"/>
  <c r="D545" i="4"/>
  <c r="D546" i="4"/>
  <c r="D547" i="4"/>
  <c r="D548" i="4"/>
  <c r="D549" i="4"/>
  <c r="D550" i="4"/>
  <c r="D552" i="4"/>
  <c r="D553" i="4"/>
  <c r="D554" i="4"/>
  <c r="D555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3" i="4"/>
  <c r="B571" i="4"/>
  <c r="D571" i="4" s="1"/>
  <c r="B556" i="4"/>
  <c r="D556" i="4" s="1"/>
  <c r="B551" i="4"/>
  <c r="D551" i="4" s="1"/>
  <c r="B542" i="4"/>
  <c r="D542" i="4" s="1"/>
  <c r="B520" i="4"/>
  <c r="D520" i="4" s="1"/>
  <c r="B414" i="4"/>
  <c r="D414" i="4" s="1"/>
  <c r="B389" i="4"/>
  <c r="D389" i="4" s="1"/>
  <c r="B362" i="4"/>
  <c r="B327" i="4"/>
  <c r="D327" i="4" s="1"/>
  <c r="B263" i="4"/>
  <c r="D263" i="4" s="1"/>
  <c r="B259" i="4"/>
  <c r="D259" i="4" s="1"/>
  <c r="B251" i="4"/>
  <c r="D251" i="4" s="1"/>
  <c r="B230" i="4"/>
  <c r="D230" i="4" s="1"/>
  <c r="B218" i="4"/>
  <c r="D218" i="4" s="1"/>
  <c r="B202" i="4"/>
  <c r="D202" i="4" s="1"/>
  <c r="B185" i="4"/>
  <c r="D185" i="4" s="1"/>
  <c r="B81" i="4"/>
  <c r="D81" i="4" s="1"/>
  <c r="B57" i="4"/>
  <c r="D57" i="4" s="1"/>
  <c r="B28" i="4"/>
  <c r="B25" i="4"/>
  <c r="D25" i="4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9" i="3"/>
  <c r="D30" i="3"/>
  <c r="D31" i="3"/>
  <c r="D32" i="3"/>
  <c r="D33" i="3"/>
  <c r="D34" i="3"/>
  <c r="D35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1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3" i="3"/>
  <c r="B556" i="3"/>
  <c r="D556" i="3" s="1"/>
  <c r="B542" i="3"/>
  <c r="D542" i="3" s="1"/>
  <c r="B504" i="3"/>
  <c r="B472" i="3"/>
  <c r="D472" i="3" s="1"/>
  <c r="B203" i="3"/>
  <c r="D203" i="3" s="1"/>
  <c r="B202" i="3"/>
  <c r="D202" i="3" s="1"/>
  <c r="B185" i="3"/>
  <c r="D185" i="3" s="1"/>
  <c r="B169" i="3"/>
  <c r="D169" i="3" s="1"/>
  <c r="B78" i="3"/>
  <c r="D78" i="3" s="1"/>
  <c r="B36" i="3"/>
  <c r="D36" i="3" s="1"/>
  <c r="B28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6" i="2"/>
  <c r="D27" i="2"/>
  <c r="D28" i="2"/>
  <c r="D29" i="2"/>
  <c r="D30" i="2"/>
  <c r="D31" i="2"/>
  <c r="D32" i="2"/>
  <c r="D33" i="2"/>
  <c r="D34" i="2"/>
  <c r="D35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1" i="2"/>
  <c r="D344" i="2"/>
  <c r="D345" i="2"/>
  <c r="D346" i="2"/>
  <c r="D347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2" i="2"/>
  <c r="D553" i="2"/>
  <c r="D554" i="2"/>
  <c r="D555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3" i="2"/>
  <c r="B556" i="2"/>
  <c r="D556" i="2" s="1"/>
  <c r="B551" i="2"/>
  <c r="D551" i="2" s="1"/>
  <c r="B520" i="2"/>
  <c r="D520" i="2" s="1"/>
  <c r="B470" i="2"/>
  <c r="D470" i="2" s="1"/>
  <c r="B414" i="2"/>
  <c r="D414" i="2" s="1"/>
  <c r="B362" i="2"/>
  <c r="D362" i="2" s="1"/>
  <c r="B348" i="2"/>
  <c r="D348" i="2" s="1"/>
  <c r="B271" i="2"/>
  <c r="D271" i="2" s="1"/>
  <c r="B251" i="2"/>
  <c r="D251" i="2" s="1"/>
  <c r="B218" i="2"/>
  <c r="D218" i="2" s="1"/>
  <c r="B185" i="2"/>
  <c r="D185" i="2" s="1"/>
  <c r="B171" i="2"/>
  <c r="D171" i="2" s="1"/>
  <c r="B36" i="2"/>
  <c r="D36" i="2" s="1"/>
  <c r="B25" i="2"/>
  <c r="D25" i="2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6" i="1"/>
  <c r="D27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60" i="1"/>
  <c r="D261" i="1"/>
  <c r="D262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1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3" i="1"/>
  <c r="B542" i="1"/>
  <c r="D542" i="1" s="1"/>
  <c r="B504" i="1"/>
  <c r="D504" i="1" s="1"/>
  <c r="B472" i="1"/>
  <c r="D472" i="1" s="1"/>
  <c r="B427" i="1"/>
  <c r="D427" i="1" s="1"/>
  <c r="B414" i="1"/>
  <c r="D414" i="1" s="1"/>
  <c r="B389" i="1"/>
  <c r="D389" i="1" s="1"/>
  <c r="B362" i="1"/>
  <c r="D362" i="1" s="1"/>
  <c r="B263" i="1"/>
  <c r="D263" i="1" s="1"/>
  <c r="B259" i="1"/>
  <c r="D259" i="1" s="1"/>
  <c r="B216" i="1"/>
  <c r="D216" i="1" s="1"/>
  <c r="B203" i="1"/>
  <c r="D203" i="1" s="1"/>
  <c r="B185" i="1"/>
  <c r="D185" i="1" s="1"/>
  <c r="B169" i="1"/>
  <c r="D169" i="1" s="1"/>
  <c r="B28" i="1"/>
  <c r="D28" i="1" s="1"/>
  <c r="B25" i="1"/>
  <c r="D25" i="1" s="1"/>
  <c r="B340" i="3" l="1"/>
  <c r="D28" i="3"/>
  <c r="D340" i="1"/>
  <c r="B672" i="3"/>
  <c r="D340" i="2"/>
  <c r="D340" i="3"/>
  <c r="D504" i="3"/>
  <c r="B340" i="1"/>
  <c r="B672" i="4"/>
  <c r="B340" i="4"/>
  <c r="D362" i="4"/>
  <c r="D672" i="4" s="1"/>
  <c r="D28" i="4"/>
  <c r="D340" i="4" s="1"/>
  <c r="D672" i="3"/>
  <c r="D674" i="3" s="1"/>
  <c r="B672" i="2"/>
  <c r="B340" i="2"/>
  <c r="D672" i="2"/>
  <c r="D674" i="2" s="1"/>
  <c r="B672" i="1"/>
  <c r="D672" i="1"/>
  <c r="D674" i="4" l="1"/>
  <c r="D674" i="1"/>
</calcChain>
</file>

<file path=xl/sharedStrings.xml><?xml version="1.0" encoding="utf-8"?>
<sst xmlns="http://schemas.openxmlformats.org/spreadsheetml/2006/main" count="21240" uniqueCount="448">
  <si>
    <t>TÊN SẢN PHẨM</t>
  </si>
  <si>
    <t>TỒN TRƯỚC</t>
  </si>
  <si>
    <t>BẮP CẢI TÍM</t>
  </si>
  <si>
    <t>BẮP CẢI TÍM (BẮP)</t>
  </si>
  <si>
    <t>BẮP CẢI TÍM SUSHI</t>
  </si>
  <si>
    <t>BẮP CẢI TRẮNG</t>
  </si>
  <si>
    <t>BẮP CẢI TRẮNG (BẮP)</t>
  </si>
  <si>
    <t>BẮP CẢI TRẮNG MỘC CHÂU</t>
  </si>
  <si>
    <t>BẮP CẢI TRẮNG SÓI BIỂN</t>
  </si>
  <si>
    <t>BẮP CẢI TRẮNG SUSHI</t>
  </si>
  <si>
    <t>BẮP MỸ CẶP</t>
  </si>
  <si>
    <t>BẦU</t>
  </si>
  <si>
    <t>BÍ ĐAO XANH</t>
  </si>
  <si>
    <t>BÍ ĐAO XANH 400G</t>
  </si>
  <si>
    <t>BÍ ĐỎ HỒ LÔ</t>
  </si>
  <si>
    <t>BÍ ĐỎ MINI</t>
  </si>
  <si>
    <t>BÍ ĐỎ NON (KG)KQ</t>
  </si>
  <si>
    <t>BÍ ĐỎ NON TRÁI VR</t>
  </si>
  <si>
    <t>BÍ ĐỎ NON( KG) VR</t>
  </si>
  <si>
    <t>BÍ ĐỎ TRÒN</t>
  </si>
  <si>
    <t>BÍ MINI VÀNG 300GR</t>
  </si>
  <si>
    <t>BÍ MINI VÀNG KG</t>
  </si>
  <si>
    <t>BÍ NGÒI VÀNG</t>
  </si>
  <si>
    <t>BÍ NGÒI VÀNG (TRÁI)</t>
  </si>
  <si>
    <t>BÍ NGÒI XANH</t>
  </si>
  <si>
    <t>BÍ NGÒI XANH(TRÁI)</t>
  </si>
  <si>
    <t>BÍ NHẬT</t>
  </si>
  <si>
    <t>BƠ 034</t>
  </si>
  <si>
    <t>BƠ BOOTH</t>
  </si>
  <si>
    <t>BO HOA CHUONG</t>
  </si>
  <si>
    <t>BO HOA CUC TANA</t>
  </si>
  <si>
    <t>BO HOA DONG TIEN HN</t>
  </si>
  <si>
    <t>BO HOA PHANG</t>
  </si>
  <si>
    <t>BO HOA SEN QUAN AM</t>
  </si>
  <si>
    <t>BO HOA SEN SUPER</t>
  </si>
  <si>
    <t>BƠ SÁP</t>
  </si>
  <si>
    <t>BÓ XÔI</t>
  </si>
  <si>
    <t>BÓ XÔI 300G VR</t>
  </si>
  <si>
    <t>BÓ XÔI-HN KQ</t>
  </si>
  <si>
    <t>BÓ XÔI-NA</t>
  </si>
  <si>
    <t>BÔNG ATISO</t>
  </si>
  <si>
    <t>BÔNG BÍ</t>
  </si>
  <si>
    <t>BÔNG BÍ TÚI 300GR</t>
  </si>
  <si>
    <t>BÔNG CẢI TRẮNG</t>
  </si>
  <si>
    <t>BÔNG CẢI TRẮNG (CÂY)</t>
  </si>
  <si>
    <t>BÔNG CẢI XANH 10P</t>
  </si>
  <si>
    <t>BÔNG CẢI XANH AEON</t>
  </si>
  <si>
    <t>BÔNG CẢI XANH AEON (CÂY)</t>
  </si>
  <si>
    <t>BÔNG CẢI XANH BABY (KG)</t>
  </si>
  <si>
    <t>BÔNG CẢI XANH BABY 200G</t>
  </si>
  <si>
    <t>BÔNG CẢI XANH BIGC</t>
  </si>
  <si>
    <t>BÔNG CẢI XANH CITI</t>
  </si>
  <si>
    <t>CÀ CHUA</t>
  </si>
  <si>
    <t>CÀ CHUA BI</t>
  </si>
  <si>
    <t>CÀ CHUA BI (HỘP) 300GR KQ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</si>
  <si>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</si>
  <si>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</si>
  <si>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</si>
  <si>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</si>
  <si>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</si>
  <si>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</si>
  <si>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CHERRY MIX 300G</t>
  </si>
  <si>
    <t>CÀ CHUA L1</t>
  </si>
  <si>
    <t>CÀ CHUA MỘC CHÂU</t>
  </si>
  <si>
    <t>CÀ CHUA NGỌT</t>
  </si>
  <si>
    <t>CÀ CHUA NGỌT 300GR (KG)</t>
  </si>
  <si>
    <t>CÀ CHUA NGỌT XÁ</t>
  </si>
  <si>
    <t>CÀ CHUA ROSEBERRY 300G</t>
  </si>
  <si>
    <t>CÀ CHUA SÔCOLA 250GR (HỘP) VR</t>
  </si>
  <si>
    <t>CÀ CHUA SÔCOLA 250GR (KG) -NA</t>
  </si>
  <si>
    <t>CÀ CHUA SÔCOLA 250GR (KG) VR</t>
  </si>
  <si>
    <t>CÀ CHUA SÔCOLA 250GR(KG) KQ</t>
  </si>
  <si>
    <t>CÀ CHUA SÔCOLA 300GR (HỘP) VR</t>
  </si>
  <si>
    <t>CÀ CHUA SOCOLA XÁ</t>
  </si>
  <si>
    <t>CÀ CHUA SÔCOLA(HỘP) KQ</t>
  </si>
  <si>
    <t>CÀ CHUA VỈ 400GR</t>
  </si>
  <si>
    <t>CÀ CHUA VR</t>
  </si>
  <si>
    <t>CÀ CHUA Ý</t>
  </si>
  <si>
    <t>CÀ CHUA Ý 500G</t>
  </si>
  <si>
    <t>CÀ CHUA Ý CHÙM</t>
  </si>
  <si>
    <t>CÀ CHUA Ý(VỈ) KG</t>
  </si>
  <si>
    <t>CÀ CHUA Ý(VỈ) KG KQ</t>
  </si>
  <si>
    <t>CÀ RỐT BABY</t>
  </si>
  <si>
    <t>CÀ RỐT BABY (KG) KQ</t>
  </si>
  <si>
    <t>CÀ RỐT BABY 200GR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</si>
  <si>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</si>
  <si>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</si>
  <si>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</si>
  <si>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</si>
  <si>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</si>
  <si>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CÀ TÍM</t>
  </si>
  <si>
    <t>CÀ TÍM CẶP 400G</t>
  </si>
  <si>
    <t>CÀ TÍM SỌC PHA LÊ 300G</t>
  </si>
  <si>
    <t>CÀ TÍM SỌC PHA LÊ HỘP 500GR  VR</t>
  </si>
  <si>
    <t>CÀ TÍM SỌC PHA LÊ TÍM (KG) VR</t>
  </si>
  <si>
    <t>CÀ Ý VỈ 650GR</t>
  </si>
  <si>
    <t>CẢI CẦU VỒNG</t>
  </si>
  <si>
    <t>CẢI CẦU VỒNG 300GR</t>
  </si>
  <si>
    <t>CẢI CÚC 300GR</t>
  </si>
  <si>
    <t>CẢI KALE</t>
  </si>
  <si>
    <t>CẢI KALE 150GR</t>
  </si>
  <si>
    <t>CẢI KALE 300GR</t>
  </si>
  <si>
    <t>CẢI MÈO MỘC CHÂU</t>
  </si>
  <si>
    <t>CẢI THẢO DL</t>
  </si>
  <si>
    <t>CẢI THẢO DL(BẮP)</t>
  </si>
  <si>
    <t>CẢI THẢO HỎA TIỄN</t>
  </si>
  <si>
    <t>CẢI THẢO HỎA TIỄN 250GR</t>
  </si>
  <si>
    <t>CẢI THẢO KIM CHI</t>
  </si>
  <si>
    <t>CẢI THẢO MỘC CHÂU</t>
  </si>
  <si>
    <t>CẢI THẢO VR</t>
  </si>
  <si>
    <t>CẦN TÂY (KG)</t>
  </si>
  <si>
    <t>CẦN TÂY THUỶ CANH</t>
  </si>
  <si>
    <t>CẦN TÂY(CÂY)</t>
  </si>
  <si>
    <t>CHANH DÂY</t>
  </si>
  <si>
    <t>CHANH DÂY NGỌT L2</t>
  </si>
  <si>
    <t>CHANH DÂY NGỌT VỈ 300GR</t>
  </si>
  <si>
    <t>CHANH KHÔNG HẠT</t>
  </si>
  <si>
    <t>CHANH VÀNG (KG)</t>
  </si>
  <si>
    <t>CHANH VÀNG TRÁI 180UP</t>
  </si>
  <si>
    <t>CHẬU CÂY CẢI CẦU VỒNG</t>
  </si>
  <si>
    <t>CHẬU CÂY CẢI KALE</t>
  </si>
  <si>
    <t>CHẬU CÂY CẦN TÂY</t>
  </si>
  <si>
    <t>CHUỐI LABA</t>
  </si>
  <si>
    <t>CÓC NON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</si>
  <si>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</si>
  <si>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</si>
  <si>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</si>
  <si>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</si>
  <si>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</si>
  <si>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</si>
  <si>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CỦ CẢI MUỐI (VỈ) 250G KQ</t>
  </si>
  <si>
    <t>CỦ CẢI MUỐI(KG)</t>
  </si>
  <si>
    <t>CỦ CẢI TRẮNG</t>
  </si>
  <si>
    <t>CỦ CẢI TRẮNG CẶP 400GR</t>
  </si>
  <si>
    <t>CỦ ĐẬU 400G</t>
  </si>
  <si>
    <t>CỦ DỀN</t>
  </si>
  <si>
    <t>CỦ DỀN 600G</t>
  </si>
  <si>
    <t>CỦ HÀNH ĐỎ</t>
  </si>
  <si>
    <t>CỦ HÀNH ĐỎ 500GR</t>
  </si>
  <si>
    <t>CỦ NGHỆ</t>
  </si>
  <si>
    <t>ĐÀO VN</t>
  </si>
  <si>
    <t>ĐẬU BO</t>
  </si>
  <si>
    <t>ĐẬU BO 250GR</t>
  </si>
  <si>
    <t>ĐẬU COVE MỘC CHÂU</t>
  </si>
  <si>
    <t>ĐẬU CÚC</t>
  </si>
  <si>
    <t>ĐẬU CÚC 250GR</t>
  </si>
  <si>
    <t>ĐẬU ĐỎ</t>
  </si>
  <si>
    <t>ĐẬU ĐỎ 250GR</t>
  </si>
  <si>
    <t>ĐẬU HÀ LAN</t>
  </si>
  <si>
    <t>ĐẬU HÀ LAN-FUJI</t>
  </si>
  <si>
    <t>ĐẬU NGỰ</t>
  </si>
  <si>
    <t>ĐẬU NGỰ 250GR</t>
  </si>
  <si>
    <t>ĐẬU QUE TRẮNG (KG NA)</t>
  </si>
  <si>
    <t>ĐẬU QUE TRẮNG (KG) VR</t>
  </si>
  <si>
    <t>ĐẬU QUE TRẮNG (TÚI) KQ</t>
  </si>
  <si>
    <t>ĐẬU QUE TRẮNG (TÚI) VR</t>
  </si>
  <si>
    <t>ĐẬU QUE TRẮNG (TÚI) VR 300gr</t>
  </si>
  <si>
    <t>ĐẬU QUE XANH (KG) KQ</t>
  </si>
  <si>
    <t>ĐẬU QUE XANH( KG) VR</t>
  </si>
  <si>
    <t>ĐẬU QUE XANH( TÚI) KQ</t>
  </si>
  <si>
    <t>ĐẬU QUE XANH( TÚI) VR</t>
  </si>
  <si>
    <t>DAU THAP CAM (HON HOP) TUOI 100G</t>
  </si>
  <si>
    <t>ĐẬU TRẮNG</t>
  </si>
  <si>
    <t>ĐẬU TRẮNG 250GR</t>
  </si>
  <si>
    <t>DỨA 350G</t>
  </si>
  <si>
    <t>DƯA LEO</t>
  </si>
  <si>
    <t>DƯA LEO 400G</t>
  </si>
  <si>
    <t>DƯA LEO BABY KQ(KG)</t>
  </si>
  <si>
    <t>DƯA LEO BABY VR</t>
  </si>
  <si>
    <t>DƯA LEO BABY VR 300G</t>
  </si>
  <si>
    <t>DƯA LEO BABY VR(KG)</t>
  </si>
  <si>
    <t>DƯA LEO BABY VR(KG)-NA</t>
  </si>
  <si>
    <t>DƯA LEO BABY XÁ</t>
  </si>
  <si>
    <t>DƯA LEO GIỐNG NHẬT 600GR</t>
  </si>
  <si>
    <t>DƯA LEO GIỐNG NHẬT KG</t>
  </si>
  <si>
    <t>DƯA LEO KG (VỈ)</t>
  </si>
  <si>
    <t>GỪNG</t>
  </si>
  <si>
    <t>GỪNG 250GR</t>
  </si>
  <si>
    <t>HÀNH LÁ</t>
  </si>
  <si>
    <t>HÀNH LÁ THUỶ CANH</t>
  </si>
  <si>
    <t>HÀNH LÁ THUỶ CANH(KG) VR</t>
  </si>
  <si>
    <t>HÀNH TÂY DL</t>
  </si>
  <si>
    <t>HÀNH TÂY DL BABY</t>
  </si>
  <si>
    <t>HÀNH TÂY DL L1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</si>
  <si>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</si>
  <si>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</si>
  <si>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</si>
  <si>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</si>
  <si>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</si>
  <si>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HẠT DẺ TƯƠI BẮC KINH</t>
  </si>
  <si>
    <t>HẠT DẺ TƯƠI SIZE 24</t>
  </si>
  <si>
    <t>HẠT DẺ TƯƠI SIZE 26</t>
  </si>
  <si>
    <t>HẠT DẺ TƯƠI TÚI 500GR</t>
  </si>
  <si>
    <t>HỒNG GIÒN</t>
  </si>
  <si>
    <t>HỒNG TREO GIÓ</t>
  </si>
  <si>
    <t>HÚNG CAY 50G VR</t>
  </si>
  <si>
    <t>HÚNG LỦI TA 50G VR</t>
  </si>
  <si>
    <t>HÚNG QUẾ 50G VR</t>
  </si>
  <si>
    <t>HƯƠNG THẢO 50G VGR</t>
  </si>
  <si>
    <t>KHỔ QUA</t>
  </si>
  <si>
    <t>KHỔ QUA 400GR</t>
  </si>
  <si>
    <t>KHOAI LANG MẬT (KG) 2-3 CỦ</t>
  </si>
  <si>
    <t>KHOAI LANG MẬT (KG) 4-6 CỦ</t>
  </si>
  <si>
    <t>KHOAI LANG MẬT 500G VR</t>
  </si>
  <si>
    <t>KHOAI LANG NHẬT</t>
  </si>
  <si>
    <t>KHOAI LANG TÚI LƯỚI 1KG</t>
  </si>
  <si>
    <t>KHOAI LANG TÚI LƯỚI 500GR</t>
  </si>
  <si>
    <t>KHOAI MỠ</t>
  </si>
  <si>
    <t>KHOAI MÔN CAO</t>
  </si>
  <si>
    <t>KHOAI MÔN SỌ</t>
  </si>
  <si>
    <t>KHOAI TÂY BI</t>
  </si>
  <si>
    <t>KHOAI TÂY BI 500G VR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</si>
  <si>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</si>
  <si>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</si>
  <si>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</si>
  <si>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</si>
  <si>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</si>
  <si>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TRUNG TÚI LƯỚI 500G</t>
  </si>
  <si>
    <t>LÁ É</t>
  </si>
  <si>
    <t>LÁ É 300G</t>
  </si>
  <si>
    <t>LÁ GIANG</t>
  </si>
  <si>
    <t>LÁ GIANG 200G</t>
  </si>
  <si>
    <t>LÁ MÈ</t>
  </si>
  <si>
    <t>LÁ MÈ (KG) KQ</t>
  </si>
  <si>
    <t>LÁ MÈ TÚI 50G</t>
  </si>
  <si>
    <t>LÁ MÈ TÚI 50G SB</t>
  </si>
  <si>
    <t>LÊ</t>
  </si>
  <si>
    <t>MÂM XÔI ĐEN</t>
  </si>
  <si>
    <t>MẬN HẬU 500G</t>
  </si>
  <si>
    <t>MẬN HẬU ĐẶC BIỆT</t>
  </si>
  <si>
    <t>MẬN RUBY</t>
  </si>
  <si>
    <t>MĂNG TÂY</t>
  </si>
  <si>
    <t>MĂNG TÂY 300GR</t>
  </si>
  <si>
    <t>MIT RUOT DO XE</t>
  </si>
  <si>
    <t>MÍT THÁI</t>
  </si>
  <si>
    <t>MÍT TỐ NỮ</t>
  </si>
  <si>
    <t>MỒNG TƠI</t>
  </si>
  <si>
    <t>MƯỚP HƯƠNG</t>
  </si>
  <si>
    <t>MƯỚP HƯƠNG 300G</t>
  </si>
  <si>
    <t>NẤM MỠ NÂU 170G</t>
  </si>
  <si>
    <t>NẤM MỠ TRẮNG 170G</t>
  </si>
  <si>
    <t>NGÒ GAI 50G VR</t>
  </si>
  <si>
    <t>NGÒ RÍ</t>
  </si>
  <si>
    <t>NGÒ RÍ TÚI 50GR</t>
  </si>
  <si>
    <t>NGÒ TÂY</t>
  </si>
  <si>
    <t>NGÒ TÂY 50G VR</t>
  </si>
  <si>
    <t>NGUYEN LIEU COM CHIEN DUONG CHAU AL 150G</t>
  </si>
  <si>
    <t>NHA DAM</t>
  </si>
  <si>
    <t>ỔI GĂNG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</si>
  <si>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</si>
  <si>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</si>
  <si>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</si>
  <si>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</si>
  <si>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</si>
  <si>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</si>
  <si>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BABY</t>
  </si>
  <si>
    <t>ỚT CHUÔNG MÀU SNACK MÀU</t>
  </si>
  <si>
    <t>ỚT CHUÔNG MÀU SNACK MÀU(KG) KQ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</si>
  <si>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</si>
  <si>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</si>
  <si>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</si>
  <si>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</si>
  <si>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</si>
  <si>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</si>
  <si>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</si>
  <si>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ỚT HIỂM</t>
  </si>
  <si>
    <t>ỚT HIỂM 100G</t>
  </si>
  <si>
    <t>OT HIEM XANH</t>
  </si>
  <si>
    <t>ỚT NGỌT PALERMO (KG) KQ</t>
  </si>
  <si>
    <t>ỚT NGỌT PALERMO (KG) VR</t>
  </si>
  <si>
    <t>ỚT NGỌT PALERMO TÚI 300GR</t>
  </si>
  <si>
    <t>ỚT SỪNG</t>
  </si>
  <si>
    <t>ỚT SỪNG VÀNG</t>
  </si>
  <si>
    <t>ỚT TRÁI CÂY TÚI 150GR</t>
  </si>
  <si>
    <t>PARO</t>
  </si>
  <si>
    <t>PARO (CÂY)</t>
  </si>
  <si>
    <t>QUẢ MƠ</t>
  </si>
  <si>
    <t>QUẾ TÂY 50G VR</t>
  </si>
  <si>
    <t>RAU BẦU ĐẤT</t>
  </si>
  <si>
    <t>RAU DIẾP CÁ 50G</t>
  </si>
  <si>
    <t>RAU RĂM 50G VR</t>
  </si>
  <si>
    <t>ROCKET</t>
  </si>
  <si>
    <t>ROCKET 200G</t>
  </si>
  <si>
    <t>SẦU RIÊNG RI 6</t>
  </si>
  <si>
    <t>SET ỚT CHUÔNG BABY 250G</t>
  </si>
  <si>
    <t>SET RAU KÈM ỚT</t>
  </si>
  <si>
    <t>SET RAU KHÔNG KÈM ỚT</t>
  </si>
  <si>
    <t>SU HÀO</t>
  </si>
  <si>
    <t>SU HÀO 400G</t>
  </si>
  <si>
    <t>SU HÀO MỘC CHÂU</t>
  </si>
  <si>
    <t>SU SU</t>
  </si>
  <si>
    <t>SU SU 400G</t>
  </si>
  <si>
    <t>SU SU MỘC CHÂU</t>
  </si>
  <si>
    <t>SÚ TRÁI TIM</t>
  </si>
  <si>
    <t>SÚ TRÁI TIM (BẮP)</t>
  </si>
  <si>
    <t>SUNG GIỐNG MỸ 300G</t>
  </si>
  <si>
    <t>THÌ LÀ</t>
  </si>
  <si>
    <t>THÌ LÀ TÚI 80GR</t>
  </si>
  <si>
    <t>TÍA TÔ 50G</t>
  </si>
  <si>
    <t>TỎI</t>
  </si>
  <si>
    <t>TỎI 250G</t>
  </si>
  <si>
    <t>TRÁI SAKE</t>
  </si>
  <si>
    <t>VẢI THIỀU MB</t>
  </si>
  <si>
    <t>VÚ SỮA</t>
  </si>
  <si>
    <t>XẠ HƯƠNG</t>
  </si>
  <si>
    <t>XÀ LÁCH BÚP MỠ</t>
  </si>
  <si>
    <t>XÀ LÁCH CAROL</t>
  </si>
  <si>
    <t>XÀ LÁCH LOLO TÍM</t>
  </si>
  <si>
    <t>XÀ LÁCH LOLO TÍM TÚI 300G</t>
  </si>
  <si>
    <t>XÀ LÁCH LOLO XANH</t>
  </si>
  <si>
    <t>XÀ LÁCH LOLO XANH SUSHI</t>
  </si>
  <si>
    <t>XÀ LÁCH LOLO XANH THỦY CANH(KG)-NA</t>
  </si>
  <si>
    <t>XÀ LÁCH LOLO XANH TÚI 300GR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</si>
  <si>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</si>
  <si>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</si>
  <si>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</si>
  <si>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</si>
  <si>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</si>
  <si>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</si>
  <si>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MỸ</t>
  </si>
  <si>
    <t>XÀ LÁCH ROMEN (KG)</t>
  </si>
  <si>
    <t>XÀ LÁCH ROMEN THUỶ CANH (KG) VR</t>
  </si>
  <si>
    <t>XÀ LÁCH ROMEN THUỶ CANH VR</t>
  </si>
  <si>
    <t>XÀ LÁCH ROMEN TÚI 300GR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</si>
  <si>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</si>
  <si>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</si>
  <si>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</si>
  <si>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</si>
  <si>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</si>
  <si>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</si>
  <si>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</si>
  <si>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</si>
  <si>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</si>
  <si>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</si>
  <si>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</si>
  <si>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</si>
  <si>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XÀ LÁCH XOONG THUỶ CANH</t>
  </si>
  <si>
    <t>XOÀI CẮT 200G</t>
  </si>
  <si>
    <t>XOÀI CÁT HOÀ LỘC</t>
  </si>
  <si>
    <t>hàng tồn cuối ngày 1/6 vr</t>
  </si>
  <si>
    <t>GIÁ NHẬP</t>
  </si>
  <si>
    <t>THÀNH TIỀN</t>
  </si>
  <si>
    <t>BẮP MỸ</t>
  </si>
  <si>
    <t>CẢI CANH</t>
  </si>
  <si>
    <t>CẢI CHÍP</t>
  </si>
  <si>
    <t>CẢI CÚC 500GR</t>
  </si>
  <si>
    <t>CẢI NGỌT</t>
  </si>
  <si>
    <t>CHANH DÂY TÍM</t>
  </si>
  <si>
    <t>CỦ SẮN</t>
  </si>
  <si>
    <t>ĐẬU QUE TRẮNG (KG) KQ</t>
  </si>
  <si>
    <t>DƯA LEO BABY KQ</t>
  </si>
  <si>
    <t>KHOAI LANG MẬT 500G KQ</t>
  </si>
  <si>
    <t>KHOAI SỌ</t>
  </si>
  <si>
    <t>KHOAI TÂY BI TÚI LƯỚI 500GR</t>
  </si>
  <si>
    <t>KHOAI TÂY DT TÚI LƯỚI 1KG</t>
  </si>
  <si>
    <t>KHOAI TÂY VÀNG RỬA</t>
  </si>
  <si>
    <t>MẬN HẬU</t>
  </si>
  <si>
    <t>MẬN HẬU 500G VIP</t>
  </si>
  <si>
    <t>ỚT NGỌT PALERMO TÚI 300GR KQ</t>
  </si>
  <si>
    <t>ỚT SỪNG 100G</t>
  </si>
  <si>
    <t>RAU NGÓT</t>
  </si>
  <si>
    <t>TỎI CÔ ĐƠN</t>
  </si>
  <si>
    <t>VẢI THANH HÀ</t>
  </si>
  <si>
    <t>XẢ CÂY</t>
  </si>
  <si>
    <t>hàng tồn cuối ngày 2/6 vr</t>
  </si>
  <si>
    <t>hàng tồn cuối ngày 3/6 vr</t>
  </si>
  <si>
    <t>NGÀY 05 /06/2024</t>
  </si>
  <si>
    <t>BO HOA LOA KEN</t>
  </si>
  <si>
    <t>hàng tồn cuối ngày 4/6 vr</t>
  </si>
  <si>
    <t>hàng tồn cuối ngày 1/6 kq</t>
  </si>
  <si>
    <t>hàng tồn cuối ngày 2/6 kq</t>
  </si>
  <si>
    <t>hàng tồn cuối ngày 4/6 kq</t>
  </si>
  <si>
    <t>NGÀY  07/06/2024</t>
  </si>
  <si>
    <t>hàng tồn cuối ngày 5/6 vr</t>
  </si>
  <si>
    <t>hàng tồn cuối ngày 6/6 vr</t>
  </si>
  <si>
    <t>hàng tồn cuối ngày 6/6 kq</t>
  </si>
  <si>
    <t>hàng tồn cuối ngày 7/6 vr</t>
  </si>
  <si>
    <t>hàng tồn cuối ngày 7/6 kq</t>
  </si>
  <si>
    <t>hàng tồn cuối ngày 8/6 vr</t>
  </si>
  <si>
    <t>hàng tồn cuối ngày 8/6 kq</t>
  </si>
  <si>
    <t>hàng tồn cuối ngày 9/6 vr</t>
  </si>
  <si>
    <t>hàng tồn cuối ngày 9/6 kq</t>
  </si>
  <si>
    <t>hàng tồn cuối ngày 10/6 vr</t>
  </si>
  <si>
    <t>hàng tồn cuối ngày 10/6 kq</t>
  </si>
  <si>
    <t>NGÀY  14/06/2024</t>
  </si>
  <si>
    <t>hàng tồn cuối ngày 11/6 vr</t>
  </si>
  <si>
    <t>hàng tồn cuối ngày 11/6 kq</t>
  </si>
  <si>
    <t>hàng tồn cuối ngày 12/6 vr</t>
  </si>
  <si>
    <t xml:space="preserve">Stock </t>
  </si>
  <si>
    <t>ĐVT</t>
  </si>
  <si>
    <t>Kg</t>
  </si>
  <si>
    <t>BẮP</t>
  </si>
  <si>
    <t>TRÁI</t>
  </si>
  <si>
    <t>TÚI</t>
  </si>
  <si>
    <t>VỈ</t>
  </si>
  <si>
    <t>CÂY</t>
  </si>
  <si>
    <t>HỘP</t>
  </si>
  <si>
    <t>KG</t>
  </si>
  <si>
    <t>CẶP</t>
  </si>
  <si>
    <t>BÓ</t>
  </si>
  <si>
    <t>CHẬU</t>
  </si>
  <si>
    <t>SẤU TƯƠI 300G</t>
  </si>
  <si>
    <t>NGÀY  16/06/2024</t>
  </si>
  <si>
    <t>TÊN SẢN PHẨM VR</t>
  </si>
  <si>
    <t>TÊN SẢN PHẨM KQ</t>
  </si>
  <si>
    <t>ỚT+AH33+A24:C33+A24:C33</t>
  </si>
  <si>
    <t>hàng tồn cuối ngày 15/6 vr</t>
  </si>
  <si>
    <t>hàng tồn cuối ngày 15/6 kq</t>
  </si>
  <si>
    <t>hàng tồn cuối ngày 16/6 vr</t>
  </si>
  <si>
    <t>hàng tồn cuối ngày 16/6 kq</t>
  </si>
  <si>
    <t>hàng tồn cuối ngày 17/6 vr</t>
  </si>
  <si>
    <t>hàng tồn cuối ngày 17/6 kq</t>
  </si>
  <si>
    <t>BƠ 034 COOP</t>
  </si>
  <si>
    <t>hàng tồn cuối ngày 19/6 vr</t>
  </si>
  <si>
    <t>hàng tồn cuối ngày 18/6 vr</t>
  </si>
  <si>
    <t>hàng tồn cuối ngày 18/6 kq</t>
  </si>
  <si>
    <t>hàng tồn cuối ngày 19/6 kq</t>
  </si>
  <si>
    <t xml:space="preserve">Safety stock </t>
  </si>
  <si>
    <t>SẤU TƯƠI</t>
  </si>
  <si>
    <t>hàng tồn cuối ngày 20/6 vr</t>
  </si>
  <si>
    <t>hàng tồn cuối ngày 20/6 kq</t>
  </si>
  <si>
    <t>hàng tồn cuối ngày 21/6 vr</t>
  </si>
  <si>
    <t>hàng tồn cuối ngày 21/6 kq</t>
  </si>
  <si>
    <t>hàng tồn cuối ngày 22/6 vr</t>
  </si>
  <si>
    <t>hàng tồn cuối ngày 22/6 kq</t>
  </si>
  <si>
    <t>hàng tồn cuối ngày 23/6 vr</t>
  </si>
  <si>
    <t>hàng tồn cuối 23/6 kq</t>
  </si>
  <si>
    <t>NGÀY  26/06/2024</t>
  </si>
  <si>
    <t>hàng tồn cuối ngày 25/6 vr</t>
  </si>
  <si>
    <t>hàng tồn cuối ngày 24/6 kq</t>
  </si>
  <si>
    <t>hàng tồn cuối ngày 25/6 kq</t>
  </si>
  <si>
    <t>NGÀY 28 /06/2024</t>
  </si>
  <si>
    <t>hàng tồn cuối ngày 26/6 vr</t>
  </si>
  <si>
    <t>NGÀY  29/06/2024</t>
  </si>
  <si>
    <t>hàng tồn cuối ngày 27/6 vr</t>
  </si>
  <si>
    <t>NGÀY 30 /06/2024</t>
  </si>
  <si>
    <t>hàng tồn cuối ngày 28/6 vr</t>
  </si>
  <si>
    <t xml:space="preserve">Tồn kho an toàn 
tại ĐL </t>
  </si>
  <si>
    <t>hàng tồn cuối ngày 29/6 vr</t>
  </si>
  <si>
    <t>hàng tồn cuối ngày 29/6 kq</t>
  </si>
  <si>
    <t>Kho Ngọc Thụy</t>
  </si>
  <si>
    <t>Đà Lạt</t>
  </si>
  <si>
    <t>Hàng nhập trong kỳ</t>
  </si>
  <si>
    <t>Xuất trong kỳ</t>
  </si>
  <si>
    <t>Tồn cuối T5 (31/5/2024)</t>
  </si>
  <si>
    <t>Tồn cuối T6 (30/06/2024)</t>
  </si>
  <si>
    <t>Sổ 1561 Misa từ 31.5 - 29.6</t>
  </si>
  <si>
    <t>SỐ MỚI NGÀY 10.7 SAU UPDATE MISA CỦA TRỌNG VÀ HỒNG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</si>
</sst>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rgb="FFFF0000"/>
      <name val="Times New Roman"/>
      <family val="1"/>
    </font>
    <font>
      <sz val="12"/>
      <color rgb="FFFF0000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sz val="9"/>
      <name val="Times New Roman"/>
      <family val="1"/>
    </font>
    <font>
      <sz val="13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8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shrinkToFit="1"/>
    </xf>
    <xf numFmtId="164" fontId="5" fillId="0" borderId="2" xfId="1" applyNumberFormat="1" applyFont="1" applyFill="1" applyBorder="1" applyAlignment="1">
      <alignment horizontal="left" vertical="center" shrinkToFit="1"/>
    </xf>
    <xf numFmtId="164" fontId="5" fillId="0" borderId="2" xfId="2" applyNumberFormat="1" applyFont="1" applyFill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1" fontId="5" fillId="0" borderId="2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wrapText="1" shrinkToFit="1"/>
    </xf>
    <xf numFmtId="165" fontId="8" fillId="0" borderId="2" xfId="0" applyNumberFormat="1" applyFont="1" applyBorder="1" applyAlignment="1">
      <alignment horizontal="left" vertical="center" shrinkToFit="1"/>
    </xf>
    <xf numFmtId="165" fontId="5" fillId="0" borderId="2" xfId="0" applyNumberFormat="1" applyFont="1" applyBorder="1" applyAlignment="1">
      <alignment horizontal="left" vertical="center" shrinkToFit="1"/>
    </xf>
    <xf numFmtId="1" fontId="7" fillId="0" borderId="2" xfId="0" applyNumberFormat="1" applyFont="1" applyBorder="1" applyAlignment="1">
      <alignment horizontal="left" vertical="center" shrinkToFit="1"/>
    </xf>
    <xf numFmtId="164" fontId="5" fillId="0" borderId="2" xfId="1" applyNumberFormat="1" applyFont="1" applyFill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center" shrinkToFit="1"/>
    </xf>
    <xf numFmtId="166" fontId="5" fillId="0" borderId="2" xfId="2" applyNumberFormat="1" applyFont="1" applyFill="1" applyBorder="1" applyAlignment="1">
      <alignment horizontal="left" vertical="center" shrinkToFit="1"/>
    </xf>
    <xf numFmtId="165" fontId="7" fillId="0" borderId="2" xfId="0" applyNumberFormat="1" applyFont="1" applyBorder="1" applyAlignment="1">
      <alignment horizontal="left" vertical="center" shrinkToFit="1"/>
    </xf>
    <xf numFmtId="1" fontId="7" fillId="0" borderId="0" xfId="0" applyNumberFormat="1" applyFont="1" applyAlignment="1">
      <alignment horizontal="left" vertical="center" shrinkToFit="1"/>
    </xf>
    <xf numFmtId="165" fontId="7" fillId="0" borderId="0" xfId="0" applyNumberFormat="1" applyFont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wrapText="1" shrinkToFit="1"/>
    </xf>
    <xf numFmtId="3" fontId="7" fillId="0" borderId="2" xfId="0" applyNumberFormat="1" applyFont="1" applyBorder="1"/>
    <xf numFmtId="1" fontId="8" fillId="0" borderId="2" xfId="0" applyNumberFormat="1" applyFont="1" applyBorder="1" applyAlignment="1">
      <alignment horizontal="left" vertical="center" shrinkToFit="1"/>
    </xf>
    <xf numFmtId="1" fontId="8" fillId="0" borderId="4" xfId="0" applyNumberFormat="1" applyFont="1" applyBorder="1" applyAlignment="1">
      <alignment horizontal="left" vertical="center" shrinkToFit="1"/>
    </xf>
    <xf numFmtId="165" fontId="8" fillId="0" borderId="4" xfId="0" applyNumberFormat="1" applyFont="1" applyBorder="1" applyAlignment="1">
      <alignment horizontal="left" vertical="center" shrinkToFit="1"/>
    </xf>
    <xf numFmtId="1" fontId="5" fillId="0" borderId="4" xfId="0" applyNumberFormat="1" applyFont="1" applyBorder="1" applyAlignment="1">
      <alignment horizontal="left" vertical="center" shrinkToFit="1"/>
    </xf>
    <xf numFmtId="165" fontId="8" fillId="0" borderId="2" xfId="0" applyNumberFormat="1" applyFont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top"/>
    </xf>
    <xf numFmtId="166" fontId="5" fillId="0" borderId="2" xfId="2" applyNumberFormat="1" applyFont="1" applyFill="1" applyBorder="1" applyAlignment="1">
      <alignment horizontal="left" vertical="top"/>
    </xf>
    <xf numFmtId="165" fontId="5" fillId="3" borderId="2" xfId="0" applyNumberFormat="1" applyFont="1" applyFill="1" applyBorder="1" applyAlignment="1">
      <alignment horizontal="left" vertical="center" shrinkToFit="1"/>
    </xf>
    <xf numFmtId="1" fontId="5" fillId="0" borderId="0" xfId="0" applyNumberFormat="1" applyFont="1" applyAlignment="1">
      <alignment horizontal="left" vertical="center" shrinkToFit="1"/>
    </xf>
    <xf numFmtId="164" fontId="9" fillId="0" borderId="2" xfId="1" applyNumberFormat="1" applyFont="1" applyFill="1" applyBorder="1" applyAlignment="1">
      <alignment horizontal="left" vertical="center" wrapText="1" shrinkToFit="1"/>
    </xf>
    <xf numFmtId="1" fontId="10" fillId="0" borderId="2" xfId="0" applyNumberFormat="1" applyFont="1" applyBorder="1" applyAlignment="1">
      <alignment horizontal="left" vertical="center" shrinkToFit="1"/>
    </xf>
    <xf numFmtId="1" fontId="11" fillId="0" borderId="2" xfId="0" applyNumberFormat="1" applyFont="1" applyBorder="1" applyAlignment="1">
      <alignment horizontal="left" vertical="center" shrinkToFit="1"/>
    </xf>
    <xf numFmtId="164" fontId="11" fillId="0" borderId="2" xfId="1" applyNumberFormat="1" applyFont="1" applyFill="1" applyBorder="1" applyAlignment="1">
      <alignment horizontal="left" vertical="center" shrinkToFit="1"/>
    </xf>
    <xf numFmtId="164" fontId="11" fillId="0" borderId="2" xfId="2" applyNumberFormat="1" applyFont="1" applyFill="1" applyBorder="1" applyAlignment="1">
      <alignment horizontal="left" vertical="center" shrinkToFit="1"/>
    </xf>
    <xf numFmtId="0" fontId="11" fillId="0" borderId="2" xfId="0" applyFont="1" applyBorder="1" applyAlignment="1">
      <alignment vertical="center"/>
    </xf>
    <xf numFmtId="3" fontId="7" fillId="0" borderId="2" xfId="0" applyNumberFormat="1" applyFont="1" applyBorder="1" applyAlignment="1">
      <alignment horizontal="left" vertical="center" shrinkToFit="1"/>
    </xf>
    <xf numFmtId="3" fontId="8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164" fontId="12" fillId="0" borderId="2" xfId="1" applyNumberFormat="1" applyFont="1" applyFill="1" applyBorder="1" applyAlignment="1">
      <alignment horizontal="center" vertical="center"/>
    </xf>
    <xf numFmtId="164" fontId="12" fillId="0" borderId="2" xfId="2" applyNumberFormat="1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vertical="center" shrinkToFit="1"/>
    </xf>
    <xf numFmtId="164" fontId="4" fillId="0" borderId="2" xfId="1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left" vertical="center" shrinkToFit="1"/>
    </xf>
    <xf numFmtId="164" fontId="4" fillId="0" borderId="2" xfId="2" applyNumberFormat="1" applyFont="1" applyFill="1" applyBorder="1" applyAlignment="1">
      <alignment horizontal="center" vertical="center"/>
    </xf>
    <xf numFmtId="164" fontId="5" fillId="0" borderId="2" xfId="2" applyNumberFormat="1" applyFont="1" applyFill="1" applyBorder="1" applyAlignment="1">
      <alignment horizontal="left" vertical="center" wrapText="1" shrinkToFit="1"/>
    </xf>
    <xf numFmtId="164" fontId="9" fillId="0" borderId="2" xfId="2" applyNumberFormat="1" applyFont="1" applyFill="1" applyBorder="1" applyAlignment="1">
      <alignment horizontal="left" vertical="center" wrapText="1" shrinkToFit="1"/>
    </xf>
    <xf numFmtId="164" fontId="0" fillId="0" borderId="0" xfId="0" applyNumberFormat="1"/>
    <xf numFmtId="0" fontId="5" fillId="4" borderId="2" xfId="0" applyFont="1" applyFill="1" applyBorder="1" applyAlignment="1">
      <alignment horizontal="left" vertical="center" shrinkToFit="1"/>
    </xf>
    <xf numFmtId="164" fontId="5" fillId="4" borderId="2" xfId="2" applyNumberFormat="1" applyFont="1" applyFill="1" applyBorder="1" applyAlignment="1">
      <alignment horizontal="left" vertical="center" shrinkToFit="1"/>
    </xf>
    <xf numFmtId="1" fontId="5" fillId="5" borderId="2" xfId="0" applyNumberFormat="1" applyFont="1" applyFill="1" applyBorder="1" applyAlignment="1">
      <alignment horizontal="left" vertical="center" shrinkToFit="1"/>
    </xf>
    <xf numFmtId="164" fontId="5" fillId="5" borderId="2" xfId="2" applyNumberFormat="1" applyFont="1" applyFill="1" applyBorder="1" applyAlignment="1">
      <alignment horizontal="left" vertical="center" shrinkToFit="1"/>
    </xf>
    <xf numFmtId="1" fontId="5" fillId="4" borderId="4" xfId="0" applyNumberFormat="1" applyFont="1" applyFill="1" applyBorder="1" applyAlignment="1">
      <alignment horizontal="left" vertical="center" shrinkToFit="1"/>
    </xf>
    <xf numFmtId="1" fontId="13" fillId="4" borderId="2" xfId="0" applyNumberFormat="1" applyFont="1" applyFill="1" applyBorder="1" applyAlignment="1">
      <alignment horizontal="left" vertical="center" shrinkToFit="1"/>
    </xf>
    <xf numFmtId="164" fontId="13" fillId="4" borderId="2" xfId="2" applyNumberFormat="1" applyFont="1" applyFill="1" applyBorder="1" applyAlignment="1">
      <alignment horizontal="left" vertical="center" shrinkToFit="1"/>
    </xf>
    <xf numFmtId="1" fontId="8" fillId="6" borderId="2" xfId="0" applyNumberFormat="1" applyFont="1" applyFill="1" applyBorder="1" applyAlignment="1">
      <alignment horizontal="left" vertical="center" shrinkToFit="1"/>
    </xf>
    <xf numFmtId="164" fontId="3" fillId="0" borderId="0" xfId="2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4" fontId="4" fillId="0" borderId="2" xfId="2" applyNumberFormat="1" applyFont="1" applyFill="1" applyBorder="1" applyAlignment="1">
      <alignment vertical="center" wrapText="1"/>
    </xf>
    <xf numFmtId="3" fontId="15" fillId="3" borderId="10" xfId="0" applyNumberFormat="1" applyFont="1" applyFill="1" applyBorder="1" applyAlignment="1">
      <alignment horizontal="center" vertical="center" wrapText="1"/>
    </xf>
    <xf numFmtId="3" fontId="15" fillId="3" borderId="1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17" fillId="3" borderId="11" xfId="0" applyNumberFormat="1" applyFont="1" applyFill="1" applyBorder="1" applyAlignment="1">
      <alignment horizontal="center" vertical="center" wrapText="1"/>
    </xf>
    <xf numFmtId="3" fontId="17" fillId="3" borderId="8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4" fontId="16" fillId="0" borderId="2" xfId="2" applyNumberFormat="1" applyFont="1" applyFill="1" applyBorder="1" applyAlignment="1">
      <alignment horizontal="center" vertical="center"/>
    </xf>
    <xf numFmtId="3" fontId="5" fillId="3" borderId="10" xfId="0" applyNumberFormat="1" applyFont="1" applyFill="1" applyBorder="1" applyAlignment="1">
      <alignment horizontal="left" vertical="center" shrinkToFit="1"/>
    </xf>
    <xf numFmtId="3" fontId="17" fillId="3" borderId="11" xfId="0" applyNumberFormat="1" applyFont="1" applyFill="1" applyBorder="1" applyAlignment="1">
      <alignment horizontal="left" vertical="center" shrinkToFit="1"/>
    </xf>
    <xf numFmtId="3" fontId="5" fillId="3" borderId="6" xfId="0" applyNumberFormat="1" applyFont="1" applyFill="1" applyBorder="1" applyAlignment="1">
      <alignment horizontal="left" vertical="center" shrinkToFit="1"/>
    </xf>
    <xf numFmtId="3" fontId="19" fillId="3" borderId="8" xfId="0" applyNumberFormat="1" applyFont="1" applyFill="1" applyBorder="1" applyAlignment="1">
      <alignment horizontal="left" vertical="center" shrinkToFit="1"/>
    </xf>
    <xf numFmtId="0" fontId="20" fillId="0" borderId="0" xfId="0" applyFont="1" applyAlignment="1">
      <alignment horizontal="left" vertical="center"/>
    </xf>
    <xf numFmtId="3" fontId="5" fillId="3" borderId="7" xfId="0" applyNumberFormat="1" applyFont="1" applyFill="1" applyBorder="1" applyAlignment="1">
      <alignment horizontal="left" vertical="center" shrinkToFit="1"/>
    </xf>
    <xf numFmtId="3" fontId="5" fillId="3" borderId="13" xfId="0" applyNumberFormat="1" applyFont="1" applyFill="1" applyBorder="1" applyAlignment="1">
      <alignment horizontal="left" vertical="center" shrinkToFit="1"/>
    </xf>
    <xf numFmtId="3" fontId="12" fillId="3" borderId="11" xfId="0" applyNumberFormat="1" applyFont="1" applyFill="1" applyBorder="1" applyAlignment="1">
      <alignment horizontal="left" vertical="center" wrapText="1"/>
    </xf>
    <xf numFmtId="3" fontId="12" fillId="3" borderId="6" xfId="0" applyNumberFormat="1" applyFont="1" applyFill="1" applyBorder="1" applyAlignment="1">
      <alignment horizontal="left" vertical="center" shrinkToFit="1"/>
    </xf>
    <xf numFmtId="3" fontId="5" fillId="3" borderId="10" xfId="0" applyNumberFormat="1" applyFont="1" applyFill="1" applyBorder="1" applyAlignment="1">
      <alignment horizontal="left" vertical="center"/>
    </xf>
    <xf numFmtId="3" fontId="19" fillId="3" borderId="8" xfId="0" applyNumberFormat="1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164" fontId="23" fillId="0" borderId="2" xfId="2" applyNumberFormat="1" applyFont="1" applyFill="1" applyBorder="1" applyAlignment="1">
      <alignment horizontal="center" vertical="center"/>
    </xf>
    <xf numFmtId="3" fontId="11" fillId="3" borderId="6" xfId="0" applyNumberFormat="1" applyFont="1" applyFill="1" applyBorder="1" applyAlignment="1">
      <alignment horizontal="left" vertical="center" shrinkToFit="1"/>
    </xf>
    <xf numFmtId="3" fontId="10" fillId="3" borderId="8" xfId="0" applyNumberFormat="1" applyFont="1" applyFill="1" applyBorder="1" applyAlignment="1">
      <alignment horizontal="left" vertical="center" shrinkToFit="1"/>
    </xf>
    <xf numFmtId="3" fontId="19" fillId="3" borderId="8" xfId="0" applyNumberFormat="1" applyFont="1" applyFill="1" applyBorder="1" applyAlignment="1">
      <alignment horizontal="left" vertical="top"/>
    </xf>
    <xf numFmtId="3" fontId="5" fillId="3" borderId="10" xfId="0" applyNumberFormat="1" applyFont="1" applyFill="1" applyBorder="1" applyAlignment="1">
      <alignment horizontal="left" vertical="top"/>
    </xf>
    <xf numFmtId="3" fontId="17" fillId="3" borderId="8" xfId="0" applyNumberFormat="1" applyFont="1" applyFill="1" applyBorder="1" applyAlignment="1">
      <alignment horizontal="left" vertical="center" shrinkToFit="1"/>
    </xf>
    <xf numFmtId="3" fontId="5" fillId="3" borderId="9" xfId="0" applyNumberFormat="1" applyFont="1" applyFill="1" applyBorder="1" applyAlignment="1">
      <alignment horizontal="left" vertical="center" shrinkToFit="1"/>
    </xf>
    <xf numFmtId="3" fontId="5" fillId="3" borderId="14" xfId="0" applyNumberFormat="1" applyFont="1" applyFill="1" applyBorder="1" applyAlignment="1">
      <alignment horizontal="left" vertical="center" shrinkToFit="1"/>
    </xf>
    <xf numFmtId="3" fontId="5" fillId="3" borderId="6" xfId="0" applyNumberFormat="1" applyFont="1" applyFill="1" applyBorder="1" applyAlignment="1">
      <alignment horizontal="center" vertical="center" shrinkToFit="1"/>
    </xf>
    <xf numFmtId="3" fontId="5" fillId="3" borderId="8" xfId="0" applyNumberFormat="1" applyFont="1" applyFill="1" applyBorder="1" applyAlignment="1">
      <alignment horizontal="left" vertical="center" shrinkToFit="1"/>
    </xf>
    <xf numFmtId="164" fontId="4" fillId="3" borderId="10" xfId="2" applyNumberFormat="1" applyFont="1" applyFill="1" applyBorder="1" applyAlignment="1">
      <alignment horizontal="center" vertical="center"/>
    </xf>
    <xf numFmtId="164" fontId="4" fillId="3" borderId="11" xfId="2" applyNumberFormat="1" applyFont="1" applyFill="1" applyBorder="1" applyAlignment="1">
      <alignment horizontal="center" vertical="center"/>
    </xf>
    <xf numFmtId="164" fontId="4" fillId="3" borderId="6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8" fillId="0" borderId="0" xfId="2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3" fontId="17" fillId="3" borderId="11" xfId="0" applyNumberFormat="1" applyFont="1" applyFill="1" applyBorder="1" applyAlignment="1">
      <alignment horizontal="left" vertical="center" wrapText="1" shrinkToFit="1"/>
    </xf>
    <xf numFmtId="3" fontId="19" fillId="3" borderId="6" xfId="0" applyNumberFormat="1" applyFont="1" applyFill="1" applyBorder="1" applyAlignment="1">
      <alignment horizontal="left" vertical="center" shrinkToFit="1"/>
    </xf>
    <xf numFmtId="3" fontId="12" fillId="3" borderId="6" xfId="0" applyNumberFormat="1" applyFont="1" applyFill="1" applyBorder="1" applyAlignment="1">
      <alignment horizontal="left" vertical="center" wrapText="1" shrinkToFit="1"/>
    </xf>
    <xf numFmtId="3" fontId="19" fillId="3" borderId="8" xfId="0" applyNumberFormat="1" applyFont="1" applyFill="1" applyBorder="1" applyAlignment="1">
      <alignment horizontal="left" vertical="center" wrapText="1" shrinkToFit="1"/>
    </xf>
    <xf numFmtId="164" fontId="4" fillId="7" borderId="2" xfId="2" applyNumberFormat="1" applyFont="1" applyFill="1" applyBorder="1" applyAlignment="1">
      <alignment vertical="center" wrapText="1"/>
    </xf>
    <xf numFmtId="3" fontId="4" fillId="7" borderId="2" xfId="0" applyNumberFormat="1" applyFont="1" applyFill="1" applyBorder="1" applyAlignment="1">
      <alignment horizontal="center" vertical="center" wrapText="1"/>
    </xf>
    <xf numFmtId="3" fontId="15" fillId="7" borderId="12" xfId="0" applyNumberFormat="1" applyFont="1" applyFill="1" applyBorder="1" applyAlignment="1">
      <alignment horizontal="center" vertical="center" wrapText="1"/>
    </xf>
    <xf numFmtId="3" fontId="15" fillId="7" borderId="8" xfId="0" applyNumberFormat="1" applyFont="1" applyFill="1" applyBorder="1" applyAlignment="1">
      <alignment horizontal="center" vertical="center" wrapText="1"/>
    </xf>
    <xf numFmtId="3" fontId="19" fillId="4" borderId="0" xfId="0" applyNumberFormat="1" applyFont="1" applyFill="1" applyAlignment="1">
      <alignment horizontal="left" vertical="center"/>
    </xf>
    <xf numFmtId="16" fontId="2" fillId="0" borderId="0" xfId="0" applyNumberFormat="1" applyFont="1"/>
    <xf numFmtId="3" fontId="4" fillId="7" borderId="12" xfId="0" applyNumberFormat="1" applyFont="1" applyFill="1" applyBorder="1" applyAlignment="1">
      <alignment horizontal="center" vertical="center" wrapText="1"/>
    </xf>
    <xf numFmtId="3" fontId="4" fillId="7" borderId="8" xfId="0" applyNumberFormat="1" applyFont="1" applyFill="1" applyBorder="1" applyAlignment="1">
      <alignment horizontal="center" vertical="center" wrapText="1"/>
    </xf>
    <xf numFmtId="3" fontId="19" fillId="3" borderId="11" xfId="0" applyNumberFormat="1" applyFont="1" applyFill="1" applyBorder="1" applyAlignment="1">
      <alignment horizontal="left" vertical="center" shrinkToFit="1"/>
    </xf>
    <xf numFmtId="164" fontId="19" fillId="4" borderId="0" xfId="0" applyNumberFormat="1" applyFont="1" applyFill="1" applyAlignment="1">
      <alignment horizontal="left" vertical="center"/>
    </xf>
    <xf numFmtId="1" fontId="5" fillId="3" borderId="2" xfId="0" applyNumberFormat="1" applyFont="1" applyFill="1" applyBorder="1" applyAlignment="1">
      <alignment horizontal="left" vertical="center" shrinkToFit="1"/>
    </xf>
    <xf numFmtId="164" fontId="5" fillId="3" borderId="2" xfId="2" applyNumberFormat="1" applyFont="1" applyFill="1" applyBorder="1" applyAlignment="1">
      <alignment horizontal="left" vertical="center" shrinkToFit="1"/>
    </xf>
    <xf numFmtId="165" fontId="7" fillId="3" borderId="2" xfId="0" applyNumberFormat="1" applyFont="1" applyFill="1" applyBorder="1" applyAlignment="1">
      <alignment horizontal="left" vertical="center" shrinkToFit="1"/>
    </xf>
    <xf numFmtId="1" fontId="5" fillId="3" borderId="0" xfId="0" applyNumberFormat="1" applyFont="1" applyFill="1" applyAlignment="1">
      <alignment horizontal="left" vertical="center" shrinkToFit="1"/>
    </xf>
    <xf numFmtId="164" fontId="9" fillId="3" borderId="2" xfId="2" applyNumberFormat="1" applyFont="1" applyFill="1" applyBorder="1" applyAlignment="1">
      <alignment horizontal="left" vertical="center" wrapText="1" shrinkToFit="1"/>
    </xf>
    <xf numFmtId="165" fontId="8" fillId="3" borderId="2" xfId="0" applyNumberFormat="1" applyFont="1" applyFill="1" applyBorder="1" applyAlignment="1">
      <alignment horizontal="left" vertical="center" shrinkToFit="1"/>
    </xf>
    <xf numFmtId="0" fontId="2" fillId="3" borderId="0" xfId="0" applyFont="1" applyFill="1"/>
    <xf numFmtId="0" fontId="5" fillId="3" borderId="2" xfId="0" applyFont="1" applyFill="1" applyBorder="1" applyAlignment="1">
      <alignment horizontal="left" vertical="center" shrinkToFit="1"/>
    </xf>
    <xf numFmtId="0" fontId="7" fillId="3" borderId="2" xfId="0" applyFont="1" applyFill="1" applyBorder="1" applyAlignment="1">
      <alignment horizontal="left" vertical="center" shrinkToFit="1"/>
    </xf>
    <xf numFmtId="0" fontId="8" fillId="3" borderId="2" xfId="0" applyFont="1" applyFill="1" applyBorder="1" applyAlignment="1">
      <alignment horizontal="left" vertical="center" wrapText="1" shrinkToFit="1"/>
    </xf>
    <xf numFmtId="1" fontId="7" fillId="3" borderId="2" xfId="0" applyNumberFormat="1" applyFont="1" applyFill="1" applyBorder="1" applyAlignment="1">
      <alignment horizontal="left" vertical="center" shrinkToFit="1"/>
    </xf>
    <xf numFmtId="1" fontId="8" fillId="3" borderId="2" xfId="0" applyNumberFormat="1" applyFont="1" applyFill="1" applyBorder="1" applyAlignment="1">
      <alignment horizontal="left" vertical="center" wrapText="1" shrinkToFit="1"/>
    </xf>
    <xf numFmtId="3" fontId="7" fillId="3" borderId="2" xfId="0" applyNumberFormat="1" applyFont="1" applyFill="1" applyBorder="1"/>
    <xf numFmtId="1" fontId="8" fillId="3" borderId="2" xfId="0" applyNumberFormat="1" applyFont="1" applyFill="1" applyBorder="1" applyAlignment="1">
      <alignment horizontal="left" vertical="center" shrinkToFit="1"/>
    </xf>
    <xf numFmtId="1" fontId="8" fillId="3" borderId="4" xfId="0" applyNumberFormat="1" applyFont="1" applyFill="1" applyBorder="1" applyAlignment="1">
      <alignment horizontal="left" vertical="center" shrinkToFit="1"/>
    </xf>
    <xf numFmtId="165" fontId="8" fillId="3" borderId="4" xfId="0" applyNumberFormat="1" applyFont="1" applyFill="1" applyBorder="1" applyAlignment="1">
      <alignment horizontal="left" vertical="center" shrinkToFit="1"/>
    </xf>
    <xf numFmtId="1" fontId="5" fillId="3" borderId="4" xfId="0" applyNumberFormat="1" applyFont="1" applyFill="1" applyBorder="1" applyAlignment="1">
      <alignment horizontal="left" vertical="center" shrinkToFit="1"/>
    </xf>
    <xf numFmtId="165" fontId="8" fillId="3" borderId="2" xfId="0" applyNumberFormat="1" applyFont="1" applyFill="1" applyBorder="1" applyAlignment="1">
      <alignment horizontal="left" vertical="center" wrapText="1" shrinkToFit="1"/>
    </xf>
    <xf numFmtId="1" fontId="10" fillId="3" borderId="2" xfId="0" applyNumberFormat="1" applyFont="1" applyFill="1" applyBorder="1" applyAlignment="1">
      <alignment horizontal="left" vertical="center" shrinkToFit="1"/>
    </xf>
    <xf numFmtId="1" fontId="11" fillId="3" borderId="2" xfId="0" applyNumberFormat="1" applyFont="1" applyFill="1" applyBorder="1" applyAlignment="1">
      <alignment horizontal="left" vertical="center" shrinkToFit="1"/>
    </xf>
    <xf numFmtId="0" fontId="11" fillId="3" borderId="2" xfId="0" applyFont="1" applyFill="1" applyBorder="1" applyAlignment="1">
      <alignment vertical="center"/>
    </xf>
    <xf numFmtId="3" fontId="7" fillId="3" borderId="2" xfId="0" applyNumberFormat="1" applyFont="1" applyFill="1" applyBorder="1" applyAlignment="1">
      <alignment horizontal="left" vertical="center" shrinkToFit="1"/>
    </xf>
    <xf numFmtId="3" fontId="8" fillId="3" borderId="2" xfId="0" applyNumberFormat="1" applyFont="1" applyFill="1" applyBorder="1" applyAlignment="1">
      <alignment horizontal="left" vertical="center" shrinkToFit="1"/>
    </xf>
    <xf numFmtId="3" fontId="5" fillId="3" borderId="2" xfId="0" applyNumberFormat="1" applyFont="1" applyFill="1" applyBorder="1" applyAlignment="1">
      <alignment horizontal="left" vertical="center" shrinkToFit="1"/>
    </xf>
    <xf numFmtId="1" fontId="12" fillId="3" borderId="2" xfId="0" applyNumberFormat="1" applyFont="1" applyFill="1" applyBorder="1" applyAlignment="1">
      <alignment vertical="center" shrinkToFit="1"/>
    </xf>
    <xf numFmtId="0" fontId="4" fillId="3" borderId="1" xfId="0" applyFont="1" applyFill="1" applyBorder="1" applyAlignment="1">
      <alignment horizontal="center" vertical="center" wrapText="1"/>
    </xf>
    <xf numFmtId="165" fontId="8" fillId="4" borderId="2" xfId="0" applyNumberFormat="1" applyFont="1" applyFill="1" applyBorder="1" applyAlignment="1">
      <alignment horizontal="left" vertical="center" shrinkToFit="1"/>
    </xf>
    <xf numFmtId="0" fontId="16" fillId="3" borderId="5" xfId="0" applyFont="1" applyFill="1" applyBorder="1" applyAlignment="1">
      <alignment horizontal="center" vertical="center"/>
    </xf>
    <xf numFmtId="164" fontId="4" fillId="8" borderId="2" xfId="2" applyNumberFormat="1" applyFont="1" applyFill="1" applyBorder="1" applyAlignment="1">
      <alignment vertical="center" wrapText="1"/>
    </xf>
    <xf numFmtId="3" fontId="4" fillId="8" borderId="2" xfId="0" applyNumberFormat="1" applyFont="1" applyFill="1" applyBorder="1" applyAlignment="1">
      <alignment horizontal="center" vertical="center" wrapText="1"/>
    </xf>
    <xf numFmtId="3" fontId="15" fillId="8" borderId="12" xfId="0" applyNumberFormat="1" applyFont="1" applyFill="1" applyBorder="1" applyAlignment="1">
      <alignment horizontal="center" vertical="center" wrapText="1"/>
    </xf>
    <xf numFmtId="3" fontId="15" fillId="8" borderId="8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164" fontId="24" fillId="3" borderId="0" xfId="1" applyNumberFormat="1" applyFont="1" applyFill="1"/>
    <xf numFmtId="164" fontId="0" fillId="0" borderId="0" xfId="1" applyNumberFormat="1" applyFont="1"/>
    <xf numFmtId="164" fontId="25" fillId="3" borderId="0" xfId="1" applyNumberFormat="1" applyFont="1" applyFill="1"/>
    <xf numFmtId="3" fontId="19" fillId="3" borderId="0" xfId="0" applyNumberFormat="1" applyFont="1" applyFill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4" fontId="8" fillId="0" borderId="0" xfId="1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74"/>
  <sheetViews>
    <sheetView topLeftCell="A389" workbookViewId="0">
      <selection activeCell="H683" sqref="H683"/>
    </sheetView>
  </sheetViews>
  <sheetFormatPr defaultRowHeight="14.4" x14ac:dyDescent="0.3"/>
  <cols>
    <col min="1" max="1" width="38.77734375" customWidth="1"/>
    <col min="3" max="3" width="12.33203125" customWidth="1"/>
    <col min="4" max="4" width="17" customWidth="1"/>
  </cols>
  <sheetData>
    <row r="1" spans="1:4" x14ac:dyDescent="0.3">
      <c r="A1" s="1" t="s">
        <v>339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7">
        <v>20</v>
      </c>
      <c r="C3" s="7">
        <v>12000</v>
      </c>
      <c r="D3" s="8">
        <f>B3*C3</f>
        <v>240000</v>
      </c>
    </row>
    <row r="4" spans="1:4" ht="18" hidden="1" x14ac:dyDescent="0.3">
      <c r="A4" s="9" t="s">
        <v>3</v>
      </c>
      <c r="B4" s="7"/>
      <c r="C4" s="7"/>
      <c r="D4" s="8">
        <f t="shared" ref="D4:D67" si="0">B4*C4</f>
        <v>0</v>
      </c>
    </row>
    <row r="5" spans="1:4" ht="18" hidden="1" x14ac:dyDescent="0.3">
      <c r="A5" s="6" t="s">
        <v>4</v>
      </c>
      <c r="B5" s="7"/>
      <c r="C5" s="7"/>
      <c r="D5" s="8">
        <f t="shared" si="0"/>
        <v>0</v>
      </c>
    </row>
    <row r="6" spans="1:4" ht="18" hidden="1" x14ac:dyDescent="0.3">
      <c r="A6" s="6" t="s">
        <v>5</v>
      </c>
      <c r="B6" s="7"/>
      <c r="C6" s="7"/>
      <c r="D6" s="8">
        <f t="shared" si="0"/>
        <v>0</v>
      </c>
    </row>
    <row r="7" spans="1:4" ht="18" hidden="1" x14ac:dyDescent="0.3">
      <c r="A7" s="10" t="s">
        <v>6</v>
      </c>
      <c r="B7" s="7"/>
      <c r="C7" s="7"/>
      <c r="D7" s="8">
        <f t="shared" si="0"/>
        <v>0</v>
      </c>
    </row>
    <row r="8" spans="1:4" ht="18" hidden="1" x14ac:dyDescent="0.3">
      <c r="A8" s="11" t="s">
        <v>7</v>
      </c>
      <c r="B8" s="7"/>
      <c r="C8" s="7"/>
      <c r="D8" s="8">
        <f t="shared" si="0"/>
        <v>0</v>
      </c>
    </row>
    <row r="9" spans="1:4" ht="18" hidden="1" x14ac:dyDescent="0.3">
      <c r="A9" s="6" t="s">
        <v>8</v>
      </c>
      <c r="B9" s="7"/>
      <c r="C9" s="7"/>
      <c r="D9" s="8">
        <f t="shared" si="0"/>
        <v>0</v>
      </c>
    </row>
    <row r="10" spans="1:4" ht="18" hidden="1" x14ac:dyDescent="0.3">
      <c r="A10" s="6" t="s">
        <v>9</v>
      </c>
      <c r="B10" s="7"/>
      <c r="C10" s="7"/>
      <c r="D10" s="8">
        <f t="shared" si="0"/>
        <v>0</v>
      </c>
    </row>
    <row r="11" spans="1:4" ht="18" hidden="1" x14ac:dyDescent="0.3">
      <c r="A11" s="12" t="s">
        <v>10</v>
      </c>
      <c r="B11" s="7"/>
      <c r="C11" s="7"/>
      <c r="D11" s="8">
        <f t="shared" si="0"/>
        <v>0</v>
      </c>
    </row>
    <row r="12" spans="1:4" ht="18" hidden="1" x14ac:dyDescent="0.3">
      <c r="A12" s="10" t="s">
        <v>11</v>
      </c>
      <c r="B12" s="7"/>
      <c r="C12" s="7"/>
      <c r="D12" s="8">
        <f t="shared" si="0"/>
        <v>0</v>
      </c>
    </row>
    <row r="13" spans="1:4" ht="18" hidden="1" x14ac:dyDescent="0.3">
      <c r="A13" s="10" t="s">
        <v>12</v>
      </c>
      <c r="B13" s="7"/>
      <c r="C13" s="7"/>
      <c r="D13" s="8">
        <f t="shared" si="0"/>
        <v>0</v>
      </c>
    </row>
    <row r="14" spans="1:4" ht="18" hidden="1" x14ac:dyDescent="0.3">
      <c r="A14" s="13" t="s">
        <v>13</v>
      </c>
      <c r="B14" s="7"/>
      <c r="C14" s="7"/>
      <c r="D14" s="8">
        <f t="shared" si="0"/>
        <v>0</v>
      </c>
    </row>
    <row r="15" spans="1:4" ht="18" x14ac:dyDescent="0.3">
      <c r="A15" s="13" t="s">
        <v>14</v>
      </c>
      <c r="B15" s="7">
        <v>13</v>
      </c>
      <c r="C15" s="7">
        <v>20000</v>
      </c>
      <c r="D15" s="8">
        <f t="shared" si="0"/>
        <v>260000</v>
      </c>
    </row>
    <row r="16" spans="1:4" ht="18" hidden="1" x14ac:dyDescent="0.3">
      <c r="A16" s="10" t="s">
        <v>15</v>
      </c>
      <c r="B16" s="7"/>
      <c r="C16" s="7"/>
      <c r="D16" s="8">
        <f t="shared" si="0"/>
        <v>0</v>
      </c>
    </row>
    <row r="17" spans="1:4" ht="18" hidden="1" x14ac:dyDescent="0.3">
      <c r="A17" s="10" t="s">
        <v>16</v>
      </c>
      <c r="B17" s="7"/>
      <c r="C17" s="7"/>
      <c r="D17" s="8">
        <f t="shared" si="0"/>
        <v>0</v>
      </c>
    </row>
    <row r="18" spans="1:4" ht="18" hidden="1" x14ac:dyDescent="0.3">
      <c r="A18" s="14" t="s">
        <v>17</v>
      </c>
      <c r="B18" s="7"/>
      <c r="C18" s="7"/>
      <c r="D18" s="8">
        <f t="shared" si="0"/>
        <v>0</v>
      </c>
    </row>
    <row r="19" spans="1:4" ht="18" hidden="1" x14ac:dyDescent="0.3">
      <c r="A19" s="12" t="s">
        <v>18</v>
      </c>
      <c r="B19" s="7"/>
      <c r="C19" s="15"/>
      <c r="D19" s="8">
        <f t="shared" si="0"/>
        <v>0</v>
      </c>
    </row>
    <row r="20" spans="1:4" ht="18" hidden="1" x14ac:dyDescent="0.3">
      <c r="A20" s="10" t="s">
        <v>19</v>
      </c>
      <c r="B20" s="7"/>
      <c r="C20" s="7"/>
      <c r="D20" s="8">
        <f t="shared" si="0"/>
        <v>0</v>
      </c>
    </row>
    <row r="21" spans="1:4" ht="18" hidden="1" x14ac:dyDescent="0.3">
      <c r="A21" s="13" t="s">
        <v>20</v>
      </c>
      <c r="B21" s="7"/>
      <c r="C21" s="7"/>
      <c r="D21" s="8">
        <f t="shared" si="0"/>
        <v>0</v>
      </c>
    </row>
    <row r="22" spans="1:4" ht="18" hidden="1" x14ac:dyDescent="0.3">
      <c r="A22" s="13" t="s">
        <v>21</v>
      </c>
      <c r="B22" s="7"/>
      <c r="C22" s="7"/>
      <c r="D22" s="8">
        <f t="shared" si="0"/>
        <v>0</v>
      </c>
    </row>
    <row r="23" spans="1:4" ht="18" hidden="1" x14ac:dyDescent="0.3">
      <c r="A23" s="10" t="s">
        <v>22</v>
      </c>
      <c r="B23" s="7"/>
      <c r="C23" s="7"/>
      <c r="D23" s="8">
        <f t="shared" si="0"/>
        <v>0</v>
      </c>
    </row>
    <row r="24" spans="1:4" ht="18" hidden="1" x14ac:dyDescent="0.3">
      <c r="A24" s="10" t="s">
        <v>23</v>
      </c>
      <c r="B24" s="7"/>
      <c r="C24" s="7"/>
      <c r="D24" s="8">
        <f t="shared" si="0"/>
        <v>0</v>
      </c>
    </row>
    <row r="25" spans="1:4" ht="18" x14ac:dyDescent="0.3">
      <c r="A25" s="10" t="s">
        <v>24</v>
      </c>
      <c r="B25" s="7">
        <f>20+13+30+50</f>
        <v>113</v>
      </c>
      <c r="C25" s="7">
        <v>15000</v>
      </c>
      <c r="D25" s="8">
        <f t="shared" si="0"/>
        <v>1695000</v>
      </c>
    </row>
    <row r="26" spans="1:4" ht="18" hidden="1" x14ac:dyDescent="0.3">
      <c r="A26" s="10" t="s">
        <v>25</v>
      </c>
      <c r="B26" s="7"/>
      <c r="C26" s="7"/>
      <c r="D26" s="8">
        <f t="shared" si="0"/>
        <v>0</v>
      </c>
    </row>
    <row r="27" spans="1:4" ht="18" hidden="1" x14ac:dyDescent="0.3">
      <c r="A27" s="10" t="s">
        <v>26</v>
      </c>
      <c r="B27" s="7"/>
      <c r="C27" s="7"/>
      <c r="D27" s="8">
        <f t="shared" si="0"/>
        <v>0</v>
      </c>
    </row>
    <row r="28" spans="1:4" ht="18" x14ac:dyDescent="0.3">
      <c r="A28" s="10" t="s">
        <v>27</v>
      </c>
      <c r="B28" s="7">
        <f>7+69+15</f>
        <v>91</v>
      </c>
      <c r="C28" s="7">
        <v>18000</v>
      </c>
      <c r="D28" s="8">
        <f t="shared" si="0"/>
        <v>1638000</v>
      </c>
    </row>
    <row r="29" spans="1:4" ht="18" hidden="1" x14ac:dyDescent="0.3">
      <c r="A29" s="13" t="s">
        <v>28</v>
      </c>
      <c r="B29" s="7"/>
      <c r="C29" s="7"/>
      <c r="D29" s="8">
        <f t="shared" si="0"/>
        <v>0</v>
      </c>
    </row>
    <row r="30" spans="1:4" ht="18" hidden="1" x14ac:dyDescent="0.3">
      <c r="A30" s="12" t="s">
        <v>29</v>
      </c>
      <c r="B30" s="7"/>
      <c r="C30" s="7"/>
      <c r="D30" s="8">
        <f t="shared" si="0"/>
        <v>0</v>
      </c>
    </row>
    <row r="31" spans="1:4" ht="18" hidden="1" x14ac:dyDescent="0.3">
      <c r="A31" s="12" t="s">
        <v>30</v>
      </c>
      <c r="B31" s="7"/>
      <c r="C31" s="7"/>
      <c r="D31" s="8">
        <f t="shared" si="0"/>
        <v>0</v>
      </c>
    </row>
    <row r="32" spans="1:4" ht="18" hidden="1" x14ac:dyDescent="0.3">
      <c r="A32" s="12" t="s">
        <v>31</v>
      </c>
      <c r="B32" s="7"/>
      <c r="C32" s="7"/>
      <c r="D32" s="8">
        <f t="shared" si="0"/>
        <v>0</v>
      </c>
    </row>
    <row r="33" spans="1:4" ht="18" hidden="1" x14ac:dyDescent="0.3">
      <c r="A33" s="12" t="s">
        <v>32</v>
      </c>
      <c r="B33" s="7"/>
      <c r="C33" s="7"/>
      <c r="D33" s="8">
        <f t="shared" si="0"/>
        <v>0</v>
      </c>
    </row>
    <row r="34" spans="1:4" ht="18" hidden="1" x14ac:dyDescent="0.3">
      <c r="A34" s="12" t="s">
        <v>33</v>
      </c>
      <c r="B34" s="7"/>
      <c r="C34" s="7"/>
      <c r="D34" s="8">
        <f t="shared" si="0"/>
        <v>0</v>
      </c>
    </row>
    <row r="35" spans="1:4" ht="18" hidden="1" x14ac:dyDescent="0.3">
      <c r="A35" s="12" t="s">
        <v>34</v>
      </c>
      <c r="B35" s="7"/>
      <c r="C35" s="7"/>
      <c r="D35" s="8">
        <f t="shared" si="0"/>
        <v>0</v>
      </c>
    </row>
    <row r="36" spans="1:4" ht="18" x14ac:dyDescent="0.3">
      <c r="A36" s="13" t="s">
        <v>35</v>
      </c>
      <c r="B36" s="7">
        <v>23</v>
      </c>
      <c r="C36" s="7">
        <v>14000</v>
      </c>
      <c r="D36" s="8">
        <f t="shared" si="0"/>
        <v>322000</v>
      </c>
    </row>
    <row r="37" spans="1:4" ht="18" x14ac:dyDescent="0.3">
      <c r="A37" s="10" t="s">
        <v>36</v>
      </c>
      <c r="B37" s="7">
        <v>4</v>
      </c>
      <c r="C37" s="7">
        <v>43000</v>
      </c>
      <c r="D37" s="8">
        <f t="shared" si="0"/>
        <v>172000</v>
      </c>
    </row>
    <row r="38" spans="1:4" ht="18" hidden="1" x14ac:dyDescent="0.3">
      <c r="A38" s="10" t="s">
        <v>37</v>
      </c>
      <c r="B38" s="7"/>
      <c r="C38" s="7"/>
      <c r="D38" s="8">
        <f t="shared" si="0"/>
        <v>0</v>
      </c>
    </row>
    <row r="39" spans="1:4" ht="18" hidden="1" x14ac:dyDescent="0.3">
      <c r="A39" s="12" t="s">
        <v>38</v>
      </c>
      <c r="B39" s="16"/>
      <c r="C39" s="16"/>
      <c r="D39" s="8">
        <f t="shared" si="0"/>
        <v>0</v>
      </c>
    </row>
    <row r="40" spans="1:4" ht="18" hidden="1" x14ac:dyDescent="0.3">
      <c r="A40" s="12" t="s">
        <v>39</v>
      </c>
      <c r="B40" s="16"/>
      <c r="C40" s="16"/>
      <c r="D40" s="8">
        <f t="shared" si="0"/>
        <v>0</v>
      </c>
    </row>
    <row r="41" spans="1:4" ht="18" hidden="1" x14ac:dyDescent="0.3">
      <c r="A41" s="10" t="s">
        <v>40</v>
      </c>
      <c r="B41" s="7"/>
      <c r="C41" s="7"/>
      <c r="D41" s="8">
        <f t="shared" si="0"/>
        <v>0</v>
      </c>
    </row>
    <row r="42" spans="1:4" ht="18" hidden="1" x14ac:dyDescent="0.3">
      <c r="A42" s="10" t="s">
        <v>41</v>
      </c>
      <c r="B42" s="7"/>
      <c r="C42" s="7"/>
      <c r="D42" s="8">
        <f t="shared" si="0"/>
        <v>0</v>
      </c>
    </row>
    <row r="43" spans="1:4" ht="18" hidden="1" x14ac:dyDescent="0.3">
      <c r="A43" s="18" t="s">
        <v>42</v>
      </c>
      <c r="B43" s="7"/>
      <c r="C43" s="7"/>
      <c r="D43" s="8">
        <f t="shared" si="0"/>
        <v>0</v>
      </c>
    </row>
    <row r="44" spans="1:4" ht="18" hidden="1" x14ac:dyDescent="0.3">
      <c r="A44" s="10" t="s">
        <v>43</v>
      </c>
      <c r="B44" s="7"/>
      <c r="C44" s="7"/>
      <c r="D44" s="8">
        <f t="shared" si="0"/>
        <v>0</v>
      </c>
    </row>
    <row r="45" spans="1:4" ht="18" hidden="1" x14ac:dyDescent="0.3">
      <c r="A45" s="10" t="s">
        <v>44</v>
      </c>
      <c r="B45" s="7"/>
      <c r="C45" s="7"/>
      <c r="D45" s="8">
        <f t="shared" si="0"/>
        <v>0</v>
      </c>
    </row>
    <row r="46" spans="1:4" ht="18" x14ac:dyDescent="0.3">
      <c r="A46" s="10" t="s">
        <v>45</v>
      </c>
      <c r="B46" s="7">
        <v>15</v>
      </c>
      <c r="C46" s="7">
        <v>24000</v>
      </c>
      <c r="D46" s="8">
        <f t="shared" si="0"/>
        <v>360000</v>
      </c>
    </row>
    <row r="47" spans="1:4" ht="18" hidden="1" x14ac:dyDescent="0.3">
      <c r="A47" s="10" t="s">
        <v>46</v>
      </c>
      <c r="B47" s="7"/>
      <c r="C47" s="7"/>
      <c r="D47" s="8">
        <f t="shared" si="0"/>
        <v>0</v>
      </c>
    </row>
    <row r="48" spans="1:4" ht="18" hidden="1" x14ac:dyDescent="0.3">
      <c r="A48" s="19" t="s">
        <v>47</v>
      </c>
      <c r="B48" s="7"/>
      <c r="C48" s="7"/>
      <c r="D48" s="8">
        <f t="shared" si="0"/>
        <v>0</v>
      </c>
    </row>
    <row r="49" spans="1:4" ht="18" hidden="1" x14ac:dyDescent="0.3">
      <c r="A49" s="12" t="s">
        <v>48</v>
      </c>
      <c r="B49" s="7"/>
      <c r="C49" s="7"/>
      <c r="D49" s="8">
        <f t="shared" si="0"/>
        <v>0</v>
      </c>
    </row>
    <row r="50" spans="1:4" ht="18" hidden="1" x14ac:dyDescent="0.3">
      <c r="A50" s="14" t="s">
        <v>49</v>
      </c>
      <c r="B50" s="7"/>
      <c r="C50" s="7"/>
      <c r="D50" s="8">
        <f t="shared" si="0"/>
        <v>0</v>
      </c>
    </row>
    <row r="51" spans="1:4" ht="18" hidden="1" x14ac:dyDescent="0.3">
      <c r="A51" s="10" t="s">
        <v>50</v>
      </c>
      <c r="B51" s="7"/>
      <c r="C51" s="7"/>
      <c r="D51" s="8">
        <f t="shared" si="0"/>
        <v>0</v>
      </c>
    </row>
    <row r="52" spans="1:4" ht="18" hidden="1" x14ac:dyDescent="0.3">
      <c r="A52" s="10" t="s">
        <v>51</v>
      </c>
      <c r="B52" s="7"/>
      <c r="C52" s="7"/>
      <c r="D52" s="8">
        <f t="shared" si="0"/>
        <v>0</v>
      </c>
    </row>
    <row r="53" spans="1:4" ht="18" hidden="1" x14ac:dyDescent="0.3">
      <c r="A53" s="13" t="s">
        <v>52</v>
      </c>
      <c r="B53" s="7"/>
      <c r="C53" s="7"/>
      <c r="D53" s="8">
        <f t="shared" si="0"/>
        <v>0</v>
      </c>
    </row>
    <row r="54" spans="1:4" ht="18" hidden="1" x14ac:dyDescent="0.3">
      <c r="A54" s="10" t="s">
        <v>53</v>
      </c>
      <c r="B54" s="7"/>
      <c r="C54" s="7"/>
      <c r="D54" s="8">
        <f t="shared" si="0"/>
        <v>0</v>
      </c>
    </row>
    <row r="55" spans="1:4" ht="18" hidden="1" x14ac:dyDescent="0.3">
      <c r="A55" s="18" t="s">
        <v>54</v>
      </c>
      <c r="B55" s="7"/>
      <c r="C55" s="7"/>
      <c r="D55" s="8">
        <f t="shared" si="0"/>
        <v>0</v>
      </c>
    </row>
    <row r="56" spans="1:4" ht="18" x14ac:dyDescent="0.3">
      <c r="A56" s="18" t="s">
        <v>55</v>
      </c>
      <c r="B56" s="7">
        <v>8</v>
      </c>
      <c r="C56" s="7">
        <v>17400</v>
      </c>
      <c r="D56" s="8">
        <f t="shared" si="0"/>
        <v>139200</v>
      </c>
    </row>
    <row r="57" spans="1:4" ht="18" hidden="1" x14ac:dyDescent="0.3">
      <c r="A57" s="18" t="s">
        <v>56</v>
      </c>
      <c r="B57" s="7"/>
      <c r="C57" s="7"/>
      <c r="D57" s="8">
        <f t="shared" si="0"/>
        <v>0</v>
      </c>
    </row>
    <row r="58" spans="1:4" ht="18" hidden="1" x14ac:dyDescent="0.3">
      <c r="A58" s="10" t="s">
        <v>57</v>
      </c>
      <c r="B58" s="7"/>
      <c r="C58" s="7"/>
      <c r="D58" s="8">
        <f t="shared" si="0"/>
        <v>0</v>
      </c>
    </row>
    <row r="59" spans="1:4" ht="18" hidden="1" x14ac:dyDescent="0.3">
      <c r="A59" s="12" t="s">
        <v>58</v>
      </c>
      <c r="B59" s="7"/>
      <c r="C59" s="7"/>
      <c r="D59" s="8">
        <f t="shared" si="0"/>
        <v>0</v>
      </c>
    </row>
    <row r="60" spans="1:4" ht="18" hidden="1" x14ac:dyDescent="0.3">
      <c r="A60" s="10" t="s">
        <v>59</v>
      </c>
      <c r="B60" s="7"/>
      <c r="C60" s="7"/>
      <c r="D60" s="8">
        <f t="shared" si="0"/>
        <v>0</v>
      </c>
    </row>
    <row r="61" spans="1:4" ht="18" hidden="1" x14ac:dyDescent="0.3">
      <c r="A61" s="10" t="s">
        <v>60</v>
      </c>
      <c r="B61" s="7"/>
      <c r="C61" s="7"/>
      <c r="D61" s="8">
        <f t="shared" si="0"/>
        <v>0</v>
      </c>
    </row>
    <row r="62" spans="1:4" ht="18" hidden="1" x14ac:dyDescent="0.3">
      <c r="A62" s="20" t="s">
        <v>61</v>
      </c>
      <c r="B62" s="7"/>
      <c r="C62" s="7"/>
      <c r="D62" s="8">
        <f t="shared" si="0"/>
        <v>0</v>
      </c>
    </row>
    <row r="63" spans="1:4" ht="18" x14ac:dyDescent="0.3">
      <c r="A63" s="10" t="s">
        <v>62</v>
      </c>
      <c r="B63" s="7">
        <v>120</v>
      </c>
      <c r="C63" s="7">
        <v>20000</v>
      </c>
      <c r="D63" s="8">
        <f t="shared" si="0"/>
        <v>2400000</v>
      </c>
    </row>
    <row r="64" spans="1:4" ht="18" hidden="1" x14ac:dyDescent="0.3">
      <c r="A64" s="21" t="s">
        <v>63</v>
      </c>
      <c r="B64" s="7"/>
      <c r="C64" s="7"/>
      <c r="D64" s="8">
        <f t="shared" si="0"/>
        <v>0</v>
      </c>
    </row>
    <row r="65" spans="1:4" ht="18" hidden="1" x14ac:dyDescent="0.3">
      <c r="A65" s="10" t="s">
        <v>64</v>
      </c>
      <c r="B65" s="7"/>
      <c r="C65" s="7"/>
      <c r="D65" s="8">
        <f t="shared" si="0"/>
        <v>0</v>
      </c>
    </row>
    <row r="66" spans="1:4" ht="18" hidden="1" x14ac:dyDescent="0.3">
      <c r="A66" s="10" t="s">
        <v>65</v>
      </c>
      <c r="B66" s="7"/>
      <c r="C66" s="7"/>
      <c r="D66" s="8">
        <f t="shared" si="0"/>
        <v>0</v>
      </c>
    </row>
    <row r="67" spans="1:4" ht="18" hidden="1" x14ac:dyDescent="0.3">
      <c r="A67" s="22" t="s">
        <v>66</v>
      </c>
      <c r="B67" s="7"/>
      <c r="C67" s="7"/>
      <c r="D67" s="8">
        <f t="shared" si="0"/>
        <v>0</v>
      </c>
    </row>
    <row r="68" spans="1:4" ht="18" hidden="1" x14ac:dyDescent="0.3">
      <c r="A68" s="13" t="s">
        <v>67</v>
      </c>
      <c r="B68" s="7"/>
      <c r="C68" s="7"/>
      <c r="D68" s="8">
        <f t="shared" ref="D68:D131" si="1">B68*C68</f>
        <v>0</v>
      </c>
    </row>
    <row r="69" spans="1:4" ht="18" hidden="1" x14ac:dyDescent="0.3">
      <c r="A69" s="13" t="s">
        <v>68</v>
      </c>
      <c r="B69" s="7"/>
      <c r="C69" s="7"/>
      <c r="D69" s="8">
        <f t="shared" si="1"/>
        <v>0</v>
      </c>
    </row>
    <row r="70" spans="1:4" ht="18" hidden="1" x14ac:dyDescent="0.3">
      <c r="A70" s="12" t="s">
        <v>69</v>
      </c>
      <c r="B70" s="7"/>
      <c r="C70" s="7"/>
      <c r="D70" s="8">
        <f t="shared" si="1"/>
        <v>0</v>
      </c>
    </row>
    <row r="71" spans="1:4" ht="18" hidden="1" x14ac:dyDescent="0.3">
      <c r="A71" s="13" t="s">
        <v>70</v>
      </c>
      <c r="B71" s="7"/>
      <c r="C71" s="7"/>
      <c r="D71" s="8">
        <f t="shared" si="1"/>
        <v>0</v>
      </c>
    </row>
    <row r="72" spans="1:4" ht="18" hidden="1" x14ac:dyDescent="0.3">
      <c r="A72" s="13" t="s">
        <v>71</v>
      </c>
      <c r="B72" s="7"/>
      <c r="C72" s="7"/>
      <c r="D72" s="8">
        <f t="shared" si="1"/>
        <v>0</v>
      </c>
    </row>
    <row r="73" spans="1:4" ht="18" hidden="1" x14ac:dyDescent="0.3">
      <c r="A73" s="13" t="s">
        <v>72</v>
      </c>
      <c r="B73" s="7"/>
      <c r="C73" s="7"/>
      <c r="D73" s="8">
        <f t="shared" si="1"/>
        <v>0</v>
      </c>
    </row>
    <row r="74" spans="1:4" ht="18" hidden="1" x14ac:dyDescent="0.3">
      <c r="A74" s="22" t="s">
        <v>73</v>
      </c>
      <c r="B74" s="7"/>
      <c r="C74" s="7"/>
      <c r="D74" s="8">
        <f t="shared" si="1"/>
        <v>0</v>
      </c>
    </row>
    <row r="75" spans="1:4" ht="18" hidden="1" x14ac:dyDescent="0.3">
      <c r="A75" s="10" t="s">
        <v>74</v>
      </c>
      <c r="B75" s="7"/>
      <c r="C75" s="7"/>
      <c r="D75" s="8">
        <f t="shared" si="1"/>
        <v>0</v>
      </c>
    </row>
    <row r="76" spans="1:4" ht="18" hidden="1" x14ac:dyDescent="0.3">
      <c r="A76" s="10" t="s">
        <v>75</v>
      </c>
      <c r="B76" s="7"/>
      <c r="C76" s="7"/>
      <c r="D76" s="8">
        <f t="shared" si="1"/>
        <v>0</v>
      </c>
    </row>
    <row r="77" spans="1:4" ht="18" hidden="1" x14ac:dyDescent="0.3">
      <c r="A77" s="13" t="s">
        <v>76</v>
      </c>
      <c r="B77" s="7"/>
      <c r="C77" s="7"/>
      <c r="D77" s="8">
        <f t="shared" si="1"/>
        <v>0</v>
      </c>
    </row>
    <row r="78" spans="1:4" ht="18" hidden="1" x14ac:dyDescent="0.3">
      <c r="A78" s="10" t="s">
        <v>77</v>
      </c>
      <c r="B78" s="7"/>
      <c r="C78" s="7"/>
      <c r="D78" s="8">
        <f t="shared" si="1"/>
        <v>0</v>
      </c>
    </row>
    <row r="79" spans="1:4" ht="18" hidden="1" x14ac:dyDescent="0.3">
      <c r="A79" s="14" t="s">
        <v>78</v>
      </c>
      <c r="B79" s="7"/>
      <c r="C79" s="7"/>
      <c r="D79" s="8">
        <f t="shared" si="1"/>
        <v>0</v>
      </c>
    </row>
    <row r="80" spans="1:4" ht="18" hidden="1" x14ac:dyDescent="0.3">
      <c r="A80" s="10" t="s">
        <v>79</v>
      </c>
      <c r="B80" s="7"/>
      <c r="C80" s="7"/>
      <c r="D80" s="8">
        <f t="shared" si="1"/>
        <v>0</v>
      </c>
    </row>
    <row r="81" spans="1:4" ht="18" x14ac:dyDescent="0.3">
      <c r="A81" s="10" t="s">
        <v>80</v>
      </c>
      <c r="B81" s="7">
        <v>23</v>
      </c>
      <c r="C81" s="7">
        <v>13000</v>
      </c>
      <c r="D81" s="8">
        <f t="shared" si="1"/>
        <v>299000</v>
      </c>
    </row>
    <row r="82" spans="1:4" ht="18" hidden="1" x14ac:dyDescent="0.3">
      <c r="A82" s="10" t="s">
        <v>81</v>
      </c>
      <c r="B82" s="7"/>
      <c r="C82" s="7"/>
      <c r="D82" s="8">
        <f t="shared" si="1"/>
        <v>0</v>
      </c>
    </row>
    <row r="83" spans="1:4" ht="18" hidden="1" x14ac:dyDescent="0.3">
      <c r="A83" s="13" t="s">
        <v>82</v>
      </c>
      <c r="B83" s="16"/>
      <c r="C83" s="16"/>
      <c r="D83" s="8">
        <f t="shared" si="1"/>
        <v>0</v>
      </c>
    </row>
    <row r="84" spans="1:4" ht="18" hidden="1" x14ac:dyDescent="0.3">
      <c r="A84" s="13" t="s">
        <v>83</v>
      </c>
      <c r="B84" s="16"/>
      <c r="C84" s="16"/>
      <c r="D84" s="8">
        <f t="shared" si="1"/>
        <v>0</v>
      </c>
    </row>
    <row r="85" spans="1:4" ht="18" hidden="1" x14ac:dyDescent="0.3">
      <c r="A85" s="13" t="s">
        <v>84</v>
      </c>
      <c r="B85" s="16"/>
      <c r="C85" s="16"/>
      <c r="D85" s="8">
        <f t="shared" si="1"/>
        <v>0</v>
      </c>
    </row>
    <row r="86" spans="1:4" ht="18" hidden="1" x14ac:dyDescent="0.3">
      <c r="A86" s="10" t="s">
        <v>85</v>
      </c>
      <c r="B86" s="7"/>
      <c r="C86" s="7"/>
      <c r="D86" s="8">
        <f t="shared" si="1"/>
        <v>0</v>
      </c>
    </row>
    <row r="87" spans="1:4" ht="18" hidden="1" x14ac:dyDescent="0.3">
      <c r="A87" s="10" t="s">
        <v>86</v>
      </c>
      <c r="B87" s="7"/>
      <c r="C87" s="7"/>
      <c r="D87" s="8">
        <f t="shared" si="1"/>
        <v>0</v>
      </c>
    </row>
    <row r="88" spans="1:4" ht="18" hidden="1" x14ac:dyDescent="0.3">
      <c r="A88" s="10" t="s">
        <v>87</v>
      </c>
      <c r="B88" s="7"/>
      <c r="C88" s="7"/>
      <c r="D88" s="8">
        <f t="shared" si="1"/>
        <v>0</v>
      </c>
    </row>
    <row r="89" spans="1:4" ht="18" hidden="1" x14ac:dyDescent="0.3">
      <c r="A89" s="10" t="s">
        <v>88</v>
      </c>
      <c r="B89" s="7"/>
      <c r="C89" s="7"/>
      <c r="D89" s="8">
        <f t="shared" si="1"/>
        <v>0</v>
      </c>
    </row>
    <row r="90" spans="1:4" ht="18" hidden="1" x14ac:dyDescent="0.3">
      <c r="A90" s="10" t="s">
        <v>89</v>
      </c>
      <c r="B90" s="7"/>
      <c r="C90" s="7"/>
      <c r="D90" s="8">
        <f t="shared" si="1"/>
        <v>0</v>
      </c>
    </row>
    <row r="91" spans="1:4" ht="18" hidden="1" x14ac:dyDescent="0.3">
      <c r="A91" s="10" t="s">
        <v>90</v>
      </c>
      <c r="B91" s="7"/>
      <c r="C91" s="7"/>
      <c r="D91" s="8">
        <f t="shared" si="1"/>
        <v>0</v>
      </c>
    </row>
    <row r="92" spans="1:4" ht="18" hidden="1" x14ac:dyDescent="0.3">
      <c r="A92" s="23" t="s">
        <v>91</v>
      </c>
      <c r="B92" s="7"/>
      <c r="C92" s="7"/>
      <c r="D92" s="8">
        <f t="shared" si="1"/>
        <v>0</v>
      </c>
    </row>
    <row r="93" spans="1:4" ht="18" hidden="1" x14ac:dyDescent="0.3">
      <c r="A93" s="23" t="s">
        <v>92</v>
      </c>
      <c r="B93" s="7"/>
      <c r="C93" s="7"/>
      <c r="D93" s="8">
        <f t="shared" si="1"/>
        <v>0</v>
      </c>
    </row>
    <row r="94" spans="1:4" ht="18" hidden="1" x14ac:dyDescent="0.3">
      <c r="A94" s="23" t="s">
        <v>93</v>
      </c>
      <c r="B94" s="7"/>
      <c r="C94" s="7"/>
      <c r="D94" s="8">
        <f t="shared" si="1"/>
        <v>0</v>
      </c>
    </row>
    <row r="95" spans="1:4" ht="18" hidden="1" x14ac:dyDescent="0.3">
      <c r="A95" s="12" t="s">
        <v>94</v>
      </c>
      <c r="B95" s="7"/>
      <c r="C95" s="7"/>
      <c r="D95" s="8">
        <f t="shared" si="1"/>
        <v>0</v>
      </c>
    </row>
    <row r="96" spans="1:4" ht="18" hidden="1" x14ac:dyDescent="0.3">
      <c r="A96" s="14" t="s">
        <v>95</v>
      </c>
      <c r="B96" s="7"/>
      <c r="C96" s="7"/>
      <c r="D96" s="8">
        <f t="shared" si="1"/>
        <v>0</v>
      </c>
    </row>
    <row r="97" spans="1:4" ht="18" hidden="1" x14ac:dyDescent="0.3">
      <c r="A97" s="10" t="s">
        <v>96</v>
      </c>
      <c r="B97" s="7"/>
      <c r="C97" s="7"/>
      <c r="D97" s="8">
        <f t="shared" si="1"/>
        <v>0</v>
      </c>
    </row>
    <row r="98" spans="1:4" ht="18" hidden="1" x14ac:dyDescent="0.3">
      <c r="A98" s="10" t="s">
        <v>97</v>
      </c>
      <c r="B98" s="7"/>
      <c r="C98" s="7"/>
      <c r="D98" s="8">
        <f t="shared" si="1"/>
        <v>0</v>
      </c>
    </row>
    <row r="99" spans="1:4" ht="18" hidden="1" x14ac:dyDescent="0.3">
      <c r="A99" s="12" t="s">
        <v>98</v>
      </c>
      <c r="B99" s="7"/>
      <c r="C99" s="7"/>
      <c r="D99" s="8">
        <f t="shared" si="1"/>
        <v>0</v>
      </c>
    </row>
    <row r="100" spans="1:4" ht="18" hidden="1" x14ac:dyDescent="0.3">
      <c r="A100" s="10" t="s">
        <v>99</v>
      </c>
      <c r="B100" s="16"/>
      <c r="C100" s="16"/>
      <c r="D100" s="8">
        <f t="shared" si="1"/>
        <v>0</v>
      </c>
    </row>
    <row r="101" spans="1:4" ht="18" hidden="1" x14ac:dyDescent="0.3">
      <c r="A101" s="12" t="s">
        <v>100</v>
      </c>
      <c r="B101" s="7"/>
      <c r="C101" s="7"/>
      <c r="D101" s="8">
        <f t="shared" si="1"/>
        <v>0</v>
      </c>
    </row>
    <row r="102" spans="1:4" ht="18" hidden="1" x14ac:dyDescent="0.3">
      <c r="A102" s="24" t="s">
        <v>101</v>
      </c>
      <c r="B102" s="7"/>
      <c r="C102" s="7"/>
      <c r="D102" s="8">
        <f t="shared" si="1"/>
        <v>0</v>
      </c>
    </row>
    <row r="103" spans="1:4" ht="18" hidden="1" x14ac:dyDescent="0.3">
      <c r="A103" s="25" t="s">
        <v>102</v>
      </c>
      <c r="B103" s="7"/>
      <c r="C103" s="7"/>
      <c r="D103" s="8">
        <f t="shared" si="1"/>
        <v>0</v>
      </c>
    </row>
    <row r="104" spans="1:4" ht="18" hidden="1" x14ac:dyDescent="0.3">
      <c r="A104" s="26" t="s">
        <v>103</v>
      </c>
      <c r="B104" s="7"/>
      <c r="C104" s="7"/>
      <c r="D104" s="8">
        <f t="shared" si="1"/>
        <v>0</v>
      </c>
    </row>
    <row r="105" spans="1:4" ht="18" hidden="1" x14ac:dyDescent="0.3">
      <c r="A105" s="18" t="s">
        <v>104</v>
      </c>
      <c r="B105" s="7"/>
      <c r="C105" s="7"/>
      <c r="D105" s="8">
        <f t="shared" si="1"/>
        <v>0</v>
      </c>
    </row>
    <row r="106" spans="1:4" ht="18" hidden="1" x14ac:dyDescent="0.3">
      <c r="A106" s="10" t="s">
        <v>105</v>
      </c>
      <c r="B106" s="7"/>
      <c r="C106" s="7"/>
      <c r="D106" s="8">
        <f t="shared" si="1"/>
        <v>0</v>
      </c>
    </row>
    <row r="107" spans="1:4" ht="18" hidden="1" x14ac:dyDescent="0.3">
      <c r="A107" s="10" t="s">
        <v>106</v>
      </c>
      <c r="B107" s="7"/>
      <c r="C107" s="7"/>
      <c r="D107" s="8">
        <f t="shared" si="1"/>
        <v>0</v>
      </c>
    </row>
    <row r="108" spans="1:4" ht="18" hidden="1" x14ac:dyDescent="0.3">
      <c r="A108" s="12" t="s">
        <v>107</v>
      </c>
      <c r="B108" s="7"/>
      <c r="C108" s="7"/>
      <c r="D108" s="8">
        <f t="shared" si="1"/>
        <v>0</v>
      </c>
    </row>
    <row r="109" spans="1:4" ht="18" hidden="1" x14ac:dyDescent="0.3">
      <c r="A109" s="27" t="s">
        <v>108</v>
      </c>
      <c r="B109" s="7"/>
      <c r="C109" s="7"/>
      <c r="D109" s="8">
        <f t="shared" si="1"/>
        <v>0</v>
      </c>
    </row>
    <row r="110" spans="1:4" ht="18" hidden="1" x14ac:dyDescent="0.3">
      <c r="A110" s="10" t="s">
        <v>109</v>
      </c>
      <c r="B110" s="7"/>
      <c r="C110" s="7"/>
      <c r="D110" s="8">
        <f t="shared" si="1"/>
        <v>0</v>
      </c>
    </row>
    <row r="111" spans="1:4" ht="18" x14ac:dyDescent="0.3">
      <c r="A111" s="10" t="s">
        <v>110</v>
      </c>
      <c r="B111" s="7">
        <v>15</v>
      </c>
      <c r="C111" s="7">
        <v>24000</v>
      </c>
      <c r="D111" s="8">
        <f t="shared" si="1"/>
        <v>360000</v>
      </c>
    </row>
    <row r="112" spans="1:4" ht="18" hidden="1" x14ac:dyDescent="0.3">
      <c r="A112" s="10" t="s">
        <v>111</v>
      </c>
      <c r="B112" s="7"/>
      <c r="C112" s="7"/>
      <c r="D112" s="8">
        <f t="shared" si="1"/>
        <v>0</v>
      </c>
    </row>
    <row r="113" spans="1:4" ht="18" hidden="1" x14ac:dyDescent="0.3">
      <c r="A113" s="10" t="s">
        <v>112</v>
      </c>
      <c r="B113" s="7"/>
      <c r="C113" s="7"/>
      <c r="D113" s="8">
        <f t="shared" si="1"/>
        <v>0</v>
      </c>
    </row>
    <row r="114" spans="1:4" ht="18" hidden="1" x14ac:dyDescent="0.3">
      <c r="A114" s="10" t="s">
        <v>113</v>
      </c>
      <c r="B114" s="7"/>
      <c r="C114" s="7"/>
      <c r="D114" s="8">
        <f t="shared" si="1"/>
        <v>0</v>
      </c>
    </row>
    <row r="115" spans="1:4" ht="18" hidden="1" x14ac:dyDescent="0.3">
      <c r="A115" s="10" t="s">
        <v>114</v>
      </c>
      <c r="B115" s="7"/>
      <c r="C115" s="7"/>
      <c r="D115" s="8">
        <f t="shared" si="1"/>
        <v>0</v>
      </c>
    </row>
    <row r="116" spans="1:4" ht="18" hidden="1" x14ac:dyDescent="0.3">
      <c r="A116" s="10" t="s">
        <v>115</v>
      </c>
      <c r="B116" s="7"/>
      <c r="C116" s="7"/>
      <c r="D116" s="8">
        <f t="shared" si="1"/>
        <v>0</v>
      </c>
    </row>
    <row r="117" spans="1:4" ht="18" hidden="1" x14ac:dyDescent="0.3">
      <c r="A117" s="10" t="s">
        <v>116</v>
      </c>
      <c r="B117" s="7"/>
      <c r="C117" s="7"/>
      <c r="D117" s="8">
        <f t="shared" si="1"/>
        <v>0</v>
      </c>
    </row>
    <row r="118" spans="1:4" ht="18" hidden="1" x14ac:dyDescent="0.3">
      <c r="A118" s="12" t="s">
        <v>117</v>
      </c>
      <c r="B118" s="7"/>
      <c r="C118" s="7"/>
      <c r="D118" s="8">
        <f t="shared" si="1"/>
        <v>0</v>
      </c>
    </row>
    <row r="119" spans="1:4" ht="18" hidden="1" x14ac:dyDescent="0.3">
      <c r="A119" s="23" t="s">
        <v>118</v>
      </c>
      <c r="B119" s="7"/>
      <c r="C119" s="7"/>
      <c r="D119" s="8">
        <f t="shared" si="1"/>
        <v>0</v>
      </c>
    </row>
    <row r="120" spans="1:4" ht="18" hidden="1" x14ac:dyDescent="0.3">
      <c r="A120" s="10" t="s">
        <v>119</v>
      </c>
      <c r="B120" s="7"/>
      <c r="C120" s="7"/>
      <c r="D120" s="8">
        <f t="shared" si="1"/>
        <v>0</v>
      </c>
    </row>
    <row r="121" spans="1:4" ht="18" hidden="1" x14ac:dyDescent="0.3">
      <c r="A121" s="12" t="s">
        <v>120</v>
      </c>
      <c r="B121" s="7"/>
      <c r="C121" s="7"/>
      <c r="D121" s="8">
        <f t="shared" si="1"/>
        <v>0</v>
      </c>
    </row>
    <row r="122" spans="1:4" ht="18" hidden="1" x14ac:dyDescent="0.3">
      <c r="A122" s="12" t="s">
        <v>121</v>
      </c>
      <c r="B122" s="7"/>
      <c r="C122" s="7"/>
      <c r="D122" s="8">
        <f t="shared" si="1"/>
        <v>0</v>
      </c>
    </row>
    <row r="123" spans="1:4" ht="18" hidden="1" x14ac:dyDescent="0.3">
      <c r="A123" s="10" t="s">
        <v>122</v>
      </c>
      <c r="B123" s="7"/>
      <c r="C123" s="7"/>
      <c r="D123" s="8">
        <f t="shared" si="1"/>
        <v>0</v>
      </c>
    </row>
    <row r="124" spans="1:4" ht="18" hidden="1" x14ac:dyDescent="0.3">
      <c r="A124" s="10" t="s">
        <v>123</v>
      </c>
      <c r="B124" s="7"/>
      <c r="C124" s="7"/>
      <c r="D124" s="8">
        <f t="shared" si="1"/>
        <v>0</v>
      </c>
    </row>
    <row r="125" spans="1:4" ht="18" hidden="1" x14ac:dyDescent="0.3">
      <c r="A125" s="11" t="s">
        <v>124</v>
      </c>
      <c r="B125" s="7"/>
      <c r="C125" s="7"/>
      <c r="D125" s="8">
        <f t="shared" si="1"/>
        <v>0</v>
      </c>
    </row>
    <row r="126" spans="1:4" ht="18" hidden="1" x14ac:dyDescent="0.3">
      <c r="A126" s="14" t="s">
        <v>125</v>
      </c>
      <c r="B126" s="7"/>
      <c r="C126" s="7"/>
      <c r="D126" s="8">
        <f t="shared" si="1"/>
        <v>0</v>
      </c>
    </row>
    <row r="127" spans="1:4" ht="18" hidden="1" x14ac:dyDescent="0.3">
      <c r="A127" s="13" t="s">
        <v>126</v>
      </c>
      <c r="B127" s="16"/>
      <c r="C127" s="16"/>
      <c r="D127" s="8">
        <f t="shared" si="1"/>
        <v>0</v>
      </c>
    </row>
    <row r="128" spans="1:4" ht="18" hidden="1" x14ac:dyDescent="0.3">
      <c r="A128" s="13" t="s">
        <v>127</v>
      </c>
      <c r="B128" s="16"/>
      <c r="C128" s="16"/>
      <c r="D128" s="8">
        <f t="shared" si="1"/>
        <v>0</v>
      </c>
    </row>
    <row r="129" spans="1:4" ht="18" hidden="1" x14ac:dyDescent="0.3">
      <c r="A129" s="13" t="s">
        <v>128</v>
      </c>
      <c r="B129" s="16"/>
      <c r="C129" s="16"/>
      <c r="D129" s="8">
        <f t="shared" si="1"/>
        <v>0</v>
      </c>
    </row>
    <row r="130" spans="1:4" ht="18" hidden="1" x14ac:dyDescent="0.3">
      <c r="A130" s="13" t="s">
        <v>129</v>
      </c>
      <c r="B130" s="28"/>
      <c r="C130" s="28"/>
      <c r="D130" s="8">
        <f t="shared" si="1"/>
        <v>0</v>
      </c>
    </row>
    <row r="131" spans="1:4" ht="18" hidden="1" x14ac:dyDescent="0.3">
      <c r="A131" s="30" t="s">
        <v>130</v>
      </c>
      <c r="B131" s="7"/>
      <c r="C131" s="7"/>
      <c r="D131" s="8">
        <f t="shared" si="1"/>
        <v>0</v>
      </c>
    </row>
    <row r="132" spans="1:4" ht="18" hidden="1" x14ac:dyDescent="0.3">
      <c r="A132" s="13" t="s">
        <v>131</v>
      </c>
      <c r="B132" s="16"/>
      <c r="C132" s="16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7"/>
      <c r="C133" s="7"/>
      <c r="D133" s="8">
        <f t="shared" si="2"/>
        <v>0</v>
      </c>
    </row>
    <row r="134" spans="1:4" ht="18" hidden="1" x14ac:dyDescent="0.3">
      <c r="A134" s="10" t="s">
        <v>133</v>
      </c>
      <c r="B134" s="7"/>
      <c r="C134" s="7"/>
      <c r="D134" s="8">
        <f t="shared" si="2"/>
        <v>0</v>
      </c>
    </row>
    <row r="135" spans="1:4" ht="18" hidden="1" x14ac:dyDescent="0.3">
      <c r="A135" s="10" t="s">
        <v>134</v>
      </c>
      <c r="B135" s="7"/>
      <c r="C135" s="7"/>
      <c r="D135" s="8">
        <f t="shared" si="2"/>
        <v>0</v>
      </c>
    </row>
    <row r="136" spans="1:4" ht="18" hidden="1" x14ac:dyDescent="0.3">
      <c r="A136" s="10" t="s">
        <v>135</v>
      </c>
      <c r="B136" s="7"/>
      <c r="C136" s="7"/>
      <c r="D136" s="8">
        <f t="shared" si="2"/>
        <v>0</v>
      </c>
    </row>
    <row r="137" spans="1:4" ht="18" hidden="1" x14ac:dyDescent="0.3">
      <c r="A137" s="18" t="s">
        <v>136</v>
      </c>
      <c r="B137" s="7"/>
      <c r="C137" s="7"/>
      <c r="D137" s="8">
        <f t="shared" si="2"/>
        <v>0</v>
      </c>
    </row>
    <row r="138" spans="1:4" ht="18" hidden="1" x14ac:dyDescent="0.3">
      <c r="A138" s="13" t="s">
        <v>137</v>
      </c>
      <c r="B138" s="7"/>
      <c r="C138" s="7"/>
      <c r="D138" s="8">
        <f t="shared" si="2"/>
        <v>0</v>
      </c>
    </row>
    <row r="139" spans="1:4" ht="18" hidden="1" x14ac:dyDescent="0.3">
      <c r="A139" s="13" t="s">
        <v>138</v>
      </c>
      <c r="B139" s="7"/>
      <c r="C139" s="7"/>
      <c r="D139" s="8">
        <f t="shared" si="2"/>
        <v>0</v>
      </c>
    </row>
    <row r="140" spans="1:4" ht="18" hidden="1" x14ac:dyDescent="0.3">
      <c r="A140" s="10" t="s">
        <v>139</v>
      </c>
      <c r="B140" s="7"/>
      <c r="C140" s="7"/>
      <c r="D140" s="8">
        <f t="shared" si="2"/>
        <v>0</v>
      </c>
    </row>
    <row r="141" spans="1:4" ht="18" hidden="1" x14ac:dyDescent="0.3">
      <c r="A141" s="10" t="s">
        <v>140</v>
      </c>
      <c r="B141" s="7"/>
      <c r="C141" s="7"/>
      <c r="D141" s="8">
        <f t="shared" si="2"/>
        <v>0</v>
      </c>
    </row>
    <row r="142" spans="1:4" ht="18" hidden="1" x14ac:dyDescent="0.3">
      <c r="A142" s="10" t="s">
        <v>141</v>
      </c>
      <c r="B142" s="16"/>
      <c r="C142" s="16"/>
      <c r="D142" s="8">
        <f t="shared" si="2"/>
        <v>0</v>
      </c>
    </row>
    <row r="143" spans="1:4" ht="18" hidden="1" x14ac:dyDescent="0.3">
      <c r="A143" s="10" t="s">
        <v>142</v>
      </c>
      <c r="B143" s="16"/>
      <c r="C143" s="16"/>
      <c r="D143" s="8">
        <f t="shared" si="2"/>
        <v>0</v>
      </c>
    </row>
    <row r="144" spans="1:4" ht="18" hidden="1" x14ac:dyDescent="0.3">
      <c r="A144" s="10" t="s">
        <v>143</v>
      </c>
      <c r="B144" s="7"/>
      <c r="C144" s="7"/>
      <c r="D144" s="8">
        <f t="shared" si="2"/>
        <v>0</v>
      </c>
    </row>
    <row r="145" spans="1:4" ht="18" hidden="1" x14ac:dyDescent="0.3">
      <c r="A145" s="10" t="s">
        <v>144</v>
      </c>
      <c r="B145" s="16"/>
      <c r="C145" s="16"/>
      <c r="D145" s="8">
        <f t="shared" si="2"/>
        <v>0</v>
      </c>
    </row>
    <row r="146" spans="1:4" ht="18" hidden="1" x14ac:dyDescent="0.3">
      <c r="A146" s="10" t="s">
        <v>145</v>
      </c>
      <c r="B146" s="16"/>
      <c r="C146" s="16"/>
      <c r="D146" s="8">
        <f t="shared" si="2"/>
        <v>0</v>
      </c>
    </row>
    <row r="147" spans="1:4" ht="18" hidden="1" x14ac:dyDescent="0.3">
      <c r="A147" s="10" t="s">
        <v>146</v>
      </c>
      <c r="B147" s="16"/>
      <c r="C147" s="16"/>
      <c r="D147" s="8">
        <f t="shared" si="2"/>
        <v>0</v>
      </c>
    </row>
    <row r="148" spans="1:4" ht="18" hidden="1" x14ac:dyDescent="0.3">
      <c r="A148" s="10" t="s">
        <v>147</v>
      </c>
      <c r="B148" s="16"/>
      <c r="C148" s="16"/>
      <c r="D148" s="8">
        <f t="shared" si="2"/>
        <v>0</v>
      </c>
    </row>
    <row r="149" spans="1:4" ht="18" hidden="1" x14ac:dyDescent="0.3">
      <c r="A149" s="10" t="s">
        <v>148</v>
      </c>
      <c r="B149" s="16"/>
      <c r="C149" s="16"/>
      <c r="D149" s="8">
        <f t="shared" si="2"/>
        <v>0</v>
      </c>
    </row>
    <row r="150" spans="1:4" ht="18" hidden="1" x14ac:dyDescent="0.3">
      <c r="A150" s="10" t="s">
        <v>149</v>
      </c>
      <c r="B150" s="16"/>
      <c r="C150" s="16"/>
      <c r="D150" s="8">
        <f t="shared" si="2"/>
        <v>0</v>
      </c>
    </row>
    <row r="151" spans="1:4" ht="18" hidden="1" x14ac:dyDescent="0.3">
      <c r="A151" s="10" t="s">
        <v>150</v>
      </c>
      <c r="B151" s="16"/>
      <c r="C151" s="16"/>
      <c r="D151" s="8">
        <f t="shared" si="2"/>
        <v>0</v>
      </c>
    </row>
    <row r="152" spans="1:4" ht="18" hidden="1" x14ac:dyDescent="0.3">
      <c r="A152" s="10" t="s">
        <v>151</v>
      </c>
      <c r="B152" s="16"/>
      <c r="C152" s="16"/>
      <c r="D152" s="8">
        <f t="shared" si="2"/>
        <v>0</v>
      </c>
    </row>
    <row r="153" spans="1:4" ht="18" hidden="1" x14ac:dyDescent="0.3">
      <c r="A153" s="10" t="s">
        <v>152</v>
      </c>
      <c r="B153" s="7"/>
      <c r="C153" s="7"/>
      <c r="D153" s="8">
        <f t="shared" si="2"/>
        <v>0</v>
      </c>
    </row>
    <row r="154" spans="1:4" ht="18" hidden="1" x14ac:dyDescent="0.3">
      <c r="A154" s="10" t="s">
        <v>153</v>
      </c>
      <c r="B154" s="7"/>
      <c r="C154" s="7"/>
      <c r="D154" s="8">
        <f t="shared" si="2"/>
        <v>0</v>
      </c>
    </row>
    <row r="155" spans="1:4" ht="18" hidden="1" x14ac:dyDescent="0.3">
      <c r="A155" s="10" t="s">
        <v>154</v>
      </c>
      <c r="B155" s="7"/>
      <c r="C155" s="7"/>
      <c r="D155" s="8">
        <f t="shared" si="2"/>
        <v>0</v>
      </c>
    </row>
    <row r="156" spans="1:4" ht="18" hidden="1" x14ac:dyDescent="0.3">
      <c r="A156" s="10" t="s">
        <v>155</v>
      </c>
      <c r="B156" s="7"/>
      <c r="C156" s="7"/>
      <c r="D156" s="8">
        <f t="shared" si="2"/>
        <v>0</v>
      </c>
    </row>
    <row r="157" spans="1:4" ht="18" hidden="1" x14ac:dyDescent="0.3">
      <c r="A157" s="18" t="s">
        <v>156</v>
      </c>
      <c r="B157" s="7"/>
      <c r="C157" s="7"/>
      <c r="D157" s="8">
        <f t="shared" si="2"/>
        <v>0</v>
      </c>
    </row>
    <row r="158" spans="1:4" ht="18" hidden="1" x14ac:dyDescent="0.3">
      <c r="A158" s="31" t="s">
        <v>157</v>
      </c>
      <c r="B158" s="7"/>
      <c r="C158" s="7"/>
      <c r="D158" s="8">
        <f t="shared" si="2"/>
        <v>0</v>
      </c>
    </row>
    <row r="159" spans="1:4" ht="18" hidden="1" x14ac:dyDescent="0.3">
      <c r="A159" s="10" t="s">
        <v>158</v>
      </c>
      <c r="B159" s="7"/>
      <c r="C159" s="7"/>
      <c r="D159" s="8">
        <f t="shared" si="2"/>
        <v>0</v>
      </c>
    </row>
    <row r="160" spans="1:4" ht="18" hidden="1" x14ac:dyDescent="0.3">
      <c r="A160" s="10" t="s">
        <v>159</v>
      </c>
      <c r="B160" s="7"/>
      <c r="C160" s="7"/>
      <c r="D160" s="8">
        <f t="shared" si="2"/>
        <v>0</v>
      </c>
    </row>
    <row r="161" spans="1:4" ht="18" hidden="1" x14ac:dyDescent="0.3">
      <c r="A161" s="10" t="s">
        <v>160</v>
      </c>
      <c r="B161" s="7"/>
      <c r="C161" s="7"/>
      <c r="D161" s="8">
        <f t="shared" si="2"/>
        <v>0</v>
      </c>
    </row>
    <row r="162" spans="1:4" ht="18" hidden="1" x14ac:dyDescent="0.3">
      <c r="A162" s="10" t="s">
        <v>161</v>
      </c>
      <c r="B162" s="16"/>
      <c r="C162" s="16"/>
      <c r="D162" s="8">
        <f t="shared" si="2"/>
        <v>0</v>
      </c>
    </row>
    <row r="163" spans="1:4" ht="18" hidden="1" x14ac:dyDescent="0.3">
      <c r="A163" s="10" t="s">
        <v>162</v>
      </c>
      <c r="B163" s="16"/>
      <c r="C163" s="16"/>
      <c r="D163" s="8">
        <f t="shared" si="2"/>
        <v>0</v>
      </c>
    </row>
    <row r="164" spans="1:4" ht="18" hidden="1" x14ac:dyDescent="0.3">
      <c r="A164" s="10" t="s">
        <v>163</v>
      </c>
      <c r="B164" s="16"/>
      <c r="C164" s="16"/>
      <c r="D164" s="8">
        <f t="shared" si="2"/>
        <v>0</v>
      </c>
    </row>
    <row r="165" spans="1:4" ht="18" hidden="1" x14ac:dyDescent="0.3">
      <c r="A165" s="10" t="s">
        <v>164</v>
      </c>
      <c r="B165" s="7"/>
      <c r="C165" s="7"/>
      <c r="D165" s="8">
        <f t="shared" si="2"/>
        <v>0</v>
      </c>
    </row>
    <row r="166" spans="1:4" ht="18" hidden="1" x14ac:dyDescent="0.3">
      <c r="A166" s="10" t="s">
        <v>165</v>
      </c>
      <c r="B166" s="7"/>
      <c r="C166" s="7"/>
      <c r="D166" s="8">
        <f t="shared" si="2"/>
        <v>0</v>
      </c>
    </row>
    <row r="167" spans="1:4" ht="18" hidden="1" x14ac:dyDescent="0.3">
      <c r="A167" s="18" t="s">
        <v>166</v>
      </c>
      <c r="B167" s="7"/>
      <c r="C167" s="7"/>
      <c r="D167" s="8">
        <f t="shared" si="2"/>
        <v>0</v>
      </c>
    </row>
    <row r="168" spans="1:4" ht="18" hidden="1" x14ac:dyDescent="0.3">
      <c r="A168" s="13" t="s">
        <v>167</v>
      </c>
      <c r="B168" s="7"/>
      <c r="C168" s="7"/>
      <c r="D168" s="8">
        <f t="shared" si="2"/>
        <v>0</v>
      </c>
    </row>
    <row r="169" spans="1:4" ht="18" x14ac:dyDescent="0.3">
      <c r="A169" s="10" t="s">
        <v>168</v>
      </c>
      <c r="B169" s="7">
        <f>150+5+22+20-70</f>
        <v>127</v>
      </c>
      <c r="C169" s="32">
        <v>6500</v>
      </c>
      <c r="D169" s="8">
        <f t="shared" si="2"/>
        <v>825500</v>
      </c>
    </row>
    <row r="170" spans="1:4" ht="18" hidden="1" x14ac:dyDescent="0.3">
      <c r="A170" s="33" t="s">
        <v>169</v>
      </c>
      <c r="B170" s="7"/>
      <c r="C170" s="7"/>
      <c r="D170" s="8">
        <f t="shared" si="2"/>
        <v>0</v>
      </c>
    </row>
    <row r="171" spans="1:4" ht="18" x14ac:dyDescent="0.3">
      <c r="A171" s="10" t="s">
        <v>170</v>
      </c>
      <c r="B171" s="7">
        <v>35</v>
      </c>
      <c r="C171" s="7">
        <v>11000</v>
      </c>
      <c r="D171" s="8">
        <f t="shared" si="2"/>
        <v>385000</v>
      </c>
    </row>
    <row r="172" spans="1:4" ht="18" hidden="1" x14ac:dyDescent="0.3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">
      <c r="A173" s="22" t="s">
        <v>172</v>
      </c>
      <c r="B173" s="7"/>
      <c r="C173" s="7"/>
      <c r="D173" s="8">
        <f t="shared" si="2"/>
        <v>0</v>
      </c>
    </row>
    <row r="174" spans="1:4" ht="18" hidden="1" x14ac:dyDescent="0.3">
      <c r="A174" s="10" t="s">
        <v>173</v>
      </c>
      <c r="B174" s="7"/>
      <c r="C174" s="7"/>
      <c r="D174" s="8">
        <f t="shared" si="2"/>
        <v>0</v>
      </c>
    </row>
    <row r="175" spans="1:4" ht="18" hidden="1" x14ac:dyDescent="0.3">
      <c r="A175" s="34" t="s">
        <v>174</v>
      </c>
      <c r="B175" s="35"/>
      <c r="C175" s="35"/>
      <c r="D175" s="8">
        <f t="shared" si="2"/>
        <v>0</v>
      </c>
    </row>
    <row r="176" spans="1:4" ht="18" hidden="1" x14ac:dyDescent="0.3">
      <c r="A176" s="12" t="s">
        <v>175</v>
      </c>
      <c r="B176" s="7"/>
      <c r="C176" s="7"/>
      <c r="D176" s="8">
        <f t="shared" si="2"/>
        <v>0</v>
      </c>
    </row>
    <row r="177" spans="1:4" ht="18" hidden="1" x14ac:dyDescent="0.3">
      <c r="A177" s="10" t="s">
        <v>176</v>
      </c>
      <c r="B177" s="7"/>
      <c r="C177" s="7"/>
      <c r="D177" s="8">
        <f t="shared" si="2"/>
        <v>0</v>
      </c>
    </row>
    <row r="178" spans="1:4" ht="18" hidden="1" x14ac:dyDescent="0.3">
      <c r="A178" s="10" t="s">
        <v>177</v>
      </c>
      <c r="B178" s="7"/>
      <c r="C178" s="7"/>
      <c r="D178" s="8">
        <f t="shared" si="2"/>
        <v>0</v>
      </c>
    </row>
    <row r="179" spans="1:4" ht="18" hidden="1" x14ac:dyDescent="0.3">
      <c r="A179" s="13" t="s">
        <v>178</v>
      </c>
      <c r="B179" s="7"/>
      <c r="C179" s="7"/>
      <c r="D179" s="8">
        <f t="shared" si="2"/>
        <v>0</v>
      </c>
    </row>
    <row r="180" spans="1:4" ht="18" hidden="1" x14ac:dyDescent="0.3">
      <c r="A180" s="10" t="s">
        <v>179</v>
      </c>
      <c r="B180" s="7"/>
      <c r="C180" s="7"/>
      <c r="D180" s="8">
        <f t="shared" si="2"/>
        <v>0</v>
      </c>
    </row>
    <row r="181" spans="1:4" ht="18" hidden="1" x14ac:dyDescent="0.3">
      <c r="A181" s="10" t="s">
        <v>180</v>
      </c>
      <c r="B181" s="7"/>
      <c r="C181" s="7"/>
      <c r="D181" s="8">
        <f t="shared" si="2"/>
        <v>0</v>
      </c>
    </row>
    <row r="182" spans="1:4" ht="18" hidden="1" x14ac:dyDescent="0.3">
      <c r="A182" s="13" t="s">
        <v>181</v>
      </c>
      <c r="B182" s="7"/>
      <c r="C182" s="7"/>
      <c r="D182" s="8">
        <f t="shared" si="2"/>
        <v>0</v>
      </c>
    </row>
    <row r="183" spans="1:4" ht="18" hidden="1" x14ac:dyDescent="0.3">
      <c r="A183" s="13" t="s">
        <v>182</v>
      </c>
      <c r="B183" s="7"/>
      <c r="C183" s="7"/>
      <c r="D183" s="8">
        <f t="shared" si="2"/>
        <v>0</v>
      </c>
    </row>
    <row r="184" spans="1:4" ht="18" hidden="1" x14ac:dyDescent="0.3">
      <c r="A184" s="13" t="s">
        <v>183</v>
      </c>
      <c r="B184" s="7"/>
      <c r="C184" s="7"/>
      <c r="D184" s="8">
        <f t="shared" si="2"/>
        <v>0</v>
      </c>
    </row>
    <row r="185" spans="1:4" ht="18" x14ac:dyDescent="0.3">
      <c r="A185" s="10" t="s">
        <v>184</v>
      </c>
      <c r="B185" s="7">
        <f>24+120</f>
        <v>144</v>
      </c>
      <c r="C185" s="7">
        <v>2100</v>
      </c>
      <c r="D185" s="8">
        <f t="shared" si="2"/>
        <v>302400</v>
      </c>
    </row>
    <row r="186" spans="1:4" ht="18" hidden="1" x14ac:dyDescent="0.3">
      <c r="A186" s="13" t="s">
        <v>185</v>
      </c>
      <c r="B186" s="7"/>
      <c r="C186" s="7"/>
      <c r="D186" s="8">
        <f t="shared" si="2"/>
        <v>0</v>
      </c>
    </row>
    <row r="187" spans="1:4" ht="18" x14ac:dyDescent="0.3">
      <c r="A187" s="13" t="s">
        <v>186</v>
      </c>
      <c r="B187" s="7">
        <v>5</v>
      </c>
      <c r="C187" s="7">
        <v>20000</v>
      </c>
      <c r="D187" s="8">
        <f t="shared" si="2"/>
        <v>100000</v>
      </c>
    </row>
    <row r="188" spans="1:4" ht="18" hidden="1" x14ac:dyDescent="0.3">
      <c r="A188" s="13" t="s">
        <v>187</v>
      </c>
      <c r="B188" s="7"/>
      <c r="C188" s="7"/>
      <c r="D188" s="8">
        <f t="shared" si="2"/>
        <v>0</v>
      </c>
    </row>
    <row r="189" spans="1:4" ht="18" hidden="1" x14ac:dyDescent="0.3">
      <c r="A189" s="10" t="s">
        <v>188</v>
      </c>
      <c r="B189" s="7"/>
      <c r="C189" s="7"/>
      <c r="D189" s="8">
        <f t="shared" si="2"/>
        <v>0</v>
      </c>
    </row>
    <row r="190" spans="1:4" ht="18" hidden="1" x14ac:dyDescent="0.3">
      <c r="A190" s="18" t="s">
        <v>189</v>
      </c>
      <c r="B190" s="7"/>
      <c r="C190" s="7"/>
      <c r="D190" s="8">
        <f t="shared" si="2"/>
        <v>0</v>
      </c>
    </row>
    <row r="191" spans="1:4" ht="18" hidden="1" x14ac:dyDescent="0.3">
      <c r="A191" s="18" t="s">
        <v>190</v>
      </c>
      <c r="B191" s="7"/>
      <c r="C191" s="7"/>
      <c r="D191" s="8">
        <f t="shared" si="2"/>
        <v>0</v>
      </c>
    </row>
    <row r="192" spans="1:4" ht="18" hidden="1" x14ac:dyDescent="0.3">
      <c r="A192" s="18" t="s">
        <v>191</v>
      </c>
      <c r="B192" s="7"/>
      <c r="C192" s="7"/>
      <c r="D192" s="8">
        <f t="shared" si="2"/>
        <v>0</v>
      </c>
    </row>
    <row r="193" spans="1:4" ht="18" hidden="1" x14ac:dyDescent="0.3">
      <c r="A193" s="18" t="s">
        <v>192</v>
      </c>
      <c r="B193" s="7"/>
      <c r="C193" s="7"/>
      <c r="D193" s="8">
        <f t="shared" si="2"/>
        <v>0</v>
      </c>
    </row>
    <row r="194" spans="1:4" ht="18" hidden="1" x14ac:dyDescent="0.3">
      <c r="A194" s="13" t="s">
        <v>193</v>
      </c>
      <c r="B194" s="7"/>
      <c r="C194" s="7"/>
      <c r="D194" s="8">
        <f t="shared" si="2"/>
        <v>0</v>
      </c>
    </row>
    <row r="195" spans="1:4" ht="18" hidden="1" x14ac:dyDescent="0.3">
      <c r="A195" s="10" t="s">
        <v>194</v>
      </c>
      <c r="B195" s="7"/>
      <c r="C195" s="7"/>
      <c r="D195" s="8">
        <f t="shared" si="2"/>
        <v>0</v>
      </c>
    </row>
    <row r="196" spans="1:4" ht="18" hidden="1" x14ac:dyDescent="0.3">
      <c r="A196" s="37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7"/>
      <c r="C197" s="7"/>
      <c r="D197" s="8">
        <f t="shared" si="3"/>
        <v>0</v>
      </c>
    </row>
    <row r="198" spans="1:4" ht="18" hidden="1" x14ac:dyDescent="0.3">
      <c r="A198" s="37" t="s">
        <v>197</v>
      </c>
      <c r="B198" s="7"/>
      <c r="C198" s="7"/>
      <c r="D198" s="8">
        <f t="shared" si="3"/>
        <v>0</v>
      </c>
    </row>
    <row r="199" spans="1:4" ht="18" hidden="1" x14ac:dyDescent="0.3">
      <c r="A199" s="37" t="s">
        <v>198</v>
      </c>
      <c r="B199" s="7"/>
      <c r="C199" s="7"/>
      <c r="D199" s="8">
        <f t="shared" si="3"/>
        <v>0</v>
      </c>
    </row>
    <row r="200" spans="1:4" ht="18" hidden="1" x14ac:dyDescent="0.3">
      <c r="A200" s="10" t="s">
        <v>199</v>
      </c>
      <c r="B200" s="7"/>
      <c r="C200" s="7"/>
      <c r="D200" s="8">
        <f t="shared" si="3"/>
        <v>0</v>
      </c>
    </row>
    <row r="201" spans="1:4" ht="18" hidden="1" x14ac:dyDescent="0.3">
      <c r="A201" s="38" t="s">
        <v>200</v>
      </c>
      <c r="B201" s="7"/>
      <c r="C201" s="7"/>
      <c r="D201" s="8">
        <f t="shared" si="3"/>
        <v>0</v>
      </c>
    </row>
    <row r="202" spans="1:4" ht="18" x14ac:dyDescent="0.3">
      <c r="A202" s="10" t="s">
        <v>201</v>
      </c>
      <c r="B202" s="7">
        <v>110</v>
      </c>
      <c r="C202" s="7">
        <v>20000</v>
      </c>
      <c r="D202" s="8">
        <f t="shared" si="3"/>
        <v>2200000</v>
      </c>
    </row>
    <row r="203" spans="1:4" ht="18" x14ac:dyDescent="0.3">
      <c r="A203" s="13" t="s">
        <v>202</v>
      </c>
      <c r="B203" s="7">
        <f>130+280</f>
        <v>410</v>
      </c>
      <c r="C203" s="7">
        <v>20000</v>
      </c>
      <c r="D203" s="8">
        <f t="shared" si="3"/>
        <v>8200000</v>
      </c>
    </row>
    <row r="204" spans="1:4" ht="18" hidden="1" x14ac:dyDescent="0.3">
      <c r="A204" s="10" t="s">
        <v>203</v>
      </c>
      <c r="B204" s="7"/>
      <c r="C204" s="7"/>
      <c r="D204" s="8">
        <f t="shared" si="3"/>
        <v>0</v>
      </c>
    </row>
    <row r="205" spans="1:4" ht="18" hidden="1" x14ac:dyDescent="0.3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">
      <c r="A206" s="39" t="s">
        <v>205</v>
      </c>
      <c r="B206" s="7"/>
      <c r="C206" s="7"/>
      <c r="D206" s="8">
        <f t="shared" si="3"/>
        <v>0</v>
      </c>
    </row>
    <row r="207" spans="1:4" ht="18" hidden="1" x14ac:dyDescent="0.3">
      <c r="A207" s="39" t="s">
        <v>206</v>
      </c>
      <c r="B207" s="7"/>
      <c r="C207" s="7"/>
      <c r="D207" s="8">
        <f t="shared" si="3"/>
        <v>0</v>
      </c>
    </row>
    <row r="208" spans="1:4" ht="18" x14ac:dyDescent="0.3">
      <c r="A208" s="10" t="s">
        <v>207</v>
      </c>
      <c r="B208" s="7">
        <v>4</v>
      </c>
      <c r="C208" s="7">
        <v>25000</v>
      </c>
      <c r="D208" s="8">
        <f t="shared" si="3"/>
        <v>100000</v>
      </c>
    </row>
    <row r="209" spans="1:4" ht="18" hidden="1" x14ac:dyDescent="0.3">
      <c r="A209" s="12" t="s">
        <v>208</v>
      </c>
      <c r="B209" s="7"/>
      <c r="C209" s="7"/>
      <c r="D209" s="8">
        <f t="shared" si="3"/>
        <v>0</v>
      </c>
    </row>
    <row r="210" spans="1:4" ht="18" hidden="1" x14ac:dyDescent="0.3">
      <c r="A210" s="10" t="s">
        <v>209</v>
      </c>
      <c r="B210" s="7"/>
      <c r="C210" s="7"/>
      <c r="D210" s="8">
        <f t="shared" si="3"/>
        <v>0</v>
      </c>
    </row>
    <row r="211" spans="1:4" ht="18" hidden="1" x14ac:dyDescent="0.3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">
      <c r="A212" s="10" t="s">
        <v>211</v>
      </c>
      <c r="B212" s="7"/>
      <c r="C212" s="7"/>
      <c r="D212" s="8">
        <f t="shared" si="3"/>
        <v>0</v>
      </c>
    </row>
    <row r="213" spans="1:4" ht="18" hidden="1" x14ac:dyDescent="0.3">
      <c r="A213" s="10" t="s">
        <v>212</v>
      </c>
      <c r="B213" s="7"/>
      <c r="C213" s="7"/>
      <c r="D213" s="8">
        <f t="shared" si="3"/>
        <v>0</v>
      </c>
    </row>
    <row r="214" spans="1:4" ht="18" hidden="1" x14ac:dyDescent="0.3">
      <c r="A214" s="40" t="s">
        <v>213</v>
      </c>
      <c r="B214" s="7"/>
      <c r="C214" s="7"/>
      <c r="D214" s="8">
        <f t="shared" si="3"/>
        <v>0</v>
      </c>
    </row>
    <row r="215" spans="1:4" ht="18" hidden="1" x14ac:dyDescent="0.3">
      <c r="A215" s="10" t="s">
        <v>214</v>
      </c>
      <c r="B215" s="7"/>
      <c r="C215" s="7"/>
      <c r="D215" s="8">
        <f t="shared" si="3"/>
        <v>0</v>
      </c>
    </row>
    <row r="216" spans="1:4" ht="18" x14ac:dyDescent="0.3">
      <c r="A216" s="10" t="s">
        <v>215</v>
      </c>
      <c r="B216" s="7">
        <f>15+10+80+20+30+100</f>
        <v>255</v>
      </c>
      <c r="C216" s="7">
        <v>14000</v>
      </c>
      <c r="D216" s="8">
        <f t="shared" si="3"/>
        <v>3570000</v>
      </c>
    </row>
    <row r="217" spans="1:4" ht="18" x14ac:dyDescent="0.3">
      <c r="A217" s="10" t="s">
        <v>216</v>
      </c>
      <c r="B217" s="7">
        <v>20</v>
      </c>
      <c r="C217" s="7">
        <v>10000</v>
      </c>
      <c r="D217" s="8">
        <f t="shared" si="3"/>
        <v>200000</v>
      </c>
    </row>
    <row r="218" spans="1:4" ht="18" hidden="1" x14ac:dyDescent="0.3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">
      <c r="A219" s="18" t="s">
        <v>218</v>
      </c>
      <c r="B219" s="7"/>
      <c r="C219" s="7"/>
      <c r="D219" s="8">
        <f t="shared" si="3"/>
        <v>0</v>
      </c>
    </row>
    <row r="220" spans="1:4" ht="18" hidden="1" x14ac:dyDescent="0.3">
      <c r="A220" s="18" t="s">
        <v>219</v>
      </c>
      <c r="B220" s="7"/>
      <c r="C220" s="7"/>
      <c r="D220" s="8">
        <f t="shared" si="3"/>
        <v>0</v>
      </c>
    </row>
    <row r="221" spans="1:4" ht="18" hidden="1" x14ac:dyDescent="0.3">
      <c r="A221" s="18" t="s">
        <v>220</v>
      </c>
      <c r="B221" s="7"/>
      <c r="C221" s="7"/>
      <c r="D221" s="8">
        <f t="shared" si="3"/>
        <v>0</v>
      </c>
    </row>
    <row r="222" spans="1:4" ht="18" hidden="1" x14ac:dyDescent="0.3">
      <c r="A222" s="18" t="s">
        <v>221</v>
      </c>
      <c r="B222" s="7"/>
      <c r="C222" s="7"/>
      <c r="D222" s="8">
        <f t="shared" si="3"/>
        <v>0</v>
      </c>
    </row>
    <row r="223" spans="1:4" ht="18" hidden="1" x14ac:dyDescent="0.3">
      <c r="A223" s="10" t="s">
        <v>222</v>
      </c>
      <c r="B223" s="7"/>
      <c r="C223" s="7"/>
      <c r="D223" s="8">
        <f t="shared" si="3"/>
        <v>0</v>
      </c>
    </row>
    <row r="224" spans="1:4" ht="18" hidden="1" x14ac:dyDescent="0.3">
      <c r="A224" s="10" t="s">
        <v>223</v>
      </c>
      <c r="B224" s="7"/>
      <c r="C224" s="7"/>
      <c r="D224" s="8">
        <f t="shared" si="3"/>
        <v>0</v>
      </c>
    </row>
    <row r="225" spans="1:4" ht="18" hidden="1" x14ac:dyDescent="0.3">
      <c r="A225" s="18" t="s">
        <v>224</v>
      </c>
      <c r="B225" s="7"/>
      <c r="C225" s="7"/>
      <c r="D225" s="8">
        <f t="shared" si="3"/>
        <v>0</v>
      </c>
    </row>
    <row r="226" spans="1:4" ht="18" hidden="1" x14ac:dyDescent="0.3">
      <c r="A226" s="18" t="s">
        <v>225</v>
      </c>
      <c r="B226" s="7"/>
      <c r="C226" s="7"/>
      <c r="D226" s="8">
        <f t="shared" si="3"/>
        <v>0</v>
      </c>
    </row>
    <row r="227" spans="1:4" ht="18" hidden="1" x14ac:dyDescent="0.3">
      <c r="A227" s="12" t="s">
        <v>226</v>
      </c>
      <c r="B227" s="7"/>
      <c r="C227" s="7"/>
      <c r="D227" s="8">
        <f t="shared" si="3"/>
        <v>0</v>
      </c>
    </row>
    <row r="228" spans="1:4" ht="18" hidden="1" x14ac:dyDescent="0.3">
      <c r="A228" s="13" t="s">
        <v>227</v>
      </c>
      <c r="B228" s="7"/>
      <c r="C228" s="7"/>
      <c r="D228" s="8">
        <f t="shared" si="3"/>
        <v>0</v>
      </c>
    </row>
    <row r="229" spans="1:4" ht="18" hidden="1" x14ac:dyDescent="0.3">
      <c r="A229" s="12" t="s">
        <v>228</v>
      </c>
      <c r="B229" s="7"/>
      <c r="C229" s="7"/>
      <c r="D229" s="8">
        <f t="shared" si="3"/>
        <v>0</v>
      </c>
    </row>
    <row r="230" spans="1:4" ht="18" hidden="1" x14ac:dyDescent="0.3">
      <c r="A230" s="18" t="s">
        <v>229</v>
      </c>
      <c r="B230" s="7"/>
      <c r="C230" s="7"/>
      <c r="D230" s="8">
        <f t="shared" si="3"/>
        <v>0</v>
      </c>
    </row>
    <row r="231" spans="1:4" ht="18" hidden="1" x14ac:dyDescent="0.3">
      <c r="A231" s="12" t="s">
        <v>230</v>
      </c>
      <c r="B231" s="7"/>
      <c r="C231" s="7"/>
      <c r="D231" s="8">
        <f t="shared" si="3"/>
        <v>0</v>
      </c>
    </row>
    <row r="232" spans="1:4" ht="18" hidden="1" x14ac:dyDescent="0.3">
      <c r="A232" s="12" t="s">
        <v>231</v>
      </c>
      <c r="B232" s="7"/>
      <c r="C232" s="7"/>
      <c r="D232" s="8">
        <f t="shared" si="3"/>
        <v>0</v>
      </c>
    </row>
    <row r="233" spans="1:4" ht="18" hidden="1" x14ac:dyDescent="0.3">
      <c r="A233" s="12" t="s">
        <v>232</v>
      </c>
      <c r="B233" s="7"/>
      <c r="C233" s="7"/>
      <c r="D233" s="8">
        <f t="shared" si="3"/>
        <v>0</v>
      </c>
    </row>
    <row r="234" spans="1:4" ht="18" hidden="1" x14ac:dyDescent="0.3">
      <c r="A234" s="10" t="s">
        <v>233</v>
      </c>
      <c r="B234" s="7"/>
      <c r="C234" s="7"/>
      <c r="D234" s="8">
        <f t="shared" si="3"/>
        <v>0</v>
      </c>
    </row>
    <row r="235" spans="1:4" ht="18" hidden="1" x14ac:dyDescent="0.3">
      <c r="A235" s="10" t="s">
        <v>234</v>
      </c>
      <c r="B235" s="7"/>
      <c r="C235" s="7"/>
      <c r="D235" s="8">
        <f t="shared" si="3"/>
        <v>0</v>
      </c>
    </row>
    <row r="236" spans="1:4" ht="18" hidden="1" x14ac:dyDescent="0.3">
      <c r="A236" s="12" t="s">
        <v>235</v>
      </c>
      <c r="B236" s="7"/>
      <c r="C236" s="7"/>
      <c r="D236" s="8">
        <f t="shared" si="3"/>
        <v>0</v>
      </c>
    </row>
    <row r="237" spans="1:4" ht="18" hidden="1" x14ac:dyDescent="0.3">
      <c r="A237" s="39" t="s">
        <v>236</v>
      </c>
      <c r="B237" s="7"/>
      <c r="C237" s="7"/>
      <c r="D237" s="8">
        <f t="shared" si="3"/>
        <v>0</v>
      </c>
    </row>
    <row r="238" spans="1:4" ht="18" hidden="1" x14ac:dyDescent="0.3">
      <c r="A238" s="10" t="s">
        <v>237</v>
      </c>
      <c r="B238" s="7"/>
      <c r="C238" s="7"/>
      <c r="D238" s="8">
        <f t="shared" si="3"/>
        <v>0</v>
      </c>
    </row>
    <row r="239" spans="1:4" ht="18" hidden="1" x14ac:dyDescent="0.3">
      <c r="A239" s="10" t="s">
        <v>238</v>
      </c>
      <c r="B239" s="7"/>
      <c r="C239" s="7"/>
      <c r="D239" s="8">
        <f t="shared" si="3"/>
        <v>0</v>
      </c>
    </row>
    <row r="240" spans="1:4" ht="18" hidden="1" x14ac:dyDescent="0.3">
      <c r="A240" s="14" t="s">
        <v>239</v>
      </c>
      <c r="B240" s="7"/>
      <c r="C240" s="7"/>
      <c r="D240" s="8">
        <f t="shared" si="3"/>
        <v>0</v>
      </c>
    </row>
    <row r="241" spans="1:4" ht="18" hidden="1" x14ac:dyDescent="0.3">
      <c r="A241" s="14" t="s">
        <v>240</v>
      </c>
      <c r="B241" s="7"/>
      <c r="C241" s="7"/>
      <c r="D241" s="8">
        <f t="shared" si="3"/>
        <v>0</v>
      </c>
    </row>
    <row r="242" spans="1:4" ht="18" hidden="1" x14ac:dyDescent="0.3">
      <c r="A242" s="37" t="s">
        <v>241</v>
      </c>
      <c r="B242" s="7"/>
      <c r="C242" s="7"/>
      <c r="D242" s="8">
        <f t="shared" si="3"/>
        <v>0</v>
      </c>
    </row>
    <row r="243" spans="1:4" ht="18" hidden="1" x14ac:dyDescent="0.3">
      <c r="A243" s="10" t="s">
        <v>242</v>
      </c>
      <c r="B243" s="7"/>
      <c r="C243" s="7"/>
      <c r="D243" s="8">
        <f t="shared" si="3"/>
        <v>0</v>
      </c>
    </row>
    <row r="244" spans="1:4" ht="18" hidden="1" x14ac:dyDescent="0.3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">
      <c r="A245" s="10" t="s">
        <v>244</v>
      </c>
      <c r="B245" s="16"/>
      <c r="C245" s="16"/>
      <c r="D245" s="8">
        <f t="shared" si="3"/>
        <v>0</v>
      </c>
    </row>
    <row r="246" spans="1:4" ht="18" hidden="1" x14ac:dyDescent="0.3">
      <c r="A246" s="37" t="s">
        <v>245</v>
      </c>
      <c r="B246" s="7"/>
      <c r="C246" s="7"/>
      <c r="D246" s="8">
        <f t="shared" si="3"/>
        <v>0</v>
      </c>
    </row>
    <row r="247" spans="1:4" ht="18" hidden="1" x14ac:dyDescent="0.3">
      <c r="A247" s="10" t="s">
        <v>246</v>
      </c>
      <c r="B247" s="16"/>
      <c r="C247" s="16"/>
      <c r="D247" s="8">
        <f t="shared" si="3"/>
        <v>0</v>
      </c>
    </row>
    <row r="248" spans="1:4" ht="18" x14ac:dyDescent="0.3">
      <c r="A248" s="10" t="s">
        <v>247</v>
      </c>
      <c r="B248" s="7">
        <v>9</v>
      </c>
      <c r="C248" s="7">
        <v>14000</v>
      </c>
      <c r="D248" s="8">
        <f t="shared" si="3"/>
        <v>126000</v>
      </c>
    </row>
    <row r="249" spans="1:4" ht="18" hidden="1" x14ac:dyDescent="0.3">
      <c r="A249" s="12" t="s">
        <v>248</v>
      </c>
      <c r="B249" s="7"/>
      <c r="C249" s="7"/>
      <c r="D249" s="8">
        <f t="shared" si="3"/>
        <v>0</v>
      </c>
    </row>
    <row r="250" spans="1:4" ht="18" hidden="1" x14ac:dyDescent="0.3">
      <c r="A250" s="12" t="s">
        <v>249</v>
      </c>
      <c r="B250" s="7"/>
      <c r="C250" s="7"/>
      <c r="D250" s="8">
        <f t="shared" si="3"/>
        <v>0</v>
      </c>
    </row>
    <row r="251" spans="1:4" ht="18" x14ac:dyDescent="0.3">
      <c r="A251" s="10" t="s">
        <v>250</v>
      </c>
      <c r="B251" s="7">
        <v>45</v>
      </c>
      <c r="C251" s="7">
        <v>32000</v>
      </c>
      <c r="D251" s="8">
        <f t="shared" si="3"/>
        <v>1440000</v>
      </c>
    </row>
    <row r="252" spans="1:4" ht="18" hidden="1" x14ac:dyDescent="0.3">
      <c r="A252" s="10" t="s">
        <v>251</v>
      </c>
      <c r="B252" s="7"/>
      <c r="C252" s="7"/>
      <c r="D252" s="8">
        <f t="shared" si="3"/>
        <v>0</v>
      </c>
    </row>
    <row r="253" spans="1:4" ht="18" hidden="1" x14ac:dyDescent="0.3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">
      <c r="A254" s="10" t="s">
        <v>253</v>
      </c>
      <c r="B254" s="7"/>
      <c r="C254" s="7"/>
      <c r="D254" s="8">
        <f t="shared" si="3"/>
        <v>0</v>
      </c>
    </row>
    <row r="255" spans="1:4" ht="18" hidden="1" x14ac:dyDescent="0.3">
      <c r="A255" s="10" t="s">
        <v>254</v>
      </c>
      <c r="B255" s="7"/>
      <c r="C255" s="7"/>
      <c r="D255" s="8">
        <f t="shared" si="3"/>
        <v>0</v>
      </c>
    </row>
    <row r="256" spans="1:4" ht="18" hidden="1" x14ac:dyDescent="0.3">
      <c r="A256" s="18" t="s">
        <v>255</v>
      </c>
      <c r="B256" s="7"/>
      <c r="C256" s="7"/>
      <c r="D256" s="8">
        <f t="shared" si="3"/>
        <v>0</v>
      </c>
    </row>
    <row r="257" spans="1:4" ht="18" hidden="1" x14ac:dyDescent="0.3">
      <c r="A257" s="23" t="s">
        <v>256</v>
      </c>
      <c r="B257" s="7"/>
      <c r="C257" s="7"/>
      <c r="D257" s="8">
        <f t="shared" si="3"/>
        <v>0</v>
      </c>
    </row>
    <row r="258" spans="1:4" ht="18" hidden="1" x14ac:dyDescent="0.3">
      <c r="A258" s="23" t="s">
        <v>257</v>
      </c>
      <c r="B258" s="7"/>
      <c r="C258" s="7"/>
      <c r="D258" s="8">
        <f t="shared" si="3"/>
        <v>0</v>
      </c>
    </row>
    <row r="259" spans="1:4" ht="18" x14ac:dyDescent="0.3">
      <c r="A259" s="10" t="s">
        <v>258</v>
      </c>
      <c r="B259" s="7">
        <f>18+21+10</f>
        <v>49</v>
      </c>
      <c r="C259" s="7">
        <v>42000</v>
      </c>
      <c r="D259" s="8">
        <f t="shared" si="3"/>
        <v>2058000</v>
      </c>
    </row>
    <row r="260" spans="1:4" ht="18" hidden="1" x14ac:dyDescent="0.3">
      <c r="A260" s="10" t="s">
        <v>259</v>
      </c>
      <c r="B260" s="7"/>
      <c r="C260" s="7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7"/>
      <c r="C261" s="7"/>
      <c r="D261" s="8">
        <f t="shared" si="4"/>
        <v>0</v>
      </c>
    </row>
    <row r="262" spans="1:4" ht="18" hidden="1" x14ac:dyDescent="0.3">
      <c r="A262" s="10" t="s">
        <v>261</v>
      </c>
      <c r="B262" s="7"/>
      <c r="C262" s="7"/>
      <c r="D262" s="8">
        <f t="shared" si="4"/>
        <v>0</v>
      </c>
    </row>
    <row r="263" spans="1:4" ht="18" x14ac:dyDescent="0.3">
      <c r="A263" s="10" t="s">
        <v>262</v>
      </c>
      <c r="B263" s="7">
        <f>3+22+5+14+20+25</f>
        <v>89</v>
      </c>
      <c r="C263" s="7">
        <v>22000</v>
      </c>
      <c r="D263" s="8">
        <f t="shared" si="4"/>
        <v>1958000</v>
      </c>
    </row>
    <row r="264" spans="1:4" ht="18" hidden="1" x14ac:dyDescent="0.3">
      <c r="A264" s="10" t="s">
        <v>263</v>
      </c>
      <c r="B264" s="7"/>
      <c r="C264" s="7"/>
      <c r="D264" s="8">
        <f t="shared" si="4"/>
        <v>0</v>
      </c>
    </row>
    <row r="265" spans="1:4" ht="18" hidden="1" x14ac:dyDescent="0.3">
      <c r="A265" s="10" t="s">
        <v>264</v>
      </c>
      <c r="B265" s="7"/>
      <c r="C265" s="7"/>
      <c r="D265" s="8">
        <f t="shared" si="4"/>
        <v>0</v>
      </c>
    </row>
    <row r="266" spans="1:4" ht="18" x14ac:dyDescent="0.3">
      <c r="A266" s="10" t="s">
        <v>265</v>
      </c>
      <c r="B266" s="16">
        <v>1</v>
      </c>
      <c r="C266" s="16">
        <v>26000</v>
      </c>
      <c r="D266" s="8">
        <f t="shared" si="4"/>
        <v>26000</v>
      </c>
    </row>
    <row r="267" spans="1:4" ht="18" hidden="1" x14ac:dyDescent="0.3">
      <c r="A267" s="14" t="s">
        <v>266</v>
      </c>
      <c r="B267" s="7"/>
      <c r="C267" s="7"/>
      <c r="D267" s="8">
        <f t="shared" si="4"/>
        <v>0</v>
      </c>
    </row>
    <row r="268" spans="1:4" ht="18" hidden="1" x14ac:dyDescent="0.3">
      <c r="A268" s="10" t="s">
        <v>267</v>
      </c>
      <c r="B268" s="7"/>
      <c r="C268" s="7"/>
      <c r="D268" s="8">
        <f t="shared" si="4"/>
        <v>0</v>
      </c>
    </row>
    <row r="269" spans="1:4" ht="18" hidden="1" x14ac:dyDescent="0.3">
      <c r="A269" s="12" t="s">
        <v>268</v>
      </c>
      <c r="B269" s="7"/>
      <c r="C269" s="7"/>
      <c r="D269" s="8">
        <f t="shared" si="4"/>
        <v>0</v>
      </c>
    </row>
    <row r="270" spans="1:4" ht="18" hidden="1" x14ac:dyDescent="0.3">
      <c r="A270" s="12" t="s">
        <v>269</v>
      </c>
      <c r="B270" s="7"/>
      <c r="C270" s="7"/>
      <c r="D270" s="8">
        <f t="shared" si="4"/>
        <v>0</v>
      </c>
    </row>
    <row r="271" spans="1:4" ht="18" x14ac:dyDescent="0.3">
      <c r="A271" s="10" t="s">
        <v>270</v>
      </c>
      <c r="B271" s="7">
        <v>5</v>
      </c>
      <c r="C271" s="7">
        <v>12000</v>
      </c>
      <c r="D271" s="8">
        <f t="shared" si="4"/>
        <v>60000</v>
      </c>
    </row>
    <row r="272" spans="1:4" ht="18" hidden="1" x14ac:dyDescent="0.3">
      <c r="A272" s="10" t="s">
        <v>271</v>
      </c>
      <c r="B272" s="7"/>
      <c r="C272" s="7"/>
      <c r="D272" s="8">
        <f t="shared" si="4"/>
        <v>0</v>
      </c>
    </row>
    <row r="273" spans="1:4" ht="18" hidden="1" x14ac:dyDescent="0.3">
      <c r="A273" s="10" t="s">
        <v>272</v>
      </c>
      <c r="B273" s="7"/>
      <c r="C273" s="7"/>
      <c r="D273" s="8">
        <f t="shared" si="4"/>
        <v>0</v>
      </c>
    </row>
    <row r="274" spans="1:4" ht="18" hidden="1" x14ac:dyDescent="0.3">
      <c r="A274" s="10" t="s">
        <v>273</v>
      </c>
      <c r="B274" s="7"/>
      <c r="C274" s="7"/>
      <c r="D274" s="8">
        <f t="shared" si="4"/>
        <v>0</v>
      </c>
    </row>
    <row r="275" spans="1:4" ht="18" x14ac:dyDescent="0.3">
      <c r="A275" s="10" t="s">
        <v>274</v>
      </c>
      <c r="B275" s="7">
        <v>28</v>
      </c>
      <c r="C275" s="7">
        <v>16000</v>
      </c>
      <c r="D275" s="8">
        <f t="shared" si="4"/>
        <v>448000</v>
      </c>
    </row>
    <row r="276" spans="1:4" ht="18" hidden="1" x14ac:dyDescent="0.3">
      <c r="A276" s="10" t="s">
        <v>275</v>
      </c>
      <c r="B276" s="7"/>
      <c r="C276" s="7"/>
      <c r="D276" s="8">
        <f t="shared" si="4"/>
        <v>0</v>
      </c>
    </row>
    <row r="277" spans="1:4" ht="18" hidden="1" x14ac:dyDescent="0.3">
      <c r="A277" s="10" t="s">
        <v>276</v>
      </c>
      <c r="B277" s="7"/>
      <c r="C277" s="7"/>
      <c r="D277" s="8">
        <f t="shared" si="4"/>
        <v>0</v>
      </c>
    </row>
    <row r="278" spans="1:4" ht="18" hidden="1" x14ac:dyDescent="0.3">
      <c r="A278" s="37" t="s">
        <v>277</v>
      </c>
      <c r="B278" s="7"/>
      <c r="C278" s="7"/>
      <c r="D278" s="8">
        <f t="shared" si="4"/>
        <v>0</v>
      </c>
    </row>
    <row r="279" spans="1:4" ht="18" hidden="1" x14ac:dyDescent="0.3">
      <c r="A279" s="10" t="s">
        <v>278</v>
      </c>
      <c r="B279" s="7"/>
      <c r="C279" s="7"/>
      <c r="D279" s="8">
        <f t="shared" si="4"/>
        <v>0</v>
      </c>
    </row>
    <row r="280" spans="1:4" ht="18" hidden="1" x14ac:dyDescent="0.3">
      <c r="A280" s="37" t="s">
        <v>279</v>
      </c>
      <c r="B280" s="7"/>
      <c r="C280" s="7"/>
      <c r="D280" s="8">
        <f t="shared" si="4"/>
        <v>0</v>
      </c>
    </row>
    <row r="281" spans="1:4" ht="18" hidden="1" x14ac:dyDescent="0.3">
      <c r="A281" s="37" t="s">
        <v>280</v>
      </c>
      <c r="B281" s="7"/>
      <c r="C281" s="7"/>
      <c r="D281" s="8">
        <f t="shared" si="4"/>
        <v>0</v>
      </c>
    </row>
    <row r="282" spans="1:4" ht="18" hidden="1" x14ac:dyDescent="0.3">
      <c r="A282" s="13" t="s">
        <v>281</v>
      </c>
      <c r="B282" s="16"/>
      <c r="C282" s="16"/>
      <c r="D282" s="8">
        <f t="shared" si="4"/>
        <v>0</v>
      </c>
    </row>
    <row r="283" spans="1:4" ht="18" hidden="1" x14ac:dyDescent="0.3">
      <c r="A283" s="13" t="s">
        <v>282</v>
      </c>
      <c r="B283" s="7"/>
      <c r="C283" s="7"/>
      <c r="D283" s="8">
        <f t="shared" si="4"/>
        <v>0</v>
      </c>
    </row>
    <row r="284" spans="1:4" ht="18" hidden="1" x14ac:dyDescent="0.3">
      <c r="A284" s="12" t="s">
        <v>283</v>
      </c>
      <c r="B284" s="7"/>
      <c r="C284" s="7"/>
      <c r="D284" s="8">
        <f t="shared" si="4"/>
        <v>0</v>
      </c>
    </row>
    <row r="285" spans="1:4" ht="18" hidden="1" x14ac:dyDescent="0.3">
      <c r="A285" s="18" t="s">
        <v>284</v>
      </c>
      <c r="B285" s="7"/>
      <c r="C285" s="7"/>
      <c r="D285" s="8">
        <f t="shared" si="4"/>
        <v>0</v>
      </c>
    </row>
    <row r="286" spans="1:4" ht="18" hidden="1" x14ac:dyDescent="0.3">
      <c r="A286" s="18" t="s">
        <v>285</v>
      </c>
      <c r="B286" s="7"/>
      <c r="C286" s="7"/>
      <c r="D286" s="8">
        <f t="shared" si="4"/>
        <v>0</v>
      </c>
    </row>
    <row r="287" spans="1:4" ht="18" hidden="1" x14ac:dyDescent="0.3">
      <c r="A287" s="18" t="s">
        <v>286</v>
      </c>
      <c r="B287" s="7"/>
      <c r="C287" s="7"/>
      <c r="D287" s="8">
        <f t="shared" si="4"/>
        <v>0</v>
      </c>
    </row>
    <row r="288" spans="1:4" ht="18" x14ac:dyDescent="0.3">
      <c r="A288" s="10" t="s">
        <v>287</v>
      </c>
      <c r="B288" s="7">
        <v>30</v>
      </c>
      <c r="C288" s="7">
        <v>9000</v>
      </c>
      <c r="D288" s="8">
        <f t="shared" si="4"/>
        <v>270000</v>
      </c>
    </row>
    <row r="289" spans="1:4" ht="18" hidden="1" x14ac:dyDescent="0.3">
      <c r="A289" s="18" t="s">
        <v>288</v>
      </c>
      <c r="B289" s="7"/>
      <c r="C289" s="7"/>
      <c r="D289" s="8">
        <f t="shared" si="4"/>
        <v>0</v>
      </c>
    </row>
    <row r="290" spans="1:4" ht="18" hidden="1" x14ac:dyDescent="0.3">
      <c r="A290" s="10" t="s">
        <v>289</v>
      </c>
      <c r="B290" s="7"/>
      <c r="C290" s="7"/>
      <c r="D290" s="8">
        <f t="shared" si="4"/>
        <v>0</v>
      </c>
    </row>
    <row r="291" spans="1:4" ht="18" x14ac:dyDescent="0.3">
      <c r="A291" s="10" t="s">
        <v>290</v>
      </c>
      <c r="B291" s="7">
        <v>15</v>
      </c>
      <c r="C291" s="7">
        <v>12000</v>
      </c>
      <c r="D291" s="8">
        <f t="shared" si="4"/>
        <v>180000</v>
      </c>
    </row>
    <row r="292" spans="1:4" ht="18" hidden="1" x14ac:dyDescent="0.3">
      <c r="A292" s="18" t="s">
        <v>291</v>
      </c>
      <c r="B292" s="7"/>
      <c r="C292" s="7"/>
      <c r="D292" s="8">
        <f t="shared" si="4"/>
        <v>0</v>
      </c>
    </row>
    <row r="293" spans="1:4" ht="18" hidden="1" x14ac:dyDescent="0.3">
      <c r="A293" s="27" t="s">
        <v>292</v>
      </c>
      <c r="B293" s="7"/>
      <c r="C293" s="7"/>
      <c r="D293" s="8">
        <f t="shared" si="4"/>
        <v>0</v>
      </c>
    </row>
    <row r="294" spans="1:4" ht="18" x14ac:dyDescent="0.3">
      <c r="A294" s="10" t="s">
        <v>293</v>
      </c>
      <c r="B294" s="7">
        <v>20</v>
      </c>
      <c r="C294" s="7">
        <v>12000</v>
      </c>
      <c r="D294" s="8">
        <f t="shared" si="4"/>
        <v>240000</v>
      </c>
    </row>
    <row r="295" spans="1:4" ht="18" hidden="1" x14ac:dyDescent="0.3">
      <c r="A295" s="14" t="s">
        <v>294</v>
      </c>
      <c r="B295" s="7"/>
      <c r="C295" s="7"/>
      <c r="D295" s="8">
        <f t="shared" si="4"/>
        <v>0</v>
      </c>
    </row>
    <row r="296" spans="1:4" ht="18" hidden="1" x14ac:dyDescent="0.3">
      <c r="A296" s="14" t="s">
        <v>295</v>
      </c>
      <c r="B296" s="7"/>
      <c r="C296" s="7"/>
      <c r="D296" s="8">
        <f t="shared" si="4"/>
        <v>0</v>
      </c>
    </row>
    <row r="297" spans="1:4" ht="18" hidden="1" x14ac:dyDescent="0.3">
      <c r="A297" s="13" t="s">
        <v>296</v>
      </c>
      <c r="B297" s="7"/>
      <c r="C297" s="7"/>
      <c r="D297" s="8">
        <f t="shared" si="4"/>
        <v>0</v>
      </c>
    </row>
    <row r="298" spans="1:4" ht="18" hidden="1" x14ac:dyDescent="0.3">
      <c r="A298" s="18" t="s">
        <v>297</v>
      </c>
      <c r="B298" s="7"/>
      <c r="C298" s="7"/>
      <c r="D298" s="8">
        <f t="shared" si="4"/>
        <v>0</v>
      </c>
    </row>
    <row r="299" spans="1:4" ht="18" hidden="1" x14ac:dyDescent="0.3">
      <c r="A299" s="14" t="s">
        <v>298</v>
      </c>
      <c r="B299" s="7"/>
      <c r="C299" s="7"/>
      <c r="D299" s="8">
        <f t="shared" si="4"/>
        <v>0</v>
      </c>
    </row>
    <row r="300" spans="1:4" ht="18" hidden="1" x14ac:dyDescent="0.3">
      <c r="A300" s="10" t="s">
        <v>299</v>
      </c>
      <c r="B300" s="7"/>
      <c r="C300" s="7"/>
      <c r="D300" s="8">
        <f t="shared" si="4"/>
        <v>0</v>
      </c>
    </row>
    <row r="301" spans="1:4" ht="18" hidden="1" x14ac:dyDescent="0.3">
      <c r="A301" s="18" t="s">
        <v>300</v>
      </c>
      <c r="B301" s="7"/>
      <c r="C301" s="7"/>
      <c r="D301" s="8">
        <f t="shared" si="4"/>
        <v>0</v>
      </c>
    </row>
    <row r="302" spans="1:4" ht="18" hidden="1" x14ac:dyDescent="0.3">
      <c r="A302" s="10" t="s">
        <v>301</v>
      </c>
      <c r="B302" s="7"/>
      <c r="C302" s="7"/>
      <c r="D302" s="8">
        <f t="shared" si="4"/>
        <v>0</v>
      </c>
    </row>
    <row r="303" spans="1:4" ht="18" hidden="1" x14ac:dyDescent="0.3">
      <c r="A303" s="10" t="s">
        <v>302</v>
      </c>
      <c r="B303" s="7"/>
      <c r="C303" s="7"/>
      <c r="D303" s="8">
        <f t="shared" si="4"/>
        <v>0</v>
      </c>
    </row>
    <row r="304" spans="1:4" ht="18" hidden="1" x14ac:dyDescent="0.3">
      <c r="A304" s="12" t="s">
        <v>303</v>
      </c>
      <c r="B304" s="7"/>
      <c r="C304" s="7"/>
      <c r="D304" s="8">
        <f t="shared" si="4"/>
        <v>0</v>
      </c>
    </row>
    <row r="305" spans="1:4" ht="18" hidden="1" x14ac:dyDescent="0.3">
      <c r="A305" s="13" t="s">
        <v>304</v>
      </c>
      <c r="B305" s="7"/>
      <c r="C305" s="7"/>
      <c r="D305" s="8">
        <f t="shared" si="4"/>
        <v>0</v>
      </c>
    </row>
    <row r="306" spans="1:4" ht="18" hidden="1" x14ac:dyDescent="0.3">
      <c r="A306" s="13" t="s">
        <v>305</v>
      </c>
      <c r="B306" s="7"/>
      <c r="C306" s="7"/>
      <c r="D306" s="8">
        <f t="shared" si="4"/>
        <v>0</v>
      </c>
    </row>
    <row r="307" spans="1:4" ht="18" hidden="1" x14ac:dyDescent="0.3">
      <c r="A307" s="10" t="s">
        <v>306</v>
      </c>
      <c r="B307" s="7"/>
      <c r="C307" s="7"/>
      <c r="D307" s="8">
        <f t="shared" si="4"/>
        <v>0</v>
      </c>
    </row>
    <row r="308" spans="1:4" ht="18" hidden="1" x14ac:dyDescent="0.3">
      <c r="A308" s="10" t="s">
        <v>307</v>
      </c>
      <c r="B308" s="7"/>
      <c r="C308" s="7"/>
      <c r="D308" s="8">
        <f t="shared" si="4"/>
        <v>0</v>
      </c>
    </row>
    <row r="309" spans="1:4" ht="18" hidden="1" x14ac:dyDescent="0.3">
      <c r="A309" s="10" t="s">
        <v>308</v>
      </c>
      <c r="B309" s="7"/>
      <c r="C309" s="7"/>
      <c r="D309" s="8">
        <f t="shared" si="4"/>
        <v>0</v>
      </c>
    </row>
    <row r="310" spans="1:4" ht="18" x14ac:dyDescent="0.3">
      <c r="A310" s="14" t="s">
        <v>309</v>
      </c>
      <c r="B310" s="7">
        <v>8</v>
      </c>
      <c r="C310" s="7">
        <v>42000</v>
      </c>
      <c r="D310" s="8">
        <f t="shared" si="4"/>
        <v>336000</v>
      </c>
    </row>
    <row r="311" spans="1:4" ht="18" hidden="1" x14ac:dyDescent="0.3">
      <c r="A311" s="14" t="s">
        <v>310</v>
      </c>
      <c r="B311" s="7"/>
      <c r="C311" s="7"/>
      <c r="D311" s="8">
        <f t="shared" si="4"/>
        <v>0</v>
      </c>
    </row>
    <row r="312" spans="1:4" ht="18" hidden="1" x14ac:dyDescent="0.3">
      <c r="A312" s="23" t="s">
        <v>311</v>
      </c>
      <c r="B312" s="7"/>
      <c r="C312" s="7"/>
      <c r="D312" s="8">
        <f t="shared" si="4"/>
        <v>0</v>
      </c>
    </row>
    <row r="313" spans="1:4" ht="18" hidden="1" x14ac:dyDescent="0.3">
      <c r="A313" s="14" t="s">
        <v>312</v>
      </c>
      <c r="B313" s="7"/>
      <c r="C313" s="7"/>
      <c r="D313" s="8">
        <f t="shared" si="4"/>
        <v>0</v>
      </c>
    </row>
    <row r="314" spans="1:4" ht="18" hidden="1" x14ac:dyDescent="0.3">
      <c r="A314" s="10" t="s">
        <v>313</v>
      </c>
      <c r="B314" s="7"/>
      <c r="C314" s="7"/>
      <c r="D314" s="8">
        <f t="shared" si="4"/>
        <v>0</v>
      </c>
    </row>
    <row r="315" spans="1:4" ht="18" hidden="1" x14ac:dyDescent="0.3">
      <c r="A315" s="10" t="s">
        <v>314</v>
      </c>
      <c r="B315" s="7"/>
      <c r="C315" s="7"/>
      <c r="D315" s="8">
        <f t="shared" si="4"/>
        <v>0</v>
      </c>
    </row>
    <row r="316" spans="1:4" ht="18" hidden="1" x14ac:dyDescent="0.3">
      <c r="A316" s="10" t="s">
        <v>315</v>
      </c>
      <c r="B316" s="7"/>
      <c r="C316" s="7"/>
      <c r="D316" s="8">
        <f t="shared" si="4"/>
        <v>0</v>
      </c>
    </row>
    <row r="317" spans="1:4" ht="18" hidden="1" x14ac:dyDescent="0.3">
      <c r="A317" s="10" t="s">
        <v>316</v>
      </c>
      <c r="B317" s="7"/>
      <c r="C317" s="7"/>
      <c r="D317" s="8">
        <f t="shared" si="4"/>
        <v>0</v>
      </c>
    </row>
    <row r="318" spans="1:4" ht="18" hidden="1" x14ac:dyDescent="0.3">
      <c r="A318" s="23" t="s">
        <v>317</v>
      </c>
      <c r="B318" s="7"/>
      <c r="C318" s="7"/>
      <c r="D318" s="8">
        <f t="shared" si="4"/>
        <v>0</v>
      </c>
    </row>
    <row r="319" spans="1:4" ht="18" hidden="1" x14ac:dyDescent="0.3">
      <c r="A319" s="10" t="s">
        <v>318</v>
      </c>
      <c r="B319" s="7"/>
      <c r="C319" s="7"/>
      <c r="D319" s="8">
        <f t="shared" si="4"/>
        <v>0</v>
      </c>
    </row>
    <row r="320" spans="1:4" ht="18" hidden="1" x14ac:dyDescent="0.3">
      <c r="A320" s="10" t="s">
        <v>319</v>
      </c>
      <c r="B320" s="7"/>
      <c r="C320" s="7"/>
      <c r="D320" s="8">
        <f t="shared" si="4"/>
        <v>0</v>
      </c>
    </row>
    <row r="321" spans="1:4" ht="18" hidden="1" x14ac:dyDescent="0.3">
      <c r="A321" s="13" t="s">
        <v>320</v>
      </c>
      <c r="B321" s="7"/>
      <c r="C321" s="7"/>
      <c r="D321" s="8">
        <f t="shared" si="4"/>
        <v>0</v>
      </c>
    </row>
    <row r="322" spans="1:4" ht="18" hidden="1" x14ac:dyDescent="0.3">
      <c r="A322" s="10" t="s">
        <v>321</v>
      </c>
      <c r="B322" s="41"/>
      <c r="C322" s="41"/>
      <c r="D322" s="8">
        <f t="shared" si="4"/>
        <v>0</v>
      </c>
    </row>
    <row r="323" spans="1:4" ht="18" hidden="1" x14ac:dyDescent="0.3">
      <c r="A323" s="10" t="s">
        <v>322</v>
      </c>
      <c r="B323" s="7"/>
      <c r="C323" s="7"/>
      <c r="D323" s="8">
        <f t="shared" si="4"/>
        <v>0</v>
      </c>
    </row>
    <row r="324" spans="1:4" ht="18" hidden="1" x14ac:dyDescent="0.3">
      <c r="A324" s="10" t="s">
        <v>323</v>
      </c>
      <c r="B324" s="7"/>
      <c r="C324" s="7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7"/>
      <c r="C325" s="7"/>
      <c r="D325" s="8">
        <f t="shared" si="5"/>
        <v>0</v>
      </c>
    </row>
    <row r="326" spans="1:4" ht="18" hidden="1" x14ac:dyDescent="0.3">
      <c r="A326" s="23" t="s">
        <v>325</v>
      </c>
      <c r="B326" s="7"/>
      <c r="C326" s="7"/>
      <c r="D326" s="8">
        <f t="shared" si="5"/>
        <v>0</v>
      </c>
    </row>
    <row r="327" spans="1:4" ht="18" x14ac:dyDescent="0.3">
      <c r="A327" s="10" t="s">
        <v>326</v>
      </c>
      <c r="B327" s="7">
        <v>3</v>
      </c>
      <c r="C327" s="7">
        <v>27000</v>
      </c>
      <c r="D327" s="8">
        <f t="shared" si="5"/>
        <v>81000</v>
      </c>
    </row>
    <row r="328" spans="1:4" ht="18" hidden="1" x14ac:dyDescent="0.3">
      <c r="A328" s="10" t="s">
        <v>327</v>
      </c>
      <c r="B328" s="7"/>
      <c r="C328" s="7"/>
      <c r="D328" s="8">
        <f t="shared" si="5"/>
        <v>0</v>
      </c>
    </row>
    <row r="329" spans="1:4" ht="18" hidden="1" x14ac:dyDescent="0.3">
      <c r="A329" s="23" t="s">
        <v>328</v>
      </c>
      <c r="B329" s="7"/>
      <c r="C329" s="7"/>
      <c r="D329" s="8">
        <f t="shared" si="5"/>
        <v>0</v>
      </c>
    </row>
    <row r="330" spans="1:4" ht="18" hidden="1" x14ac:dyDescent="0.3">
      <c r="A330" s="10" t="s">
        <v>329</v>
      </c>
      <c r="B330" s="7"/>
      <c r="C330" s="7"/>
      <c r="D330" s="8">
        <f t="shared" si="5"/>
        <v>0</v>
      </c>
    </row>
    <row r="331" spans="1:4" ht="18" hidden="1" x14ac:dyDescent="0.3">
      <c r="A331" s="10" t="s">
        <v>330</v>
      </c>
      <c r="B331" s="7"/>
      <c r="C331" s="7"/>
      <c r="D331" s="8">
        <f t="shared" si="5"/>
        <v>0</v>
      </c>
    </row>
    <row r="332" spans="1:4" ht="18" hidden="1" x14ac:dyDescent="0.3">
      <c r="A332" s="10" t="s">
        <v>331</v>
      </c>
      <c r="B332" s="7"/>
      <c r="C332" s="7"/>
      <c r="D332" s="8">
        <f t="shared" si="5"/>
        <v>0</v>
      </c>
    </row>
    <row r="333" spans="1:4" ht="18" hidden="1" x14ac:dyDescent="0.3">
      <c r="A333" s="10" t="s">
        <v>332</v>
      </c>
      <c r="B333" s="7"/>
      <c r="C333" s="7"/>
      <c r="D333" s="8">
        <f t="shared" si="5"/>
        <v>0</v>
      </c>
    </row>
    <row r="334" spans="1:4" ht="18" hidden="1" x14ac:dyDescent="0.3">
      <c r="A334" s="10" t="s">
        <v>333</v>
      </c>
      <c r="B334" s="7"/>
      <c r="C334" s="7"/>
      <c r="D334" s="8">
        <f t="shared" si="5"/>
        <v>0</v>
      </c>
    </row>
    <row r="335" spans="1:4" ht="18" hidden="1" x14ac:dyDescent="0.3">
      <c r="A335" s="10" t="s">
        <v>334</v>
      </c>
      <c r="B335" s="7"/>
      <c r="C335" s="7"/>
      <c r="D335" s="8">
        <f t="shared" si="5"/>
        <v>0</v>
      </c>
    </row>
    <row r="336" spans="1:4" ht="18" hidden="1" x14ac:dyDescent="0.3">
      <c r="A336" s="10" t="s">
        <v>335</v>
      </c>
      <c r="B336" s="7"/>
      <c r="C336" s="7"/>
      <c r="D336" s="8">
        <f t="shared" si="5"/>
        <v>0</v>
      </c>
    </row>
    <row r="337" spans="1:4" ht="18" hidden="1" x14ac:dyDescent="0.3">
      <c r="A337" s="10" t="s">
        <v>336</v>
      </c>
      <c r="B337" s="7"/>
      <c r="C337" s="7"/>
      <c r="D337" s="8">
        <f t="shared" si="5"/>
        <v>0</v>
      </c>
    </row>
    <row r="338" spans="1:4" ht="18" hidden="1" x14ac:dyDescent="0.3">
      <c r="A338" s="12" t="s">
        <v>337</v>
      </c>
      <c r="B338" s="7"/>
      <c r="C338" s="7"/>
      <c r="D338" s="8">
        <f t="shared" si="5"/>
        <v>0</v>
      </c>
    </row>
    <row r="339" spans="1:4" ht="18" hidden="1" x14ac:dyDescent="0.3">
      <c r="A339" s="12" t="s">
        <v>338</v>
      </c>
      <c r="B339" s="7"/>
      <c r="C339" s="7"/>
      <c r="D339" s="8">
        <f t="shared" si="5"/>
        <v>0</v>
      </c>
    </row>
    <row r="340" spans="1:4" ht="18" x14ac:dyDescent="0.3">
      <c r="A340" s="43"/>
      <c r="B340" s="44">
        <f>SUM(B3:B339)</f>
        <v>1857</v>
      </c>
      <c r="C340" s="44"/>
      <c r="D340" s="8">
        <f>SUM(D3:D327)</f>
        <v>30991100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369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70</v>
      </c>
      <c r="C348" s="8">
        <v>7300</v>
      </c>
      <c r="D348" s="8">
        <f t="shared" si="5"/>
        <v>511000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50</v>
      </c>
      <c r="C355" s="8">
        <v>10000</v>
      </c>
      <c r="D355" s="8">
        <f t="shared" si="5"/>
        <v>500000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1350+390+390</f>
        <v>2130</v>
      </c>
      <c r="C362" s="8">
        <v>12000</v>
      </c>
      <c r="D362" s="8">
        <f t="shared" si="5"/>
        <v>25560000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380+170+30</f>
        <v>580</v>
      </c>
      <c r="C389" s="8">
        <v>22000</v>
      </c>
      <c r="D389" s="8">
        <f t="shared" si="6"/>
        <v>12760000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65+80</f>
        <v>145</v>
      </c>
      <c r="C414" s="8">
        <v>30000</v>
      </c>
      <c r="D414" s="8">
        <f t="shared" si="6"/>
        <v>4350000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f>22+45</f>
        <v>67</v>
      </c>
      <c r="C427" s="8">
        <v>9000</v>
      </c>
      <c r="D427" s="8">
        <f t="shared" si="6"/>
        <v>603000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2</v>
      </c>
      <c r="C461" s="8">
        <v>10000</v>
      </c>
      <c r="D461" s="8">
        <f t="shared" si="7"/>
        <v>20000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f>75+55+20</f>
        <v>150</v>
      </c>
      <c r="C472" s="8">
        <v>6000</v>
      </c>
      <c r="D472" s="8">
        <f t="shared" si="7"/>
        <v>900000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x14ac:dyDescent="0.3">
      <c r="A497" s="10" t="s">
        <v>159</v>
      </c>
      <c r="B497" s="8">
        <v>13</v>
      </c>
      <c r="C497" s="8">
        <v>10000</v>
      </c>
      <c r="D497" s="8">
        <f t="shared" si="7"/>
        <v>130000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f>24+420</f>
        <v>444</v>
      </c>
      <c r="C504" s="8">
        <v>6500</v>
      </c>
      <c r="D504" s="8">
        <f t="shared" si="7"/>
        <v>2886000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hidden="1" x14ac:dyDescent="0.3">
      <c r="A520" s="13" t="s">
        <v>183</v>
      </c>
      <c r="B520" s="8"/>
      <c r="C520" s="8"/>
      <c r="D520" s="8">
        <f t="shared" si="8"/>
        <v>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200+280+200</f>
        <v>680</v>
      </c>
      <c r="C542" s="8">
        <v>7500</v>
      </c>
      <c r="D542" s="8">
        <f t="shared" si="8"/>
        <v>5100000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v>320</v>
      </c>
      <c r="C556" s="8">
        <v>14000</v>
      </c>
      <c r="D556" s="8">
        <f t="shared" si="8"/>
        <v>4480000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x14ac:dyDescent="0.3">
      <c r="A571" s="23" t="s">
        <v>357</v>
      </c>
      <c r="B571" s="8">
        <v>24</v>
      </c>
      <c r="C571" s="8">
        <v>17000</v>
      </c>
      <c r="D571" s="8">
        <f t="shared" si="8"/>
        <v>408000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4675</v>
      </c>
      <c r="C672" s="46"/>
      <c r="D672" s="46">
        <f t="shared" ref="D672" si="11">SUM(D345:D671)</f>
        <v>58208000</v>
      </c>
    </row>
    <row r="674" spans="4:4" x14ac:dyDescent="0.3">
      <c r="D674" s="49">
        <f>D672+D340</f>
        <v>89199100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0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674"/>
  <sheetViews>
    <sheetView topLeftCell="A335" workbookViewId="0">
      <selection activeCell="G542" sqref="G542"/>
    </sheetView>
  </sheetViews>
  <sheetFormatPr defaultRowHeight="14.4" x14ac:dyDescent="0.3"/>
  <cols>
    <col min="1" max="1" width="36.33203125" customWidth="1"/>
    <col min="3" max="3" width="12.6640625" customWidth="1"/>
    <col min="4" max="4" width="19.6640625" customWidth="1"/>
  </cols>
  <sheetData>
    <row r="1" spans="1:4" x14ac:dyDescent="0.3">
      <c r="A1" s="1" t="s">
        <v>364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6" t="s">
        <v>2</v>
      </c>
      <c r="B3" s="8"/>
      <c r="C3" s="8"/>
      <c r="D3" s="8">
        <f>B3*C3</f>
        <v>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v>5</v>
      </c>
      <c r="C18" s="8">
        <v>3500</v>
      </c>
      <c r="D18" s="8">
        <f t="shared" si="0"/>
        <v>17500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300</v>
      </c>
      <c r="C20" s="8">
        <v>12000</v>
      </c>
      <c r="D20" s="8">
        <f t="shared" si="0"/>
        <v>3600000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45+90+10</f>
        <v>145</v>
      </c>
      <c r="C25" s="8">
        <v>16000</v>
      </c>
      <c r="D25" s="8">
        <f t="shared" si="0"/>
        <v>2320000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v>45</v>
      </c>
      <c r="C28" s="47">
        <v>18000</v>
      </c>
      <c r="D28" s="8">
        <f t="shared" si="0"/>
        <v>810000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2" t="s">
        <v>32</v>
      </c>
      <c r="B33" s="8"/>
      <c r="C33" s="8"/>
      <c r="D33" s="8">
        <f t="shared" si="0"/>
        <v>0</v>
      </c>
    </row>
    <row r="34" spans="1:4" ht="18" hidden="1" x14ac:dyDescent="0.3">
      <c r="A34" s="12" t="s">
        <v>33</v>
      </c>
      <c r="B34" s="8"/>
      <c r="C34" s="8"/>
      <c r="D34" s="8">
        <f t="shared" si="0"/>
        <v>0</v>
      </c>
    </row>
    <row r="35" spans="1:4" ht="18" hidden="1" x14ac:dyDescent="0.3">
      <c r="A35" s="12" t="s">
        <v>34</v>
      </c>
      <c r="B35" s="8"/>
      <c r="C35" s="8"/>
      <c r="D35" s="8">
        <f t="shared" si="0"/>
        <v>0</v>
      </c>
    </row>
    <row r="36" spans="1:4" ht="18" x14ac:dyDescent="0.3">
      <c r="A36" s="13" t="s">
        <v>35</v>
      </c>
      <c r="B36" s="8">
        <f>45+18</f>
        <v>63</v>
      </c>
      <c r="C36" s="8">
        <v>14000</v>
      </c>
      <c r="D36" s="8">
        <f t="shared" si="0"/>
        <v>882000</v>
      </c>
    </row>
    <row r="37" spans="1:4" ht="18" x14ac:dyDescent="0.3">
      <c r="A37" s="10" t="s">
        <v>36</v>
      </c>
      <c r="B37" s="8">
        <v>3</v>
      </c>
      <c r="C37" s="8">
        <v>43000</v>
      </c>
      <c r="D37" s="8">
        <f t="shared" si="0"/>
        <v>129000</v>
      </c>
    </row>
    <row r="38" spans="1:4" ht="18" hidden="1" x14ac:dyDescent="0.3">
      <c r="A38" s="10" t="s">
        <v>37</v>
      </c>
      <c r="B38" s="8"/>
      <c r="C38" s="8"/>
      <c r="D38" s="8">
        <f t="shared" si="0"/>
        <v>0</v>
      </c>
    </row>
    <row r="39" spans="1:4" ht="18" hidden="1" x14ac:dyDescent="0.3">
      <c r="A39" s="12" t="s">
        <v>38</v>
      </c>
      <c r="B39" s="17"/>
      <c r="C39" s="17"/>
      <c r="D39" s="8">
        <f t="shared" si="0"/>
        <v>0</v>
      </c>
    </row>
    <row r="40" spans="1:4" ht="18" hidden="1" x14ac:dyDescent="0.3">
      <c r="A40" s="12" t="s">
        <v>39</v>
      </c>
      <c r="B40" s="17"/>
      <c r="C40" s="17"/>
      <c r="D40" s="8">
        <f t="shared" si="0"/>
        <v>0</v>
      </c>
    </row>
    <row r="41" spans="1:4" ht="18" hidden="1" x14ac:dyDescent="0.3">
      <c r="A41" s="10" t="s">
        <v>40</v>
      </c>
      <c r="B41" s="8"/>
      <c r="C41" s="8"/>
      <c r="D41" s="8">
        <f t="shared" si="0"/>
        <v>0</v>
      </c>
    </row>
    <row r="42" spans="1:4" ht="18" hidden="1" x14ac:dyDescent="0.3">
      <c r="A42" s="10" t="s">
        <v>41</v>
      </c>
      <c r="B42" s="8"/>
      <c r="C42" s="8"/>
      <c r="D42" s="8">
        <f t="shared" si="0"/>
        <v>0</v>
      </c>
    </row>
    <row r="43" spans="1:4" ht="18" hidden="1" x14ac:dyDescent="0.3">
      <c r="A43" s="18" t="s">
        <v>42</v>
      </c>
      <c r="B43" s="8"/>
      <c r="C43" s="8"/>
      <c r="D43" s="8">
        <f t="shared" si="0"/>
        <v>0</v>
      </c>
    </row>
    <row r="44" spans="1:4" ht="18" hidden="1" x14ac:dyDescent="0.3">
      <c r="A44" s="10" t="s">
        <v>43</v>
      </c>
      <c r="B44" s="8"/>
      <c r="C44" s="8"/>
      <c r="D44" s="8">
        <f t="shared" si="0"/>
        <v>0</v>
      </c>
    </row>
    <row r="45" spans="1:4" ht="18" hidden="1" x14ac:dyDescent="0.3">
      <c r="A45" s="10" t="s">
        <v>44</v>
      </c>
      <c r="B45" s="8"/>
      <c r="C45" s="8"/>
      <c r="D45" s="8">
        <f t="shared" si="0"/>
        <v>0</v>
      </c>
    </row>
    <row r="46" spans="1:4" ht="18" hidden="1" x14ac:dyDescent="0.3">
      <c r="A46" s="10" t="s">
        <v>45</v>
      </c>
      <c r="B46" s="8"/>
      <c r="C46" s="8"/>
      <c r="D46" s="8">
        <f t="shared" si="0"/>
        <v>0</v>
      </c>
    </row>
    <row r="47" spans="1:4" ht="18" hidden="1" x14ac:dyDescent="0.3">
      <c r="A47" s="10" t="s">
        <v>46</v>
      </c>
      <c r="B47" s="8"/>
      <c r="C47" s="8"/>
      <c r="D47" s="8">
        <f t="shared" si="0"/>
        <v>0</v>
      </c>
    </row>
    <row r="48" spans="1:4" ht="18" hidden="1" x14ac:dyDescent="0.3">
      <c r="A48" s="19" t="s">
        <v>47</v>
      </c>
      <c r="B48" s="8"/>
      <c r="C48" s="8"/>
      <c r="D48" s="8">
        <f t="shared" si="0"/>
        <v>0</v>
      </c>
    </row>
    <row r="49" spans="1:4" ht="18" hidden="1" x14ac:dyDescent="0.3">
      <c r="A49" s="12" t="s">
        <v>48</v>
      </c>
      <c r="B49" s="8"/>
      <c r="C49" s="8"/>
      <c r="D49" s="8">
        <f t="shared" si="0"/>
        <v>0</v>
      </c>
    </row>
    <row r="50" spans="1:4" ht="18" hidden="1" x14ac:dyDescent="0.3">
      <c r="A50" s="14" t="s">
        <v>49</v>
      </c>
      <c r="B50" s="8"/>
      <c r="C50" s="8"/>
      <c r="D50" s="8">
        <f t="shared" si="0"/>
        <v>0</v>
      </c>
    </row>
    <row r="51" spans="1:4" ht="18" hidden="1" x14ac:dyDescent="0.3">
      <c r="A51" s="10" t="s">
        <v>50</v>
      </c>
      <c r="B51" s="8"/>
      <c r="C51" s="8"/>
      <c r="D51" s="8">
        <f t="shared" si="0"/>
        <v>0</v>
      </c>
    </row>
    <row r="52" spans="1:4" ht="18" hidden="1" x14ac:dyDescent="0.3">
      <c r="A52" s="10" t="s">
        <v>51</v>
      </c>
      <c r="B52" s="8"/>
      <c r="C52" s="8"/>
      <c r="D52" s="8">
        <f t="shared" si="0"/>
        <v>0</v>
      </c>
    </row>
    <row r="53" spans="1:4" ht="18" hidden="1" x14ac:dyDescent="0.3">
      <c r="A53" s="13" t="s">
        <v>52</v>
      </c>
      <c r="B53" s="8"/>
      <c r="C53" s="8"/>
      <c r="D53" s="8">
        <f t="shared" si="0"/>
        <v>0</v>
      </c>
    </row>
    <row r="54" spans="1:4" ht="18" hidden="1" x14ac:dyDescent="0.3">
      <c r="A54" s="10" t="s">
        <v>53</v>
      </c>
      <c r="B54" s="8"/>
      <c r="C54" s="8"/>
      <c r="D54" s="8">
        <f t="shared" si="0"/>
        <v>0</v>
      </c>
    </row>
    <row r="55" spans="1:4" ht="18" hidden="1" x14ac:dyDescent="0.3">
      <c r="A55" s="18" t="s">
        <v>54</v>
      </c>
      <c r="B55" s="8"/>
      <c r="C55" s="8"/>
      <c r="D55" s="8">
        <f t="shared" si="0"/>
        <v>0</v>
      </c>
    </row>
    <row r="56" spans="1:4" ht="18" hidden="1" x14ac:dyDescent="0.3">
      <c r="A56" s="18" t="s">
        <v>55</v>
      </c>
      <c r="B56" s="8"/>
      <c r="C56" s="8"/>
      <c r="D56" s="8">
        <f t="shared" si="0"/>
        <v>0</v>
      </c>
    </row>
    <row r="57" spans="1:4" ht="18" hidden="1" x14ac:dyDescent="0.3">
      <c r="A57" s="18" t="s">
        <v>56</v>
      </c>
      <c r="B57" s="8"/>
      <c r="C57" s="8"/>
      <c r="D57" s="8">
        <f t="shared" si="0"/>
        <v>0</v>
      </c>
    </row>
    <row r="58" spans="1:4" ht="18" hidden="1" x14ac:dyDescent="0.3">
      <c r="A58" s="10" t="s">
        <v>57</v>
      </c>
      <c r="B58" s="8"/>
      <c r="C58" s="8"/>
      <c r="D58" s="8">
        <f t="shared" si="0"/>
        <v>0</v>
      </c>
    </row>
    <row r="59" spans="1:4" ht="18" hidden="1" x14ac:dyDescent="0.3">
      <c r="A59" s="12" t="s">
        <v>58</v>
      </c>
      <c r="B59" s="8"/>
      <c r="C59" s="8"/>
      <c r="D59" s="8">
        <f t="shared" si="0"/>
        <v>0</v>
      </c>
    </row>
    <row r="60" spans="1:4" ht="18" hidden="1" x14ac:dyDescent="0.3">
      <c r="A60" s="10" t="s">
        <v>59</v>
      </c>
      <c r="B60" s="8"/>
      <c r="C60" s="8"/>
      <c r="D60" s="8">
        <f t="shared" si="0"/>
        <v>0</v>
      </c>
    </row>
    <row r="61" spans="1:4" ht="18" hidden="1" x14ac:dyDescent="0.3">
      <c r="A61" s="10" t="s">
        <v>60</v>
      </c>
      <c r="B61" s="8"/>
      <c r="C61" s="8"/>
      <c r="D61" s="8">
        <f t="shared" si="0"/>
        <v>0</v>
      </c>
    </row>
    <row r="62" spans="1:4" ht="18" hidden="1" x14ac:dyDescent="0.3">
      <c r="A62" s="20" t="s">
        <v>61</v>
      </c>
      <c r="B62" s="8"/>
      <c r="C62" s="8"/>
      <c r="D62" s="8">
        <f t="shared" si="0"/>
        <v>0</v>
      </c>
    </row>
    <row r="63" spans="1:4" ht="18" hidden="1" x14ac:dyDescent="0.3">
      <c r="A63" s="10" t="s">
        <v>62</v>
      </c>
      <c r="B63" s="8"/>
      <c r="C63" s="8"/>
      <c r="D63" s="8">
        <f t="shared" si="0"/>
        <v>0</v>
      </c>
    </row>
    <row r="64" spans="1:4" ht="18" hidden="1" x14ac:dyDescent="0.3">
      <c r="A64" s="21" t="s">
        <v>63</v>
      </c>
      <c r="B64" s="8"/>
      <c r="C64" s="8"/>
      <c r="D64" s="8">
        <f t="shared" si="0"/>
        <v>0</v>
      </c>
    </row>
    <row r="65" spans="1:4" ht="18" hidden="1" x14ac:dyDescent="0.3">
      <c r="A65" s="10" t="s">
        <v>64</v>
      </c>
      <c r="B65" s="8"/>
      <c r="C65" s="8"/>
      <c r="D65" s="8">
        <f t="shared" si="0"/>
        <v>0</v>
      </c>
    </row>
    <row r="66" spans="1:4" ht="18" hidden="1" x14ac:dyDescent="0.3">
      <c r="A66" s="10" t="s">
        <v>65</v>
      </c>
      <c r="B66" s="8"/>
      <c r="C66" s="8"/>
      <c r="D66" s="8">
        <f t="shared" si="0"/>
        <v>0</v>
      </c>
    </row>
    <row r="67" spans="1:4" ht="18" hidden="1" x14ac:dyDescent="0.3">
      <c r="A67" s="22" t="s">
        <v>66</v>
      </c>
      <c r="B67" s="8"/>
      <c r="C67" s="8"/>
      <c r="D67" s="8">
        <f t="shared" si="0"/>
        <v>0</v>
      </c>
    </row>
    <row r="68" spans="1:4" ht="18" hidden="1" x14ac:dyDescent="0.3">
      <c r="A68" s="13" t="s">
        <v>67</v>
      </c>
      <c r="B68" s="8"/>
      <c r="C68" s="8"/>
      <c r="D68" s="8">
        <f t="shared" ref="D68:D131" si="1">B68*C68</f>
        <v>0</v>
      </c>
    </row>
    <row r="69" spans="1:4" ht="18" x14ac:dyDescent="0.3">
      <c r="A69" s="13" t="s">
        <v>68</v>
      </c>
      <c r="B69" s="8">
        <v>12</v>
      </c>
      <c r="C69" s="8">
        <v>9000</v>
      </c>
      <c r="D69" s="8">
        <f t="shared" si="1"/>
        <v>108000</v>
      </c>
    </row>
    <row r="70" spans="1:4" ht="18" hidden="1" x14ac:dyDescent="0.3">
      <c r="A70" s="12" t="s">
        <v>69</v>
      </c>
      <c r="B70" s="8"/>
      <c r="C70" s="8"/>
      <c r="D70" s="8">
        <f t="shared" si="1"/>
        <v>0</v>
      </c>
    </row>
    <row r="71" spans="1:4" ht="18" hidden="1" x14ac:dyDescent="0.3">
      <c r="A71" s="13" t="s">
        <v>70</v>
      </c>
      <c r="B71" s="8"/>
      <c r="C71" s="8"/>
      <c r="D71" s="8">
        <f t="shared" si="1"/>
        <v>0</v>
      </c>
    </row>
    <row r="72" spans="1:4" ht="18" hidden="1" x14ac:dyDescent="0.3">
      <c r="A72" s="13" t="s">
        <v>71</v>
      </c>
      <c r="B72" s="8"/>
      <c r="C72" s="8"/>
      <c r="D72" s="8">
        <f t="shared" si="1"/>
        <v>0</v>
      </c>
    </row>
    <row r="73" spans="1:4" ht="18" hidden="1" x14ac:dyDescent="0.3">
      <c r="A73" s="13" t="s">
        <v>72</v>
      </c>
      <c r="B73" s="8"/>
      <c r="C73" s="8"/>
      <c r="D73" s="8">
        <f t="shared" si="1"/>
        <v>0</v>
      </c>
    </row>
    <row r="74" spans="1:4" ht="18" hidden="1" x14ac:dyDescent="0.3">
      <c r="A74" s="22" t="s">
        <v>73</v>
      </c>
      <c r="B74" s="8"/>
      <c r="C74" s="8"/>
      <c r="D74" s="8">
        <f t="shared" si="1"/>
        <v>0</v>
      </c>
    </row>
    <row r="75" spans="1:4" ht="18" hidden="1" x14ac:dyDescent="0.3">
      <c r="A75" s="10" t="s">
        <v>74</v>
      </c>
      <c r="B75" s="8"/>
      <c r="C75" s="8"/>
      <c r="D75" s="8">
        <f t="shared" si="1"/>
        <v>0</v>
      </c>
    </row>
    <row r="76" spans="1:4" ht="18" hidden="1" x14ac:dyDescent="0.3">
      <c r="A76" s="10" t="s">
        <v>75</v>
      </c>
      <c r="B76" s="8"/>
      <c r="C76" s="8"/>
      <c r="D76" s="8">
        <f t="shared" si="1"/>
        <v>0</v>
      </c>
    </row>
    <row r="77" spans="1:4" ht="18" hidden="1" x14ac:dyDescent="0.3">
      <c r="A77" s="13" t="s">
        <v>76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80</v>
      </c>
      <c r="C80" s="8">
        <v>32000</v>
      </c>
      <c r="D80" s="8">
        <f t="shared" si="1"/>
        <v>2560000</v>
      </c>
    </row>
    <row r="81" spans="1:4" ht="18" x14ac:dyDescent="0.3">
      <c r="A81" s="10" t="s">
        <v>80</v>
      </c>
      <c r="B81" s="8">
        <v>11</v>
      </c>
      <c r="C81" s="8">
        <v>23000</v>
      </c>
      <c r="D81" s="8">
        <f t="shared" si="1"/>
        <v>253000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x14ac:dyDescent="0.3">
      <c r="A91" s="10" t="s">
        <v>90</v>
      </c>
      <c r="B91" s="8">
        <v>40</v>
      </c>
      <c r="C91" s="8">
        <v>9000</v>
      </c>
      <c r="D91" s="8">
        <f t="shared" si="1"/>
        <v>360000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hidden="1" x14ac:dyDescent="0.3">
      <c r="A111" s="10" t="s">
        <v>110</v>
      </c>
      <c r="B111" s="8"/>
      <c r="C111" s="8"/>
      <c r="D111" s="8">
        <f t="shared" si="1"/>
        <v>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x14ac:dyDescent="0.3">
      <c r="A145" s="10" t="s">
        <v>144</v>
      </c>
      <c r="B145" s="17">
        <v>0.5</v>
      </c>
      <c r="C145" s="17">
        <v>70000</v>
      </c>
      <c r="D145" s="8">
        <f t="shared" si="2"/>
        <v>35000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x14ac:dyDescent="0.3">
      <c r="A147" s="10" t="s">
        <v>146</v>
      </c>
      <c r="B147" s="17">
        <v>0.5</v>
      </c>
      <c r="C147" s="17">
        <v>80000</v>
      </c>
      <c r="D147" s="8">
        <f t="shared" si="2"/>
        <v>40000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f>36*0.5</f>
        <v>18</v>
      </c>
      <c r="C171" s="8">
        <v>11000</v>
      </c>
      <c r="D171" s="8">
        <f t="shared" si="2"/>
        <v>198000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x14ac:dyDescent="0.3">
      <c r="A175" s="34" t="s">
        <v>174</v>
      </c>
      <c r="B175" s="36">
        <v>17</v>
      </c>
      <c r="C175" s="36">
        <v>12000</v>
      </c>
      <c r="D175" s="8">
        <f t="shared" si="2"/>
        <v>204000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130</v>
      </c>
      <c r="C184" s="8">
        <v>8000</v>
      </c>
      <c r="D184" s="8">
        <f t="shared" si="2"/>
        <v>1040000</v>
      </c>
    </row>
    <row r="185" spans="1:4" ht="18" x14ac:dyDescent="0.3">
      <c r="A185" s="10" t="s">
        <v>184</v>
      </c>
      <c r="B185" s="8">
        <f>130/0.3</f>
        <v>433.33333333333337</v>
      </c>
      <c r="C185" s="8">
        <v>2100</v>
      </c>
      <c r="D185" s="8">
        <f t="shared" si="2"/>
        <v>910000.00000000012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5</v>
      </c>
      <c r="C187" s="8">
        <v>20000</v>
      </c>
      <c r="D187" s="8">
        <f t="shared" si="2"/>
        <v>100000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v>350</v>
      </c>
      <c r="C202" s="8">
        <v>20000</v>
      </c>
      <c r="D202" s="8">
        <f t="shared" si="3"/>
        <v>7000000</v>
      </c>
    </row>
    <row r="203" spans="1:4" ht="18" x14ac:dyDescent="0.3">
      <c r="A203" s="13" t="s">
        <v>202</v>
      </c>
      <c r="B203" s="8">
        <v>305</v>
      </c>
      <c r="C203" s="8">
        <v>20000</v>
      </c>
      <c r="D203" s="8">
        <f t="shared" si="3"/>
        <v>6100000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x14ac:dyDescent="0.3">
      <c r="A208" s="10" t="s">
        <v>207</v>
      </c>
      <c r="B208" s="8">
        <v>5</v>
      </c>
      <c r="C208" s="8">
        <v>25000</v>
      </c>
      <c r="D208" s="8">
        <f t="shared" si="3"/>
        <v>125000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180</v>
      </c>
      <c r="C216" s="8">
        <v>14000</v>
      </c>
      <c r="D216" s="8">
        <f t="shared" si="3"/>
        <v>2520000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x14ac:dyDescent="0.3">
      <c r="A218" s="10" t="s">
        <v>217</v>
      </c>
      <c r="B218" s="8">
        <f>10/0.5</f>
        <v>20</v>
      </c>
      <c r="C218" s="8">
        <v>10000</v>
      </c>
      <c r="D218" s="8">
        <f t="shared" si="3"/>
        <v>200000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80+60</f>
        <v>140</v>
      </c>
      <c r="C251" s="8">
        <v>32000</v>
      </c>
      <c r="D251" s="8">
        <f t="shared" si="3"/>
        <v>4480000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hidden="1" x14ac:dyDescent="0.3">
      <c r="A254" s="10" t="s">
        <v>253</v>
      </c>
      <c r="B254" s="8"/>
      <c r="C254" s="8"/>
      <c r="D254" s="8">
        <f t="shared" si="3"/>
        <v>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65</v>
      </c>
      <c r="C259" s="8">
        <v>42000</v>
      </c>
      <c r="D259" s="8">
        <f t="shared" si="3"/>
        <v>2730000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v>8</v>
      </c>
      <c r="C263" s="8">
        <v>22000</v>
      </c>
      <c r="D263" s="8">
        <f t="shared" si="4"/>
        <v>176000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x14ac:dyDescent="0.3">
      <c r="A271" s="10" t="s">
        <v>270</v>
      </c>
      <c r="B271" s="8">
        <f>7+39</f>
        <v>46</v>
      </c>
      <c r="C271" s="8">
        <v>13000</v>
      </c>
      <c r="D271" s="8">
        <f t="shared" si="4"/>
        <v>598000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v>25</v>
      </c>
      <c r="C275" s="8">
        <v>17000</v>
      </c>
      <c r="D275" s="8">
        <f t="shared" si="4"/>
        <v>425000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hidden="1" x14ac:dyDescent="0.3">
      <c r="A288" s="10" t="s">
        <v>287</v>
      </c>
      <c r="B288" s="8"/>
      <c r="C288" s="8"/>
      <c r="D288" s="8">
        <f t="shared" si="4"/>
        <v>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60</v>
      </c>
      <c r="C294" s="8">
        <v>12000</v>
      </c>
      <c r="D294" s="8">
        <f t="shared" si="4"/>
        <v>720000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x14ac:dyDescent="0.3">
      <c r="A310" s="14" t="s">
        <v>309</v>
      </c>
      <c r="B310" s="8">
        <v>7</v>
      </c>
      <c r="C310" s="8">
        <v>42000</v>
      </c>
      <c r="D310" s="8">
        <f t="shared" si="4"/>
        <v>294000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x14ac:dyDescent="0.3">
      <c r="A335" s="10" t="s">
        <v>334</v>
      </c>
      <c r="B335" s="8">
        <v>10</v>
      </c>
      <c r="C335" s="8">
        <v>27000</v>
      </c>
      <c r="D335" s="8">
        <f t="shared" si="5"/>
        <v>270000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2529.3333333333335</v>
      </c>
      <c r="C340" s="46"/>
      <c r="D340" s="8">
        <f>SUM(D18:D335)</f>
        <v>39204500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370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f>36+36</f>
        <v>72</v>
      </c>
      <c r="C348" s="8">
        <v>7300</v>
      </c>
      <c r="D348" s="8">
        <f t="shared" si="5"/>
        <v>525600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hidden="1" x14ac:dyDescent="0.3">
      <c r="A355" s="10" t="s">
        <v>12</v>
      </c>
      <c r="B355" s="8"/>
      <c r="C355" s="8"/>
      <c r="D355" s="8">
        <f t="shared" si="5"/>
        <v>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1020-300</f>
        <v>720</v>
      </c>
      <c r="C362" s="8">
        <v>12000</v>
      </c>
      <c r="D362" s="8">
        <f t="shared" si="5"/>
        <v>8640000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v>480</v>
      </c>
      <c r="C389" s="8">
        <v>22000</v>
      </c>
      <c r="D389" s="8">
        <f t="shared" si="6"/>
        <v>10560000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50+30+70</f>
        <v>150</v>
      </c>
      <c r="C414" s="8">
        <v>30000</v>
      </c>
      <c r="D414" s="8">
        <f t="shared" si="6"/>
        <v>4500000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hidden="1" x14ac:dyDescent="0.3">
      <c r="A427" s="10" t="s">
        <v>90</v>
      </c>
      <c r="B427" s="8"/>
      <c r="C427" s="8"/>
      <c r="D427" s="8">
        <f t="shared" si="6"/>
        <v>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x14ac:dyDescent="0.3">
      <c r="A442" s="10" t="s">
        <v>103</v>
      </c>
      <c r="B442" s="8">
        <v>80</v>
      </c>
      <c r="C442" s="8">
        <v>7500</v>
      </c>
      <c r="D442" s="8">
        <f t="shared" si="6"/>
        <v>600000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hidden="1" x14ac:dyDescent="0.3">
      <c r="A461" s="10" t="s">
        <v>122</v>
      </c>
      <c r="B461" s="8"/>
      <c r="C461" s="8"/>
      <c r="D461" s="8">
        <f t="shared" si="7"/>
        <v>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x14ac:dyDescent="0.3">
      <c r="A470" s="10" t="s">
        <v>132</v>
      </c>
      <c r="B470" s="8">
        <f>13+20</f>
        <v>33</v>
      </c>
      <c r="C470" s="8">
        <v>5000</v>
      </c>
      <c r="D470" s="8">
        <f t="shared" si="7"/>
        <v>165000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100</v>
      </c>
      <c r="C472" s="8">
        <v>5500</v>
      </c>
      <c r="D472" s="8">
        <f t="shared" si="7"/>
        <v>550000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hidden="1" x14ac:dyDescent="0.3">
      <c r="A504" s="10" t="s">
        <v>350</v>
      </c>
      <c r="B504" s="8"/>
      <c r="C504" s="8"/>
      <c r="D504" s="8">
        <f t="shared" si="7"/>
        <v>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160+820+140-130</f>
        <v>990</v>
      </c>
      <c r="C520" s="8">
        <v>8000</v>
      </c>
      <c r="D520" s="8">
        <f t="shared" si="8"/>
        <v>7920000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v>750</v>
      </c>
      <c r="C542" s="8">
        <v>8000</v>
      </c>
      <c r="D542" s="8">
        <f t="shared" si="8"/>
        <v>6000000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x14ac:dyDescent="0.3">
      <c r="A551" s="10" t="s">
        <v>353</v>
      </c>
      <c r="B551" s="8">
        <f>35/0.5</f>
        <v>70</v>
      </c>
      <c r="C551" s="8">
        <v>10000</v>
      </c>
      <c r="D551" s="8">
        <f t="shared" si="8"/>
        <v>700000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x14ac:dyDescent="0.3">
      <c r="A553" s="10" t="s">
        <v>212</v>
      </c>
      <c r="B553" s="8">
        <v>8</v>
      </c>
      <c r="C553" s="8">
        <v>17000</v>
      </c>
      <c r="D553" s="8">
        <f t="shared" si="8"/>
        <v>136000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350+60+20-180</f>
        <v>250</v>
      </c>
      <c r="C556" s="8">
        <v>14000</v>
      </c>
      <c r="D556" s="8">
        <f t="shared" si="8"/>
        <v>3500000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x14ac:dyDescent="0.3">
      <c r="A621" s="10" t="s">
        <v>287</v>
      </c>
      <c r="B621" s="8">
        <v>18</v>
      </c>
      <c r="C621" s="8">
        <v>9000</v>
      </c>
      <c r="D621" s="8">
        <f t="shared" si="9"/>
        <v>162000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x14ac:dyDescent="0.3">
      <c r="A624" s="10" t="s">
        <v>290</v>
      </c>
      <c r="B624" s="8">
        <v>25</v>
      </c>
      <c r="C624" s="8">
        <v>12000</v>
      </c>
      <c r="D624" s="8">
        <f t="shared" si="9"/>
        <v>300000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3746</v>
      </c>
      <c r="C672" s="46"/>
      <c r="D672" s="46">
        <f t="shared" ref="D672" si="11">SUM(D345:D671)</f>
        <v>44258600</v>
      </c>
    </row>
    <row r="674" spans="4:4" x14ac:dyDescent="0.3">
      <c r="D674" s="49">
        <f>D672+D340</f>
        <v>83463100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1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674"/>
  <sheetViews>
    <sheetView topLeftCell="A340" workbookViewId="0">
      <selection activeCell="D674" sqref="D674"/>
    </sheetView>
  </sheetViews>
  <sheetFormatPr defaultRowHeight="14.4" x14ac:dyDescent="0.3"/>
  <cols>
    <col min="1" max="1" width="32.6640625" customWidth="1"/>
    <col min="3" max="3" width="14.44140625" customWidth="1"/>
    <col min="4" max="4" width="22" customWidth="1"/>
  </cols>
  <sheetData>
    <row r="1" spans="1:4" x14ac:dyDescent="0.3">
      <c r="A1" s="1" t="s">
        <v>365</v>
      </c>
      <c r="B1" s="2"/>
      <c r="C1" s="2"/>
      <c r="D1" s="2"/>
    </row>
    <row r="2" spans="1:4" ht="39.6" customHeight="1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6" t="s">
        <v>2</v>
      </c>
      <c r="B3" s="8"/>
      <c r="C3" s="8"/>
      <c r="D3" s="8">
        <f>B3*C3</f>
        <v>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x14ac:dyDescent="0.3">
      <c r="A12" s="10" t="s">
        <v>11</v>
      </c>
      <c r="B12" s="8">
        <v>9</v>
      </c>
      <c r="C12" s="8">
        <v>10000</v>
      </c>
      <c r="D12" s="8">
        <f t="shared" si="0"/>
        <v>90000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hidden="1" x14ac:dyDescent="0.3">
      <c r="A18" s="14" t="s">
        <v>17</v>
      </c>
      <c r="B18" s="8"/>
      <c r="C18" s="8"/>
      <c r="D18" s="8">
        <f t="shared" si="0"/>
        <v>0</v>
      </c>
    </row>
    <row r="19" spans="1:4" ht="18" x14ac:dyDescent="0.3">
      <c r="A19" s="12" t="s">
        <v>18</v>
      </c>
      <c r="B19" s="8">
        <v>15</v>
      </c>
      <c r="C19" s="47">
        <v>12000</v>
      </c>
      <c r="D19" s="8">
        <f t="shared" si="0"/>
        <v>180000</v>
      </c>
    </row>
    <row r="20" spans="1:4" ht="18" x14ac:dyDescent="0.3">
      <c r="A20" s="10" t="s">
        <v>19</v>
      </c>
      <c r="B20" s="8">
        <v>300</v>
      </c>
      <c r="C20" s="8">
        <v>12000</v>
      </c>
      <c r="D20" s="8">
        <f t="shared" si="0"/>
        <v>3600000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105</v>
      </c>
      <c r="C25" s="8">
        <v>12000</v>
      </c>
      <c r="D25" s="8">
        <f t="shared" si="0"/>
        <v>1260000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15+54+15+70</f>
        <v>154</v>
      </c>
      <c r="C28" s="8">
        <v>18000</v>
      </c>
      <c r="D28" s="8">
        <f t="shared" si="0"/>
        <v>2772000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2" t="s">
        <v>32</v>
      </c>
      <c r="B33" s="8"/>
      <c r="C33" s="8"/>
      <c r="D33" s="8">
        <f t="shared" si="0"/>
        <v>0</v>
      </c>
    </row>
    <row r="34" spans="1:4" ht="18" hidden="1" x14ac:dyDescent="0.3">
      <c r="A34" s="12" t="s">
        <v>33</v>
      </c>
      <c r="B34" s="8"/>
      <c r="C34" s="8"/>
      <c r="D34" s="8">
        <f t="shared" si="0"/>
        <v>0</v>
      </c>
    </row>
    <row r="35" spans="1:4" ht="18" hidden="1" x14ac:dyDescent="0.3">
      <c r="A35" s="12" t="s">
        <v>34</v>
      </c>
      <c r="B35" s="8"/>
      <c r="C35" s="8"/>
      <c r="D35" s="8">
        <f t="shared" si="0"/>
        <v>0</v>
      </c>
    </row>
    <row r="36" spans="1:4" ht="18" x14ac:dyDescent="0.3">
      <c r="A36" s="13" t="s">
        <v>35</v>
      </c>
      <c r="B36" s="8">
        <f>12+15+35</f>
        <v>62</v>
      </c>
      <c r="C36" s="8">
        <v>14000</v>
      </c>
      <c r="D36" s="8">
        <f t="shared" si="0"/>
        <v>868000</v>
      </c>
    </row>
    <row r="37" spans="1:4" ht="18" hidden="1" x14ac:dyDescent="0.3">
      <c r="A37" s="10" t="s">
        <v>36</v>
      </c>
      <c r="B37" s="8"/>
      <c r="C37" s="8"/>
      <c r="D37" s="8">
        <f t="shared" si="0"/>
        <v>0</v>
      </c>
    </row>
    <row r="38" spans="1:4" ht="18" hidden="1" x14ac:dyDescent="0.3">
      <c r="A38" s="10" t="s">
        <v>37</v>
      </c>
      <c r="B38" s="8"/>
      <c r="C38" s="8"/>
      <c r="D38" s="8">
        <f t="shared" si="0"/>
        <v>0</v>
      </c>
    </row>
    <row r="39" spans="1:4" ht="18" hidden="1" x14ac:dyDescent="0.3">
      <c r="A39" s="12" t="s">
        <v>38</v>
      </c>
      <c r="B39" s="17"/>
      <c r="C39" s="17"/>
      <c r="D39" s="8">
        <f t="shared" si="0"/>
        <v>0</v>
      </c>
    </row>
    <row r="40" spans="1:4" ht="18" hidden="1" x14ac:dyDescent="0.3">
      <c r="A40" s="12" t="s">
        <v>39</v>
      </c>
      <c r="B40" s="17"/>
      <c r="C40" s="17"/>
      <c r="D40" s="8">
        <f t="shared" si="0"/>
        <v>0</v>
      </c>
    </row>
    <row r="41" spans="1:4" ht="18" hidden="1" x14ac:dyDescent="0.3">
      <c r="A41" s="10" t="s">
        <v>40</v>
      </c>
      <c r="B41" s="8"/>
      <c r="C41" s="8"/>
      <c r="D41" s="8">
        <f t="shared" si="0"/>
        <v>0</v>
      </c>
    </row>
    <row r="42" spans="1:4" ht="18" hidden="1" x14ac:dyDescent="0.3">
      <c r="A42" s="10" t="s">
        <v>41</v>
      </c>
      <c r="B42" s="8"/>
      <c r="C42" s="8"/>
      <c r="D42" s="8">
        <f t="shared" si="0"/>
        <v>0</v>
      </c>
    </row>
    <row r="43" spans="1:4" ht="18" hidden="1" x14ac:dyDescent="0.3">
      <c r="A43" s="18" t="s">
        <v>42</v>
      </c>
      <c r="B43" s="8"/>
      <c r="C43" s="8"/>
      <c r="D43" s="8">
        <f t="shared" si="0"/>
        <v>0</v>
      </c>
    </row>
    <row r="44" spans="1:4" ht="18" hidden="1" x14ac:dyDescent="0.3">
      <c r="A44" s="10" t="s">
        <v>43</v>
      </c>
      <c r="B44" s="8"/>
      <c r="C44" s="8"/>
      <c r="D44" s="8">
        <f t="shared" si="0"/>
        <v>0</v>
      </c>
    </row>
    <row r="45" spans="1:4" ht="18" hidden="1" x14ac:dyDescent="0.3">
      <c r="A45" s="10" t="s">
        <v>44</v>
      </c>
      <c r="B45" s="8"/>
      <c r="C45" s="8"/>
      <c r="D45" s="8">
        <f t="shared" si="0"/>
        <v>0</v>
      </c>
    </row>
    <row r="46" spans="1:4" ht="18" hidden="1" x14ac:dyDescent="0.3">
      <c r="A46" s="10" t="s">
        <v>45</v>
      </c>
      <c r="B46" s="8"/>
      <c r="C46" s="8"/>
      <c r="D46" s="8">
        <f t="shared" si="0"/>
        <v>0</v>
      </c>
    </row>
    <row r="47" spans="1:4" ht="18" hidden="1" x14ac:dyDescent="0.3">
      <c r="A47" s="10" t="s">
        <v>46</v>
      </c>
      <c r="B47" s="8"/>
      <c r="C47" s="8"/>
      <c r="D47" s="8">
        <f t="shared" si="0"/>
        <v>0</v>
      </c>
    </row>
    <row r="48" spans="1:4" ht="18" hidden="1" x14ac:dyDescent="0.3">
      <c r="A48" s="19" t="s">
        <v>47</v>
      </c>
      <c r="B48" s="8"/>
      <c r="C48" s="8"/>
      <c r="D48" s="8">
        <f t="shared" si="0"/>
        <v>0</v>
      </c>
    </row>
    <row r="49" spans="1:4" ht="18" hidden="1" x14ac:dyDescent="0.3">
      <c r="A49" s="12" t="s">
        <v>48</v>
      </c>
      <c r="B49" s="8"/>
      <c r="C49" s="8"/>
      <c r="D49" s="8">
        <f t="shared" si="0"/>
        <v>0</v>
      </c>
    </row>
    <row r="50" spans="1:4" ht="18" hidden="1" x14ac:dyDescent="0.3">
      <c r="A50" s="14" t="s">
        <v>49</v>
      </c>
      <c r="B50" s="8"/>
      <c r="C50" s="8"/>
      <c r="D50" s="8">
        <f t="shared" si="0"/>
        <v>0</v>
      </c>
    </row>
    <row r="51" spans="1:4" ht="18" hidden="1" x14ac:dyDescent="0.3">
      <c r="A51" s="10" t="s">
        <v>50</v>
      </c>
      <c r="B51" s="8"/>
      <c r="C51" s="8"/>
      <c r="D51" s="8">
        <f t="shared" si="0"/>
        <v>0</v>
      </c>
    </row>
    <row r="52" spans="1:4" ht="18" hidden="1" x14ac:dyDescent="0.3">
      <c r="A52" s="10" t="s">
        <v>51</v>
      </c>
      <c r="B52" s="8"/>
      <c r="C52" s="8"/>
      <c r="D52" s="8">
        <f t="shared" si="0"/>
        <v>0</v>
      </c>
    </row>
    <row r="53" spans="1:4" ht="18" hidden="1" x14ac:dyDescent="0.3">
      <c r="A53" s="13" t="s">
        <v>52</v>
      </c>
      <c r="B53" s="8"/>
      <c r="C53" s="8"/>
      <c r="D53" s="8">
        <f t="shared" si="0"/>
        <v>0</v>
      </c>
    </row>
    <row r="54" spans="1:4" ht="18" hidden="1" x14ac:dyDescent="0.3">
      <c r="A54" s="10" t="s">
        <v>53</v>
      </c>
      <c r="B54" s="8"/>
      <c r="C54" s="8"/>
      <c r="D54" s="8">
        <f t="shared" si="0"/>
        <v>0</v>
      </c>
    </row>
    <row r="55" spans="1:4" ht="18" hidden="1" x14ac:dyDescent="0.3">
      <c r="A55" s="18" t="s">
        <v>54</v>
      </c>
      <c r="B55" s="8"/>
      <c r="C55" s="8"/>
      <c r="D55" s="8">
        <f t="shared" si="0"/>
        <v>0</v>
      </c>
    </row>
    <row r="56" spans="1:4" ht="18" x14ac:dyDescent="0.3">
      <c r="A56" s="18" t="s">
        <v>55</v>
      </c>
      <c r="B56" s="8">
        <v>7</v>
      </c>
      <c r="C56" s="8">
        <v>15000</v>
      </c>
      <c r="D56" s="8">
        <f t="shared" si="0"/>
        <v>105000</v>
      </c>
    </row>
    <row r="57" spans="1:4" ht="18" hidden="1" x14ac:dyDescent="0.3">
      <c r="A57" s="18" t="s">
        <v>56</v>
      </c>
      <c r="B57" s="8"/>
      <c r="C57" s="8"/>
      <c r="D57" s="8">
        <f t="shared" si="0"/>
        <v>0</v>
      </c>
    </row>
    <row r="58" spans="1:4" ht="18" hidden="1" x14ac:dyDescent="0.3">
      <c r="A58" s="10" t="s">
        <v>57</v>
      </c>
      <c r="B58" s="8"/>
      <c r="C58" s="8"/>
      <c r="D58" s="8">
        <f t="shared" si="0"/>
        <v>0</v>
      </c>
    </row>
    <row r="59" spans="1:4" ht="18" hidden="1" x14ac:dyDescent="0.3">
      <c r="A59" s="12" t="s">
        <v>58</v>
      </c>
      <c r="B59" s="8"/>
      <c r="C59" s="8"/>
      <c r="D59" s="8">
        <f t="shared" si="0"/>
        <v>0</v>
      </c>
    </row>
    <row r="60" spans="1:4" ht="18" hidden="1" x14ac:dyDescent="0.3">
      <c r="A60" s="10" t="s">
        <v>59</v>
      </c>
      <c r="B60" s="8"/>
      <c r="C60" s="8"/>
      <c r="D60" s="8">
        <f t="shared" si="0"/>
        <v>0</v>
      </c>
    </row>
    <row r="61" spans="1:4" ht="18" hidden="1" x14ac:dyDescent="0.3">
      <c r="A61" s="10" t="s">
        <v>60</v>
      </c>
      <c r="B61" s="8"/>
      <c r="C61" s="8"/>
      <c r="D61" s="8">
        <f t="shared" si="0"/>
        <v>0</v>
      </c>
    </row>
    <row r="62" spans="1:4" ht="18" hidden="1" x14ac:dyDescent="0.3">
      <c r="A62" s="20" t="s">
        <v>61</v>
      </c>
      <c r="B62" s="8"/>
      <c r="C62" s="8"/>
      <c r="D62" s="8">
        <f t="shared" si="0"/>
        <v>0</v>
      </c>
    </row>
    <row r="63" spans="1:4" ht="18" x14ac:dyDescent="0.3">
      <c r="A63" s="10" t="s">
        <v>62</v>
      </c>
      <c r="B63" s="8">
        <v>85</v>
      </c>
      <c r="C63" s="8">
        <v>15000</v>
      </c>
      <c r="D63" s="8">
        <f t="shared" si="0"/>
        <v>1275000</v>
      </c>
    </row>
    <row r="64" spans="1:4" ht="18" hidden="1" x14ac:dyDescent="0.3">
      <c r="A64" s="21" t="s">
        <v>63</v>
      </c>
      <c r="B64" s="8"/>
      <c r="C64" s="8"/>
      <c r="D64" s="8">
        <f t="shared" si="0"/>
        <v>0</v>
      </c>
    </row>
    <row r="65" spans="1:4" ht="18" hidden="1" x14ac:dyDescent="0.3">
      <c r="A65" s="10" t="s">
        <v>64</v>
      </c>
      <c r="B65" s="8"/>
      <c r="C65" s="8"/>
      <c r="D65" s="8">
        <f t="shared" si="0"/>
        <v>0</v>
      </c>
    </row>
    <row r="66" spans="1:4" ht="18" hidden="1" x14ac:dyDescent="0.3">
      <c r="A66" s="10" t="s">
        <v>65</v>
      </c>
      <c r="B66" s="8"/>
      <c r="C66" s="8"/>
      <c r="D66" s="8">
        <f t="shared" si="0"/>
        <v>0</v>
      </c>
    </row>
    <row r="67" spans="1:4" ht="18" hidden="1" x14ac:dyDescent="0.3">
      <c r="A67" s="22" t="s">
        <v>66</v>
      </c>
      <c r="B67" s="8"/>
      <c r="C67" s="8"/>
      <c r="D67" s="8">
        <f t="shared" si="0"/>
        <v>0</v>
      </c>
    </row>
    <row r="68" spans="1:4" ht="18" hidden="1" x14ac:dyDescent="0.3">
      <c r="A68" s="13" t="s">
        <v>67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68</v>
      </c>
      <c r="B69" s="8"/>
      <c r="C69" s="8"/>
      <c r="D69" s="8">
        <f t="shared" si="1"/>
        <v>0</v>
      </c>
    </row>
    <row r="70" spans="1:4" ht="18" hidden="1" x14ac:dyDescent="0.3">
      <c r="A70" s="12" t="s">
        <v>69</v>
      </c>
      <c r="B70" s="8"/>
      <c r="C70" s="8"/>
      <c r="D70" s="8">
        <f t="shared" si="1"/>
        <v>0</v>
      </c>
    </row>
    <row r="71" spans="1:4" ht="18" hidden="1" x14ac:dyDescent="0.3">
      <c r="A71" s="13" t="s">
        <v>70</v>
      </c>
      <c r="B71" s="8"/>
      <c r="C71" s="8"/>
      <c r="D71" s="8">
        <f t="shared" si="1"/>
        <v>0</v>
      </c>
    </row>
    <row r="72" spans="1:4" ht="18" hidden="1" x14ac:dyDescent="0.3">
      <c r="A72" s="13" t="s">
        <v>71</v>
      </c>
      <c r="B72" s="8"/>
      <c r="C72" s="8"/>
      <c r="D72" s="8">
        <f t="shared" si="1"/>
        <v>0</v>
      </c>
    </row>
    <row r="73" spans="1:4" ht="18" hidden="1" x14ac:dyDescent="0.3">
      <c r="A73" s="13" t="s">
        <v>72</v>
      </c>
      <c r="B73" s="8"/>
      <c r="C73" s="8"/>
      <c r="D73" s="8">
        <f t="shared" si="1"/>
        <v>0</v>
      </c>
    </row>
    <row r="74" spans="1:4" ht="18" hidden="1" x14ac:dyDescent="0.3">
      <c r="A74" s="22" t="s">
        <v>73</v>
      </c>
      <c r="B74" s="8"/>
      <c r="C74" s="8"/>
      <c r="D74" s="8">
        <f t="shared" si="1"/>
        <v>0</v>
      </c>
    </row>
    <row r="75" spans="1:4" ht="18" hidden="1" x14ac:dyDescent="0.3">
      <c r="A75" s="10" t="s">
        <v>74</v>
      </c>
      <c r="B75" s="8"/>
      <c r="C75" s="8"/>
      <c r="D75" s="8">
        <f t="shared" si="1"/>
        <v>0</v>
      </c>
    </row>
    <row r="76" spans="1:4" ht="18" hidden="1" x14ac:dyDescent="0.3">
      <c r="A76" s="10" t="s">
        <v>75</v>
      </c>
      <c r="B76" s="8"/>
      <c r="C76" s="8"/>
      <c r="D76" s="8">
        <f t="shared" si="1"/>
        <v>0</v>
      </c>
    </row>
    <row r="77" spans="1:4" ht="18" hidden="1" x14ac:dyDescent="0.3">
      <c r="A77" s="13" t="s">
        <v>76</v>
      </c>
      <c r="B77" s="8"/>
      <c r="C77" s="8"/>
      <c r="D77" s="8">
        <f t="shared" si="1"/>
        <v>0</v>
      </c>
    </row>
    <row r="78" spans="1:4" ht="18" x14ac:dyDescent="0.3">
      <c r="A78" s="10" t="s">
        <v>77</v>
      </c>
      <c r="B78" s="8">
        <f>90+15+180</f>
        <v>285</v>
      </c>
      <c r="C78" s="8">
        <v>30000</v>
      </c>
      <c r="D78" s="8">
        <f t="shared" si="1"/>
        <v>8550000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x14ac:dyDescent="0.3">
      <c r="A81" s="10" t="s">
        <v>80</v>
      </c>
      <c r="B81" s="8">
        <v>31</v>
      </c>
      <c r="C81" s="8">
        <v>23000</v>
      </c>
      <c r="D81" s="8">
        <f t="shared" si="1"/>
        <v>713000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x14ac:dyDescent="0.3">
      <c r="A87" s="10" t="s">
        <v>86</v>
      </c>
      <c r="B87" s="8">
        <v>18</v>
      </c>
      <c r="C87" s="8">
        <v>10500</v>
      </c>
      <c r="D87" s="8">
        <f t="shared" si="1"/>
        <v>189000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hidden="1" x14ac:dyDescent="0.3">
      <c r="A111" s="10" t="s">
        <v>110</v>
      </c>
      <c r="B111" s="8"/>
      <c r="C111" s="8"/>
      <c r="D111" s="8">
        <f t="shared" si="1"/>
        <v>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x14ac:dyDescent="0.3">
      <c r="A169" s="10" t="s">
        <v>168</v>
      </c>
      <c r="B169" s="8">
        <f>270+35</f>
        <v>305</v>
      </c>
      <c r="C169" s="48">
        <v>6500</v>
      </c>
      <c r="D169" s="8">
        <f t="shared" si="2"/>
        <v>1982500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35</v>
      </c>
      <c r="C171" s="8">
        <v>11000</v>
      </c>
      <c r="D171" s="8">
        <f t="shared" si="2"/>
        <v>385000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x14ac:dyDescent="0.3">
      <c r="A175" s="34" t="s">
        <v>174</v>
      </c>
      <c r="B175" s="36">
        <v>20</v>
      </c>
      <c r="C175" s="36">
        <v>11000</v>
      </c>
      <c r="D175" s="8">
        <f t="shared" si="2"/>
        <v>220000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200</v>
      </c>
      <c r="C184" s="8">
        <v>8000</v>
      </c>
      <c r="D184" s="8">
        <f t="shared" si="2"/>
        <v>1600000</v>
      </c>
    </row>
    <row r="185" spans="1:4" ht="18" x14ac:dyDescent="0.3">
      <c r="A185" s="10" t="s">
        <v>184</v>
      </c>
      <c r="B185" s="8">
        <f>110*3</f>
        <v>330</v>
      </c>
      <c r="C185" s="8">
        <v>2100</v>
      </c>
      <c r="D185" s="8">
        <f t="shared" si="2"/>
        <v>693000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3</v>
      </c>
      <c r="C187" s="8">
        <v>20000</v>
      </c>
      <c r="D187" s="8">
        <f t="shared" si="2"/>
        <v>60000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120+15+100</f>
        <v>235</v>
      </c>
      <c r="C202" s="8">
        <v>20000</v>
      </c>
      <c r="D202" s="8">
        <f t="shared" si="3"/>
        <v>4700000</v>
      </c>
    </row>
    <row r="203" spans="1:4" ht="18" x14ac:dyDescent="0.3">
      <c r="A203" s="13" t="s">
        <v>202</v>
      </c>
      <c r="B203" s="8">
        <f>140+200+50</f>
        <v>390</v>
      </c>
      <c r="C203" s="8">
        <v>19000</v>
      </c>
      <c r="D203" s="8">
        <f t="shared" si="3"/>
        <v>7410000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40</v>
      </c>
      <c r="C211" s="8">
        <v>10000</v>
      </c>
      <c r="D211" s="8">
        <f t="shared" si="3"/>
        <v>400000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320</v>
      </c>
      <c r="C216" s="8">
        <v>14500</v>
      </c>
      <c r="D216" s="8">
        <f t="shared" si="3"/>
        <v>4640000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x14ac:dyDescent="0.3">
      <c r="A238" s="10" t="s">
        <v>237</v>
      </c>
      <c r="B238" s="8">
        <v>6</v>
      </c>
      <c r="C238" s="8">
        <v>10000</v>
      </c>
      <c r="D238" s="8">
        <f t="shared" si="3"/>
        <v>60000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2</v>
      </c>
      <c r="C248" s="8">
        <v>14000</v>
      </c>
      <c r="D248" s="8">
        <f t="shared" si="3"/>
        <v>28000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v>50</v>
      </c>
      <c r="C251" s="8">
        <v>24000</v>
      </c>
      <c r="D251" s="8">
        <f t="shared" si="3"/>
        <v>1200000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x14ac:dyDescent="0.3">
      <c r="A253" s="10" t="s">
        <v>252</v>
      </c>
      <c r="B253" s="8">
        <v>320</v>
      </c>
      <c r="C253" s="8">
        <v>6000</v>
      </c>
      <c r="D253" s="8">
        <f t="shared" si="3"/>
        <v>1920000</v>
      </c>
    </row>
    <row r="254" spans="1:4" ht="18" x14ac:dyDescent="0.3">
      <c r="A254" s="10" t="s">
        <v>253</v>
      </c>
      <c r="B254" s="8">
        <v>30</v>
      </c>
      <c r="C254" s="8">
        <v>11000</v>
      </c>
      <c r="D254" s="8">
        <f t="shared" si="3"/>
        <v>330000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10</v>
      </c>
      <c r="C259" s="8">
        <v>36000</v>
      </c>
      <c r="D259" s="8">
        <f t="shared" si="3"/>
        <v>360000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x14ac:dyDescent="0.3">
      <c r="A261" s="10" t="s">
        <v>260</v>
      </c>
      <c r="B261" s="8">
        <v>130</v>
      </c>
      <c r="C261" s="8">
        <v>9000</v>
      </c>
      <c r="D261" s="8">
        <f t="shared" si="4"/>
        <v>1170000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v>30</v>
      </c>
      <c r="C263" s="8">
        <v>20000</v>
      </c>
      <c r="D263" s="8">
        <f t="shared" si="4"/>
        <v>600000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hidden="1" x14ac:dyDescent="0.3">
      <c r="A271" s="10" t="s">
        <v>270</v>
      </c>
      <c r="B271" s="8"/>
      <c r="C271" s="8"/>
      <c r="D271" s="8">
        <f t="shared" si="4"/>
        <v>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v>15</v>
      </c>
      <c r="C275" s="8">
        <v>17000</v>
      </c>
      <c r="D275" s="8">
        <f t="shared" si="4"/>
        <v>255000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4</v>
      </c>
      <c r="C288" s="8">
        <v>9000</v>
      </c>
      <c r="D288" s="8">
        <f t="shared" si="4"/>
        <v>36000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v>85</v>
      </c>
      <c r="C291" s="8">
        <v>10000</v>
      </c>
      <c r="D291" s="8">
        <f t="shared" si="4"/>
        <v>850000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10</v>
      </c>
      <c r="C294" s="8">
        <v>12000</v>
      </c>
      <c r="D294" s="8">
        <f t="shared" si="4"/>
        <v>120000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3641</v>
      </c>
      <c r="C340" s="46"/>
      <c r="D340" s="8">
        <f>SUM(D12:D294)</f>
        <v>48621500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366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96</v>
      </c>
      <c r="C348" s="8">
        <v>7300</v>
      </c>
      <c r="D348" s="8">
        <f t="shared" si="5"/>
        <v>700800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45</v>
      </c>
      <c r="C355" s="8">
        <v>10000</v>
      </c>
      <c r="D355" s="8">
        <f t="shared" si="5"/>
        <v>450000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v>300</v>
      </c>
      <c r="C362" s="8">
        <v>12000</v>
      </c>
      <c r="D362" s="8">
        <f t="shared" si="5"/>
        <v>3600000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v>660</v>
      </c>
      <c r="C389" s="8">
        <v>17000</v>
      </c>
      <c r="D389" s="8">
        <f t="shared" si="6"/>
        <v>11220000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hidden="1" x14ac:dyDescent="0.3">
      <c r="A414" s="10" t="s">
        <v>77</v>
      </c>
      <c r="B414" s="8"/>
      <c r="C414" s="8"/>
      <c r="D414" s="8">
        <f t="shared" si="6"/>
        <v>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v>55</v>
      </c>
      <c r="C427" s="8">
        <v>9000</v>
      </c>
      <c r="D427" s="8">
        <f t="shared" si="6"/>
        <v>495000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x14ac:dyDescent="0.3">
      <c r="A449" s="10" t="s">
        <v>110</v>
      </c>
      <c r="B449" s="8">
        <v>8</v>
      </c>
      <c r="C449" s="8">
        <v>24000</v>
      </c>
      <c r="D449" s="8">
        <f t="shared" si="6"/>
        <v>192000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45</v>
      </c>
      <c r="C461" s="8">
        <v>10000</v>
      </c>
      <c r="D461" s="8">
        <f t="shared" si="7"/>
        <v>450000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f>90+20+40</f>
        <v>150</v>
      </c>
      <c r="C472" s="8">
        <v>5500</v>
      </c>
      <c r="D472" s="8">
        <f t="shared" si="7"/>
        <v>825000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f>20+25+236</f>
        <v>281</v>
      </c>
      <c r="C504" s="8">
        <v>6500</v>
      </c>
      <c r="D504" s="8">
        <f t="shared" si="7"/>
        <v>1826500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v>580</v>
      </c>
      <c r="C520" s="8">
        <v>8000</v>
      </c>
      <c r="D520" s="8">
        <f t="shared" si="8"/>
        <v>4640000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120+500+40+30</f>
        <v>690</v>
      </c>
      <c r="C542" s="8">
        <v>8000</v>
      </c>
      <c r="D542" s="8">
        <f t="shared" si="8"/>
        <v>5520000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600+20+10-320</f>
        <v>310</v>
      </c>
      <c r="C556" s="8">
        <v>14500</v>
      </c>
      <c r="D556" s="8">
        <f t="shared" si="8"/>
        <v>4495000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3220</v>
      </c>
      <c r="C672" s="46"/>
      <c r="D672" s="46">
        <f t="shared" ref="D672" si="11">SUM(D345:D671)</f>
        <v>34414300</v>
      </c>
    </row>
    <row r="674" spans="4:4" x14ac:dyDescent="0.3">
      <c r="D674" s="49">
        <f>D672+D340</f>
        <v>83035800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2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674"/>
  <sheetViews>
    <sheetView topLeftCell="A342" workbookViewId="0">
      <selection activeCell="D674" sqref="D674"/>
    </sheetView>
  </sheetViews>
  <sheetFormatPr defaultRowHeight="14.4" x14ac:dyDescent="0.3"/>
  <cols>
    <col min="1" max="1" width="40.6640625" customWidth="1"/>
    <col min="3" max="3" width="13.5546875" customWidth="1"/>
    <col min="4" max="4" width="21" customWidth="1"/>
  </cols>
  <sheetData>
    <row r="1" spans="1:4" x14ac:dyDescent="0.3">
      <c r="A1" s="1" t="s">
        <v>368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18</v>
      </c>
      <c r="C3" s="8">
        <v>11000</v>
      </c>
      <c r="D3" s="8">
        <f>B3*C3</f>
        <v>198000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x14ac:dyDescent="0.3">
      <c r="A12" s="10" t="s">
        <v>11</v>
      </c>
      <c r="B12" s="8">
        <v>8</v>
      </c>
      <c r="C12" s="8">
        <v>10000</v>
      </c>
      <c r="D12" s="8">
        <f t="shared" si="0"/>
        <v>80000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v>25</v>
      </c>
      <c r="C18" s="8">
        <v>3500</v>
      </c>
      <c r="D18" s="8">
        <f t="shared" si="0"/>
        <v>87500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300</v>
      </c>
      <c r="C20" s="8">
        <v>12000</v>
      </c>
      <c r="D20" s="8">
        <f t="shared" si="0"/>
        <v>3600000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30+15+35+51</f>
        <v>131</v>
      </c>
      <c r="C25" s="8">
        <v>10000</v>
      </c>
      <c r="D25" s="8">
        <f t="shared" si="0"/>
        <v>1310000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38+46</f>
        <v>84</v>
      </c>
      <c r="C28" s="8">
        <v>17000</v>
      </c>
      <c r="D28" s="8">
        <f t="shared" si="0"/>
        <v>1428000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v>6</v>
      </c>
      <c r="C37" s="8">
        <v>14000</v>
      </c>
      <c r="D37" s="8">
        <f t="shared" si="0"/>
        <v>84000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x14ac:dyDescent="0.3">
      <c r="A57" s="18" t="s">
        <v>55</v>
      </c>
      <c r="B57" s="8">
        <f>17+10</f>
        <v>27</v>
      </c>
      <c r="C57" s="8">
        <v>15000</v>
      </c>
      <c r="D57" s="8">
        <f t="shared" si="0"/>
        <v>405000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45</v>
      </c>
      <c r="C64" s="8">
        <v>15000</v>
      </c>
      <c r="D64" s="8">
        <f t="shared" si="0"/>
        <v>675000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140</v>
      </c>
      <c r="C80" s="8">
        <v>32000</v>
      </c>
      <c r="D80" s="8">
        <f t="shared" si="1"/>
        <v>4480000</v>
      </c>
    </row>
    <row r="81" spans="1:4" ht="18" x14ac:dyDescent="0.3">
      <c r="A81" s="10" t="s">
        <v>80</v>
      </c>
      <c r="B81" s="8">
        <f>40-7</f>
        <v>33</v>
      </c>
      <c r="C81" s="8">
        <v>23000</v>
      </c>
      <c r="D81" s="8">
        <f t="shared" si="1"/>
        <v>759000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x14ac:dyDescent="0.3">
      <c r="A91" s="10" t="s">
        <v>90</v>
      </c>
      <c r="B91" s="8">
        <v>45</v>
      </c>
      <c r="C91" s="8">
        <v>9000</v>
      </c>
      <c r="D91" s="8">
        <f t="shared" si="1"/>
        <v>405000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hidden="1" x14ac:dyDescent="0.3">
      <c r="A111" s="10" t="s">
        <v>110</v>
      </c>
      <c r="B111" s="8"/>
      <c r="C111" s="8"/>
      <c r="D111" s="8">
        <f t="shared" si="1"/>
        <v>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x14ac:dyDescent="0.3">
      <c r="A132" s="13" t="s">
        <v>131</v>
      </c>
      <c r="B132" s="17">
        <v>3</v>
      </c>
      <c r="C132" s="17">
        <v>16000</v>
      </c>
      <c r="D132" s="8">
        <f t="shared" ref="D132:D195" si="2">B132*C132</f>
        <v>48000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x14ac:dyDescent="0.3">
      <c r="A169" s="10" t="s">
        <v>168</v>
      </c>
      <c r="B169" s="8">
        <v>243</v>
      </c>
      <c r="C169" s="48">
        <v>6500</v>
      </c>
      <c r="D169" s="8">
        <f t="shared" si="2"/>
        <v>1579500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hidden="1" x14ac:dyDescent="0.3">
      <c r="A171" s="10" t="s">
        <v>170</v>
      </c>
      <c r="B171" s="8"/>
      <c r="C171" s="8"/>
      <c r="D171" s="8">
        <f t="shared" si="2"/>
        <v>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100</v>
      </c>
      <c r="C184" s="8">
        <v>8000</v>
      </c>
      <c r="D184" s="8">
        <f t="shared" si="2"/>
        <v>800000</v>
      </c>
    </row>
    <row r="185" spans="1:4" ht="18" x14ac:dyDescent="0.3">
      <c r="A185" s="10" t="s">
        <v>184</v>
      </c>
      <c r="B185" s="8">
        <f>70/0.3</f>
        <v>233.33333333333334</v>
      </c>
      <c r="C185" s="8">
        <v>2100</v>
      </c>
      <c r="D185" s="8">
        <f t="shared" si="2"/>
        <v>490000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5</v>
      </c>
      <c r="C187" s="8">
        <v>20000</v>
      </c>
      <c r="D187" s="8">
        <f t="shared" si="2"/>
        <v>100000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110+80+40+60+200+40</f>
        <v>530</v>
      </c>
      <c r="C202" s="8">
        <v>20000</v>
      </c>
      <c r="D202" s="8">
        <f t="shared" si="3"/>
        <v>10600000</v>
      </c>
    </row>
    <row r="203" spans="1:4" ht="18" x14ac:dyDescent="0.3">
      <c r="A203" s="13" t="s">
        <v>202</v>
      </c>
      <c r="B203" s="8">
        <v>140</v>
      </c>
      <c r="C203" s="8">
        <v>19000</v>
      </c>
      <c r="D203" s="8">
        <f t="shared" si="3"/>
        <v>2660000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2" t="s">
        <v>208</v>
      </c>
      <c r="B209" s="8">
        <v>3</v>
      </c>
      <c r="C209" s="8">
        <v>35000</v>
      </c>
      <c r="D209" s="8">
        <f t="shared" si="3"/>
        <v>105000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x14ac:dyDescent="0.3">
      <c r="A213" s="10" t="s">
        <v>212</v>
      </c>
      <c r="B213" s="8">
        <v>5</v>
      </c>
      <c r="C213" s="8">
        <v>17000</v>
      </c>
      <c r="D213" s="8">
        <f t="shared" si="3"/>
        <v>85000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250</v>
      </c>
      <c r="C216" s="8">
        <v>14500</v>
      </c>
      <c r="D216" s="8">
        <f t="shared" si="3"/>
        <v>3625000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x14ac:dyDescent="0.3">
      <c r="A218" s="10" t="s">
        <v>217</v>
      </c>
      <c r="B218" s="8">
        <f>15/0.5</f>
        <v>30</v>
      </c>
      <c r="C218" s="8">
        <v>10000</v>
      </c>
      <c r="D218" s="8">
        <f t="shared" si="3"/>
        <v>300000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x14ac:dyDescent="0.3">
      <c r="A230" s="18" t="s">
        <v>229</v>
      </c>
      <c r="B230" s="8">
        <f>115+75</f>
        <v>190</v>
      </c>
      <c r="C230" s="8">
        <v>17000</v>
      </c>
      <c r="D230" s="8">
        <f t="shared" si="3"/>
        <v>3230000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x14ac:dyDescent="0.3">
      <c r="A238" s="10" t="s">
        <v>237</v>
      </c>
      <c r="B238" s="8">
        <v>5</v>
      </c>
      <c r="C238" s="8">
        <v>10000</v>
      </c>
      <c r="D238" s="8">
        <f t="shared" si="3"/>
        <v>50000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35+15+5</f>
        <v>55</v>
      </c>
      <c r="C251" s="8">
        <v>24000</v>
      </c>
      <c r="D251" s="8">
        <f t="shared" si="3"/>
        <v>1320000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v>35</v>
      </c>
      <c r="C254" s="8">
        <v>11000</v>
      </c>
      <c r="D254" s="8">
        <f t="shared" si="3"/>
        <v>385000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42+30</f>
        <v>72</v>
      </c>
      <c r="C259" s="8">
        <v>36000</v>
      </c>
      <c r="D259" s="8">
        <f t="shared" si="3"/>
        <v>2592000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3+35+13</f>
        <v>51</v>
      </c>
      <c r="C263" s="8">
        <v>18000</v>
      </c>
      <c r="D263" s="8">
        <f t="shared" si="4"/>
        <v>918000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x14ac:dyDescent="0.3">
      <c r="A271" s="10" t="s">
        <v>270</v>
      </c>
      <c r="B271" s="8">
        <v>15</v>
      </c>
      <c r="C271" s="8">
        <v>13000</v>
      </c>
      <c r="D271" s="8">
        <f t="shared" si="4"/>
        <v>195000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hidden="1" x14ac:dyDescent="0.3">
      <c r="A275" s="10" t="s">
        <v>274</v>
      </c>
      <c r="B275" s="8"/>
      <c r="C275" s="8"/>
      <c r="D275" s="8">
        <f t="shared" si="4"/>
        <v>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hidden="1" x14ac:dyDescent="0.3">
      <c r="A288" s="10" t="s">
        <v>287</v>
      </c>
      <c r="B288" s="8"/>
      <c r="C288" s="8"/>
      <c r="D288" s="8">
        <f t="shared" si="4"/>
        <v>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14</v>
      </c>
      <c r="C294" s="8">
        <v>12000</v>
      </c>
      <c r="D294" s="8">
        <f t="shared" si="4"/>
        <v>168000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x14ac:dyDescent="0.3">
      <c r="A327" s="10" t="s">
        <v>326</v>
      </c>
      <c r="B327" s="8">
        <f>30*0.2</f>
        <v>6</v>
      </c>
      <c r="C327" s="8">
        <v>30000</v>
      </c>
      <c r="D327" s="8">
        <f t="shared" si="5"/>
        <v>180000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2847.333333333333</v>
      </c>
      <c r="C340" s="46"/>
      <c r="D340" s="8">
        <f>SUM(D3:D327)</f>
        <v>42942000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371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hidden="1" x14ac:dyDescent="0.3">
      <c r="A348" s="6" t="s">
        <v>5</v>
      </c>
      <c r="B348" s="8"/>
      <c r="C348" s="8"/>
      <c r="D348" s="8">
        <f t="shared" si="5"/>
        <v>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70</v>
      </c>
      <c r="C355" s="8">
        <v>10000</v>
      </c>
      <c r="D355" s="8">
        <f t="shared" si="5"/>
        <v>700000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150+30+630+300-300</f>
        <v>810</v>
      </c>
      <c r="C362" s="8">
        <v>14000</v>
      </c>
      <c r="D362" s="8">
        <f t="shared" si="5"/>
        <v>11340000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50+15+460</f>
        <v>525</v>
      </c>
      <c r="C389" s="8">
        <v>18000</v>
      </c>
      <c r="D389" s="8">
        <f t="shared" si="6"/>
        <v>9450000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40+7</f>
        <v>47</v>
      </c>
      <c r="C414" s="8">
        <v>30000</v>
      </c>
      <c r="D414" s="8">
        <f t="shared" si="6"/>
        <v>1410000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hidden="1" x14ac:dyDescent="0.3">
      <c r="A427" s="10" t="s">
        <v>90</v>
      </c>
      <c r="B427" s="8"/>
      <c r="C427" s="8"/>
      <c r="D427" s="8">
        <f t="shared" si="6"/>
        <v>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x14ac:dyDescent="0.3">
      <c r="A442" s="10" t="s">
        <v>103</v>
      </c>
      <c r="B442" s="8">
        <v>130</v>
      </c>
      <c r="C442" s="8">
        <v>6500</v>
      </c>
      <c r="D442" s="8">
        <f t="shared" si="6"/>
        <v>845000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20</v>
      </c>
      <c r="C461" s="8">
        <v>10000</v>
      </c>
      <c r="D461" s="8">
        <f t="shared" si="7"/>
        <v>200000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70</v>
      </c>
      <c r="C472" s="8">
        <v>5500</v>
      </c>
      <c r="D472" s="8">
        <f t="shared" si="7"/>
        <v>385000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x14ac:dyDescent="0.3">
      <c r="A492" s="10" t="s">
        <v>154</v>
      </c>
      <c r="B492" s="8">
        <v>8</v>
      </c>
      <c r="C492" s="8">
        <v>12000</v>
      </c>
      <c r="D492" s="8">
        <f t="shared" si="7"/>
        <v>96000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v>225</v>
      </c>
      <c r="C504" s="8">
        <v>6500</v>
      </c>
      <c r="D504" s="8">
        <f t="shared" si="7"/>
        <v>1462500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50+300+240+160-100</f>
        <v>650</v>
      </c>
      <c r="C520" s="8">
        <v>8000</v>
      </c>
      <c r="D520" s="8">
        <f t="shared" si="8"/>
        <v>5200000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240+240+50+140</f>
        <v>670</v>
      </c>
      <c r="C542" s="8">
        <v>8000</v>
      </c>
      <c r="D542" s="8">
        <f t="shared" si="8"/>
        <v>5360000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x14ac:dyDescent="0.3">
      <c r="A551" s="10" t="s">
        <v>353</v>
      </c>
      <c r="B551" s="8">
        <f>15/0.5</f>
        <v>30</v>
      </c>
      <c r="C551" s="8">
        <v>10000</v>
      </c>
      <c r="D551" s="8">
        <f t="shared" si="8"/>
        <v>300000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450+10-250</f>
        <v>210</v>
      </c>
      <c r="C556" s="8">
        <v>14500</v>
      </c>
      <c r="D556" s="8">
        <f t="shared" si="8"/>
        <v>3045000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x14ac:dyDescent="0.3">
      <c r="A571" s="23" t="s">
        <v>357</v>
      </c>
      <c r="B571" s="8">
        <f>16/0.5</f>
        <v>32</v>
      </c>
      <c r="C571" s="8">
        <v>17000</v>
      </c>
      <c r="D571" s="8">
        <f t="shared" si="8"/>
        <v>544000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x14ac:dyDescent="0.3">
      <c r="A610" s="10" t="s">
        <v>274</v>
      </c>
      <c r="B610" s="8">
        <v>3</v>
      </c>
      <c r="C610" s="8">
        <v>17000</v>
      </c>
      <c r="D610" s="8">
        <f t="shared" si="9"/>
        <v>51000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x14ac:dyDescent="0.3">
      <c r="A621" s="10" t="s">
        <v>287</v>
      </c>
      <c r="B621" s="8">
        <v>4</v>
      </c>
      <c r="C621" s="8">
        <v>9000</v>
      </c>
      <c r="D621" s="8">
        <f t="shared" si="9"/>
        <v>36000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3504</v>
      </c>
      <c r="C672" s="46"/>
      <c r="D672" s="46">
        <f t="shared" ref="D672" si="11">SUM(D345:D671)</f>
        <v>40424500</v>
      </c>
    </row>
    <row r="674" spans="4:4" x14ac:dyDescent="0.3">
      <c r="D674" s="49">
        <f>D672+D340</f>
        <v>83366500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E672" xr:uid="{00000000-0009-0000-0000-000003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675"/>
  <sheetViews>
    <sheetView topLeftCell="A362" workbookViewId="0">
      <selection activeCell="D675" sqref="D675"/>
    </sheetView>
  </sheetViews>
  <sheetFormatPr defaultRowHeight="14.4" x14ac:dyDescent="0.3"/>
  <cols>
    <col min="1" max="1" width="34.6640625" customWidth="1"/>
    <col min="3" max="3" width="11.5546875" customWidth="1"/>
    <col min="4" max="4" width="20" customWidth="1"/>
  </cols>
  <sheetData>
    <row r="1" spans="1:4" x14ac:dyDescent="0.3">
      <c r="A1" s="1" t="s">
        <v>373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6" t="s">
        <v>2</v>
      </c>
      <c r="B3" s="8"/>
      <c r="C3" s="8"/>
      <c r="D3" s="8">
        <f>B3*C3</f>
        <v>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x14ac:dyDescent="0.3">
      <c r="A12" s="10" t="s">
        <v>11</v>
      </c>
      <c r="B12" s="8">
        <v>2</v>
      </c>
      <c r="C12" s="8">
        <v>10000</v>
      </c>
      <c r="D12" s="8">
        <f t="shared" si="0"/>
        <v>20000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x14ac:dyDescent="0.3">
      <c r="A15" s="13" t="s">
        <v>14</v>
      </c>
      <c r="B15" s="8">
        <v>5</v>
      </c>
      <c r="C15" s="8">
        <v>20000</v>
      </c>
      <c r="D15" s="8">
        <f t="shared" si="0"/>
        <v>100000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f>60+100+5</f>
        <v>165</v>
      </c>
      <c r="C18" s="8">
        <v>4000</v>
      </c>
      <c r="D18" s="8">
        <f t="shared" si="0"/>
        <v>660000</v>
      </c>
    </row>
    <row r="19" spans="1:4" ht="18" x14ac:dyDescent="0.3">
      <c r="A19" s="12" t="s">
        <v>18</v>
      </c>
      <c r="B19" s="8">
        <v>25</v>
      </c>
      <c r="C19" s="47">
        <v>13000</v>
      </c>
      <c r="D19" s="8">
        <f t="shared" si="0"/>
        <v>325000</v>
      </c>
    </row>
    <row r="20" spans="1:4" ht="18" x14ac:dyDescent="0.3">
      <c r="A20" s="10" t="s">
        <v>19</v>
      </c>
      <c r="B20" s="8">
        <v>300</v>
      </c>
      <c r="C20" s="8">
        <v>14000</v>
      </c>
      <c r="D20" s="8">
        <f t="shared" si="0"/>
        <v>4200000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100</v>
      </c>
      <c r="C25" s="8">
        <v>8000</v>
      </c>
      <c r="D25" s="8">
        <f t="shared" si="0"/>
        <v>800000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75+25+30</f>
        <v>130</v>
      </c>
      <c r="C28" s="8">
        <v>17000</v>
      </c>
      <c r="D28" s="8">
        <f t="shared" si="0"/>
        <v>2210000</v>
      </c>
    </row>
    <row r="29" spans="1:4" ht="18" x14ac:dyDescent="0.3">
      <c r="A29" s="13" t="s">
        <v>28</v>
      </c>
      <c r="B29" s="8">
        <v>14</v>
      </c>
      <c r="C29" s="8">
        <v>24000</v>
      </c>
      <c r="D29" s="8">
        <f t="shared" si="0"/>
        <v>336000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hidden="1" x14ac:dyDescent="0.3">
      <c r="A37" s="13" t="s">
        <v>35</v>
      </c>
      <c r="B37" s="8"/>
      <c r="C37" s="8"/>
      <c r="D37" s="8">
        <f t="shared" si="0"/>
        <v>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x14ac:dyDescent="0.3">
      <c r="A47" s="10" t="s">
        <v>45</v>
      </c>
      <c r="B47" s="8">
        <v>60</v>
      </c>
      <c r="C47" s="8">
        <v>24000</v>
      </c>
      <c r="D47" s="8">
        <f t="shared" si="0"/>
        <v>1440000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hidden="1" x14ac:dyDescent="0.3">
      <c r="A64" s="10" t="s">
        <v>62</v>
      </c>
      <c r="B64" s="8"/>
      <c r="C64" s="8"/>
      <c r="D64" s="8">
        <f t="shared" si="0"/>
        <v>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x14ac:dyDescent="0.3">
      <c r="A79" s="14" t="s">
        <v>78</v>
      </c>
      <c r="B79" s="8">
        <v>100</v>
      </c>
      <c r="C79" s="8">
        <v>11500</v>
      </c>
      <c r="D79" s="8">
        <f t="shared" si="1"/>
        <v>1150000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x14ac:dyDescent="0.3">
      <c r="A81" s="10" t="s">
        <v>80</v>
      </c>
      <c r="B81" s="8">
        <v>8</v>
      </c>
      <c r="C81" s="8">
        <v>23000</v>
      </c>
      <c r="D81" s="8">
        <f t="shared" si="1"/>
        <v>184000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x14ac:dyDescent="0.3">
      <c r="A87" s="10" t="s">
        <v>86</v>
      </c>
      <c r="B87" s="8">
        <v>5</v>
      </c>
      <c r="C87" s="8">
        <v>12000</v>
      </c>
      <c r="D87" s="8">
        <f t="shared" si="1"/>
        <v>60000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x14ac:dyDescent="0.3">
      <c r="A98" s="10" t="s">
        <v>97</v>
      </c>
      <c r="B98" s="8">
        <v>1</v>
      </c>
      <c r="C98" s="8">
        <v>30000</v>
      </c>
      <c r="D98" s="8">
        <f t="shared" si="1"/>
        <v>30000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x14ac:dyDescent="0.3">
      <c r="A104" s="26" t="s">
        <v>103</v>
      </c>
      <c r="B104" s="8">
        <v>100</v>
      </c>
      <c r="C104" s="8">
        <v>7000</v>
      </c>
      <c r="D104" s="8">
        <f t="shared" si="1"/>
        <v>700000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v>24</v>
      </c>
      <c r="C111" s="8">
        <v>24000</v>
      </c>
      <c r="D111" s="8">
        <f t="shared" si="1"/>
        <v>576000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x14ac:dyDescent="0.3">
      <c r="A133" s="10" t="s">
        <v>132</v>
      </c>
      <c r="B133" s="8">
        <v>7</v>
      </c>
      <c r="C133" s="8">
        <v>5000</v>
      </c>
      <c r="D133" s="8">
        <f t="shared" si="2"/>
        <v>35000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x14ac:dyDescent="0.3">
      <c r="A154" s="10" t="s">
        <v>153</v>
      </c>
      <c r="B154" s="8">
        <v>7</v>
      </c>
      <c r="C154" s="8">
        <v>12000</v>
      </c>
      <c r="D154" s="8">
        <f t="shared" si="2"/>
        <v>84000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x14ac:dyDescent="0.3">
      <c r="A166" s="10" t="s">
        <v>165</v>
      </c>
      <c r="B166" s="8">
        <v>8</v>
      </c>
      <c r="C166" s="8">
        <v>7000</v>
      </c>
      <c r="D166" s="8">
        <f t="shared" si="2"/>
        <v>56000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38</v>
      </c>
      <c r="C171" s="8">
        <v>11000</v>
      </c>
      <c r="D171" s="8">
        <f t="shared" si="2"/>
        <v>418000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x14ac:dyDescent="0.3">
      <c r="A175" s="34" t="s">
        <v>174</v>
      </c>
      <c r="B175" s="36">
        <v>2</v>
      </c>
      <c r="C175" s="36">
        <v>13000</v>
      </c>
      <c r="D175" s="8">
        <f t="shared" si="2"/>
        <v>26000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230</v>
      </c>
      <c r="C184" s="8">
        <v>8000</v>
      </c>
      <c r="D184" s="8">
        <f t="shared" si="2"/>
        <v>1840000</v>
      </c>
    </row>
    <row r="185" spans="1:4" ht="18" x14ac:dyDescent="0.3">
      <c r="A185" s="10" t="s">
        <v>184</v>
      </c>
      <c r="B185" s="8">
        <f>75*3</f>
        <v>225</v>
      </c>
      <c r="C185" s="8">
        <v>2100</v>
      </c>
      <c r="D185" s="8">
        <f t="shared" si="2"/>
        <v>472500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4</v>
      </c>
      <c r="C187" s="8">
        <v>20000</v>
      </c>
      <c r="D187" s="8">
        <f t="shared" si="2"/>
        <v>80000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70+100+30+100</f>
        <v>300</v>
      </c>
      <c r="C202" s="8">
        <v>20000</v>
      </c>
      <c r="D202" s="8">
        <f t="shared" si="3"/>
        <v>6000000</v>
      </c>
    </row>
    <row r="203" spans="1:4" ht="18" x14ac:dyDescent="0.3">
      <c r="A203" s="13" t="s">
        <v>202</v>
      </c>
      <c r="B203" s="8">
        <f>100+65+60</f>
        <v>225</v>
      </c>
      <c r="C203" s="8">
        <v>19000</v>
      </c>
      <c r="D203" s="8">
        <f t="shared" si="3"/>
        <v>4275000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2" t="s">
        <v>208</v>
      </c>
      <c r="B209" s="8">
        <v>4</v>
      </c>
      <c r="C209" s="8">
        <v>35000</v>
      </c>
      <c r="D209" s="8">
        <f t="shared" si="3"/>
        <v>140000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f>15+17</f>
        <v>32</v>
      </c>
      <c r="C211" s="8">
        <v>10000</v>
      </c>
      <c r="D211" s="8">
        <f t="shared" si="3"/>
        <v>320000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200</v>
      </c>
      <c r="C216" s="8">
        <v>14500</v>
      </c>
      <c r="D216" s="8">
        <f t="shared" si="3"/>
        <v>2900000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3</v>
      </c>
      <c r="C248" s="8">
        <v>14000</v>
      </c>
      <c r="D248" s="8">
        <f t="shared" si="3"/>
        <v>42000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170+12+8</f>
        <v>190</v>
      </c>
      <c r="C251" s="8">
        <v>28000</v>
      </c>
      <c r="D251" s="8">
        <f t="shared" si="3"/>
        <v>5320000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v>49</v>
      </c>
      <c r="C254" s="8">
        <v>12000</v>
      </c>
      <c r="D254" s="8">
        <f t="shared" si="3"/>
        <v>588000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14+34+30+6</f>
        <v>84</v>
      </c>
      <c r="C259" s="8">
        <v>38000</v>
      </c>
      <c r="D259" s="8">
        <f t="shared" si="3"/>
        <v>3192000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12+2+7+30+32</f>
        <v>83</v>
      </c>
      <c r="C263" s="8">
        <v>20000</v>
      </c>
      <c r="D263" s="8">
        <f t="shared" si="4"/>
        <v>1660000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x14ac:dyDescent="0.3">
      <c r="A271" s="10" t="s">
        <v>270</v>
      </c>
      <c r="B271" s="8">
        <v>27</v>
      </c>
      <c r="C271" s="8">
        <v>14000</v>
      </c>
      <c r="D271" s="8">
        <f t="shared" si="4"/>
        <v>378000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hidden="1" x14ac:dyDescent="0.3">
      <c r="A275" s="10" t="s">
        <v>274</v>
      </c>
      <c r="B275" s="8"/>
      <c r="C275" s="8"/>
      <c r="D275" s="8">
        <f t="shared" si="4"/>
        <v>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3</v>
      </c>
      <c r="C288" s="8">
        <v>9000</v>
      </c>
      <c r="D288" s="8">
        <f t="shared" si="4"/>
        <v>27000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15</v>
      </c>
      <c r="C294" s="8">
        <v>12000</v>
      </c>
      <c r="D294" s="8">
        <f t="shared" si="4"/>
        <v>180000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x14ac:dyDescent="0.3">
      <c r="A300" s="10" t="s">
        <v>299</v>
      </c>
      <c r="B300" s="8">
        <v>1</v>
      </c>
      <c r="C300" s="8">
        <v>85000</v>
      </c>
      <c r="D300" s="8">
        <f t="shared" si="4"/>
        <v>85000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x14ac:dyDescent="0.3">
      <c r="A331" s="10" t="s">
        <v>330</v>
      </c>
      <c r="B331" s="8">
        <v>7</v>
      </c>
      <c r="C331" s="8">
        <v>6800</v>
      </c>
      <c r="D331" s="8">
        <f t="shared" si="5"/>
        <v>47600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x14ac:dyDescent="0.3">
      <c r="A334" s="10" t="s">
        <v>333</v>
      </c>
      <c r="B334" s="8">
        <v>8</v>
      </c>
      <c r="C334" s="8">
        <v>6800</v>
      </c>
      <c r="D334" s="8">
        <f t="shared" si="5"/>
        <v>54400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2791</v>
      </c>
      <c r="C340" s="46"/>
      <c r="D340" s="8">
        <f>SUM(D12:D334)</f>
        <v>41011500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372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86</v>
      </c>
      <c r="C348" s="8">
        <v>6500</v>
      </c>
      <c r="D348" s="8">
        <f t="shared" si="5"/>
        <v>559000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45</v>
      </c>
      <c r="C355" s="8">
        <v>10000</v>
      </c>
      <c r="D355" s="8">
        <f t="shared" si="5"/>
        <v>450000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v>390</v>
      </c>
      <c r="C362" s="8">
        <v>14000</v>
      </c>
      <c r="D362" s="8">
        <f t="shared" si="5"/>
        <v>5460000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v>190</v>
      </c>
      <c r="C389" s="8">
        <v>18500</v>
      </c>
      <c r="D389" s="8">
        <f t="shared" si="6"/>
        <v>3515000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v>170</v>
      </c>
      <c r="C414" s="8">
        <v>29000</v>
      </c>
      <c r="D414" s="8">
        <f t="shared" si="6"/>
        <v>4930000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v>35</v>
      </c>
      <c r="C427" s="8">
        <v>6000</v>
      </c>
      <c r="D427" s="8">
        <f t="shared" si="6"/>
        <v>210000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5</v>
      </c>
      <c r="C461" s="8">
        <v>10000</v>
      </c>
      <c r="D461" s="8">
        <f t="shared" si="7"/>
        <v>50000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f>21+110+36</f>
        <v>167</v>
      </c>
      <c r="C472" s="8">
        <v>5500</v>
      </c>
      <c r="D472" s="8">
        <f t="shared" si="7"/>
        <v>918500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x14ac:dyDescent="0.3">
      <c r="A497" s="10" t="s">
        <v>159</v>
      </c>
      <c r="B497" s="8">
        <v>10</v>
      </c>
      <c r="C497" s="8">
        <v>8000</v>
      </c>
      <c r="D497" s="8">
        <f t="shared" si="7"/>
        <v>80000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f>21+202</f>
        <v>223</v>
      </c>
      <c r="C504" s="8">
        <v>6500</v>
      </c>
      <c r="D504" s="8">
        <f t="shared" si="7"/>
        <v>1449500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300+715+90+50+10-230</f>
        <v>935</v>
      </c>
      <c r="C520" s="8">
        <v>8000</v>
      </c>
      <c r="D520" s="8">
        <f t="shared" si="8"/>
        <v>7480000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v>600</v>
      </c>
      <c r="C542" s="8">
        <v>8000</v>
      </c>
      <c r="D542" s="8">
        <f t="shared" si="8"/>
        <v>4800000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v>190</v>
      </c>
      <c r="C556" s="8">
        <v>14500</v>
      </c>
      <c r="D556" s="8">
        <f t="shared" si="8"/>
        <v>2755000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3046</v>
      </c>
      <c r="C672" s="46"/>
      <c r="D672" s="46">
        <f t="shared" ref="D672" si="11">SUM(D345:D671)</f>
        <v>32657000</v>
      </c>
    </row>
    <row r="675" spans="4:4" x14ac:dyDescent="0.3">
      <c r="D675" s="49">
        <f>D672+D340</f>
        <v>73668500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4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674"/>
  <sheetViews>
    <sheetView topLeftCell="A340" workbookViewId="0">
      <selection activeCell="D674" sqref="D674"/>
    </sheetView>
  </sheetViews>
  <sheetFormatPr defaultRowHeight="14.4" x14ac:dyDescent="0.3"/>
  <cols>
    <col min="1" max="1" width="34.109375" customWidth="1"/>
    <col min="3" max="3" width="14" customWidth="1"/>
    <col min="4" max="4" width="20.109375" customWidth="1"/>
  </cols>
  <sheetData>
    <row r="1" spans="1:4" x14ac:dyDescent="0.3">
      <c r="A1" s="1" t="s">
        <v>374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6" t="s">
        <v>2</v>
      </c>
      <c r="B3" s="8"/>
      <c r="C3" s="8"/>
      <c r="D3" s="8">
        <f>B3*C3</f>
        <v>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x14ac:dyDescent="0.3">
      <c r="A12" s="10" t="s">
        <v>11</v>
      </c>
      <c r="B12" s="8">
        <v>2</v>
      </c>
      <c r="C12" s="8">
        <v>10000</v>
      </c>
      <c r="D12" s="8">
        <f t="shared" si="0"/>
        <v>20000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x14ac:dyDescent="0.3">
      <c r="A15" s="13" t="s">
        <v>14</v>
      </c>
      <c r="B15" s="8">
        <v>4</v>
      </c>
      <c r="C15" s="8">
        <v>20000</v>
      </c>
      <c r="D15" s="8">
        <f t="shared" si="0"/>
        <v>80000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f>125+18+18</f>
        <v>161</v>
      </c>
      <c r="C18" s="8">
        <v>4000</v>
      </c>
      <c r="D18" s="8">
        <f t="shared" si="0"/>
        <v>644000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300</v>
      </c>
      <c r="C20" s="8">
        <v>14000</v>
      </c>
      <c r="D20" s="8">
        <f t="shared" si="0"/>
        <v>4200000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103</v>
      </c>
      <c r="C25" s="8">
        <v>8000</v>
      </c>
      <c r="D25" s="8">
        <f t="shared" si="0"/>
        <v>824000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104+140+5+6</f>
        <v>255</v>
      </c>
      <c r="C28" s="8">
        <v>17000</v>
      </c>
      <c r="D28" s="8">
        <f t="shared" si="0"/>
        <v>4335000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f>21+43+27+13</f>
        <v>104</v>
      </c>
      <c r="C37" s="8">
        <v>10000</v>
      </c>
      <c r="D37" s="8">
        <f t="shared" si="0"/>
        <v>1040000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x14ac:dyDescent="0.3">
      <c r="A47" s="10" t="s">
        <v>45</v>
      </c>
      <c r="B47" s="8">
        <v>5</v>
      </c>
      <c r="C47" s="8">
        <v>23000</v>
      </c>
      <c r="D47" s="8">
        <f t="shared" si="0"/>
        <v>115000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hidden="1" x14ac:dyDescent="0.3">
      <c r="A64" s="10" t="s">
        <v>62</v>
      </c>
      <c r="B64" s="8"/>
      <c r="C64" s="8"/>
      <c r="D64" s="8">
        <f t="shared" si="0"/>
        <v>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x14ac:dyDescent="0.3">
      <c r="A79" s="14" t="s">
        <v>78</v>
      </c>
      <c r="B79" s="8">
        <f>18+34</f>
        <v>52</v>
      </c>
      <c r="C79" s="8">
        <v>23000</v>
      </c>
      <c r="D79" s="8">
        <f t="shared" si="1"/>
        <v>1196000</v>
      </c>
    </row>
    <row r="80" spans="1:4" ht="18" x14ac:dyDescent="0.3">
      <c r="A80" s="10" t="s">
        <v>79</v>
      </c>
      <c r="B80" s="8">
        <f>60+60</f>
        <v>120</v>
      </c>
      <c r="C80" s="8">
        <v>32000</v>
      </c>
      <c r="D80" s="8">
        <f t="shared" si="1"/>
        <v>3840000</v>
      </c>
    </row>
    <row r="81" spans="1:4" ht="18" hidden="1" x14ac:dyDescent="0.3">
      <c r="A81" s="10" t="s">
        <v>80</v>
      </c>
      <c r="B81" s="8"/>
      <c r="C81" s="8"/>
      <c r="D81" s="8">
        <f t="shared" si="1"/>
        <v>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x14ac:dyDescent="0.3">
      <c r="A91" s="10" t="s">
        <v>90</v>
      </c>
      <c r="B91" s="8">
        <v>50</v>
      </c>
      <c r="C91" s="8">
        <v>6000</v>
      </c>
      <c r="D91" s="8">
        <f t="shared" si="1"/>
        <v>300000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f>8+22+10</f>
        <v>40</v>
      </c>
      <c r="C111" s="8">
        <v>20000</v>
      </c>
      <c r="D111" s="8">
        <f t="shared" si="1"/>
        <v>800000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x14ac:dyDescent="0.3">
      <c r="A147" s="10" t="s">
        <v>146</v>
      </c>
      <c r="B147" s="17">
        <v>1</v>
      </c>
      <c r="C147" s="17">
        <v>80000</v>
      </c>
      <c r="D147" s="8">
        <f t="shared" si="2"/>
        <v>80000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x14ac:dyDescent="0.3">
      <c r="A151" s="10" t="s">
        <v>150</v>
      </c>
      <c r="B151" s="17">
        <v>1</v>
      </c>
      <c r="C151" s="17">
        <v>70000</v>
      </c>
      <c r="D151" s="8">
        <f t="shared" si="2"/>
        <v>70000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x14ac:dyDescent="0.3">
      <c r="A161" s="10" t="s">
        <v>160</v>
      </c>
      <c r="B161" s="8">
        <v>20</v>
      </c>
      <c r="C161" s="8">
        <v>8000</v>
      </c>
      <c r="D161" s="8">
        <f t="shared" si="2"/>
        <v>160000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x14ac:dyDescent="0.3">
      <c r="A169" s="10" t="s">
        <v>168</v>
      </c>
      <c r="B169" s="8">
        <v>108</v>
      </c>
      <c r="C169" s="48">
        <v>6500</v>
      </c>
      <c r="D169" s="8">
        <f t="shared" si="2"/>
        <v>702000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f>15+8+22</f>
        <v>45</v>
      </c>
      <c r="C171" s="8">
        <v>11000</v>
      </c>
      <c r="D171" s="8">
        <f t="shared" si="2"/>
        <v>495000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150</v>
      </c>
      <c r="C184" s="8">
        <v>8000</v>
      </c>
      <c r="D184" s="8">
        <f t="shared" si="2"/>
        <v>1200000</v>
      </c>
    </row>
    <row r="185" spans="1:4" ht="18" x14ac:dyDescent="0.3">
      <c r="A185" s="10" t="s">
        <v>184</v>
      </c>
      <c r="B185" s="8">
        <f>53/0.3</f>
        <v>176.66666666666669</v>
      </c>
      <c r="C185" s="8">
        <v>2100</v>
      </c>
      <c r="D185" s="8">
        <f t="shared" si="2"/>
        <v>371000.00000000006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hidden="1" x14ac:dyDescent="0.3">
      <c r="A187" s="13" t="s">
        <v>186</v>
      </c>
      <c r="B187" s="8"/>
      <c r="C187" s="8"/>
      <c r="D187" s="8">
        <f t="shared" si="2"/>
        <v>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60+10+260</f>
        <v>330</v>
      </c>
      <c r="C202" s="8">
        <v>20000</v>
      </c>
      <c r="D202" s="8">
        <f t="shared" si="3"/>
        <v>6600000</v>
      </c>
    </row>
    <row r="203" spans="1:4" ht="18" x14ac:dyDescent="0.3">
      <c r="A203" s="13" t="s">
        <v>202</v>
      </c>
      <c r="B203" s="8">
        <f>60+200+15+20+15+20</f>
        <v>330</v>
      </c>
      <c r="C203" s="8">
        <v>19000</v>
      </c>
      <c r="D203" s="8">
        <f t="shared" si="3"/>
        <v>6270000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350</v>
      </c>
      <c r="C216" s="8">
        <v>14500</v>
      </c>
      <c r="D216" s="8">
        <f t="shared" si="3"/>
        <v>5075000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x14ac:dyDescent="0.3">
      <c r="A230" s="18" t="s">
        <v>229</v>
      </c>
      <c r="B230" s="8">
        <v>300</v>
      </c>
      <c r="C230" s="8">
        <v>20000</v>
      </c>
      <c r="D230" s="8">
        <f t="shared" si="3"/>
        <v>6000000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15+22+20+20+26</f>
        <v>103</v>
      </c>
      <c r="C251" s="8">
        <v>24000</v>
      </c>
      <c r="D251" s="8">
        <f t="shared" si="3"/>
        <v>2472000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f>30+15</f>
        <v>45</v>
      </c>
      <c r="C254" s="8">
        <v>12000</v>
      </c>
      <c r="D254" s="8">
        <f t="shared" si="3"/>
        <v>540000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40+10+5+15</f>
        <v>70</v>
      </c>
      <c r="C259" s="8">
        <v>38000</v>
      </c>
      <c r="D259" s="8">
        <f t="shared" si="3"/>
        <v>2660000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65+8</f>
        <v>73</v>
      </c>
      <c r="C263" s="8">
        <v>20000</v>
      </c>
      <c r="D263" s="8">
        <f t="shared" si="4"/>
        <v>1460000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hidden="1" x14ac:dyDescent="0.3">
      <c r="A271" s="10" t="s">
        <v>270</v>
      </c>
      <c r="B271" s="8"/>
      <c r="C271" s="8"/>
      <c r="D271" s="8">
        <f t="shared" si="4"/>
        <v>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hidden="1" x14ac:dyDescent="0.3">
      <c r="A275" s="10" t="s">
        <v>274</v>
      </c>
      <c r="B275" s="8"/>
      <c r="C275" s="8"/>
      <c r="D275" s="8">
        <f t="shared" si="4"/>
        <v>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hidden="1" x14ac:dyDescent="0.3">
      <c r="A288" s="10" t="s">
        <v>287</v>
      </c>
      <c r="B288" s="8"/>
      <c r="C288" s="8"/>
      <c r="D288" s="8">
        <f t="shared" si="4"/>
        <v>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10</v>
      </c>
      <c r="C294" s="8">
        <v>14000</v>
      </c>
      <c r="D294" s="8">
        <f t="shared" si="4"/>
        <v>140000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3308.666666666667</v>
      </c>
      <c r="C340" s="46"/>
      <c r="D340" s="8">
        <f>SUM(D12:D294)</f>
        <v>51689000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375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22" t="s">
        <v>73</v>
      </c>
      <c r="B345" s="8"/>
      <c r="C345" s="8"/>
      <c r="D345" s="8">
        <f t="shared" si="5"/>
        <v>0</v>
      </c>
    </row>
    <row r="346" spans="1:4" ht="18" hidden="1" x14ac:dyDescent="0.3">
      <c r="A346" s="13" t="s">
        <v>68</v>
      </c>
      <c r="B346" s="8"/>
      <c r="C346" s="8"/>
      <c r="D346" s="8">
        <f t="shared" si="5"/>
        <v>0</v>
      </c>
    </row>
    <row r="347" spans="1:4" ht="18" hidden="1" x14ac:dyDescent="0.3">
      <c r="A347" s="12" t="s">
        <v>69</v>
      </c>
      <c r="B347" s="8"/>
      <c r="C347" s="8"/>
      <c r="D347" s="8">
        <f t="shared" si="5"/>
        <v>0</v>
      </c>
    </row>
    <row r="348" spans="1:4" ht="18" hidden="1" x14ac:dyDescent="0.3">
      <c r="A348" s="13" t="s">
        <v>70</v>
      </c>
      <c r="B348" s="8"/>
      <c r="C348" s="8"/>
      <c r="D348" s="8">
        <f t="shared" si="5"/>
        <v>0</v>
      </c>
    </row>
    <row r="349" spans="1:4" ht="18" hidden="1" x14ac:dyDescent="0.3">
      <c r="A349" s="13" t="s">
        <v>71</v>
      </c>
      <c r="B349" s="8"/>
      <c r="C349" s="8"/>
      <c r="D349" s="8">
        <f t="shared" si="5"/>
        <v>0</v>
      </c>
    </row>
    <row r="350" spans="1:4" ht="18" hidden="1" x14ac:dyDescent="0.3">
      <c r="A350" s="13" t="s">
        <v>72</v>
      </c>
      <c r="B350" s="8"/>
      <c r="C350" s="8"/>
      <c r="D350" s="8">
        <f t="shared" si="5"/>
        <v>0</v>
      </c>
    </row>
    <row r="351" spans="1:4" ht="18" hidden="1" x14ac:dyDescent="0.3">
      <c r="A351" s="10" t="s">
        <v>74</v>
      </c>
      <c r="B351" s="8"/>
      <c r="C351" s="8"/>
      <c r="D351" s="8">
        <f t="shared" si="5"/>
        <v>0</v>
      </c>
    </row>
    <row r="352" spans="1:4" ht="18" hidden="1" x14ac:dyDescent="0.3">
      <c r="A352" s="13" t="s">
        <v>82</v>
      </c>
      <c r="B352" s="17"/>
      <c r="C352" s="17"/>
      <c r="D352" s="8">
        <f t="shared" si="5"/>
        <v>0</v>
      </c>
    </row>
    <row r="353" spans="1:4" ht="18" hidden="1" x14ac:dyDescent="0.3">
      <c r="A353" s="13" t="s">
        <v>83</v>
      </c>
      <c r="B353" s="17"/>
      <c r="C353" s="17"/>
      <c r="D353" s="8">
        <f t="shared" si="5"/>
        <v>0</v>
      </c>
    </row>
    <row r="354" spans="1:4" ht="18" hidden="1" x14ac:dyDescent="0.3">
      <c r="A354" s="13" t="s">
        <v>84</v>
      </c>
      <c r="B354" s="17"/>
      <c r="C354" s="17"/>
      <c r="D354" s="8">
        <f t="shared" si="5"/>
        <v>0</v>
      </c>
    </row>
    <row r="355" spans="1:4" ht="18" hidden="1" x14ac:dyDescent="0.3">
      <c r="A355" s="10" t="s">
        <v>96</v>
      </c>
      <c r="B355" s="8"/>
      <c r="C355" s="8"/>
      <c r="D355" s="8">
        <f t="shared" si="5"/>
        <v>0</v>
      </c>
    </row>
    <row r="356" spans="1:4" ht="18" hidden="1" x14ac:dyDescent="0.3">
      <c r="A356" s="10" t="s">
        <v>97</v>
      </c>
      <c r="B356" s="8"/>
      <c r="C356" s="8"/>
      <c r="D356" s="8">
        <f t="shared" si="5"/>
        <v>0</v>
      </c>
    </row>
    <row r="357" spans="1:4" ht="18" hidden="1" x14ac:dyDescent="0.3">
      <c r="A357" s="10" t="s">
        <v>99</v>
      </c>
      <c r="B357" s="17"/>
      <c r="C357" s="17"/>
      <c r="D357" s="8">
        <f t="shared" si="5"/>
        <v>0</v>
      </c>
    </row>
    <row r="358" spans="1:4" ht="18" hidden="1" x14ac:dyDescent="0.3">
      <c r="A358" s="23" t="s">
        <v>101</v>
      </c>
      <c r="B358" s="8"/>
      <c r="C358" s="8"/>
      <c r="D358" s="8">
        <f t="shared" si="5"/>
        <v>0</v>
      </c>
    </row>
    <row r="359" spans="1:4" ht="18" hidden="1" x14ac:dyDescent="0.3">
      <c r="A359" s="12" t="s">
        <v>117</v>
      </c>
      <c r="B359" s="8"/>
      <c r="C359" s="8"/>
      <c r="D359" s="8">
        <f t="shared" si="5"/>
        <v>0</v>
      </c>
    </row>
    <row r="360" spans="1:4" ht="18" hidden="1" x14ac:dyDescent="0.3">
      <c r="A360" s="23" t="s">
        <v>118</v>
      </c>
      <c r="B360" s="8"/>
      <c r="C360" s="8"/>
      <c r="D360" s="8">
        <f t="shared" si="5"/>
        <v>0</v>
      </c>
    </row>
    <row r="361" spans="1:4" ht="18" hidden="1" x14ac:dyDescent="0.3">
      <c r="A361" s="10" t="s">
        <v>110</v>
      </c>
      <c r="B361" s="8"/>
      <c r="C361" s="8"/>
      <c r="D361" s="8">
        <f t="shared" si="5"/>
        <v>0</v>
      </c>
    </row>
    <row r="362" spans="1:4" ht="18" hidden="1" x14ac:dyDescent="0.3">
      <c r="A362" s="10" t="s">
        <v>111</v>
      </c>
      <c r="B362" s="8"/>
      <c r="C362" s="8"/>
      <c r="D362" s="8">
        <f t="shared" si="5"/>
        <v>0</v>
      </c>
    </row>
    <row r="363" spans="1:4" ht="18" hidden="1" x14ac:dyDescent="0.3">
      <c r="A363" s="10" t="s">
        <v>112</v>
      </c>
      <c r="B363" s="8"/>
      <c r="C363" s="8"/>
      <c r="D363" s="8">
        <f t="shared" si="5"/>
        <v>0</v>
      </c>
    </row>
    <row r="364" spans="1:4" ht="18" hidden="1" x14ac:dyDescent="0.3">
      <c r="A364" s="12" t="s">
        <v>249</v>
      </c>
      <c r="B364" s="8"/>
      <c r="C364" s="8"/>
      <c r="D364" s="8">
        <f t="shared" si="5"/>
        <v>0</v>
      </c>
    </row>
    <row r="365" spans="1:4" ht="18" hidden="1" x14ac:dyDescent="0.3">
      <c r="A365" s="10" t="s">
        <v>250</v>
      </c>
      <c r="B365" s="8"/>
      <c r="C365" s="8"/>
      <c r="D365" s="8">
        <f t="shared" si="5"/>
        <v>0</v>
      </c>
    </row>
    <row r="366" spans="1:4" ht="18" hidden="1" x14ac:dyDescent="0.3">
      <c r="A366" s="10" t="s">
        <v>251</v>
      </c>
      <c r="B366" s="8"/>
      <c r="C366" s="8"/>
      <c r="D366" s="8">
        <f t="shared" si="5"/>
        <v>0</v>
      </c>
    </row>
    <row r="367" spans="1:4" ht="18" hidden="1" x14ac:dyDescent="0.3">
      <c r="A367" s="10" t="s">
        <v>252</v>
      </c>
      <c r="B367" s="8"/>
      <c r="C367" s="8"/>
      <c r="D367" s="8">
        <f t="shared" si="5"/>
        <v>0</v>
      </c>
    </row>
    <row r="368" spans="1:4" ht="18" hidden="1" x14ac:dyDescent="0.3">
      <c r="A368" s="10" t="s">
        <v>253</v>
      </c>
      <c r="B368" s="8"/>
      <c r="C368" s="8"/>
      <c r="D368" s="8">
        <f t="shared" si="5"/>
        <v>0</v>
      </c>
    </row>
    <row r="369" spans="1:4" ht="18" hidden="1" x14ac:dyDescent="0.3">
      <c r="A369" s="10" t="s">
        <v>254</v>
      </c>
      <c r="B369" s="8"/>
      <c r="C369" s="8"/>
      <c r="D369" s="8">
        <f t="shared" si="5"/>
        <v>0</v>
      </c>
    </row>
    <row r="370" spans="1:4" ht="18" hidden="1" x14ac:dyDescent="0.3">
      <c r="A370" s="10" t="s">
        <v>258</v>
      </c>
      <c r="B370" s="8"/>
      <c r="C370" s="8"/>
      <c r="D370" s="8">
        <f t="shared" si="5"/>
        <v>0</v>
      </c>
    </row>
    <row r="371" spans="1:4" ht="18" hidden="1" x14ac:dyDescent="0.3">
      <c r="A371" s="10" t="s">
        <v>259</v>
      </c>
      <c r="B371" s="8"/>
      <c r="C371" s="8"/>
      <c r="D371" s="8">
        <f t="shared" si="5"/>
        <v>0</v>
      </c>
    </row>
    <row r="372" spans="1:4" ht="18" hidden="1" x14ac:dyDescent="0.3">
      <c r="A372" s="10" t="s">
        <v>260</v>
      </c>
      <c r="B372" s="8"/>
      <c r="C372" s="8"/>
      <c r="D372" s="8">
        <f t="shared" si="5"/>
        <v>0</v>
      </c>
    </row>
    <row r="373" spans="1:4" ht="18" hidden="1" x14ac:dyDescent="0.3">
      <c r="A373" s="10" t="s">
        <v>261</v>
      </c>
      <c r="B373" s="8"/>
      <c r="C373" s="8"/>
      <c r="D373" s="8">
        <f t="shared" si="5"/>
        <v>0</v>
      </c>
    </row>
    <row r="374" spans="1:4" ht="18" hidden="1" x14ac:dyDescent="0.3">
      <c r="A374" s="10" t="s">
        <v>262</v>
      </c>
      <c r="B374" s="8"/>
      <c r="C374" s="8"/>
      <c r="D374" s="8">
        <f t="shared" si="5"/>
        <v>0</v>
      </c>
    </row>
    <row r="375" spans="1:4" ht="18" hidden="1" x14ac:dyDescent="0.3">
      <c r="A375" s="10" t="s">
        <v>263</v>
      </c>
      <c r="B375" s="8"/>
      <c r="C375" s="8"/>
      <c r="D375" s="8">
        <f t="shared" si="5"/>
        <v>0</v>
      </c>
    </row>
    <row r="376" spans="1:4" ht="18" hidden="1" x14ac:dyDescent="0.3">
      <c r="A376" s="10" t="s">
        <v>264</v>
      </c>
      <c r="B376" s="8"/>
      <c r="C376" s="8"/>
      <c r="D376" s="8">
        <f t="shared" si="5"/>
        <v>0</v>
      </c>
    </row>
    <row r="377" spans="1:4" ht="18" hidden="1" x14ac:dyDescent="0.3">
      <c r="A377" s="10" t="s">
        <v>212</v>
      </c>
      <c r="B377" s="8"/>
      <c r="C377" s="8"/>
      <c r="D377" s="8">
        <f t="shared" si="5"/>
        <v>0</v>
      </c>
    </row>
    <row r="378" spans="1:4" ht="18" hidden="1" x14ac:dyDescent="0.3">
      <c r="A378" s="40" t="s">
        <v>213</v>
      </c>
      <c r="B378" s="8"/>
      <c r="C378" s="8"/>
      <c r="D378" s="8">
        <f t="shared" si="5"/>
        <v>0</v>
      </c>
    </row>
    <row r="379" spans="1:4" ht="18" hidden="1" x14ac:dyDescent="0.3">
      <c r="A379" s="10" t="s">
        <v>214</v>
      </c>
      <c r="B379" s="8"/>
      <c r="C379" s="8"/>
      <c r="D379" s="8">
        <f t="shared" si="5"/>
        <v>0</v>
      </c>
    </row>
    <row r="380" spans="1:4" ht="18" x14ac:dyDescent="0.3">
      <c r="A380" s="10" t="s">
        <v>215</v>
      </c>
      <c r="B380" s="8">
        <f>100+10+411-350</f>
        <v>171</v>
      </c>
      <c r="C380" s="8">
        <v>14500</v>
      </c>
      <c r="D380" s="8">
        <f t="shared" si="5"/>
        <v>2479500</v>
      </c>
    </row>
    <row r="381" spans="1:4" ht="18" hidden="1" x14ac:dyDescent="0.3">
      <c r="A381" s="10" t="s">
        <v>216</v>
      </c>
      <c r="B381" s="8"/>
      <c r="C381" s="8"/>
      <c r="D381" s="8">
        <f t="shared" si="5"/>
        <v>0</v>
      </c>
    </row>
    <row r="382" spans="1:4" ht="18" hidden="1" x14ac:dyDescent="0.3">
      <c r="A382" s="10" t="s">
        <v>355</v>
      </c>
      <c r="B382" s="8"/>
      <c r="C382" s="8"/>
      <c r="D382" s="8">
        <f t="shared" si="5"/>
        <v>0</v>
      </c>
    </row>
    <row r="383" spans="1:4" ht="18" hidden="1" x14ac:dyDescent="0.3">
      <c r="A383" s="10" t="s">
        <v>217</v>
      </c>
      <c r="B383" s="8"/>
      <c r="C383" s="8"/>
      <c r="D383" s="8">
        <f t="shared" si="5"/>
        <v>0</v>
      </c>
    </row>
    <row r="384" spans="1:4" ht="18" hidden="1" x14ac:dyDescent="0.3">
      <c r="A384" s="10" t="s">
        <v>103</v>
      </c>
      <c r="B384" s="8"/>
      <c r="C384" s="8"/>
      <c r="D384" s="8">
        <f t="shared" si="5"/>
        <v>0</v>
      </c>
    </row>
    <row r="385" spans="1:4" ht="18" hidden="1" x14ac:dyDescent="0.3">
      <c r="A385" s="18" t="s">
        <v>104</v>
      </c>
      <c r="B385" s="8"/>
      <c r="C385" s="8"/>
      <c r="D385" s="8">
        <f t="shared" si="5"/>
        <v>0</v>
      </c>
    </row>
    <row r="386" spans="1:4" ht="18" hidden="1" x14ac:dyDescent="0.3">
      <c r="A386" s="12" t="s">
        <v>107</v>
      </c>
      <c r="B386" s="8"/>
      <c r="C386" s="8"/>
      <c r="D386" s="8">
        <f t="shared" si="5"/>
        <v>0</v>
      </c>
    </row>
    <row r="387" spans="1:4" ht="18" hidden="1" x14ac:dyDescent="0.3">
      <c r="A387" s="10" t="s">
        <v>109</v>
      </c>
      <c r="B387" s="8"/>
      <c r="C387" s="8"/>
      <c r="D387" s="8">
        <f t="shared" si="5"/>
        <v>0</v>
      </c>
    </row>
    <row r="388" spans="1:4" ht="18" hidden="1" x14ac:dyDescent="0.3">
      <c r="A388" s="10" t="s">
        <v>177</v>
      </c>
      <c r="B388" s="8"/>
      <c r="C388" s="8"/>
      <c r="D388" s="8">
        <f t="shared" ref="D388:D451" si="6">B388*C388</f>
        <v>0</v>
      </c>
    </row>
    <row r="389" spans="1:4" ht="18" x14ac:dyDescent="0.3">
      <c r="A389" s="10" t="s">
        <v>135</v>
      </c>
      <c r="B389" s="8">
        <f>20+70+4</f>
        <v>94</v>
      </c>
      <c r="C389" s="8">
        <v>5500</v>
      </c>
      <c r="D389" s="8">
        <f t="shared" si="6"/>
        <v>517000</v>
      </c>
    </row>
    <row r="390" spans="1:4" ht="18" hidden="1" x14ac:dyDescent="0.3">
      <c r="A390" s="20" t="s">
        <v>136</v>
      </c>
      <c r="B390" s="8"/>
      <c r="C390" s="8"/>
      <c r="D390" s="8">
        <f t="shared" si="6"/>
        <v>0</v>
      </c>
    </row>
    <row r="391" spans="1:4" ht="18" hidden="1" x14ac:dyDescent="0.3">
      <c r="A391" s="13" t="s">
        <v>193</v>
      </c>
      <c r="B391" s="8"/>
      <c r="C391" s="8"/>
      <c r="D391" s="8">
        <f t="shared" si="6"/>
        <v>0</v>
      </c>
    </row>
    <row r="392" spans="1:4" ht="18" hidden="1" x14ac:dyDescent="0.3">
      <c r="A392" s="10" t="s">
        <v>319</v>
      </c>
      <c r="B392" s="8"/>
      <c r="C392" s="8"/>
      <c r="D392" s="8">
        <f t="shared" si="6"/>
        <v>0</v>
      </c>
    </row>
    <row r="393" spans="1:4" ht="18" hidden="1" x14ac:dyDescent="0.3">
      <c r="A393" s="10" t="s">
        <v>11</v>
      </c>
      <c r="B393" s="8"/>
      <c r="C393" s="8"/>
      <c r="D393" s="8">
        <f t="shared" si="6"/>
        <v>0</v>
      </c>
    </row>
    <row r="394" spans="1:4" ht="18" x14ac:dyDescent="0.3">
      <c r="A394" s="10" t="s">
        <v>12</v>
      </c>
      <c r="B394" s="8">
        <v>60</v>
      </c>
      <c r="C394" s="8">
        <v>10000</v>
      </c>
      <c r="D394" s="8">
        <f t="shared" si="6"/>
        <v>600000</v>
      </c>
    </row>
    <row r="395" spans="1:4" ht="18" hidden="1" x14ac:dyDescent="0.3">
      <c r="A395" s="13" t="s">
        <v>13</v>
      </c>
      <c r="B395" s="8"/>
      <c r="C395" s="8"/>
      <c r="D395" s="8">
        <f t="shared" si="6"/>
        <v>0</v>
      </c>
    </row>
    <row r="396" spans="1:4" ht="18" hidden="1" x14ac:dyDescent="0.3">
      <c r="A396" s="10" t="s">
        <v>165</v>
      </c>
      <c r="B396" s="8"/>
      <c r="C396" s="8"/>
      <c r="D396" s="8">
        <f t="shared" si="6"/>
        <v>0</v>
      </c>
    </row>
    <row r="397" spans="1:4" ht="18" hidden="1" x14ac:dyDescent="0.3">
      <c r="A397" s="18" t="s">
        <v>166</v>
      </c>
      <c r="B397" s="8"/>
      <c r="C397" s="8"/>
      <c r="D397" s="8">
        <f t="shared" si="6"/>
        <v>0</v>
      </c>
    </row>
    <row r="398" spans="1:4" ht="18" hidden="1" x14ac:dyDescent="0.3">
      <c r="A398" s="10" t="s">
        <v>199</v>
      </c>
      <c r="B398" s="8"/>
      <c r="C398" s="8"/>
      <c r="D398" s="8">
        <f t="shared" si="6"/>
        <v>0</v>
      </c>
    </row>
    <row r="399" spans="1:4" ht="18" hidden="1" x14ac:dyDescent="0.3">
      <c r="A399" s="38" t="s">
        <v>200</v>
      </c>
      <c r="B399" s="8"/>
      <c r="C399" s="8"/>
      <c r="D399" s="8">
        <f t="shared" si="6"/>
        <v>0</v>
      </c>
    </row>
    <row r="400" spans="1:4" ht="18" hidden="1" x14ac:dyDescent="0.3">
      <c r="A400" s="10" t="s">
        <v>237</v>
      </c>
      <c r="B400" s="8"/>
      <c r="C400" s="8"/>
      <c r="D400" s="8">
        <f t="shared" si="6"/>
        <v>0</v>
      </c>
    </row>
    <row r="401" spans="1:4" ht="18" hidden="1" x14ac:dyDescent="0.3">
      <c r="A401" s="10" t="s">
        <v>238</v>
      </c>
      <c r="B401" s="8"/>
      <c r="C401" s="8"/>
      <c r="D401" s="8">
        <f t="shared" si="6"/>
        <v>0</v>
      </c>
    </row>
    <row r="402" spans="1:4" ht="18" hidden="1" x14ac:dyDescent="0.3">
      <c r="A402" s="10" t="s">
        <v>27</v>
      </c>
      <c r="B402" s="8"/>
      <c r="C402" s="8"/>
      <c r="D402" s="8">
        <f t="shared" si="6"/>
        <v>0</v>
      </c>
    </row>
    <row r="403" spans="1:4" ht="18" hidden="1" x14ac:dyDescent="0.3">
      <c r="A403" s="13" t="s">
        <v>28</v>
      </c>
      <c r="B403" s="8"/>
      <c r="C403" s="8"/>
      <c r="D403" s="8">
        <f t="shared" si="6"/>
        <v>0</v>
      </c>
    </row>
    <row r="404" spans="1:4" ht="18" hidden="1" x14ac:dyDescent="0.3">
      <c r="A404" s="45" t="s">
        <v>35</v>
      </c>
      <c r="B404" s="8"/>
      <c r="C404" s="8"/>
      <c r="D404" s="8">
        <f t="shared" si="6"/>
        <v>0</v>
      </c>
    </row>
    <row r="405" spans="1:4" ht="18" hidden="1" x14ac:dyDescent="0.3">
      <c r="A405" s="10" t="s">
        <v>201</v>
      </c>
      <c r="B405" s="8"/>
      <c r="C405" s="8"/>
      <c r="D405" s="8">
        <f t="shared" si="6"/>
        <v>0</v>
      </c>
    </row>
    <row r="406" spans="1:4" ht="18" hidden="1" x14ac:dyDescent="0.3">
      <c r="A406" s="13" t="s">
        <v>202</v>
      </c>
      <c r="B406" s="8"/>
      <c r="C406" s="8"/>
      <c r="D406" s="8">
        <f t="shared" si="6"/>
        <v>0</v>
      </c>
    </row>
    <row r="407" spans="1:4" ht="18" hidden="1" x14ac:dyDescent="0.3">
      <c r="A407" s="10" t="s">
        <v>351</v>
      </c>
      <c r="B407" s="8"/>
      <c r="C407" s="8"/>
      <c r="D407" s="8">
        <f t="shared" si="6"/>
        <v>0</v>
      </c>
    </row>
    <row r="408" spans="1:4" ht="18" hidden="1" x14ac:dyDescent="0.3">
      <c r="A408" s="10" t="s">
        <v>203</v>
      </c>
      <c r="B408" s="8"/>
      <c r="C408" s="8"/>
      <c r="D408" s="8">
        <f t="shared" si="6"/>
        <v>0</v>
      </c>
    </row>
    <row r="409" spans="1:4" ht="18" x14ac:dyDescent="0.3">
      <c r="A409" s="10" t="s">
        <v>274</v>
      </c>
      <c r="B409" s="8">
        <f>5+8</f>
        <v>13</v>
      </c>
      <c r="C409" s="8">
        <v>17000</v>
      </c>
      <c r="D409" s="8">
        <f t="shared" si="6"/>
        <v>221000</v>
      </c>
    </row>
    <row r="410" spans="1:4" ht="18" hidden="1" x14ac:dyDescent="0.3">
      <c r="A410" s="10" t="s">
        <v>275</v>
      </c>
      <c r="B410" s="8"/>
      <c r="C410" s="8"/>
      <c r="D410" s="8">
        <f t="shared" si="6"/>
        <v>0</v>
      </c>
    </row>
    <row r="411" spans="1:4" ht="18" hidden="1" x14ac:dyDescent="0.3">
      <c r="A411" s="13" t="s">
        <v>20</v>
      </c>
      <c r="B411" s="8"/>
      <c r="C411" s="8"/>
      <c r="D411" s="8">
        <f t="shared" si="6"/>
        <v>0</v>
      </c>
    </row>
    <row r="412" spans="1:4" ht="18" hidden="1" x14ac:dyDescent="0.3">
      <c r="A412" s="13" t="s">
        <v>21</v>
      </c>
      <c r="B412" s="8"/>
      <c r="C412" s="8"/>
      <c r="D412" s="8">
        <f t="shared" si="6"/>
        <v>0</v>
      </c>
    </row>
    <row r="413" spans="1:4" ht="18" hidden="1" x14ac:dyDescent="0.3">
      <c r="A413" s="10" t="s">
        <v>173</v>
      </c>
      <c r="B413" s="8"/>
      <c r="C413" s="8"/>
      <c r="D413" s="8">
        <f t="shared" si="6"/>
        <v>0</v>
      </c>
    </row>
    <row r="414" spans="1:4" ht="18" hidden="1" x14ac:dyDescent="0.3">
      <c r="A414" s="34" t="s">
        <v>174</v>
      </c>
      <c r="B414" s="36"/>
      <c r="C414" s="36"/>
      <c r="D414" s="8">
        <f t="shared" si="6"/>
        <v>0</v>
      </c>
    </row>
    <row r="415" spans="1:4" ht="18" hidden="1" x14ac:dyDescent="0.3">
      <c r="A415" s="6" t="s">
        <v>2</v>
      </c>
      <c r="B415" s="8"/>
      <c r="C415" s="8"/>
      <c r="D415" s="8">
        <f t="shared" si="6"/>
        <v>0</v>
      </c>
    </row>
    <row r="416" spans="1:4" ht="18" hidden="1" x14ac:dyDescent="0.3">
      <c r="A416" s="9" t="s">
        <v>3</v>
      </c>
      <c r="B416" s="8"/>
      <c r="C416" s="8"/>
      <c r="D416" s="8">
        <f t="shared" si="6"/>
        <v>0</v>
      </c>
    </row>
    <row r="417" spans="1:4" ht="18" hidden="1" x14ac:dyDescent="0.3">
      <c r="A417" s="6" t="s">
        <v>4</v>
      </c>
      <c r="B417" s="8"/>
      <c r="C417" s="8"/>
      <c r="D417" s="8">
        <f t="shared" si="6"/>
        <v>0</v>
      </c>
    </row>
    <row r="418" spans="1:4" ht="18" hidden="1" x14ac:dyDescent="0.3">
      <c r="A418" s="18" t="s">
        <v>61</v>
      </c>
      <c r="B418" s="8"/>
      <c r="C418" s="8"/>
      <c r="D418" s="8">
        <f t="shared" si="6"/>
        <v>0</v>
      </c>
    </row>
    <row r="419" spans="1:4" ht="18" hidden="1" x14ac:dyDescent="0.3">
      <c r="A419" s="14" t="s">
        <v>298</v>
      </c>
      <c r="B419" s="8"/>
      <c r="C419" s="8"/>
      <c r="D419" s="8">
        <f t="shared" si="6"/>
        <v>0</v>
      </c>
    </row>
    <row r="420" spans="1:4" ht="18" hidden="1" x14ac:dyDescent="0.3">
      <c r="A420" s="14" t="s">
        <v>309</v>
      </c>
      <c r="B420" s="8"/>
      <c r="C420" s="8"/>
      <c r="D420" s="8">
        <f t="shared" si="6"/>
        <v>0</v>
      </c>
    </row>
    <row r="421" spans="1:4" ht="18" hidden="1" x14ac:dyDescent="0.3">
      <c r="A421" s="14" t="s">
        <v>310</v>
      </c>
      <c r="B421" s="8"/>
      <c r="C421" s="8"/>
      <c r="D421" s="8">
        <f t="shared" si="6"/>
        <v>0</v>
      </c>
    </row>
    <row r="422" spans="1:4" ht="18" hidden="1" x14ac:dyDescent="0.3">
      <c r="A422" s="14" t="s">
        <v>312</v>
      </c>
      <c r="B422" s="8"/>
      <c r="C422" s="8"/>
      <c r="D422" s="8">
        <f t="shared" si="6"/>
        <v>0</v>
      </c>
    </row>
    <row r="423" spans="1:4" ht="18" hidden="1" x14ac:dyDescent="0.3">
      <c r="A423" s="10" t="s">
        <v>321</v>
      </c>
      <c r="B423" s="42"/>
      <c r="C423" s="42"/>
      <c r="D423" s="8">
        <f t="shared" si="6"/>
        <v>0</v>
      </c>
    </row>
    <row r="424" spans="1:4" ht="18" hidden="1" x14ac:dyDescent="0.3">
      <c r="A424" s="10" t="s">
        <v>85</v>
      </c>
      <c r="B424" s="8"/>
      <c r="C424" s="8"/>
      <c r="D424" s="8">
        <f t="shared" si="6"/>
        <v>0</v>
      </c>
    </row>
    <row r="425" spans="1:4" ht="18" hidden="1" x14ac:dyDescent="0.3">
      <c r="A425" s="10" t="s">
        <v>86</v>
      </c>
      <c r="B425" s="8"/>
      <c r="C425" s="8"/>
      <c r="D425" s="8">
        <f t="shared" si="6"/>
        <v>0</v>
      </c>
    </row>
    <row r="426" spans="1:4" ht="18" hidden="1" x14ac:dyDescent="0.3">
      <c r="A426" s="10" t="s">
        <v>87</v>
      </c>
      <c r="B426" s="8"/>
      <c r="C426" s="8"/>
      <c r="D426" s="8">
        <f t="shared" si="6"/>
        <v>0</v>
      </c>
    </row>
    <row r="427" spans="1:4" ht="18" hidden="1" x14ac:dyDescent="0.3">
      <c r="A427" s="10" t="s">
        <v>89</v>
      </c>
      <c r="B427" s="8"/>
      <c r="C427" s="8"/>
      <c r="D427" s="8">
        <f t="shared" si="6"/>
        <v>0</v>
      </c>
    </row>
    <row r="428" spans="1:4" ht="18" hidden="1" x14ac:dyDescent="0.3">
      <c r="A428" s="10" t="s">
        <v>88</v>
      </c>
      <c r="B428" s="8"/>
      <c r="C428" s="8"/>
      <c r="D428" s="8">
        <f t="shared" si="6"/>
        <v>0</v>
      </c>
    </row>
    <row r="429" spans="1:4" ht="18" hidden="1" x14ac:dyDescent="0.3">
      <c r="A429" s="10" t="s">
        <v>176</v>
      </c>
      <c r="B429" s="8"/>
      <c r="C429" s="8"/>
      <c r="D429" s="8">
        <f t="shared" si="6"/>
        <v>0</v>
      </c>
    </row>
    <row r="430" spans="1:4" ht="18" hidden="1" x14ac:dyDescent="0.3">
      <c r="A430" s="10" t="s">
        <v>242</v>
      </c>
      <c r="B430" s="8"/>
      <c r="C430" s="8"/>
      <c r="D430" s="8">
        <f t="shared" si="6"/>
        <v>0</v>
      </c>
    </row>
    <row r="431" spans="1:4" ht="18" hidden="1" x14ac:dyDescent="0.3">
      <c r="A431" s="10" t="s">
        <v>243</v>
      </c>
      <c r="B431" s="8"/>
      <c r="C431" s="8"/>
      <c r="D431" s="8">
        <f t="shared" si="6"/>
        <v>0</v>
      </c>
    </row>
    <row r="432" spans="1:4" ht="18" hidden="1" x14ac:dyDescent="0.3">
      <c r="A432" s="10" t="s">
        <v>265</v>
      </c>
      <c r="B432" s="17"/>
      <c r="C432" s="17"/>
      <c r="D432" s="8">
        <f t="shared" si="6"/>
        <v>0</v>
      </c>
    </row>
    <row r="433" spans="1:4" ht="18" hidden="1" x14ac:dyDescent="0.3">
      <c r="A433" s="14" t="s">
        <v>266</v>
      </c>
      <c r="B433" s="8"/>
      <c r="C433" s="8"/>
      <c r="D433" s="8">
        <f t="shared" si="6"/>
        <v>0</v>
      </c>
    </row>
    <row r="434" spans="1:4" ht="18" hidden="1" x14ac:dyDescent="0.3">
      <c r="A434" s="13" t="s">
        <v>296</v>
      </c>
      <c r="B434" s="8"/>
      <c r="C434" s="8"/>
      <c r="D434" s="8">
        <f t="shared" si="6"/>
        <v>0</v>
      </c>
    </row>
    <row r="435" spans="1:4" ht="18" hidden="1" x14ac:dyDescent="0.3">
      <c r="A435" s="18" t="s">
        <v>297</v>
      </c>
      <c r="B435" s="8"/>
      <c r="C435" s="8"/>
      <c r="D435" s="8">
        <f t="shared" si="6"/>
        <v>0</v>
      </c>
    </row>
    <row r="436" spans="1:4" ht="18" hidden="1" x14ac:dyDescent="0.3">
      <c r="A436" s="10" t="s">
        <v>122</v>
      </c>
      <c r="B436" s="8"/>
      <c r="C436" s="8"/>
      <c r="D436" s="8">
        <f t="shared" si="6"/>
        <v>0</v>
      </c>
    </row>
    <row r="437" spans="1:4" ht="18" hidden="1" x14ac:dyDescent="0.3">
      <c r="A437" s="18" t="s">
        <v>42</v>
      </c>
      <c r="B437" s="8"/>
      <c r="C437" s="8"/>
      <c r="D437" s="8">
        <f t="shared" si="6"/>
        <v>0</v>
      </c>
    </row>
    <row r="438" spans="1:4" ht="18" hidden="1" x14ac:dyDescent="0.3">
      <c r="A438" s="10" t="s">
        <v>43</v>
      </c>
      <c r="B438" s="8"/>
      <c r="C438" s="8"/>
      <c r="D438" s="8">
        <f t="shared" si="6"/>
        <v>0</v>
      </c>
    </row>
    <row r="439" spans="1:4" ht="18" hidden="1" x14ac:dyDescent="0.3">
      <c r="A439" s="10" t="s">
        <v>44</v>
      </c>
      <c r="B439" s="8"/>
      <c r="C439" s="8"/>
      <c r="D439" s="8">
        <f t="shared" si="6"/>
        <v>0</v>
      </c>
    </row>
    <row r="440" spans="1:4" ht="18" hidden="1" x14ac:dyDescent="0.3">
      <c r="A440" s="18" t="s">
        <v>285</v>
      </c>
      <c r="B440" s="8"/>
      <c r="C440" s="8"/>
      <c r="D440" s="8">
        <f t="shared" si="6"/>
        <v>0</v>
      </c>
    </row>
    <row r="441" spans="1:4" ht="18" hidden="1" x14ac:dyDescent="0.3">
      <c r="A441" s="18" t="s">
        <v>286</v>
      </c>
      <c r="B441" s="8"/>
      <c r="C441" s="8"/>
      <c r="D441" s="8">
        <f t="shared" si="6"/>
        <v>0</v>
      </c>
    </row>
    <row r="442" spans="1:4" ht="18" hidden="1" x14ac:dyDescent="0.3">
      <c r="A442" s="10" t="s">
        <v>161</v>
      </c>
      <c r="B442" s="17"/>
      <c r="C442" s="17"/>
      <c r="D442" s="8">
        <f t="shared" si="6"/>
        <v>0</v>
      </c>
    </row>
    <row r="443" spans="1:4" ht="18" hidden="1" x14ac:dyDescent="0.3">
      <c r="A443" s="10" t="s">
        <v>141</v>
      </c>
      <c r="B443" s="17"/>
      <c r="C443" s="17"/>
      <c r="D443" s="8">
        <f t="shared" si="6"/>
        <v>0</v>
      </c>
    </row>
    <row r="444" spans="1:4" ht="18" hidden="1" x14ac:dyDescent="0.3">
      <c r="A444" s="26" t="s">
        <v>142</v>
      </c>
      <c r="B444" s="17"/>
      <c r="C444" s="17"/>
      <c r="D444" s="8">
        <f t="shared" si="6"/>
        <v>0</v>
      </c>
    </row>
    <row r="445" spans="1:4" ht="18" hidden="1" x14ac:dyDescent="0.3">
      <c r="A445" s="26" t="s">
        <v>144</v>
      </c>
      <c r="B445" s="17"/>
      <c r="C445" s="17"/>
      <c r="D445" s="8">
        <f t="shared" si="6"/>
        <v>0</v>
      </c>
    </row>
    <row r="446" spans="1:4" ht="18" hidden="1" x14ac:dyDescent="0.3">
      <c r="A446" s="26" t="s">
        <v>145</v>
      </c>
      <c r="B446" s="17"/>
      <c r="C446" s="17"/>
      <c r="D446" s="8">
        <f t="shared" si="6"/>
        <v>0</v>
      </c>
    </row>
    <row r="447" spans="1:4" ht="18" hidden="1" x14ac:dyDescent="0.3">
      <c r="A447" s="10" t="s">
        <v>146</v>
      </c>
      <c r="B447" s="17"/>
      <c r="C447" s="17"/>
      <c r="D447" s="8">
        <f t="shared" si="6"/>
        <v>0</v>
      </c>
    </row>
    <row r="448" spans="1:4" ht="18" hidden="1" x14ac:dyDescent="0.3">
      <c r="A448" s="10" t="s">
        <v>147</v>
      </c>
      <c r="B448" s="17"/>
      <c r="C448" s="17"/>
      <c r="D448" s="8">
        <f t="shared" si="6"/>
        <v>0</v>
      </c>
    </row>
    <row r="449" spans="1:4" ht="18" hidden="1" x14ac:dyDescent="0.3">
      <c r="A449" s="10" t="s">
        <v>149</v>
      </c>
      <c r="B449" s="17"/>
      <c r="C449" s="17"/>
      <c r="D449" s="8">
        <f t="shared" si="6"/>
        <v>0</v>
      </c>
    </row>
    <row r="450" spans="1:4" ht="18" hidden="1" x14ac:dyDescent="0.3">
      <c r="A450" s="10" t="s">
        <v>150</v>
      </c>
      <c r="B450" s="17"/>
      <c r="C450" s="17"/>
      <c r="D450" s="8">
        <f t="shared" si="6"/>
        <v>0</v>
      </c>
    </row>
    <row r="451" spans="1:4" ht="18" hidden="1" x14ac:dyDescent="0.3">
      <c r="A451" s="10" t="s">
        <v>151</v>
      </c>
      <c r="B451" s="17"/>
      <c r="C451" s="17"/>
      <c r="D451" s="8">
        <f t="shared" si="6"/>
        <v>0</v>
      </c>
    </row>
    <row r="452" spans="1:4" ht="18" hidden="1" x14ac:dyDescent="0.3">
      <c r="A452" s="10" t="s">
        <v>162</v>
      </c>
      <c r="B452" s="17"/>
      <c r="C452" s="17"/>
      <c r="D452" s="8">
        <f t="shared" ref="D452:D515" si="7">B452*C452</f>
        <v>0</v>
      </c>
    </row>
    <row r="453" spans="1:4" ht="18" hidden="1" x14ac:dyDescent="0.3">
      <c r="A453" s="10" t="s">
        <v>163</v>
      </c>
      <c r="B453" s="17"/>
      <c r="C453" s="17"/>
      <c r="D453" s="8">
        <f t="shared" si="7"/>
        <v>0</v>
      </c>
    </row>
    <row r="454" spans="1:4" ht="18" hidden="1" x14ac:dyDescent="0.3">
      <c r="A454" s="10" t="s">
        <v>15</v>
      </c>
      <c r="B454" s="8"/>
      <c r="C454" s="8"/>
      <c r="D454" s="8">
        <f t="shared" si="7"/>
        <v>0</v>
      </c>
    </row>
    <row r="455" spans="1:4" ht="18" x14ac:dyDescent="0.3">
      <c r="A455" s="13" t="s">
        <v>52</v>
      </c>
      <c r="B455" s="8">
        <f>40+90+80</f>
        <v>210</v>
      </c>
      <c r="C455" s="8">
        <v>22000</v>
      </c>
      <c r="D455" s="8">
        <f t="shared" si="7"/>
        <v>4620000</v>
      </c>
    </row>
    <row r="456" spans="1:4" ht="18" hidden="1" x14ac:dyDescent="0.3">
      <c r="A456" s="10" t="s">
        <v>62</v>
      </c>
      <c r="B456" s="8"/>
      <c r="C456" s="8"/>
      <c r="D456" s="8">
        <f t="shared" si="7"/>
        <v>0</v>
      </c>
    </row>
    <row r="457" spans="1:4" ht="18" hidden="1" x14ac:dyDescent="0.3">
      <c r="A457" s="10" t="s">
        <v>75</v>
      </c>
      <c r="B457" s="8"/>
      <c r="C457" s="8"/>
      <c r="D457" s="8">
        <f t="shared" si="7"/>
        <v>0</v>
      </c>
    </row>
    <row r="458" spans="1:4" ht="18" hidden="1" x14ac:dyDescent="0.3">
      <c r="A458" s="13" t="s">
        <v>76</v>
      </c>
      <c r="B458" s="8"/>
      <c r="C458" s="8"/>
      <c r="D458" s="8">
        <f t="shared" si="7"/>
        <v>0</v>
      </c>
    </row>
    <row r="459" spans="1:4" ht="18" hidden="1" x14ac:dyDescent="0.3">
      <c r="A459" s="10" t="s">
        <v>359</v>
      </c>
      <c r="B459" s="8"/>
      <c r="C459" s="8"/>
      <c r="D459" s="8">
        <f t="shared" si="7"/>
        <v>0</v>
      </c>
    </row>
    <row r="460" spans="1:4" ht="18" hidden="1" x14ac:dyDescent="0.3">
      <c r="A460" s="10" t="s">
        <v>363</v>
      </c>
      <c r="B460" s="8"/>
      <c r="C460" s="8"/>
      <c r="D460" s="8">
        <f t="shared" si="7"/>
        <v>0</v>
      </c>
    </row>
    <row r="461" spans="1:4" ht="18" x14ac:dyDescent="0.3">
      <c r="A461" s="10" t="s">
        <v>19</v>
      </c>
      <c r="B461" s="8">
        <f>340+30+30-300</f>
        <v>100</v>
      </c>
      <c r="C461" s="8">
        <v>14000</v>
      </c>
      <c r="D461" s="8">
        <f t="shared" si="7"/>
        <v>1400000</v>
      </c>
    </row>
    <row r="462" spans="1:4" ht="18" hidden="1" x14ac:dyDescent="0.3">
      <c r="A462" s="10" t="s">
        <v>40</v>
      </c>
      <c r="B462" s="8"/>
      <c r="C462" s="8"/>
      <c r="D462" s="8">
        <f t="shared" si="7"/>
        <v>0</v>
      </c>
    </row>
    <row r="463" spans="1:4" ht="18" hidden="1" x14ac:dyDescent="0.3">
      <c r="A463" s="12" t="s">
        <v>48</v>
      </c>
      <c r="B463" s="8"/>
      <c r="C463" s="8"/>
      <c r="D463" s="8">
        <f t="shared" si="7"/>
        <v>0</v>
      </c>
    </row>
    <row r="464" spans="1:4" ht="18" hidden="1" x14ac:dyDescent="0.3">
      <c r="A464" s="14" t="s">
        <v>49</v>
      </c>
      <c r="B464" s="8"/>
      <c r="C464" s="8"/>
      <c r="D464" s="8">
        <f t="shared" si="7"/>
        <v>0</v>
      </c>
    </row>
    <row r="465" spans="1:4" ht="18" hidden="1" x14ac:dyDescent="0.3">
      <c r="A465" s="11" t="s">
        <v>124</v>
      </c>
      <c r="B465" s="8"/>
      <c r="C465" s="8"/>
      <c r="D465" s="8">
        <f t="shared" si="7"/>
        <v>0</v>
      </c>
    </row>
    <row r="466" spans="1:4" ht="18" hidden="1" x14ac:dyDescent="0.3">
      <c r="A466" s="14" t="s">
        <v>125</v>
      </c>
      <c r="B466" s="8"/>
      <c r="C466" s="8"/>
      <c r="D466" s="8">
        <f t="shared" si="7"/>
        <v>0</v>
      </c>
    </row>
    <row r="467" spans="1:4" ht="18" hidden="1" x14ac:dyDescent="0.3">
      <c r="A467" s="13" t="s">
        <v>126</v>
      </c>
      <c r="B467" s="17"/>
      <c r="C467" s="17"/>
      <c r="D467" s="8">
        <f t="shared" si="7"/>
        <v>0</v>
      </c>
    </row>
    <row r="468" spans="1:4" ht="18" hidden="1" x14ac:dyDescent="0.3">
      <c r="A468" s="13" t="s">
        <v>127</v>
      </c>
      <c r="B468" s="17"/>
      <c r="C468" s="17"/>
      <c r="D468" s="8">
        <f t="shared" si="7"/>
        <v>0</v>
      </c>
    </row>
    <row r="469" spans="1:4" ht="18" hidden="1" x14ac:dyDescent="0.3">
      <c r="A469" s="13" t="s">
        <v>128</v>
      </c>
      <c r="B469" s="17"/>
      <c r="C469" s="17"/>
      <c r="D469" s="8">
        <f t="shared" si="7"/>
        <v>0</v>
      </c>
    </row>
    <row r="470" spans="1:4" ht="18" hidden="1" x14ac:dyDescent="0.3">
      <c r="A470" s="13" t="s">
        <v>129</v>
      </c>
      <c r="B470" s="29"/>
      <c r="C470" s="29"/>
      <c r="D470" s="8">
        <f t="shared" si="7"/>
        <v>0</v>
      </c>
    </row>
    <row r="471" spans="1:4" ht="18" hidden="1" x14ac:dyDescent="0.3">
      <c r="A471" s="10" t="s">
        <v>148</v>
      </c>
      <c r="B471" s="17"/>
      <c r="C471" s="17"/>
      <c r="D471" s="8">
        <f t="shared" si="7"/>
        <v>0</v>
      </c>
    </row>
    <row r="472" spans="1:4" ht="18" hidden="1" x14ac:dyDescent="0.3">
      <c r="A472" s="18" t="s">
        <v>218</v>
      </c>
      <c r="B472" s="8"/>
      <c r="C472" s="8"/>
      <c r="D472" s="8">
        <f t="shared" si="7"/>
        <v>0</v>
      </c>
    </row>
    <row r="473" spans="1:4" ht="18" hidden="1" x14ac:dyDescent="0.3">
      <c r="A473" s="18" t="s">
        <v>219</v>
      </c>
      <c r="B473" s="8"/>
      <c r="C473" s="8"/>
      <c r="D473" s="8">
        <f t="shared" si="7"/>
        <v>0</v>
      </c>
    </row>
    <row r="474" spans="1:4" ht="18" hidden="1" x14ac:dyDescent="0.3">
      <c r="A474" s="18" t="s">
        <v>220</v>
      </c>
      <c r="B474" s="8"/>
      <c r="C474" s="8"/>
      <c r="D474" s="8">
        <f t="shared" si="7"/>
        <v>0</v>
      </c>
    </row>
    <row r="475" spans="1:4" ht="18" hidden="1" x14ac:dyDescent="0.3">
      <c r="A475" s="18" t="s">
        <v>221</v>
      </c>
      <c r="B475" s="8"/>
      <c r="C475" s="8"/>
      <c r="D475" s="8">
        <f t="shared" si="7"/>
        <v>0</v>
      </c>
    </row>
    <row r="476" spans="1:4" ht="18" hidden="1" x14ac:dyDescent="0.3">
      <c r="A476" s="10" t="s">
        <v>222</v>
      </c>
      <c r="B476" s="8"/>
      <c r="C476" s="8"/>
      <c r="D476" s="8">
        <f t="shared" si="7"/>
        <v>0</v>
      </c>
    </row>
    <row r="477" spans="1:4" ht="18" hidden="1" x14ac:dyDescent="0.3">
      <c r="A477" s="10" t="s">
        <v>223</v>
      </c>
      <c r="B477" s="8"/>
      <c r="C477" s="8"/>
      <c r="D477" s="8">
        <f t="shared" si="7"/>
        <v>0</v>
      </c>
    </row>
    <row r="478" spans="1:4" ht="18" hidden="1" x14ac:dyDescent="0.3">
      <c r="A478" s="18" t="s">
        <v>224</v>
      </c>
      <c r="B478" s="8"/>
      <c r="C478" s="8"/>
      <c r="D478" s="8">
        <f t="shared" si="7"/>
        <v>0</v>
      </c>
    </row>
    <row r="479" spans="1:4" ht="18" hidden="1" x14ac:dyDescent="0.3">
      <c r="A479" s="18" t="s">
        <v>225</v>
      </c>
      <c r="B479" s="8"/>
      <c r="C479" s="8"/>
      <c r="D479" s="8">
        <f t="shared" si="7"/>
        <v>0</v>
      </c>
    </row>
    <row r="480" spans="1:4" ht="18" hidden="1" x14ac:dyDescent="0.3">
      <c r="A480" s="10" t="s">
        <v>244</v>
      </c>
      <c r="B480" s="17"/>
      <c r="C480" s="17"/>
      <c r="D480" s="8">
        <f t="shared" si="7"/>
        <v>0</v>
      </c>
    </row>
    <row r="481" spans="1:4" ht="18" hidden="1" x14ac:dyDescent="0.3">
      <c r="A481" s="10" t="s">
        <v>246</v>
      </c>
      <c r="B481" s="17"/>
      <c r="C481" s="17"/>
      <c r="D481" s="8">
        <f t="shared" si="7"/>
        <v>0</v>
      </c>
    </row>
    <row r="482" spans="1:4" ht="18" hidden="1" x14ac:dyDescent="0.3">
      <c r="A482" s="13" t="s">
        <v>281</v>
      </c>
      <c r="B482" s="17"/>
      <c r="C482" s="17"/>
      <c r="D482" s="8">
        <f t="shared" si="7"/>
        <v>0</v>
      </c>
    </row>
    <row r="483" spans="1:4" ht="18" hidden="1" x14ac:dyDescent="0.3">
      <c r="A483" s="10" t="s">
        <v>293</v>
      </c>
      <c r="B483" s="8"/>
      <c r="C483" s="8"/>
      <c r="D483" s="8">
        <f t="shared" si="7"/>
        <v>0</v>
      </c>
    </row>
    <row r="484" spans="1:4" ht="18" hidden="1" x14ac:dyDescent="0.3">
      <c r="A484" s="14" t="s">
        <v>294</v>
      </c>
      <c r="B484" s="8"/>
      <c r="C484" s="8"/>
      <c r="D484" s="8">
        <f t="shared" si="7"/>
        <v>0</v>
      </c>
    </row>
    <row r="485" spans="1:4" ht="18" hidden="1" x14ac:dyDescent="0.3">
      <c r="A485" s="13" t="s">
        <v>304</v>
      </c>
      <c r="B485" s="8"/>
      <c r="C485" s="8"/>
      <c r="D485" s="8">
        <f t="shared" si="7"/>
        <v>0</v>
      </c>
    </row>
    <row r="486" spans="1:4" ht="18" x14ac:dyDescent="0.3">
      <c r="A486" s="10" t="s">
        <v>204</v>
      </c>
      <c r="B486" s="8">
        <f>88+360+280+15</f>
        <v>743</v>
      </c>
      <c r="C486" s="8">
        <v>8000</v>
      </c>
      <c r="D486" s="8">
        <f t="shared" si="7"/>
        <v>5944000</v>
      </c>
    </row>
    <row r="487" spans="1:4" ht="18" hidden="1" x14ac:dyDescent="0.3">
      <c r="A487" s="39" t="s">
        <v>205</v>
      </c>
      <c r="B487" s="8"/>
      <c r="C487" s="8"/>
      <c r="D487" s="8">
        <f t="shared" si="7"/>
        <v>0</v>
      </c>
    </row>
    <row r="488" spans="1:4" ht="18" hidden="1" x14ac:dyDescent="0.3">
      <c r="A488" s="39" t="s">
        <v>206</v>
      </c>
      <c r="B488" s="8"/>
      <c r="C488" s="8"/>
      <c r="D488" s="8">
        <f t="shared" si="7"/>
        <v>0</v>
      </c>
    </row>
    <row r="489" spans="1:4" ht="18" hidden="1" x14ac:dyDescent="0.3">
      <c r="A489" s="10" t="s">
        <v>41</v>
      </c>
      <c r="B489" s="8"/>
      <c r="C489" s="8"/>
      <c r="D489" s="8">
        <f t="shared" si="7"/>
        <v>0</v>
      </c>
    </row>
    <row r="490" spans="1:4" ht="18" hidden="1" x14ac:dyDescent="0.3">
      <c r="A490" s="10" t="s">
        <v>278</v>
      </c>
      <c r="B490" s="8"/>
      <c r="C490" s="8"/>
      <c r="D490" s="8">
        <f t="shared" si="7"/>
        <v>0</v>
      </c>
    </row>
    <row r="491" spans="1:4" ht="18" hidden="1" x14ac:dyDescent="0.3">
      <c r="A491" s="10" t="s">
        <v>53</v>
      </c>
      <c r="B491" s="8"/>
      <c r="C491" s="8"/>
      <c r="D491" s="8">
        <f t="shared" si="7"/>
        <v>0</v>
      </c>
    </row>
    <row r="492" spans="1:4" ht="18" hidden="1" x14ac:dyDescent="0.3">
      <c r="A492" s="18" t="s">
        <v>54</v>
      </c>
      <c r="B492" s="8"/>
      <c r="C492" s="8"/>
      <c r="D492" s="8">
        <f t="shared" si="7"/>
        <v>0</v>
      </c>
    </row>
    <row r="493" spans="1:4" ht="18" hidden="1" x14ac:dyDescent="0.3">
      <c r="A493" s="18" t="s">
        <v>55</v>
      </c>
      <c r="B493" s="8"/>
      <c r="C493" s="8"/>
      <c r="D493" s="8">
        <f t="shared" si="7"/>
        <v>0</v>
      </c>
    </row>
    <row r="494" spans="1:4" ht="18" hidden="1" x14ac:dyDescent="0.3">
      <c r="A494" s="18" t="s">
        <v>56</v>
      </c>
      <c r="B494" s="8"/>
      <c r="C494" s="8"/>
      <c r="D494" s="8">
        <f t="shared" si="7"/>
        <v>0</v>
      </c>
    </row>
    <row r="495" spans="1:4" ht="18" hidden="1" x14ac:dyDescent="0.3">
      <c r="A495" s="10" t="s">
        <v>57</v>
      </c>
      <c r="B495" s="8"/>
      <c r="C495" s="8"/>
      <c r="D495" s="8">
        <f t="shared" si="7"/>
        <v>0</v>
      </c>
    </row>
    <row r="496" spans="1:4" ht="18" hidden="1" x14ac:dyDescent="0.3">
      <c r="A496" s="12" t="s">
        <v>58</v>
      </c>
      <c r="B496" s="8"/>
      <c r="C496" s="8"/>
      <c r="D496" s="8">
        <f t="shared" si="7"/>
        <v>0</v>
      </c>
    </row>
    <row r="497" spans="1:4" ht="18" hidden="1" x14ac:dyDescent="0.3">
      <c r="A497" s="10" t="s">
        <v>59</v>
      </c>
      <c r="B497" s="8"/>
      <c r="C497" s="8"/>
      <c r="D497" s="8">
        <f t="shared" si="7"/>
        <v>0</v>
      </c>
    </row>
    <row r="498" spans="1:4" ht="18" hidden="1" x14ac:dyDescent="0.3">
      <c r="A498" s="10" t="s">
        <v>60</v>
      </c>
      <c r="B498" s="8"/>
      <c r="C498" s="8"/>
      <c r="D498" s="8">
        <f t="shared" si="7"/>
        <v>0</v>
      </c>
    </row>
    <row r="499" spans="1:4" ht="18" hidden="1" x14ac:dyDescent="0.3">
      <c r="A499" s="10" t="s">
        <v>64</v>
      </c>
      <c r="B499" s="8"/>
      <c r="C499" s="8"/>
      <c r="D499" s="8">
        <f t="shared" si="7"/>
        <v>0</v>
      </c>
    </row>
    <row r="500" spans="1:4" ht="18" hidden="1" x14ac:dyDescent="0.3">
      <c r="A500" s="31" t="s">
        <v>65</v>
      </c>
      <c r="B500" s="8"/>
      <c r="C500" s="8"/>
      <c r="D500" s="8">
        <f t="shared" si="7"/>
        <v>0</v>
      </c>
    </row>
    <row r="501" spans="1:4" ht="18" hidden="1" x14ac:dyDescent="0.3">
      <c r="A501" s="22" t="s">
        <v>66</v>
      </c>
      <c r="B501" s="8"/>
      <c r="C501" s="8"/>
      <c r="D501" s="8">
        <f t="shared" si="7"/>
        <v>0</v>
      </c>
    </row>
    <row r="502" spans="1:4" ht="18" hidden="1" x14ac:dyDescent="0.3">
      <c r="A502" s="10" t="s">
        <v>152</v>
      </c>
      <c r="B502" s="8"/>
      <c r="C502" s="8"/>
      <c r="D502" s="8">
        <f t="shared" si="7"/>
        <v>0</v>
      </c>
    </row>
    <row r="503" spans="1:4" ht="18" hidden="1" x14ac:dyDescent="0.3">
      <c r="A503" s="10" t="s">
        <v>349</v>
      </c>
      <c r="B503" s="8"/>
      <c r="C503" s="8"/>
      <c r="D503" s="8">
        <f t="shared" si="7"/>
        <v>0</v>
      </c>
    </row>
    <row r="504" spans="1:4" ht="18" hidden="1" x14ac:dyDescent="0.3">
      <c r="A504" s="10" t="s">
        <v>153</v>
      </c>
      <c r="B504" s="8"/>
      <c r="C504" s="8"/>
      <c r="D504" s="8">
        <f t="shared" si="7"/>
        <v>0</v>
      </c>
    </row>
    <row r="505" spans="1:4" ht="18" hidden="1" x14ac:dyDescent="0.3">
      <c r="A505" s="10" t="s">
        <v>154</v>
      </c>
      <c r="B505" s="8"/>
      <c r="C505" s="8"/>
      <c r="D505" s="8">
        <f t="shared" si="7"/>
        <v>0</v>
      </c>
    </row>
    <row r="506" spans="1:4" ht="18" hidden="1" x14ac:dyDescent="0.3">
      <c r="A506" s="10" t="s">
        <v>155</v>
      </c>
      <c r="B506" s="8"/>
      <c r="C506" s="8"/>
      <c r="D506" s="8">
        <f t="shared" si="7"/>
        <v>0</v>
      </c>
    </row>
    <row r="507" spans="1:4" ht="18" hidden="1" x14ac:dyDescent="0.3">
      <c r="A507" s="18" t="s">
        <v>156</v>
      </c>
      <c r="B507" s="8"/>
      <c r="C507" s="8"/>
      <c r="D507" s="8">
        <f t="shared" si="7"/>
        <v>0</v>
      </c>
    </row>
    <row r="508" spans="1:4" ht="18" x14ac:dyDescent="0.3">
      <c r="A508" s="10" t="s">
        <v>77</v>
      </c>
      <c r="B508" s="8">
        <f>20+100</f>
        <v>120</v>
      </c>
      <c r="C508" s="8">
        <v>29000</v>
      </c>
      <c r="D508" s="8">
        <f t="shared" si="7"/>
        <v>3480000</v>
      </c>
    </row>
    <row r="509" spans="1:4" ht="18" hidden="1" x14ac:dyDescent="0.3">
      <c r="A509" s="14" t="s">
        <v>78</v>
      </c>
      <c r="B509" s="8"/>
      <c r="C509" s="8"/>
      <c r="D509" s="8">
        <f t="shared" si="7"/>
        <v>0</v>
      </c>
    </row>
    <row r="510" spans="1:4" ht="18" hidden="1" x14ac:dyDescent="0.3">
      <c r="A510" s="10" t="s">
        <v>79</v>
      </c>
      <c r="B510" s="8"/>
      <c r="C510" s="8"/>
      <c r="D510" s="8">
        <f t="shared" si="7"/>
        <v>0</v>
      </c>
    </row>
    <row r="511" spans="1:4" ht="18" hidden="1" x14ac:dyDescent="0.3">
      <c r="A511" s="10" t="s">
        <v>80</v>
      </c>
      <c r="B511" s="8"/>
      <c r="C511" s="8"/>
      <c r="D511" s="8">
        <f t="shared" si="7"/>
        <v>0</v>
      </c>
    </row>
    <row r="512" spans="1:4" ht="18" hidden="1" x14ac:dyDescent="0.3">
      <c r="A512" s="10" t="s">
        <v>81</v>
      </c>
      <c r="B512" s="8"/>
      <c r="C512" s="8"/>
      <c r="D512" s="8">
        <f t="shared" si="7"/>
        <v>0</v>
      </c>
    </row>
    <row r="513" spans="1:4" ht="18" hidden="1" x14ac:dyDescent="0.3">
      <c r="A513" s="14" t="s">
        <v>95</v>
      </c>
      <c r="B513" s="8"/>
      <c r="C513" s="8"/>
      <c r="D513" s="8">
        <f t="shared" si="7"/>
        <v>0</v>
      </c>
    </row>
    <row r="514" spans="1:4" ht="18" hidden="1" x14ac:dyDescent="0.3">
      <c r="A514" s="10" t="s">
        <v>306</v>
      </c>
      <c r="B514" s="8"/>
      <c r="C514" s="8"/>
      <c r="D514" s="8">
        <f t="shared" si="7"/>
        <v>0</v>
      </c>
    </row>
    <row r="515" spans="1:4" ht="18" hidden="1" x14ac:dyDescent="0.3">
      <c r="A515" s="13" t="s">
        <v>320</v>
      </c>
      <c r="B515" s="8"/>
      <c r="C515" s="8"/>
      <c r="D515" s="8">
        <f t="shared" si="7"/>
        <v>0</v>
      </c>
    </row>
    <row r="516" spans="1:4" ht="18" hidden="1" x14ac:dyDescent="0.3">
      <c r="A516" s="10" t="s">
        <v>323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23" t="s">
        <v>92</v>
      </c>
      <c r="B517" s="8"/>
      <c r="C517" s="8"/>
      <c r="D517" s="8">
        <f t="shared" si="8"/>
        <v>0</v>
      </c>
    </row>
    <row r="518" spans="1:4" ht="18" hidden="1" x14ac:dyDescent="0.3">
      <c r="A518" s="23" t="s">
        <v>93</v>
      </c>
      <c r="B518" s="8"/>
      <c r="C518" s="8"/>
      <c r="D518" s="8">
        <f t="shared" si="8"/>
        <v>0</v>
      </c>
    </row>
    <row r="519" spans="1:4" ht="18" hidden="1" x14ac:dyDescent="0.3">
      <c r="A519" s="12" t="s">
        <v>94</v>
      </c>
      <c r="B519" s="8"/>
      <c r="C519" s="8"/>
      <c r="D519" s="8">
        <f t="shared" si="8"/>
        <v>0</v>
      </c>
    </row>
    <row r="520" spans="1:4" ht="18" hidden="1" x14ac:dyDescent="0.3">
      <c r="A520" s="13" t="s">
        <v>186</v>
      </c>
      <c r="B520" s="8"/>
      <c r="C520" s="8"/>
      <c r="D520" s="8">
        <f t="shared" si="8"/>
        <v>0</v>
      </c>
    </row>
    <row r="521" spans="1:4" ht="18" hidden="1" x14ac:dyDescent="0.3">
      <c r="A521" s="13" t="s">
        <v>187</v>
      </c>
      <c r="B521" s="8"/>
      <c r="C521" s="8"/>
      <c r="D521" s="8">
        <f t="shared" si="8"/>
        <v>0</v>
      </c>
    </row>
    <row r="522" spans="1:4" ht="18" hidden="1" x14ac:dyDescent="0.3">
      <c r="A522" s="13" t="s">
        <v>181</v>
      </c>
      <c r="B522" s="8"/>
      <c r="C522" s="8"/>
      <c r="D522" s="8">
        <f t="shared" si="8"/>
        <v>0</v>
      </c>
    </row>
    <row r="523" spans="1:4" ht="18" hidden="1" x14ac:dyDescent="0.3">
      <c r="A523" s="13" t="s">
        <v>182</v>
      </c>
      <c r="B523" s="8"/>
      <c r="C523" s="8"/>
      <c r="D523" s="8">
        <f t="shared" si="8"/>
        <v>0</v>
      </c>
    </row>
    <row r="524" spans="1:4" ht="18" x14ac:dyDescent="0.3">
      <c r="A524" s="13" t="s">
        <v>183</v>
      </c>
      <c r="B524" s="8">
        <f>540+140-150+240+20+10</f>
        <v>800</v>
      </c>
      <c r="C524" s="8">
        <v>8000</v>
      </c>
      <c r="D524" s="8">
        <f t="shared" si="8"/>
        <v>6400000</v>
      </c>
    </row>
    <row r="525" spans="1:4" ht="18" hidden="1" x14ac:dyDescent="0.3">
      <c r="A525" s="10" t="s">
        <v>184</v>
      </c>
      <c r="B525" s="8"/>
      <c r="C525" s="8"/>
      <c r="D525" s="8">
        <f t="shared" si="8"/>
        <v>0</v>
      </c>
    </row>
    <row r="526" spans="1:4" ht="18" hidden="1" x14ac:dyDescent="0.3">
      <c r="A526" s="13" t="s">
        <v>185</v>
      </c>
      <c r="B526" s="8"/>
      <c r="C526" s="8"/>
      <c r="D526" s="8">
        <f t="shared" si="8"/>
        <v>0</v>
      </c>
    </row>
    <row r="527" spans="1:4" ht="18" hidden="1" x14ac:dyDescent="0.3">
      <c r="A527" s="10" t="s">
        <v>188</v>
      </c>
      <c r="B527" s="8"/>
      <c r="C527" s="8"/>
      <c r="D527" s="8">
        <f t="shared" si="8"/>
        <v>0</v>
      </c>
    </row>
    <row r="528" spans="1:4" ht="18" hidden="1" x14ac:dyDescent="0.3">
      <c r="A528" s="10" t="s">
        <v>210</v>
      </c>
      <c r="B528" s="8"/>
      <c r="C528" s="8"/>
      <c r="D528" s="8">
        <f t="shared" si="8"/>
        <v>0</v>
      </c>
    </row>
    <row r="529" spans="1:4" ht="18" hidden="1" x14ac:dyDescent="0.3">
      <c r="A529" s="10" t="s">
        <v>211</v>
      </c>
      <c r="B529" s="8"/>
      <c r="C529" s="8"/>
      <c r="D529" s="8">
        <f t="shared" si="8"/>
        <v>0</v>
      </c>
    </row>
    <row r="530" spans="1:4" ht="18" x14ac:dyDescent="0.3">
      <c r="A530" s="10" t="s">
        <v>353</v>
      </c>
      <c r="B530" s="8">
        <f>24+20</f>
        <v>44</v>
      </c>
      <c r="C530" s="8">
        <v>10000</v>
      </c>
      <c r="D530" s="8">
        <f t="shared" si="8"/>
        <v>440000</v>
      </c>
    </row>
    <row r="531" spans="1:4" ht="18" hidden="1" x14ac:dyDescent="0.3">
      <c r="A531" s="10" t="s">
        <v>354</v>
      </c>
      <c r="B531" s="8"/>
      <c r="C531" s="8"/>
      <c r="D531" s="8">
        <f t="shared" si="8"/>
        <v>0</v>
      </c>
    </row>
    <row r="532" spans="1:4" ht="18" hidden="1" x14ac:dyDescent="0.3">
      <c r="A532" s="10" t="s">
        <v>105</v>
      </c>
      <c r="B532" s="8"/>
      <c r="C532" s="8"/>
      <c r="D532" s="8">
        <f t="shared" si="8"/>
        <v>0</v>
      </c>
    </row>
    <row r="533" spans="1:4" ht="18" hidden="1" x14ac:dyDescent="0.3">
      <c r="A533" s="10" t="s">
        <v>106</v>
      </c>
      <c r="B533" s="8"/>
      <c r="C533" s="8"/>
      <c r="D533" s="8">
        <f t="shared" si="8"/>
        <v>0</v>
      </c>
    </row>
    <row r="534" spans="1:4" ht="18" hidden="1" x14ac:dyDescent="0.3">
      <c r="A534" s="13" t="s">
        <v>14</v>
      </c>
      <c r="B534" s="8"/>
      <c r="C534" s="8"/>
      <c r="D534" s="8">
        <f t="shared" si="8"/>
        <v>0</v>
      </c>
    </row>
    <row r="535" spans="1:4" ht="18" hidden="1" x14ac:dyDescent="0.3">
      <c r="A535" s="12" t="s">
        <v>343</v>
      </c>
      <c r="B535" s="8"/>
      <c r="C535" s="8"/>
      <c r="D535" s="8">
        <f t="shared" si="8"/>
        <v>0</v>
      </c>
    </row>
    <row r="536" spans="1:4" ht="18" hidden="1" x14ac:dyDescent="0.3">
      <c r="A536" s="12" t="s">
        <v>345</v>
      </c>
      <c r="B536" s="8"/>
      <c r="C536" s="8"/>
      <c r="D536" s="8">
        <f t="shared" si="8"/>
        <v>0</v>
      </c>
    </row>
    <row r="537" spans="1:4" ht="18" hidden="1" x14ac:dyDescent="0.3">
      <c r="A537" s="12" t="s">
        <v>344</v>
      </c>
      <c r="B537" s="8"/>
      <c r="C537" s="8"/>
      <c r="D537" s="8">
        <f t="shared" si="8"/>
        <v>0</v>
      </c>
    </row>
    <row r="538" spans="1:4" ht="18" hidden="1" x14ac:dyDescent="0.3">
      <c r="A538" s="12" t="s">
        <v>346</v>
      </c>
      <c r="B538" s="8"/>
      <c r="C538" s="8"/>
      <c r="D538" s="8">
        <f t="shared" si="8"/>
        <v>0</v>
      </c>
    </row>
    <row r="539" spans="1:4" ht="18" hidden="1" x14ac:dyDescent="0.3">
      <c r="A539" s="13" t="s">
        <v>137</v>
      </c>
      <c r="B539" s="8"/>
      <c r="C539" s="8"/>
      <c r="D539" s="8">
        <f t="shared" si="8"/>
        <v>0</v>
      </c>
    </row>
    <row r="540" spans="1:4" ht="18" hidden="1" x14ac:dyDescent="0.3">
      <c r="A540" s="13" t="s">
        <v>138</v>
      </c>
      <c r="B540" s="8"/>
      <c r="C540" s="8"/>
      <c r="D540" s="8">
        <f t="shared" si="8"/>
        <v>0</v>
      </c>
    </row>
    <row r="541" spans="1:4" ht="18" hidden="1" x14ac:dyDescent="0.3">
      <c r="A541" s="10" t="s">
        <v>139</v>
      </c>
      <c r="B541" s="8"/>
      <c r="C541" s="8"/>
      <c r="D541" s="8">
        <f t="shared" si="8"/>
        <v>0</v>
      </c>
    </row>
    <row r="542" spans="1:4" ht="18" hidden="1" x14ac:dyDescent="0.3">
      <c r="A542" s="10" t="s">
        <v>348</v>
      </c>
      <c r="B542" s="8"/>
      <c r="C542" s="8"/>
      <c r="D542" s="8">
        <f t="shared" si="8"/>
        <v>0</v>
      </c>
    </row>
    <row r="543" spans="1:4" ht="18" hidden="1" x14ac:dyDescent="0.3">
      <c r="A543" s="10" t="s">
        <v>114</v>
      </c>
      <c r="B543" s="8"/>
      <c r="C543" s="8"/>
      <c r="D543" s="8">
        <f t="shared" si="8"/>
        <v>0</v>
      </c>
    </row>
    <row r="544" spans="1:4" ht="18" hidden="1" x14ac:dyDescent="0.3">
      <c r="A544" s="10" t="s">
        <v>115</v>
      </c>
      <c r="B544" s="8"/>
      <c r="C544" s="8"/>
      <c r="D544" s="8">
        <f t="shared" si="8"/>
        <v>0</v>
      </c>
    </row>
    <row r="545" spans="1:4" ht="18" hidden="1" x14ac:dyDescent="0.3">
      <c r="A545" s="10" t="s">
        <v>347</v>
      </c>
      <c r="B545" s="8"/>
      <c r="C545" s="8"/>
      <c r="D545" s="8">
        <f t="shared" si="8"/>
        <v>0</v>
      </c>
    </row>
    <row r="546" spans="1:4" ht="18" hidden="1" x14ac:dyDescent="0.3">
      <c r="A546" s="10" t="s">
        <v>116</v>
      </c>
      <c r="B546" s="8"/>
      <c r="C546" s="8"/>
      <c r="D546" s="8">
        <f t="shared" si="8"/>
        <v>0</v>
      </c>
    </row>
    <row r="547" spans="1:4" ht="18" hidden="1" x14ac:dyDescent="0.3">
      <c r="A547" s="12" t="s">
        <v>208</v>
      </c>
      <c r="B547" s="8"/>
      <c r="C547" s="8"/>
      <c r="D547" s="8">
        <f t="shared" si="8"/>
        <v>0</v>
      </c>
    </row>
    <row r="548" spans="1:4" ht="18" hidden="1" x14ac:dyDescent="0.3">
      <c r="A548" s="10" t="s">
        <v>209</v>
      </c>
      <c r="B548" s="8"/>
      <c r="C548" s="8"/>
      <c r="D548" s="8">
        <f t="shared" si="8"/>
        <v>0</v>
      </c>
    </row>
    <row r="549" spans="1:4" ht="18" hidden="1" x14ac:dyDescent="0.3">
      <c r="A549" s="10" t="s">
        <v>207</v>
      </c>
      <c r="B549" s="8"/>
      <c r="C549" s="8"/>
      <c r="D549" s="8">
        <f t="shared" si="8"/>
        <v>0</v>
      </c>
    </row>
    <row r="550" spans="1:4" ht="18" hidden="1" x14ac:dyDescent="0.3">
      <c r="A550" s="12" t="s">
        <v>352</v>
      </c>
      <c r="B550" s="8"/>
      <c r="C550" s="8"/>
      <c r="D550" s="8">
        <f t="shared" si="8"/>
        <v>0</v>
      </c>
    </row>
    <row r="551" spans="1:4" ht="18" hidden="1" x14ac:dyDescent="0.3">
      <c r="A551" s="10" t="s">
        <v>247</v>
      </c>
      <c r="B551" s="8"/>
      <c r="C551" s="8"/>
      <c r="D551" s="8">
        <f t="shared" si="8"/>
        <v>0</v>
      </c>
    </row>
    <row r="552" spans="1:4" ht="18" hidden="1" x14ac:dyDescent="0.3">
      <c r="A552" s="10" t="s">
        <v>267</v>
      </c>
      <c r="B552" s="8"/>
      <c r="C552" s="8"/>
      <c r="D552" s="8">
        <f t="shared" si="8"/>
        <v>0</v>
      </c>
    </row>
    <row r="553" spans="1:4" ht="18" hidden="1" x14ac:dyDescent="0.3">
      <c r="A553" s="10" t="s">
        <v>271</v>
      </c>
      <c r="B553" s="8"/>
      <c r="C553" s="8"/>
      <c r="D553" s="8">
        <f t="shared" si="8"/>
        <v>0</v>
      </c>
    </row>
    <row r="554" spans="1:4" ht="18" hidden="1" x14ac:dyDescent="0.3">
      <c r="A554" s="10" t="s">
        <v>299</v>
      </c>
      <c r="B554" s="8"/>
      <c r="C554" s="8"/>
      <c r="D554" s="8">
        <f t="shared" si="8"/>
        <v>0</v>
      </c>
    </row>
    <row r="555" spans="1:4" ht="18" hidden="1" x14ac:dyDescent="0.3">
      <c r="A555" s="18" t="s">
        <v>300</v>
      </c>
      <c r="B555" s="8"/>
      <c r="C555" s="8"/>
      <c r="D555" s="8">
        <f t="shared" si="8"/>
        <v>0</v>
      </c>
    </row>
    <row r="556" spans="1:4" ht="18" hidden="1" x14ac:dyDescent="0.3">
      <c r="A556" s="13" t="s">
        <v>361</v>
      </c>
      <c r="B556" s="8"/>
      <c r="C556" s="8"/>
      <c r="D556" s="8">
        <f t="shared" si="8"/>
        <v>0</v>
      </c>
    </row>
    <row r="557" spans="1:4" ht="18" x14ac:dyDescent="0.3">
      <c r="A557" s="10" t="s">
        <v>287</v>
      </c>
      <c r="B557" s="8">
        <v>8</v>
      </c>
      <c r="C557" s="8">
        <v>9000</v>
      </c>
      <c r="D557" s="8">
        <f t="shared" si="8"/>
        <v>72000</v>
      </c>
    </row>
    <row r="558" spans="1:4" ht="18" hidden="1" x14ac:dyDescent="0.3">
      <c r="A558" s="18" t="s">
        <v>288</v>
      </c>
      <c r="B558" s="8"/>
      <c r="C558" s="8"/>
      <c r="D558" s="8">
        <f t="shared" si="8"/>
        <v>0</v>
      </c>
    </row>
    <row r="559" spans="1:4" ht="18" hidden="1" x14ac:dyDescent="0.3">
      <c r="A559" s="10" t="s">
        <v>289</v>
      </c>
      <c r="B559" s="8"/>
      <c r="C559" s="8"/>
      <c r="D559" s="8">
        <f t="shared" si="8"/>
        <v>0</v>
      </c>
    </row>
    <row r="560" spans="1:4" ht="18" hidden="1" x14ac:dyDescent="0.3">
      <c r="A560" s="10" t="s">
        <v>22</v>
      </c>
      <c r="B560" s="8"/>
      <c r="C560" s="8"/>
      <c r="D560" s="8">
        <f t="shared" si="8"/>
        <v>0</v>
      </c>
    </row>
    <row r="561" spans="1:4" ht="18" hidden="1" x14ac:dyDescent="0.3">
      <c r="A561" s="10" t="s">
        <v>23</v>
      </c>
      <c r="B561" s="8"/>
      <c r="C561" s="8"/>
      <c r="D561" s="8">
        <f t="shared" si="8"/>
        <v>0</v>
      </c>
    </row>
    <row r="562" spans="1:4" ht="18" hidden="1" x14ac:dyDescent="0.3">
      <c r="A562" s="10" t="s">
        <v>24</v>
      </c>
      <c r="B562" s="8"/>
      <c r="C562" s="8"/>
      <c r="D562" s="8">
        <f t="shared" si="8"/>
        <v>0</v>
      </c>
    </row>
    <row r="563" spans="1:4" ht="18" hidden="1" x14ac:dyDescent="0.3">
      <c r="A563" s="10" t="s">
        <v>25</v>
      </c>
      <c r="B563" s="8"/>
      <c r="C563" s="8"/>
      <c r="D563" s="8">
        <f t="shared" si="8"/>
        <v>0</v>
      </c>
    </row>
    <row r="564" spans="1:4" ht="18" hidden="1" x14ac:dyDescent="0.3">
      <c r="A564" s="10" t="s">
        <v>26</v>
      </c>
      <c r="B564" s="8"/>
      <c r="C564" s="8"/>
      <c r="D564" s="8">
        <f t="shared" si="8"/>
        <v>0</v>
      </c>
    </row>
    <row r="565" spans="1:4" ht="18" hidden="1" x14ac:dyDescent="0.3">
      <c r="A565" s="10" t="s">
        <v>45</v>
      </c>
      <c r="B565" s="8"/>
      <c r="C565" s="8"/>
      <c r="D565" s="8">
        <f t="shared" si="8"/>
        <v>0</v>
      </c>
    </row>
    <row r="566" spans="1:4" ht="18" hidden="1" x14ac:dyDescent="0.3">
      <c r="A566" s="10" t="s">
        <v>46</v>
      </c>
      <c r="B566" s="8"/>
      <c r="C566" s="8"/>
      <c r="D566" s="8">
        <f t="shared" si="8"/>
        <v>0</v>
      </c>
    </row>
    <row r="567" spans="1:4" ht="18" hidden="1" x14ac:dyDescent="0.3">
      <c r="A567" s="14" t="s">
        <v>47</v>
      </c>
      <c r="B567" s="8"/>
      <c r="C567" s="8"/>
      <c r="D567" s="8">
        <f t="shared" si="8"/>
        <v>0</v>
      </c>
    </row>
    <row r="568" spans="1:4" ht="18" hidden="1" x14ac:dyDescent="0.3">
      <c r="A568" s="10" t="s">
        <v>50</v>
      </c>
      <c r="B568" s="8"/>
      <c r="C568" s="8"/>
      <c r="D568" s="8">
        <f t="shared" si="8"/>
        <v>0</v>
      </c>
    </row>
    <row r="569" spans="1:4" ht="18" hidden="1" x14ac:dyDescent="0.3">
      <c r="A569" s="10" t="s">
        <v>51</v>
      </c>
      <c r="B569" s="8"/>
      <c r="C569" s="8"/>
      <c r="D569" s="8">
        <f t="shared" si="8"/>
        <v>0</v>
      </c>
    </row>
    <row r="570" spans="1:4" ht="18" hidden="1" x14ac:dyDescent="0.3">
      <c r="A570" s="10" t="s">
        <v>90</v>
      </c>
      <c r="B570" s="8"/>
      <c r="C570" s="8"/>
      <c r="D570" s="8">
        <f t="shared" si="8"/>
        <v>0</v>
      </c>
    </row>
    <row r="571" spans="1:4" ht="18" hidden="1" x14ac:dyDescent="0.3">
      <c r="A571" s="23" t="s">
        <v>91</v>
      </c>
      <c r="B571" s="8"/>
      <c r="C571" s="8"/>
      <c r="D571" s="8">
        <f t="shared" si="8"/>
        <v>0</v>
      </c>
    </row>
    <row r="572" spans="1:4" ht="18" x14ac:dyDescent="0.3">
      <c r="A572" s="6" t="s">
        <v>5</v>
      </c>
      <c r="B572" s="8">
        <f>20+70</f>
        <v>90</v>
      </c>
      <c r="C572" s="8">
        <v>7300</v>
      </c>
      <c r="D572" s="8">
        <f t="shared" si="8"/>
        <v>657000</v>
      </c>
    </row>
    <row r="573" spans="1:4" ht="18" hidden="1" x14ac:dyDescent="0.3">
      <c r="A573" s="10" t="s">
        <v>6</v>
      </c>
      <c r="B573" s="8"/>
      <c r="C573" s="8"/>
      <c r="D573" s="8">
        <f t="shared" si="8"/>
        <v>0</v>
      </c>
    </row>
    <row r="574" spans="1:4" ht="18" hidden="1" x14ac:dyDescent="0.3">
      <c r="A574" s="6" t="s">
        <v>9</v>
      </c>
      <c r="B574" s="8"/>
      <c r="C574" s="8"/>
      <c r="D574" s="8">
        <f t="shared" si="8"/>
        <v>0</v>
      </c>
    </row>
    <row r="575" spans="1:4" ht="18" x14ac:dyDescent="0.3">
      <c r="A575" s="10" t="s">
        <v>350</v>
      </c>
      <c r="B575" s="8">
        <v>118</v>
      </c>
      <c r="C575" s="8">
        <v>6500</v>
      </c>
      <c r="D575" s="8">
        <f t="shared" si="8"/>
        <v>767000</v>
      </c>
    </row>
    <row r="576" spans="1:4" ht="18" hidden="1" x14ac:dyDescent="0.3">
      <c r="A576" s="13" t="s">
        <v>167</v>
      </c>
      <c r="B576" s="8"/>
      <c r="C576" s="8"/>
      <c r="D576" s="8">
        <f t="shared" si="8"/>
        <v>0</v>
      </c>
    </row>
    <row r="577" spans="1:4" ht="18" hidden="1" x14ac:dyDescent="0.3">
      <c r="A577" s="10" t="s">
        <v>168</v>
      </c>
      <c r="B577" s="8"/>
      <c r="C577" s="8"/>
      <c r="D577" s="8">
        <f t="shared" si="8"/>
        <v>0</v>
      </c>
    </row>
    <row r="578" spans="1:4" ht="18" hidden="1" x14ac:dyDescent="0.3">
      <c r="A578" s="10" t="s">
        <v>170</v>
      </c>
      <c r="B578" s="8"/>
      <c r="C578" s="8"/>
      <c r="D578" s="8">
        <f t="shared" si="8"/>
        <v>0</v>
      </c>
    </row>
    <row r="579" spans="1:4" ht="18" hidden="1" x14ac:dyDescent="0.3">
      <c r="A579" s="10" t="s">
        <v>171</v>
      </c>
      <c r="B579" s="8"/>
      <c r="C579" s="8"/>
      <c r="D579" s="8">
        <f t="shared" si="8"/>
        <v>0</v>
      </c>
    </row>
    <row r="580" spans="1:4" ht="18" hidden="1" x14ac:dyDescent="0.3">
      <c r="A580" s="22" t="s">
        <v>172</v>
      </c>
      <c r="B580" s="8"/>
      <c r="C580" s="8"/>
      <c r="D580" s="8">
        <f t="shared" ref="D580:D643" si="9">B580*C580</f>
        <v>0</v>
      </c>
    </row>
    <row r="581" spans="1:4" ht="18" hidden="1" x14ac:dyDescent="0.3">
      <c r="A581" s="13" t="s">
        <v>227</v>
      </c>
      <c r="B581" s="8"/>
      <c r="C581" s="8"/>
      <c r="D581" s="8">
        <f t="shared" si="9"/>
        <v>0</v>
      </c>
    </row>
    <row r="582" spans="1:4" ht="18" hidden="1" x14ac:dyDescent="0.3">
      <c r="A582" s="12" t="s">
        <v>342</v>
      </c>
      <c r="B582" s="8"/>
      <c r="C582" s="8"/>
      <c r="D582" s="8">
        <f t="shared" si="9"/>
        <v>0</v>
      </c>
    </row>
    <row r="583" spans="1:4" ht="18" hidden="1" x14ac:dyDescent="0.3">
      <c r="A583" s="10" t="s">
        <v>36</v>
      </c>
      <c r="B583" s="8"/>
      <c r="C583" s="8"/>
      <c r="D583" s="8">
        <f t="shared" si="9"/>
        <v>0</v>
      </c>
    </row>
    <row r="584" spans="1:4" ht="18" hidden="1" x14ac:dyDescent="0.3">
      <c r="A584" s="10" t="s">
        <v>37</v>
      </c>
      <c r="B584" s="8"/>
      <c r="C584" s="8"/>
      <c r="D584" s="8">
        <f t="shared" si="9"/>
        <v>0</v>
      </c>
    </row>
    <row r="585" spans="1:4" ht="18" hidden="1" x14ac:dyDescent="0.3">
      <c r="A585" s="12" t="s">
        <v>38</v>
      </c>
      <c r="B585" s="17"/>
      <c r="C585" s="17"/>
      <c r="D585" s="8">
        <f t="shared" si="9"/>
        <v>0</v>
      </c>
    </row>
    <row r="586" spans="1:4" ht="18" hidden="1" x14ac:dyDescent="0.3">
      <c r="A586" s="12" t="s">
        <v>39</v>
      </c>
      <c r="B586" s="17"/>
      <c r="C586" s="17"/>
      <c r="D586" s="8">
        <f t="shared" si="9"/>
        <v>0</v>
      </c>
    </row>
    <row r="587" spans="1:4" ht="18" hidden="1" x14ac:dyDescent="0.3">
      <c r="A587" s="18" t="s">
        <v>255</v>
      </c>
      <c r="B587" s="8"/>
      <c r="C587" s="8"/>
      <c r="D587" s="8">
        <f t="shared" si="9"/>
        <v>0</v>
      </c>
    </row>
    <row r="588" spans="1:4" ht="18" hidden="1" x14ac:dyDescent="0.3">
      <c r="A588" s="23" t="s">
        <v>256</v>
      </c>
      <c r="B588" s="8"/>
      <c r="C588" s="8"/>
      <c r="D588" s="8">
        <f t="shared" si="9"/>
        <v>0</v>
      </c>
    </row>
    <row r="589" spans="1:4" ht="18" hidden="1" x14ac:dyDescent="0.3">
      <c r="A589" s="23" t="s">
        <v>257</v>
      </c>
      <c r="B589" s="8"/>
      <c r="C589" s="8"/>
      <c r="D589" s="8">
        <f t="shared" si="9"/>
        <v>0</v>
      </c>
    </row>
    <row r="590" spans="1:4" ht="18" hidden="1" x14ac:dyDescent="0.3">
      <c r="A590" s="12" t="s">
        <v>268</v>
      </c>
      <c r="B590" s="8"/>
      <c r="C590" s="8"/>
      <c r="D590" s="8">
        <f t="shared" si="9"/>
        <v>0</v>
      </c>
    </row>
    <row r="591" spans="1:4" ht="18" hidden="1" x14ac:dyDescent="0.3">
      <c r="A591" s="12" t="s">
        <v>269</v>
      </c>
      <c r="B591" s="8"/>
      <c r="C591" s="8"/>
      <c r="D591" s="8">
        <f t="shared" si="9"/>
        <v>0</v>
      </c>
    </row>
    <row r="592" spans="1:4" ht="18" hidden="1" x14ac:dyDescent="0.3">
      <c r="A592" s="10" t="s">
        <v>270</v>
      </c>
      <c r="B592" s="8"/>
      <c r="C592" s="8"/>
      <c r="D592" s="8">
        <f t="shared" si="9"/>
        <v>0</v>
      </c>
    </row>
    <row r="593" spans="1:4" ht="18" hidden="1" x14ac:dyDescent="0.3">
      <c r="A593" s="10" t="s">
        <v>358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273</v>
      </c>
      <c r="B594" s="8"/>
      <c r="C594" s="8"/>
      <c r="D594" s="8">
        <f t="shared" si="9"/>
        <v>0</v>
      </c>
    </row>
    <row r="595" spans="1:4" ht="18" hidden="1" x14ac:dyDescent="0.3">
      <c r="A595" s="18" t="s">
        <v>284</v>
      </c>
      <c r="B595" s="8"/>
      <c r="C595" s="8"/>
      <c r="D595" s="8">
        <f t="shared" si="9"/>
        <v>0</v>
      </c>
    </row>
    <row r="596" spans="1:4" ht="18" hidden="1" x14ac:dyDescent="0.3">
      <c r="A596" s="13" t="s">
        <v>178</v>
      </c>
      <c r="B596" s="8"/>
      <c r="C596" s="8"/>
      <c r="D596" s="8">
        <f t="shared" si="9"/>
        <v>0</v>
      </c>
    </row>
    <row r="597" spans="1:4" ht="18" hidden="1" x14ac:dyDescent="0.3">
      <c r="A597" s="10" t="s">
        <v>179</v>
      </c>
      <c r="B597" s="8"/>
      <c r="C597" s="8"/>
      <c r="D597" s="8">
        <f t="shared" si="9"/>
        <v>0</v>
      </c>
    </row>
    <row r="598" spans="1:4" ht="18" hidden="1" x14ac:dyDescent="0.3">
      <c r="A598" s="10" t="s">
        <v>180</v>
      </c>
      <c r="B598" s="8"/>
      <c r="C598" s="8"/>
      <c r="D598" s="8">
        <f t="shared" si="9"/>
        <v>0</v>
      </c>
    </row>
    <row r="599" spans="1:4" ht="18" hidden="1" x14ac:dyDescent="0.3">
      <c r="A599" s="13" t="s">
        <v>305</v>
      </c>
      <c r="B599" s="8"/>
      <c r="C599" s="8"/>
      <c r="D599" s="8">
        <f t="shared" si="9"/>
        <v>0</v>
      </c>
    </row>
    <row r="600" spans="1:4" ht="18" hidden="1" x14ac:dyDescent="0.3">
      <c r="A600" s="10" t="s">
        <v>307</v>
      </c>
      <c r="B600" s="8"/>
      <c r="C600" s="8"/>
      <c r="D600" s="8">
        <f t="shared" si="9"/>
        <v>0</v>
      </c>
    </row>
    <row r="601" spans="1:4" ht="18" hidden="1" x14ac:dyDescent="0.3">
      <c r="A601" s="10" t="s">
        <v>308</v>
      </c>
      <c r="B601" s="8"/>
      <c r="C601" s="8"/>
      <c r="D601" s="8">
        <f t="shared" si="9"/>
        <v>0</v>
      </c>
    </row>
    <row r="602" spans="1:4" ht="18" hidden="1" x14ac:dyDescent="0.3">
      <c r="A602" s="23" t="s">
        <v>311</v>
      </c>
      <c r="B602" s="8"/>
      <c r="C602" s="8"/>
      <c r="D602" s="8">
        <f t="shared" si="9"/>
        <v>0</v>
      </c>
    </row>
    <row r="603" spans="1:4" ht="18" hidden="1" x14ac:dyDescent="0.3">
      <c r="A603" s="10" t="s">
        <v>313</v>
      </c>
      <c r="B603" s="8"/>
      <c r="C603" s="8"/>
      <c r="D603" s="8">
        <f t="shared" si="9"/>
        <v>0</v>
      </c>
    </row>
    <row r="604" spans="1:4" ht="18" hidden="1" x14ac:dyDescent="0.3">
      <c r="A604" s="10" t="s">
        <v>314</v>
      </c>
      <c r="B604" s="8"/>
      <c r="C604" s="8"/>
      <c r="D604" s="8">
        <f t="shared" si="9"/>
        <v>0</v>
      </c>
    </row>
    <row r="605" spans="1:4" ht="18" hidden="1" x14ac:dyDescent="0.3">
      <c r="A605" s="10" t="s">
        <v>315</v>
      </c>
      <c r="B605" s="8"/>
      <c r="C605" s="8"/>
      <c r="D605" s="8">
        <f t="shared" si="9"/>
        <v>0</v>
      </c>
    </row>
    <row r="606" spans="1:4" ht="18" hidden="1" x14ac:dyDescent="0.3">
      <c r="A606" s="10" t="s">
        <v>316</v>
      </c>
      <c r="B606" s="8"/>
      <c r="C606" s="8"/>
      <c r="D606" s="8">
        <f t="shared" si="9"/>
        <v>0</v>
      </c>
    </row>
    <row r="607" spans="1:4" ht="18" hidden="1" x14ac:dyDescent="0.3">
      <c r="A607" s="23" t="s">
        <v>317</v>
      </c>
      <c r="B607" s="8"/>
      <c r="C607" s="8"/>
      <c r="D607" s="8">
        <f t="shared" si="9"/>
        <v>0</v>
      </c>
    </row>
    <row r="608" spans="1:4" ht="18" hidden="1" x14ac:dyDescent="0.3">
      <c r="A608" s="10" t="s">
        <v>318</v>
      </c>
      <c r="B608" s="8"/>
      <c r="C608" s="8"/>
      <c r="D608" s="8">
        <f t="shared" si="9"/>
        <v>0</v>
      </c>
    </row>
    <row r="609" spans="1:4" ht="18" hidden="1" x14ac:dyDescent="0.3">
      <c r="A609" s="10" t="s">
        <v>322</v>
      </c>
      <c r="B609" s="8"/>
      <c r="C609" s="8"/>
      <c r="D609" s="8">
        <f t="shared" si="9"/>
        <v>0</v>
      </c>
    </row>
    <row r="610" spans="1:4" ht="18" hidden="1" x14ac:dyDescent="0.3">
      <c r="A610" s="23" t="s">
        <v>324</v>
      </c>
      <c r="B610" s="8"/>
      <c r="C610" s="8"/>
      <c r="D610" s="8">
        <f t="shared" si="9"/>
        <v>0</v>
      </c>
    </row>
    <row r="611" spans="1:4" ht="18" hidden="1" x14ac:dyDescent="0.3">
      <c r="A611" s="23" t="s">
        <v>325</v>
      </c>
      <c r="B611" s="8"/>
      <c r="C611" s="8"/>
      <c r="D611" s="8">
        <f t="shared" si="9"/>
        <v>0</v>
      </c>
    </row>
    <row r="612" spans="1:4" ht="18" hidden="1" x14ac:dyDescent="0.3">
      <c r="A612" s="10" t="s">
        <v>326</v>
      </c>
      <c r="B612" s="8"/>
      <c r="C612" s="8"/>
      <c r="D612" s="8">
        <f t="shared" si="9"/>
        <v>0</v>
      </c>
    </row>
    <row r="613" spans="1:4" ht="18" hidden="1" x14ac:dyDescent="0.3">
      <c r="A613" s="10" t="s">
        <v>327</v>
      </c>
      <c r="B613" s="8"/>
      <c r="C613" s="8"/>
      <c r="D613" s="8">
        <f t="shared" si="9"/>
        <v>0</v>
      </c>
    </row>
    <row r="614" spans="1:4" ht="18" hidden="1" x14ac:dyDescent="0.3">
      <c r="A614" s="23" t="s">
        <v>328</v>
      </c>
      <c r="B614" s="8"/>
      <c r="C614" s="8"/>
      <c r="D614" s="8">
        <f t="shared" si="9"/>
        <v>0</v>
      </c>
    </row>
    <row r="615" spans="1:4" ht="18" hidden="1" x14ac:dyDescent="0.3">
      <c r="A615" s="10" t="s">
        <v>329</v>
      </c>
      <c r="B615" s="8"/>
      <c r="C615" s="8"/>
      <c r="D615" s="8">
        <f t="shared" si="9"/>
        <v>0</v>
      </c>
    </row>
    <row r="616" spans="1:4" ht="18" hidden="1" x14ac:dyDescent="0.3">
      <c r="A616" s="10" t="s">
        <v>330</v>
      </c>
      <c r="B616" s="8"/>
      <c r="C616" s="8"/>
      <c r="D616" s="8">
        <f t="shared" si="9"/>
        <v>0</v>
      </c>
    </row>
    <row r="617" spans="1:4" ht="18" hidden="1" x14ac:dyDescent="0.3">
      <c r="A617" s="10" t="s">
        <v>331</v>
      </c>
      <c r="B617" s="8"/>
      <c r="C617" s="8"/>
      <c r="D617" s="8">
        <f t="shared" si="9"/>
        <v>0</v>
      </c>
    </row>
    <row r="618" spans="1:4" ht="18" hidden="1" x14ac:dyDescent="0.3">
      <c r="A618" s="10" t="s">
        <v>332</v>
      </c>
      <c r="B618" s="8"/>
      <c r="C618" s="8"/>
      <c r="D618" s="8">
        <f t="shared" si="9"/>
        <v>0</v>
      </c>
    </row>
    <row r="619" spans="1:4" ht="18" hidden="1" x14ac:dyDescent="0.3">
      <c r="A619" s="10" t="s">
        <v>333</v>
      </c>
      <c r="B619" s="8"/>
      <c r="C619" s="8"/>
      <c r="D619" s="8">
        <f t="shared" si="9"/>
        <v>0</v>
      </c>
    </row>
    <row r="620" spans="1:4" ht="18" hidden="1" x14ac:dyDescent="0.3">
      <c r="A620" s="10" t="s">
        <v>334</v>
      </c>
      <c r="B620" s="8"/>
      <c r="C620" s="8"/>
      <c r="D620" s="8">
        <f t="shared" si="9"/>
        <v>0</v>
      </c>
    </row>
    <row r="621" spans="1:4" ht="18" hidden="1" x14ac:dyDescent="0.3">
      <c r="A621" s="10" t="s">
        <v>335</v>
      </c>
      <c r="B621" s="8"/>
      <c r="C621" s="8"/>
      <c r="D621" s="8">
        <f t="shared" si="9"/>
        <v>0</v>
      </c>
    </row>
    <row r="622" spans="1:4" ht="18" hidden="1" x14ac:dyDescent="0.3">
      <c r="A622" s="10" t="s">
        <v>336</v>
      </c>
      <c r="B622" s="8"/>
      <c r="C622" s="8"/>
      <c r="D622" s="8">
        <f t="shared" si="9"/>
        <v>0</v>
      </c>
    </row>
    <row r="623" spans="1:4" ht="18" hidden="1" x14ac:dyDescent="0.3">
      <c r="A623" s="30" t="s">
        <v>130</v>
      </c>
      <c r="B623" s="8"/>
      <c r="C623" s="8"/>
      <c r="D623" s="8">
        <f t="shared" si="9"/>
        <v>0</v>
      </c>
    </row>
    <row r="624" spans="1:4" ht="18" hidden="1" x14ac:dyDescent="0.3">
      <c r="A624" s="13" t="s">
        <v>131</v>
      </c>
      <c r="B624" s="17"/>
      <c r="C624" s="17"/>
      <c r="D624" s="8">
        <f t="shared" si="9"/>
        <v>0</v>
      </c>
    </row>
    <row r="625" spans="1:4" ht="18" hidden="1" x14ac:dyDescent="0.3">
      <c r="A625" s="10" t="s">
        <v>132</v>
      </c>
      <c r="B625" s="8"/>
      <c r="C625" s="8"/>
      <c r="D625" s="8">
        <f t="shared" si="9"/>
        <v>0</v>
      </c>
    </row>
    <row r="626" spans="1:4" ht="18" hidden="1" x14ac:dyDescent="0.3">
      <c r="A626" s="10" t="s">
        <v>133</v>
      </c>
      <c r="B626" s="8"/>
      <c r="C626" s="8"/>
      <c r="D626" s="8">
        <f t="shared" si="9"/>
        <v>0</v>
      </c>
    </row>
    <row r="627" spans="1:4" ht="18" x14ac:dyDescent="0.3">
      <c r="A627" s="10" t="s">
        <v>290</v>
      </c>
      <c r="B627" s="8">
        <v>33</v>
      </c>
      <c r="C627" s="8">
        <v>10000</v>
      </c>
      <c r="D627" s="8">
        <f t="shared" si="9"/>
        <v>330000</v>
      </c>
    </row>
    <row r="628" spans="1:4" ht="18" hidden="1" x14ac:dyDescent="0.3">
      <c r="A628" s="18" t="s">
        <v>291</v>
      </c>
      <c r="B628" s="8"/>
      <c r="C628" s="8"/>
      <c r="D628" s="8">
        <f t="shared" si="9"/>
        <v>0</v>
      </c>
    </row>
    <row r="629" spans="1:4" ht="18" hidden="1" x14ac:dyDescent="0.3">
      <c r="A629" s="10" t="s">
        <v>16</v>
      </c>
      <c r="B629" s="8"/>
      <c r="C629" s="8"/>
      <c r="D629" s="8">
        <f t="shared" si="9"/>
        <v>0</v>
      </c>
    </row>
    <row r="630" spans="1:4" ht="18" hidden="1" x14ac:dyDescent="0.3">
      <c r="A630" s="14" t="s">
        <v>17</v>
      </c>
      <c r="B630" s="8"/>
      <c r="C630" s="8"/>
      <c r="D630" s="8">
        <f t="shared" si="9"/>
        <v>0</v>
      </c>
    </row>
    <row r="631" spans="1:4" ht="18" hidden="1" x14ac:dyDescent="0.3">
      <c r="A631" s="12" t="s">
        <v>18</v>
      </c>
      <c r="B631" s="8"/>
      <c r="C631" s="8"/>
      <c r="D631" s="8">
        <f t="shared" si="9"/>
        <v>0</v>
      </c>
    </row>
    <row r="632" spans="1:4" ht="18" hidden="1" x14ac:dyDescent="0.3">
      <c r="A632" s="10" t="s">
        <v>157</v>
      </c>
      <c r="B632" s="8"/>
      <c r="C632" s="8"/>
      <c r="D632" s="8">
        <f t="shared" si="9"/>
        <v>0</v>
      </c>
    </row>
    <row r="633" spans="1:4" ht="18" hidden="1" x14ac:dyDescent="0.3">
      <c r="A633" s="10" t="s">
        <v>158</v>
      </c>
      <c r="B633" s="8"/>
      <c r="C633" s="8"/>
      <c r="D633" s="8">
        <f t="shared" si="9"/>
        <v>0</v>
      </c>
    </row>
    <row r="634" spans="1:4" ht="18" hidden="1" x14ac:dyDescent="0.3">
      <c r="A634" s="10" t="s">
        <v>159</v>
      </c>
      <c r="B634" s="8"/>
      <c r="C634" s="8"/>
      <c r="D634" s="8">
        <f t="shared" si="9"/>
        <v>0</v>
      </c>
    </row>
    <row r="635" spans="1:4" ht="18" hidden="1" x14ac:dyDescent="0.3">
      <c r="A635" s="10" t="s">
        <v>160</v>
      </c>
      <c r="B635" s="8"/>
      <c r="C635" s="8"/>
      <c r="D635" s="8">
        <f t="shared" si="9"/>
        <v>0</v>
      </c>
    </row>
    <row r="636" spans="1:4" ht="18" hidden="1" x14ac:dyDescent="0.3">
      <c r="A636" s="11" t="s">
        <v>7</v>
      </c>
      <c r="B636" s="8"/>
      <c r="C636" s="8"/>
      <c r="D636" s="8">
        <f t="shared" si="9"/>
        <v>0</v>
      </c>
    </row>
    <row r="637" spans="1:4" ht="18" hidden="1" x14ac:dyDescent="0.3">
      <c r="A637" s="6" t="s">
        <v>8</v>
      </c>
      <c r="B637" s="8"/>
      <c r="C637" s="8"/>
      <c r="D637" s="8">
        <f t="shared" si="9"/>
        <v>0</v>
      </c>
    </row>
    <row r="638" spans="1:4" ht="18" hidden="1" x14ac:dyDescent="0.3">
      <c r="A638" s="21" t="s">
        <v>63</v>
      </c>
      <c r="B638" s="8"/>
      <c r="C638" s="8"/>
      <c r="D638" s="8">
        <f t="shared" si="9"/>
        <v>0</v>
      </c>
    </row>
    <row r="639" spans="1:4" ht="18" hidden="1" x14ac:dyDescent="0.3">
      <c r="A639" s="13" t="s">
        <v>67</v>
      </c>
      <c r="B639" s="8"/>
      <c r="C639" s="8"/>
      <c r="D639" s="8">
        <f t="shared" si="9"/>
        <v>0</v>
      </c>
    </row>
    <row r="640" spans="1:4" ht="18" hidden="1" x14ac:dyDescent="0.3">
      <c r="A640" s="12" t="s">
        <v>102</v>
      </c>
      <c r="B640" s="8"/>
      <c r="C640" s="8"/>
      <c r="D640" s="8">
        <f t="shared" si="9"/>
        <v>0</v>
      </c>
    </row>
    <row r="641" spans="1:4" ht="18" hidden="1" x14ac:dyDescent="0.3">
      <c r="A641" s="27" t="s">
        <v>108</v>
      </c>
      <c r="B641" s="8"/>
      <c r="C641" s="8"/>
      <c r="D641" s="8">
        <f t="shared" si="9"/>
        <v>0</v>
      </c>
    </row>
    <row r="642" spans="1:4" ht="18" hidden="1" x14ac:dyDescent="0.3">
      <c r="A642" s="10" t="s">
        <v>119</v>
      </c>
      <c r="B642" s="8"/>
      <c r="C642" s="8"/>
      <c r="D642" s="8">
        <f t="shared" si="9"/>
        <v>0</v>
      </c>
    </row>
    <row r="643" spans="1:4" ht="18" hidden="1" x14ac:dyDescent="0.3">
      <c r="A643" s="12" t="s">
        <v>120</v>
      </c>
      <c r="B643" s="8"/>
      <c r="C643" s="8"/>
      <c r="D643" s="8">
        <f t="shared" si="9"/>
        <v>0</v>
      </c>
    </row>
    <row r="644" spans="1:4" ht="18" hidden="1" x14ac:dyDescent="0.3">
      <c r="A644" s="12" t="s">
        <v>121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12" t="s">
        <v>175</v>
      </c>
      <c r="B645" s="8"/>
      <c r="C645" s="8"/>
      <c r="D645" s="8">
        <f t="shared" si="10"/>
        <v>0</v>
      </c>
    </row>
    <row r="646" spans="1:4" ht="18" hidden="1" x14ac:dyDescent="0.3">
      <c r="A646" s="10" t="s">
        <v>143</v>
      </c>
      <c r="B646" s="8"/>
      <c r="C646" s="8"/>
      <c r="D646" s="8">
        <f t="shared" si="10"/>
        <v>0</v>
      </c>
    </row>
    <row r="647" spans="1:4" ht="18" hidden="1" x14ac:dyDescent="0.3">
      <c r="A647" s="18" t="s">
        <v>189</v>
      </c>
      <c r="B647" s="8"/>
      <c r="C647" s="8"/>
      <c r="D647" s="8">
        <f t="shared" si="10"/>
        <v>0</v>
      </c>
    </row>
    <row r="648" spans="1:4" ht="18" hidden="1" x14ac:dyDescent="0.3">
      <c r="A648" s="18" t="s">
        <v>190</v>
      </c>
      <c r="B648" s="8"/>
      <c r="C648" s="8"/>
      <c r="D648" s="8">
        <f t="shared" si="10"/>
        <v>0</v>
      </c>
    </row>
    <row r="649" spans="1:4" ht="18" hidden="1" x14ac:dyDescent="0.3">
      <c r="A649" s="18" t="s">
        <v>191</v>
      </c>
      <c r="B649" s="8"/>
      <c r="C649" s="8"/>
      <c r="D649" s="8">
        <f t="shared" si="10"/>
        <v>0</v>
      </c>
    </row>
    <row r="650" spans="1:4" ht="18" hidden="1" x14ac:dyDescent="0.3">
      <c r="A650" s="18" t="s">
        <v>192</v>
      </c>
      <c r="B650" s="8"/>
      <c r="C650" s="8"/>
      <c r="D650" s="8">
        <f t="shared" si="10"/>
        <v>0</v>
      </c>
    </row>
    <row r="651" spans="1:4" ht="18" hidden="1" x14ac:dyDescent="0.3">
      <c r="A651" s="10" t="s">
        <v>194</v>
      </c>
      <c r="B651" s="8"/>
      <c r="C651" s="8"/>
      <c r="D651" s="8">
        <f t="shared" si="10"/>
        <v>0</v>
      </c>
    </row>
    <row r="652" spans="1:4" ht="18" hidden="1" x14ac:dyDescent="0.3">
      <c r="A652" s="37" t="s">
        <v>195</v>
      </c>
      <c r="B652" s="8"/>
      <c r="C652" s="8"/>
      <c r="D652" s="8">
        <f t="shared" si="10"/>
        <v>0</v>
      </c>
    </row>
    <row r="653" spans="1:4" ht="18" hidden="1" x14ac:dyDescent="0.3">
      <c r="A653" s="37" t="s">
        <v>196</v>
      </c>
      <c r="B653" s="8"/>
      <c r="C653" s="8"/>
      <c r="D653" s="8">
        <f t="shared" si="10"/>
        <v>0</v>
      </c>
    </row>
    <row r="654" spans="1:4" ht="18" hidden="1" x14ac:dyDescent="0.3">
      <c r="A654" s="37" t="s">
        <v>197</v>
      </c>
      <c r="B654" s="8"/>
      <c r="C654" s="8"/>
      <c r="D654" s="8">
        <f t="shared" si="10"/>
        <v>0</v>
      </c>
    </row>
    <row r="655" spans="1:4" ht="18" hidden="1" x14ac:dyDescent="0.3">
      <c r="A655" s="37" t="s">
        <v>198</v>
      </c>
      <c r="B655" s="8"/>
      <c r="C655" s="8"/>
      <c r="D655" s="8">
        <f t="shared" si="10"/>
        <v>0</v>
      </c>
    </row>
    <row r="656" spans="1:4" ht="18" hidden="1" x14ac:dyDescent="0.3">
      <c r="A656" s="12" t="s">
        <v>226</v>
      </c>
      <c r="B656" s="8"/>
      <c r="C656" s="8"/>
      <c r="D656" s="8">
        <f t="shared" si="10"/>
        <v>0</v>
      </c>
    </row>
    <row r="657" spans="1:4" ht="18" hidden="1" x14ac:dyDescent="0.3">
      <c r="A657" s="12" t="s">
        <v>232</v>
      </c>
      <c r="B657" s="8"/>
      <c r="C657" s="8"/>
      <c r="D657" s="8">
        <f t="shared" si="10"/>
        <v>0</v>
      </c>
    </row>
    <row r="658" spans="1:4" ht="18" x14ac:dyDescent="0.3">
      <c r="A658" s="23" t="s">
        <v>356</v>
      </c>
      <c r="B658" s="8">
        <v>240</v>
      </c>
      <c r="C658" s="8">
        <v>12000</v>
      </c>
      <c r="D658" s="8">
        <f t="shared" si="10"/>
        <v>2880000</v>
      </c>
    </row>
    <row r="659" spans="1:4" ht="18" hidden="1" x14ac:dyDescent="0.3">
      <c r="A659" s="23" t="s">
        <v>357</v>
      </c>
      <c r="B659" s="8"/>
      <c r="C659" s="8"/>
      <c r="D659" s="8">
        <f t="shared" si="10"/>
        <v>0</v>
      </c>
    </row>
    <row r="660" spans="1:4" ht="18" hidden="1" x14ac:dyDescent="0.3">
      <c r="A660" s="14" t="s">
        <v>239</v>
      </c>
      <c r="B660" s="8"/>
      <c r="C660" s="8"/>
      <c r="D660" s="8">
        <f t="shared" si="10"/>
        <v>0</v>
      </c>
    </row>
    <row r="661" spans="1:4" ht="18" hidden="1" x14ac:dyDescent="0.3">
      <c r="A661" s="14" t="s">
        <v>240</v>
      </c>
      <c r="B661" s="8"/>
      <c r="C661" s="8"/>
      <c r="D661" s="8">
        <f t="shared" si="10"/>
        <v>0</v>
      </c>
    </row>
    <row r="662" spans="1:4" ht="18" hidden="1" x14ac:dyDescent="0.3">
      <c r="A662" s="37" t="s">
        <v>241</v>
      </c>
      <c r="B662" s="8"/>
      <c r="C662" s="8"/>
      <c r="D662" s="8">
        <f t="shared" si="10"/>
        <v>0</v>
      </c>
    </row>
    <row r="663" spans="1:4" ht="18" hidden="1" x14ac:dyDescent="0.3">
      <c r="A663" s="37" t="s">
        <v>245</v>
      </c>
      <c r="B663" s="8"/>
      <c r="C663" s="8"/>
      <c r="D663" s="8">
        <f t="shared" si="10"/>
        <v>0</v>
      </c>
    </row>
    <row r="664" spans="1:4" ht="18" hidden="1" x14ac:dyDescent="0.3">
      <c r="A664" s="37" t="s">
        <v>277</v>
      </c>
      <c r="B664" s="8"/>
      <c r="C664" s="8"/>
      <c r="D664" s="8">
        <f t="shared" si="10"/>
        <v>0</v>
      </c>
    </row>
    <row r="665" spans="1:4" ht="18" hidden="1" x14ac:dyDescent="0.3">
      <c r="A665" s="37" t="s">
        <v>279</v>
      </c>
      <c r="B665" s="8"/>
      <c r="C665" s="8"/>
      <c r="D665" s="8">
        <f t="shared" si="10"/>
        <v>0</v>
      </c>
    </row>
    <row r="666" spans="1:4" ht="18" hidden="1" x14ac:dyDescent="0.3">
      <c r="A666" s="12" t="s">
        <v>360</v>
      </c>
      <c r="B666" s="8"/>
      <c r="C666" s="8"/>
      <c r="D666" s="8">
        <f t="shared" si="10"/>
        <v>0</v>
      </c>
    </row>
    <row r="667" spans="1:4" ht="18" hidden="1" x14ac:dyDescent="0.3">
      <c r="A667" s="37" t="s">
        <v>280</v>
      </c>
      <c r="B667" s="8"/>
      <c r="C667" s="8"/>
      <c r="D667" s="8">
        <f t="shared" si="10"/>
        <v>0</v>
      </c>
    </row>
    <row r="668" spans="1:4" ht="18" hidden="1" x14ac:dyDescent="0.3">
      <c r="A668" s="27" t="s">
        <v>292</v>
      </c>
      <c r="B668" s="8"/>
      <c r="C668" s="8"/>
      <c r="D668" s="8">
        <f t="shared" si="10"/>
        <v>0</v>
      </c>
    </row>
    <row r="669" spans="1:4" ht="18" hidden="1" x14ac:dyDescent="0.3">
      <c r="A669" s="10" t="s">
        <v>362</v>
      </c>
      <c r="B669" s="8"/>
      <c r="C669" s="8"/>
      <c r="D669" s="8">
        <f t="shared" si="10"/>
        <v>0</v>
      </c>
    </row>
    <row r="670" spans="1:4" ht="18" hidden="1" x14ac:dyDescent="0.3">
      <c r="A670" s="12" t="s">
        <v>303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2844</v>
      </c>
      <c r="C672" s="46"/>
      <c r="D672" s="46">
        <f t="shared" ref="D672" si="11">SUM(D345:D671)</f>
        <v>30807500</v>
      </c>
    </row>
    <row r="674" spans="4:4" x14ac:dyDescent="0.3">
      <c r="D674" s="49">
        <f>D672+D340</f>
        <v>82496500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5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674"/>
  <sheetViews>
    <sheetView topLeftCell="A291" workbookViewId="0">
      <selection activeCell="D674" sqref="D674"/>
    </sheetView>
  </sheetViews>
  <sheetFormatPr defaultRowHeight="14.4" x14ac:dyDescent="0.3"/>
  <cols>
    <col min="1" max="1" width="30.33203125" customWidth="1"/>
    <col min="3" max="3" width="13" customWidth="1"/>
    <col min="4" max="4" width="18.21875" customWidth="1"/>
  </cols>
  <sheetData>
    <row r="1" spans="1:4" x14ac:dyDescent="0.3">
      <c r="A1" s="1" t="s">
        <v>376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25</v>
      </c>
      <c r="C3" s="8">
        <v>11000</v>
      </c>
      <c r="D3" s="8">
        <f>B3*C3</f>
        <v>275000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hidden="1" x14ac:dyDescent="0.3">
      <c r="A18" s="14" t="s">
        <v>17</v>
      </c>
      <c r="B18" s="8"/>
      <c r="C18" s="8"/>
      <c r="D18" s="8">
        <f t="shared" si="0"/>
        <v>0</v>
      </c>
    </row>
    <row r="19" spans="1:4" ht="18" x14ac:dyDescent="0.3">
      <c r="A19" s="12" t="s">
        <v>18</v>
      </c>
      <c r="B19" s="8">
        <v>60</v>
      </c>
      <c r="C19" s="47">
        <v>4000</v>
      </c>
      <c r="D19" s="8">
        <f t="shared" si="0"/>
        <v>240000</v>
      </c>
    </row>
    <row r="20" spans="1:4" ht="18" hidden="1" x14ac:dyDescent="0.3">
      <c r="A20" s="10" t="s">
        <v>19</v>
      </c>
      <c r="B20" s="8"/>
      <c r="C20" s="8"/>
      <c r="D20" s="8">
        <f t="shared" si="0"/>
        <v>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20</v>
      </c>
      <c r="C25" s="8">
        <v>8000</v>
      </c>
      <c r="D25" s="8">
        <f t="shared" si="0"/>
        <v>160000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180+40+65</f>
        <v>285</v>
      </c>
      <c r="C28" s="8">
        <v>17000</v>
      </c>
      <c r="D28" s="8">
        <f t="shared" si="0"/>
        <v>4845000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v>45</v>
      </c>
      <c r="C37" s="8">
        <v>10000</v>
      </c>
      <c r="D37" s="8">
        <f t="shared" si="0"/>
        <v>450000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hidden="1" x14ac:dyDescent="0.3">
      <c r="A64" s="10" t="s">
        <v>62</v>
      </c>
      <c r="B64" s="8"/>
      <c r="C64" s="8"/>
      <c r="D64" s="8">
        <f t="shared" si="0"/>
        <v>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x14ac:dyDescent="0.3">
      <c r="A81" s="10" t="s">
        <v>80</v>
      </c>
      <c r="B81" s="8">
        <v>55</v>
      </c>
      <c r="C81" s="8">
        <v>23000</v>
      </c>
      <c r="D81" s="8">
        <f t="shared" si="1"/>
        <v>1265000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x14ac:dyDescent="0.3">
      <c r="A104" s="26" t="s">
        <v>103</v>
      </c>
      <c r="B104" s="8">
        <v>170</v>
      </c>
      <c r="C104" s="8">
        <v>7500</v>
      </c>
      <c r="D104" s="8">
        <f t="shared" si="1"/>
        <v>1275000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hidden="1" x14ac:dyDescent="0.3">
      <c r="A111" s="10" t="s">
        <v>110</v>
      </c>
      <c r="B111" s="8"/>
      <c r="C111" s="8"/>
      <c r="D111" s="8">
        <f t="shared" si="1"/>
        <v>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x14ac:dyDescent="0.3">
      <c r="A166" s="10" t="s">
        <v>165</v>
      </c>
      <c r="B166" s="8">
        <v>2</v>
      </c>
      <c r="C166" s="8">
        <v>7000</v>
      </c>
      <c r="D166" s="8">
        <f t="shared" si="2"/>
        <v>14000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x14ac:dyDescent="0.3">
      <c r="A169" s="10" t="s">
        <v>168</v>
      </c>
      <c r="B169" s="8">
        <f>100+108</f>
        <v>208</v>
      </c>
      <c r="C169" s="48">
        <v>6500</v>
      </c>
      <c r="D169" s="8">
        <f t="shared" si="2"/>
        <v>1352000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hidden="1" x14ac:dyDescent="0.3">
      <c r="A171" s="10" t="s">
        <v>170</v>
      </c>
      <c r="B171" s="8"/>
      <c r="C171" s="8"/>
      <c r="D171" s="8">
        <f t="shared" si="2"/>
        <v>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180</v>
      </c>
      <c r="C184" s="8">
        <v>8000</v>
      </c>
      <c r="D184" s="8">
        <f t="shared" si="2"/>
        <v>1440000</v>
      </c>
    </row>
    <row r="185" spans="1:4" ht="18" x14ac:dyDescent="0.3">
      <c r="A185" s="10" t="s">
        <v>184</v>
      </c>
      <c r="B185" s="8">
        <f>120*3</f>
        <v>360</v>
      </c>
      <c r="C185" s="8">
        <v>2100</v>
      </c>
      <c r="D185" s="8">
        <f t="shared" si="2"/>
        <v>756000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20</v>
      </c>
      <c r="C187" s="8">
        <v>20000</v>
      </c>
      <c r="D187" s="8">
        <f t="shared" si="2"/>
        <v>400000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160+40+150+180</f>
        <v>530</v>
      </c>
      <c r="C202" s="8">
        <v>20000</v>
      </c>
      <c r="D202" s="8">
        <f t="shared" si="3"/>
        <v>10600000</v>
      </c>
    </row>
    <row r="203" spans="1:4" ht="18" x14ac:dyDescent="0.3">
      <c r="A203" s="13" t="s">
        <v>202</v>
      </c>
      <c r="B203" s="8">
        <v>100</v>
      </c>
      <c r="C203" s="8">
        <v>19000</v>
      </c>
      <c r="D203" s="8">
        <f t="shared" si="3"/>
        <v>1900000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15</v>
      </c>
      <c r="C211" s="8">
        <v>10000</v>
      </c>
      <c r="D211" s="8">
        <f t="shared" si="3"/>
        <v>150000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hidden="1" x14ac:dyDescent="0.3">
      <c r="A216" s="10" t="s">
        <v>215</v>
      </c>
      <c r="B216" s="8"/>
      <c r="C216" s="8"/>
      <c r="D216" s="8">
        <f t="shared" si="3"/>
        <v>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x14ac:dyDescent="0.3">
      <c r="A230" s="18" t="s">
        <v>229</v>
      </c>
      <c r="B230" s="8">
        <v>110</v>
      </c>
      <c r="C230" s="8">
        <v>20000</v>
      </c>
      <c r="D230" s="8">
        <f t="shared" si="3"/>
        <v>2200000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20+90+8</f>
        <v>118</v>
      </c>
      <c r="C251" s="8">
        <v>26000</v>
      </c>
      <c r="D251" s="8">
        <f t="shared" si="3"/>
        <v>3068000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v>90</v>
      </c>
      <c r="C254" s="8">
        <v>11000</v>
      </c>
      <c r="D254" s="8">
        <f t="shared" si="3"/>
        <v>990000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40</v>
      </c>
      <c r="C259" s="8">
        <v>36000</v>
      </c>
      <c r="D259" s="8">
        <f t="shared" si="3"/>
        <v>1440000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v>5</v>
      </c>
      <c r="C263" s="8">
        <v>30000</v>
      </c>
      <c r="D263" s="8">
        <f t="shared" si="4"/>
        <v>150000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x14ac:dyDescent="0.3">
      <c r="A271" s="10" t="s">
        <v>270</v>
      </c>
      <c r="B271" s="8">
        <v>14</v>
      </c>
      <c r="C271" s="8">
        <v>14000</v>
      </c>
      <c r="D271" s="8">
        <f t="shared" si="4"/>
        <v>196000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v>10</v>
      </c>
      <c r="C275" s="8">
        <v>17000</v>
      </c>
      <c r="D275" s="8">
        <f t="shared" si="4"/>
        <v>170000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25</v>
      </c>
      <c r="C288" s="8">
        <v>9000</v>
      </c>
      <c r="D288" s="8">
        <f t="shared" si="4"/>
        <v>225000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v>15</v>
      </c>
      <c r="C291" s="8">
        <v>10000</v>
      </c>
      <c r="D291" s="8">
        <f t="shared" si="4"/>
        <v>150000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180</v>
      </c>
      <c r="C294" s="8">
        <v>14000</v>
      </c>
      <c r="D294" s="8">
        <f t="shared" si="4"/>
        <v>2520000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x14ac:dyDescent="0.3">
      <c r="A300" s="10" t="s">
        <v>299</v>
      </c>
      <c r="B300" s="8">
        <v>1</v>
      </c>
      <c r="C300" s="8">
        <v>85000</v>
      </c>
      <c r="D300" s="8">
        <f t="shared" si="4"/>
        <v>85000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2683</v>
      </c>
      <c r="C340" s="46"/>
      <c r="D340" s="8">
        <f>SUM(D3:D300)</f>
        <v>36316000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377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60</v>
      </c>
      <c r="C348" s="8">
        <v>7300</v>
      </c>
      <c r="D348" s="8">
        <f t="shared" si="5"/>
        <v>438000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hidden="1" x14ac:dyDescent="0.3">
      <c r="A355" s="10" t="s">
        <v>12</v>
      </c>
      <c r="B355" s="8"/>
      <c r="C355" s="8"/>
      <c r="D355" s="8">
        <f t="shared" si="5"/>
        <v>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v>70</v>
      </c>
      <c r="C362" s="8">
        <v>14000</v>
      </c>
      <c r="D362" s="8">
        <f t="shared" si="5"/>
        <v>980000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v>430</v>
      </c>
      <c r="C389" s="8">
        <v>23500</v>
      </c>
      <c r="D389" s="8">
        <f t="shared" si="6"/>
        <v>10105000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hidden="1" x14ac:dyDescent="0.3">
      <c r="A414" s="10" t="s">
        <v>77</v>
      </c>
      <c r="B414" s="8"/>
      <c r="C414" s="8"/>
      <c r="D414" s="8">
        <f t="shared" si="6"/>
        <v>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hidden="1" x14ac:dyDescent="0.3">
      <c r="A427" s="10" t="s">
        <v>90</v>
      </c>
      <c r="B427" s="8"/>
      <c r="C427" s="8"/>
      <c r="D427" s="8">
        <f t="shared" si="6"/>
        <v>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30</v>
      </c>
      <c r="C461" s="8">
        <v>10000</v>
      </c>
      <c r="D461" s="8">
        <f t="shared" si="7"/>
        <v>300000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170</v>
      </c>
      <c r="C472" s="8">
        <v>5500</v>
      </c>
      <c r="D472" s="8">
        <f t="shared" si="7"/>
        <v>935000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v>102</v>
      </c>
      <c r="C504" s="8">
        <v>6500</v>
      </c>
      <c r="D504" s="8">
        <f t="shared" si="7"/>
        <v>663000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v>280</v>
      </c>
      <c r="C520" s="8">
        <v>8000</v>
      </c>
      <c r="D520" s="8">
        <f t="shared" si="8"/>
        <v>2240000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v>560</v>
      </c>
      <c r="C542" s="8">
        <v>8250</v>
      </c>
      <c r="D542" s="8">
        <f t="shared" si="8"/>
        <v>4620000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v>400</v>
      </c>
      <c r="C556" s="8">
        <v>14500</v>
      </c>
      <c r="D556" s="8">
        <f t="shared" si="8"/>
        <v>5800000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x14ac:dyDescent="0.3">
      <c r="A571" s="23" t="s">
        <v>357</v>
      </c>
      <c r="B571" s="8">
        <v>90</v>
      </c>
      <c r="C571" s="8">
        <v>25000</v>
      </c>
      <c r="D571" s="8">
        <f t="shared" si="8"/>
        <v>2250000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2192</v>
      </c>
      <c r="C672" s="46"/>
      <c r="D672" s="46">
        <f t="shared" ref="D672" si="11">SUM(D345:D671)</f>
        <v>28331000</v>
      </c>
    </row>
    <row r="674" spans="4:4" x14ac:dyDescent="0.3">
      <c r="D674" s="49">
        <f>D672+D340</f>
        <v>64647000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6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674"/>
  <sheetViews>
    <sheetView topLeftCell="A343" workbookViewId="0">
      <selection activeCell="D674" sqref="D674"/>
    </sheetView>
  </sheetViews>
  <sheetFormatPr defaultRowHeight="14.4" x14ac:dyDescent="0.3"/>
  <cols>
    <col min="1" max="1" width="37.88671875" customWidth="1"/>
    <col min="3" max="3" width="13.5546875" customWidth="1"/>
    <col min="4" max="4" width="19.44140625" customWidth="1"/>
  </cols>
  <sheetData>
    <row r="1" spans="1:4" x14ac:dyDescent="0.3">
      <c r="A1" s="1" t="s">
        <v>378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18</v>
      </c>
      <c r="C3" s="8">
        <v>11000</v>
      </c>
      <c r="D3" s="8">
        <f>B3*C3</f>
        <v>198000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v>25</v>
      </c>
      <c r="C18" s="8">
        <v>4000</v>
      </c>
      <c r="D18" s="8">
        <f t="shared" si="0"/>
        <v>100000</v>
      </c>
    </row>
    <row r="19" spans="1:4" ht="18" x14ac:dyDescent="0.3">
      <c r="A19" s="12" t="s">
        <v>18</v>
      </c>
      <c r="B19" s="8">
        <f>70+42</f>
        <v>112</v>
      </c>
      <c r="C19" s="47">
        <v>13000</v>
      </c>
      <c r="D19" s="8">
        <f t="shared" si="0"/>
        <v>1456000</v>
      </c>
    </row>
    <row r="20" spans="1:4" ht="18" hidden="1" x14ac:dyDescent="0.3">
      <c r="A20" s="10" t="s">
        <v>19</v>
      </c>
      <c r="B20" s="8"/>
      <c r="C20" s="8"/>
      <c r="D20" s="8">
        <f t="shared" si="0"/>
        <v>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58</v>
      </c>
      <c r="C25" s="8">
        <v>8000</v>
      </c>
      <c r="D25" s="8">
        <f t="shared" si="0"/>
        <v>464000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75+19</f>
        <v>94</v>
      </c>
      <c r="C28" s="8">
        <v>17000</v>
      </c>
      <c r="D28" s="8">
        <f t="shared" si="0"/>
        <v>1598000</v>
      </c>
    </row>
    <row r="29" spans="1:4" ht="18" x14ac:dyDescent="0.3">
      <c r="A29" s="13" t="s">
        <v>28</v>
      </c>
      <c r="B29" s="8">
        <v>16</v>
      </c>
      <c r="C29" s="8">
        <v>26000</v>
      </c>
      <c r="D29" s="8">
        <f t="shared" si="0"/>
        <v>416000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v>100</v>
      </c>
      <c r="C37" s="8">
        <v>10000</v>
      </c>
      <c r="D37" s="8">
        <f t="shared" si="0"/>
        <v>1000000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x14ac:dyDescent="0.3">
      <c r="A43" s="10" t="s">
        <v>41</v>
      </c>
      <c r="B43" s="8">
        <v>1</v>
      </c>
      <c r="C43" s="8">
        <v>45000</v>
      </c>
      <c r="D43" s="8">
        <f t="shared" si="0"/>
        <v>45000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20</v>
      </c>
      <c r="C64" s="8">
        <v>21000</v>
      </c>
      <c r="D64" s="8">
        <f t="shared" si="0"/>
        <v>420000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f>45+15</f>
        <v>60</v>
      </c>
      <c r="C80" s="8">
        <v>32000</v>
      </c>
      <c r="D80" s="8">
        <f t="shared" si="1"/>
        <v>1920000</v>
      </c>
    </row>
    <row r="81" spans="1:4" ht="18" x14ac:dyDescent="0.3">
      <c r="A81" s="10" t="s">
        <v>80</v>
      </c>
      <c r="B81" s="8">
        <f>24+8+40+28</f>
        <v>100</v>
      </c>
      <c r="C81" s="8">
        <v>23000</v>
      </c>
      <c r="D81" s="8">
        <f t="shared" si="1"/>
        <v>2300000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x14ac:dyDescent="0.3">
      <c r="A106" s="10" t="s">
        <v>105</v>
      </c>
      <c r="B106" s="8">
        <v>2</v>
      </c>
      <c r="C106" s="8">
        <v>15000</v>
      </c>
      <c r="D106" s="8">
        <f t="shared" si="1"/>
        <v>30000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hidden="1" x14ac:dyDescent="0.3">
      <c r="A111" s="10" t="s">
        <v>110</v>
      </c>
      <c r="B111" s="8"/>
      <c r="C111" s="8"/>
      <c r="D111" s="8">
        <f t="shared" si="1"/>
        <v>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45</v>
      </c>
      <c r="C171" s="8">
        <v>11000</v>
      </c>
      <c r="D171" s="8">
        <f t="shared" si="2"/>
        <v>495000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x14ac:dyDescent="0.3">
      <c r="A177" s="10" t="s">
        <v>176</v>
      </c>
      <c r="B177" s="8">
        <v>1</v>
      </c>
      <c r="C177" s="8">
        <v>48000</v>
      </c>
      <c r="D177" s="8">
        <f t="shared" si="2"/>
        <v>48000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150</v>
      </c>
      <c r="C184" s="8">
        <v>8000</v>
      </c>
      <c r="D184" s="8">
        <f t="shared" si="2"/>
        <v>1200000</v>
      </c>
    </row>
    <row r="185" spans="1:4" ht="18" x14ac:dyDescent="0.3">
      <c r="A185" s="10" t="s">
        <v>184</v>
      </c>
      <c r="B185" s="8">
        <v>210</v>
      </c>
      <c r="C185" s="8">
        <v>2100</v>
      </c>
      <c r="D185" s="8">
        <f t="shared" si="2"/>
        <v>441000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21</v>
      </c>
      <c r="C187" s="8">
        <v>20000</v>
      </c>
      <c r="D187" s="8">
        <f t="shared" si="2"/>
        <v>420000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v>210</v>
      </c>
      <c r="C202" s="8">
        <v>20000</v>
      </c>
      <c r="D202" s="8">
        <f t="shared" si="3"/>
        <v>4200000</v>
      </c>
    </row>
    <row r="203" spans="1:4" ht="18" x14ac:dyDescent="0.3">
      <c r="A203" s="13" t="s">
        <v>202</v>
      </c>
      <c r="B203" s="8">
        <f>120+105</f>
        <v>225</v>
      </c>
      <c r="C203" s="8">
        <v>19000</v>
      </c>
      <c r="D203" s="8">
        <f t="shared" si="3"/>
        <v>4275000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47</v>
      </c>
      <c r="C211" s="8">
        <v>10000</v>
      </c>
      <c r="D211" s="8">
        <f t="shared" si="3"/>
        <v>470000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200</v>
      </c>
      <c r="C216" s="8">
        <v>14500</v>
      </c>
      <c r="D216" s="8">
        <f t="shared" si="3"/>
        <v>2900000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x14ac:dyDescent="0.3">
      <c r="A230" s="18" t="s">
        <v>229</v>
      </c>
      <c r="B230" s="8">
        <f>75+13+50+70+45+18+140+35</f>
        <v>446</v>
      </c>
      <c r="C230" s="8">
        <v>25000</v>
      </c>
      <c r="D230" s="8">
        <f t="shared" si="3"/>
        <v>11150000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2</v>
      </c>
      <c r="C248" s="8">
        <v>14000</v>
      </c>
      <c r="D248" s="8">
        <f t="shared" si="3"/>
        <v>28000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v>95</v>
      </c>
      <c r="C251" s="8">
        <v>26000</v>
      </c>
      <c r="D251" s="8">
        <f t="shared" si="3"/>
        <v>2470000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f>45+23</f>
        <v>68</v>
      </c>
      <c r="C254" s="8">
        <v>11000</v>
      </c>
      <c r="D254" s="8">
        <f t="shared" si="3"/>
        <v>748000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32+28</f>
        <v>60</v>
      </c>
      <c r="C259" s="8">
        <v>34000</v>
      </c>
      <c r="D259" s="8">
        <f t="shared" si="3"/>
        <v>2040000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v>15</v>
      </c>
      <c r="C263" s="8">
        <v>20000</v>
      </c>
      <c r="D263" s="8">
        <f t="shared" si="4"/>
        <v>300000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hidden="1" x14ac:dyDescent="0.3">
      <c r="A271" s="10" t="s">
        <v>270</v>
      </c>
      <c r="B271" s="8"/>
      <c r="C271" s="8"/>
      <c r="D271" s="8">
        <f t="shared" si="4"/>
        <v>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v>15</v>
      </c>
      <c r="C275" s="8">
        <v>17000</v>
      </c>
      <c r="D275" s="8">
        <f t="shared" si="4"/>
        <v>255000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hidden="1" x14ac:dyDescent="0.3">
      <c r="A288" s="10" t="s">
        <v>287</v>
      </c>
      <c r="B288" s="8"/>
      <c r="C288" s="8"/>
      <c r="D288" s="8">
        <f t="shared" si="4"/>
        <v>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v>5</v>
      </c>
      <c r="C291" s="8">
        <v>10000</v>
      </c>
      <c r="D291" s="8">
        <f t="shared" si="4"/>
        <v>50000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7</v>
      </c>
      <c r="C294" s="8">
        <v>12000</v>
      </c>
      <c r="D294" s="8">
        <f t="shared" si="4"/>
        <v>84000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x14ac:dyDescent="0.3">
      <c r="A300" s="10" t="s">
        <v>299</v>
      </c>
      <c r="B300" s="8">
        <v>1</v>
      </c>
      <c r="C300" s="8">
        <v>85000</v>
      </c>
      <c r="D300" s="8">
        <f t="shared" si="4"/>
        <v>85000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41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x14ac:dyDescent="0.3">
      <c r="A327" s="10" t="s">
        <v>326</v>
      </c>
      <c r="B327" s="8">
        <v>2</v>
      </c>
      <c r="C327" s="8">
        <v>30000</v>
      </c>
      <c r="D327" s="8">
        <f t="shared" si="5"/>
        <v>60000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2431</v>
      </c>
      <c r="C340" s="46"/>
      <c r="D340" s="8">
        <f>SUM(D3:D327)</f>
        <v>41666000</v>
      </c>
    </row>
    <row r="341" spans="1:4" ht="18" hidden="1" x14ac:dyDescent="0.3">
      <c r="D341" s="8">
        <f t="shared" si="5"/>
        <v>0</v>
      </c>
    </row>
    <row r="342" spans="1:4" hidden="1" x14ac:dyDescent="0.3">
      <c r="A342" s="1" t="s">
        <v>379</v>
      </c>
      <c r="B342" s="2"/>
      <c r="C342" s="2"/>
      <c r="D342" s="2"/>
    </row>
    <row r="343" spans="1:4" ht="26.4" x14ac:dyDescent="0.3">
      <c r="A343" s="152" t="s">
        <v>0</v>
      </c>
      <c r="B343" s="4" t="s">
        <v>1</v>
      </c>
      <c r="C343" s="4" t="s">
        <v>340</v>
      </c>
      <c r="D343" s="4" t="s">
        <v>341</v>
      </c>
    </row>
    <row r="344" spans="1:4" hidden="1" x14ac:dyDescent="0.3">
      <c r="A344" s="153"/>
      <c r="B344" s="5"/>
      <c r="C344" s="5"/>
      <c r="D344" s="5"/>
    </row>
    <row r="345" spans="1:4" ht="18" hidden="1" x14ac:dyDescent="0.3">
      <c r="A345" s="6" t="s">
        <v>2</v>
      </c>
      <c r="B345" s="8"/>
      <c r="C345" s="8"/>
      <c r="D345" s="8">
        <f>B345*C345</f>
        <v>0</v>
      </c>
    </row>
    <row r="346" spans="1:4" ht="18" hidden="1" x14ac:dyDescent="0.3">
      <c r="A346" s="9" t="s">
        <v>3</v>
      </c>
      <c r="B346" s="8"/>
      <c r="C346" s="8"/>
      <c r="D346" s="8">
        <f t="shared" ref="D346:D409" si="6">B346*C346</f>
        <v>0</v>
      </c>
    </row>
    <row r="347" spans="1:4" ht="18" hidden="1" x14ac:dyDescent="0.3">
      <c r="A347" s="6" t="s">
        <v>4</v>
      </c>
      <c r="B347" s="8"/>
      <c r="C347" s="8"/>
      <c r="D347" s="8">
        <f t="shared" si="6"/>
        <v>0</v>
      </c>
    </row>
    <row r="348" spans="1:4" ht="18" x14ac:dyDescent="0.3">
      <c r="A348" s="6" t="s">
        <v>5</v>
      </c>
      <c r="B348" s="8">
        <v>130</v>
      </c>
      <c r="C348" s="8">
        <v>7300</v>
      </c>
      <c r="D348" s="8">
        <f t="shared" si="6"/>
        <v>949000</v>
      </c>
    </row>
    <row r="349" spans="1:4" ht="18" hidden="1" x14ac:dyDescent="0.3">
      <c r="A349" s="10" t="s">
        <v>6</v>
      </c>
      <c r="B349" s="8"/>
      <c r="C349" s="8"/>
      <c r="D349" s="8">
        <f t="shared" si="6"/>
        <v>0</v>
      </c>
    </row>
    <row r="350" spans="1:4" ht="18" hidden="1" x14ac:dyDescent="0.3">
      <c r="A350" s="11" t="s">
        <v>7</v>
      </c>
      <c r="B350" s="8"/>
      <c r="C350" s="8"/>
      <c r="D350" s="8">
        <f t="shared" si="6"/>
        <v>0</v>
      </c>
    </row>
    <row r="351" spans="1:4" ht="18" hidden="1" x14ac:dyDescent="0.3">
      <c r="A351" s="6" t="s">
        <v>8</v>
      </c>
      <c r="B351" s="8"/>
      <c r="C351" s="8"/>
      <c r="D351" s="8">
        <f t="shared" si="6"/>
        <v>0</v>
      </c>
    </row>
    <row r="352" spans="1:4" ht="18" hidden="1" x14ac:dyDescent="0.3">
      <c r="A352" s="6" t="s">
        <v>9</v>
      </c>
      <c r="B352" s="8"/>
      <c r="C352" s="8"/>
      <c r="D352" s="8">
        <f t="shared" si="6"/>
        <v>0</v>
      </c>
    </row>
    <row r="353" spans="1:4" ht="18" hidden="1" x14ac:dyDescent="0.3">
      <c r="A353" s="12" t="s">
        <v>342</v>
      </c>
      <c r="B353" s="8"/>
      <c r="C353" s="8"/>
      <c r="D353" s="8">
        <f t="shared" si="6"/>
        <v>0</v>
      </c>
    </row>
    <row r="354" spans="1:4" ht="18" hidden="1" x14ac:dyDescent="0.3">
      <c r="A354" s="10" t="s">
        <v>11</v>
      </c>
      <c r="B354" s="8"/>
      <c r="C354" s="8"/>
      <c r="D354" s="8">
        <f t="shared" si="6"/>
        <v>0</v>
      </c>
    </row>
    <row r="355" spans="1:4" ht="18" x14ac:dyDescent="0.3">
      <c r="A355" s="10" t="s">
        <v>12</v>
      </c>
      <c r="B355" s="8">
        <v>23</v>
      </c>
      <c r="C355" s="8">
        <v>10000</v>
      </c>
      <c r="D355" s="8">
        <f t="shared" si="6"/>
        <v>230000</v>
      </c>
    </row>
    <row r="356" spans="1:4" ht="18" hidden="1" x14ac:dyDescent="0.3">
      <c r="A356" s="13" t="s">
        <v>13</v>
      </c>
      <c r="B356" s="8"/>
      <c r="C356" s="8"/>
      <c r="D356" s="8">
        <f t="shared" si="6"/>
        <v>0</v>
      </c>
    </row>
    <row r="357" spans="1:4" ht="18" hidden="1" x14ac:dyDescent="0.3">
      <c r="A357" s="13" t="s">
        <v>14</v>
      </c>
      <c r="B357" s="8"/>
      <c r="C357" s="8"/>
      <c r="D357" s="8">
        <f t="shared" si="6"/>
        <v>0</v>
      </c>
    </row>
    <row r="358" spans="1:4" ht="18" hidden="1" x14ac:dyDescent="0.3">
      <c r="A358" s="10" t="s">
        <v>15</v>
      </c>
      <c r="B358" s="8"/>
      <c r="C358" s="8"/>
      <c r="D358" s="8">
        <f t="shared" si="6"/>
        <v>0</v>
      </c>
    </row>
    <row r="359" spans="1:4" ht="18" hidden="1" x14ac:dyDescent="0.3">
      <c r="A359" s="10" t="s">
        <v>16</v>
      </c>
      <c r="B359" s="8"/>
      <c r="C359" s="8"/>
      <c r="D359" s="8">
        <f t="shared" si="6"/>
        <v>0</v>
      </c>
    </row>
    <row r="360" spans="1:4" ht="18" hidden="1" x14ac:dyDescent="0.3">
      <c r="A360" s="14" t="s">
        <v>17</v>
      </c>
      <c r="B360" s="8"/>
      <c r="C360" s="8"/>
      <c r="D360" s="8">
        <f t="shared" si="6"/>
        <v>0</v>
      </c>
    </row>
    <row r="361" spans="1:4" ht="18" hidden="1" x14ac:dyDescent="0.3">
      <c r="A361" s="12" t="s">
        <v>18</v>
      </c>
      <c r="B361" s="8"/>
      <c r="C361" s="8"/>
      <c r="D361" s="8">
        <f t="shared" si="6"/>
        <v>0</v>
      </c>
    </row>
    <row r="362" spans="1:4" ht="18" hidden="1" x14ac:dyDescent="0.3">
      <c r="A362" s="10" t="s">
        <v>19</v>
      </c>
      <c r="B362" s="8"/>
      <c r="C362" s="8"/>
      <c r="D362" s="8">
        <f t="shared" si="6"/>
        <v>0</v>
      </c>
    </row>
    <row r="363" spans="1:4" ht="18" hidden="1" x14ac:dyDescent="0.3">
      <c r="A363" s="13" t="s">
        <v>20</v>
      </c>
      <c r="B363" s="8"/>
      <c r="C363" s="8"/>
      <c r="D363" s="8">
        <f t="shared" si="6"/>
        <v>0</v>
      </c>
    </row>
    <row r="364" spans="1:4" ht="18" hidden="1" x14ac:dyDescent="0.3">
      <c r="A364" s="13" t="s">
        <v>21</v>
      </c>
      <c r="B364" s="8"/>
      <c r="C364" s="8"/>
      <c r="D364" s="8">
        <f t="shared" si="6"/>
        <v>0</v>
      </c>
    </row>
    <row r="365" spans="1:4" ht="18" hidden="1" x14ac:dyDescent="0.3">
      <c r="A365" s="10" t="s">
        <v>22</v>
      </c>
      <c r="B365" s="8"/>
      <c r="C365" s="8"/>
      <c r="D365" s="8">
        <f t="shared" si="6"/>
        <v>0</v>
      </c>
    </row>
    <row r="366" spans="1:4" ht="18" hidden="1" x14ac:dyDescent="0.3">
      <c r="A366" s="10" t="s">
        <v>23</v>
      </c>
      <c r="B366" s="8"/>
      <c r="C366" s="8"/>
      <c r="D366" s="8">
        <f t="shared" si="6"/>
        <v>0</v>
      </c>
    </row>
    <row r="367" spans="1:4" ht="18" hidden="1" x14ac:dyDescent="0.3">
      <c r="A367" s="10" t="s">
        <v>24</v>
      </c>
      <c r="B367" s="8"/>
      <c r="C367" s="8"/>
      <c r="D367" s="8">
        <f t="shared" si="6"/>
        <v>0</v>
      </c>
    </row>
    <row r="368" spans="1:4" ht="18" hidden="1" x14ac:dyDescent="0.3">
      <c r="A368" s="10" t="s">
        <v>25</v>
      </c>
      <c r="B368" s="8"/>
      <c r="C368" s="8"/>
      <c r="D368" s="8">
        <f t="shared" si="6"/>
        <v>0</v>
      </c>
    </row>
    <row r="369" spans="1:4" ht="18" hidden="1" x14ac:dyDescent="0.3">
      <c r="A369" s="10" t="s">
        <v>26</v>
      </c>
      <c r="B369" s="8"/>
      <c r="C369" s="8"/>
      <c r="D369" s="8">
        <f t="shared" si="6"/>
        <v>0</v>
      </c>
    </row>
    <row r="370" spans="1:4" ht="18" hidden="1" x14ac:dyDescent="0.3">
      <c r="A370" s="10" t="s">
        <v>27</v>
      </c>
      <c r="B370" s="8"/>
      <c r="C370" s="8"/>
      <c r="D370" s="8">
        <f t="shared" si="6"/>
        <v>0</v>
      </c>
    </row>
    <row r="371" spans="1:4" ht="18" hidden="1" x14ac:dyDescent="0.3">
      <c r="A371" s="13" t="s">
        <v>28</v>
      </c>
      <c r="B371" s="8"/>
      <c r="C371" s="8"/>
      <c r="D371" s="8">
        <f t="shared" si="6"/>
        <v>0</v>
      </c>
    </row>
    <row r="372" spans="1:4" ht="18" hidden="1" x14ac:dyDescent="0.3">
      <c r="A372" s="13" t="s">
        <v>35</v>
      </c>
      <c r="B372" s="8"/>
      <c r="C372" s="8"/>
      <c r="D372" s="8">
        <f t="shared" si="6"/>
        <v>0</v>
      </c>
    </row>
    <row r="373" spans="1:4" ht="18" hidden="1" x14ac:dyDescent="0.3">
      <c r="A373" s="10" t="s">
        <v>36</v>
      </c>
      <c r="B373" s="8"/>
      <c r="C373" s="8"/>
      <c r="D373" s="8">
        <f t="shared" si="6"/>
        <v>0</v>
      </c>
    </row>
    <row r="374" spans="1:4" ht="18" hidden="1" x14ac:dyDescent="0.3">
      <c r="A374" s="10" t="s">
        <v>37</v>
      </c>
      <c r="B374" s="8"/>
      <c r="C374" s="8"/>
      <c r="D374" s="8">
        <f t="shared" si="6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6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6"/>
        <v>0</v>
      </c>
    </row>
    <row r="377" spans="1:4" ht="18" hidden="1" x14ac:dyDescent="0.3">
      <c r="A377" s="10" t="s">
        <v>40</v>
      </c>
      <c r="B377" s="8"/>
      <c r="C377" s="8"/>
      <c r="D377" s="8">
        <f t="shared" si="6"/>
        <v>0</v>
      </c>
    </row>
    <row r="378" spans="1:4" ht="18" hidden="1" x14ac:dyDescent="0.3">
      <c r="A378" s="10" t="s">
        <v>41</v>
      </c>
      <c r="B378" s="8"/>
      <c r="C378" s="8"/>
      <c r="D378" s="8">
        <f t="shared" si="6"/>
        <v>0</v>
      </c>
    </row>
    <row r="379" spans="1:4" ht="18" hidden="1" x14ac:dyDescent="0.3">
      <c r="A379" s="18" t="s">
        <v>42</v>
      </c>
      <c r="B379" s="8"/>
      <c r="C379" s="8"/>
      <c r="D379" s="8">
        <f t="shared" si="6"/>
        <v>0</v>
      </c>
    </row>
    <row r="380" spans="1:4" ht="18" hidden="1" x14ac:dyDescent="0.3">
      <c r="A380" s="10" t="s">
        <v>43</v>
      </c>
      <c r="B380" s="8"/>
      <c r="C380" s="8"/>
      <c r="D380" s="8">
        <f t="shared" si="6"/>
        <v>0</v>
      </c>
    </row>
    <row r="381" spans="1:4" ht="18" hidden="1" x14ac:dyDescent="0.3">
      <c r="A381" s="10" t="s">
        <v>44</v>
      </c>
      <c r="B381" s="8"/>
      <c r="C381" s="8"/>
      <c r="D381" s="8">
        <f t="shared" si="6"/>
        <v>0</v>
      </c>
    </row>
    <row r="382" spans="1:4" ht="18" hidden="1" x14ac:dyDescent="0.3">
      <c r="A382" s="10" t="s">
        <v>45</v>
      </c>
      <c r="B382" s="8"/>
      <c r="C382" s="8"/>
      <c r="D382" s="8">
        <f t="shared" si="6"/>
        <v>0</v>
      </c>
    </row>
    <row r="383" spans="1:4" ht="18" hidden="1" x14ac:dyDescent="0.3">
      <c r="A383" s="10" t="s">
        <v>46</v>
      </c>
      <c r="B383" s="8"/>
      <c r="C383" s="8"/>
      <c r="D383" s="8">
        <f t="shared" si="6"/>
        <v>0</v>
      </c>
    </row>
    <row r="384" spans="1:4" ht="18" hidden="1" x14ac:dyDescent="0.3">
      <c r="A384" s="14" t="s">
        <v>47</v>
      </c>
      <c r="B384" s="8"/>
      <c r="C384" s="8"/>
      <c r="D384" s="8">
        <f t="shared" si="6"/>
        <v>0</v>
      </c>
    </row>
    <row r="385" spans="1:4" ht="18" hidden="1" x14ac:dyDescent="0.3">
      <c r="A385" s="12" t="s">
        <v>48</v>
      </c>
      <c r="B385" s="8"/>
      <c r="C385" s="8"/>
      <c r="D385" s="8">
        <f t="shared" si="6"/>
        <v>0</v>
      </c>
    </row>
    <row r="386" spans="1:4" ht="18" hidden="1" x14ac:dyDescent="0.3">
      <c r="A386" s="14" t="s">
        <v>49</v>
      </c>
      <c r="B386" s="8"/>
      <c r="C386" s="8"/>
      <c r="D386" s="8">
        <f t="shared" si="6"/>
        <v>0</v>
      </c>
    </row>
    <row r="387" spans="1:4" ht="18" hidden="1" x14ac:dyDescent="0.3">
      <c r="A387" s="10" t="s">
        <v>50</v>
      </c>
      <c r="B387" s="8"/>
      <c r="C387" s="8"/>
      <c r="D387" s="8">
        <f t="shared" si="6"/>
        <v>0</v>
      </c>
    </row>
    <row r="388" spans="1:4" ht="18" hidden="1" x14ac:dyDescent="0.3">
      <c r="A388" s="10" t="s">
        <v>51</v>
      </c>
      <c r="B388" s="8"/>
      <c r="C388" s="8"/>
      <c r="D388" s="8">
        <f t="shared" si="6"/>
        <v>0</v>
      </c>
    </row>
    <row r="389" spans="1:4" ht="18" x14ac:dyDescent="0.3">
      <c r="A389" s="13" t="s">
        <v>52</v>
      </c>
      <c r="B389" s="8">
        <f>144+18+120+18</f>
        <v>300</v>
      </c>
      <c r="C389" s="8">
        <v>23000</v>
      </c>
      <c r="D389" s="8">
        <f t="shared" si="6"/>
        <v>6900000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ref="D410:D473" si="7">B410*C410</f>
        <v>0</v>
      </c>
    </row>
    <row r="411" spans="1:4" ht="18" hidden="1" x14ac:dyDescent="0.3">
      <c r="A411" s="10" t="s">
        <v>74</v>
      </c>
      <c r="B411" s="8"/>
      <c r="C411" s="8"/>
      <c r="D411" s="8">
        <f t="shared" si="7"/>
        <v>0</v>
      </c>
    </row>
    <row r="412" spans="1:4" ht="18" hidden="1" x14ac:dyDescent="0.3">
      <c r="A412" s="10" t="s">
        <v>75</v>
      </c>
      <c r="B412" s="8"/>
      <c r="C412" s="8"/>
      <c r="D412" s="8">
        <f t="shared" si="7"/>
        <v>0</v>
      </c>
    </row>
    <row r="413" spans="1:4" ht="18" hidden="1" x14ac:dyDescent="0.3">
      <c r="A413" s="13" t="s">
        <v>76</v>
      </c>
      <c r="B413" s="8"/>
      <c r="C413" s="8"/>
      <c r="D413" s="8">
        <f t="shared" si="7"/>
        <v>0</v>
      </c>
    </row>
    <row r="414" spans="1:4" ht="18" x14ac:dyDescent="0.3">
      <c r="A414" s="10" t="s">
        <v>77</v>
      </c>
      <c r="B414" s="8">
        <v>4</v>
      </c>
      <c r="C414" s="8">
        <v>30000</v>
      </c>
      <c r="D414" s="8">
        <f t="shared" si="7"/>
        <v>120000</v>
      </c>
    </row>
    <row r="415" spans="1:4" ht="18" hidden="1" x14ac:dyDescent="0.3">
      <c r="A415" s="14" t="s">
        <v>78</v>
      </c>
      <c r="B415" s="8"/>
      <c r="C415" s="8"/>
      <c r="D415" s="8">
        <f t="shared" si="7"/>
        <v>0</v>
      </c>
    </row>
    <row r="416" spans="1:4" ht="18" hidden="1" x14ac:dyDescent="0.3">
      <c r="A416" s="10" t="s">
        <v>79</v>
      </c>
      <c r="B416" s="8"/>
      <c r="C416" s="8"/>
      <c r="D416" s="8">
        <f t="shared" si="7"/>
        <v>0</v>
      </c>
    </row>
    <row r="417" spans="1:4" ht="18" hidden="1" x14ac:dyDescent="0.3">
      <c r="A417" s="10" t="s">
        <v>80</v>
      </c>
      <c r="B417" s="8"/>
      <c r="C417" s="8"/>
      <c r="D417" s="8">
        <f t="shared" si="7"/>
        <v>0</v>
      </c>
    </row>
    <row r="418" spans="1:4" ht="18" hidden="1" x14ac:dyDescent="0.3">
      <c r="A418" s="10" t="s">
        <v>81</v>
      </c>
      <c r="B418" s="8"/>
      <c r="C418" s="8"/>
      <c r="D418" s="8">
        <f t="shared" si="7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7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7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7"/>
        <v>0</v>
      </c>
    </row>
    <row r="422" spans="1:4" ht="18" hidden="1" x14ac:dyDescent="0.3">
      <c r="A422" s="10" t="s">
        <v>85</v>
      </c>
      <c r="B422" s="8"/>
      <c r="C422" s="8"/>
      <c r="D422" s="8">
        <f t="shared" si="7"/>
        <v>0</v>
      </c>
    </row>
    <row r="423" spans="1:4" ht="18" hidden="1" x14ac:dyDescent="0.3">
      <c r="A423" s="10" t="s">
        <v>86</v>
      </c>
      <c r="B423" s="8"/>
      <c r="C423" s="8"/>
      <c r="D423" s="8">
        <f t="shared" si="7"/>
        <v>0</v>
      </c>
    </row>
    <row r="424" spans="1:4" ht="18" hidden="1" x14ac:dyDescent="0.3">
      <c r="A424" s="10" t="s">
        <v>87</v>
      </c>
      <c r="B424" s="8"/>
      <c r="C424" s="8"/>
      <c r="D424" s="8">
        <f t="shared" si="7"/>
        <v>0</v>
      </c>
    </row>
    <row r="425" spans="1:4" ht="18" hidden="1" x14ac:dyDescent="0.3">
      <c r="A425" s="10" t="s">
        <v>88</v>
      </c>
      <c r="B425" s="8"/>
      <c r="C425" s="8"/>
      <c r="D425" s="8">
        <f t="shared" si="7"/>
        <v>0</v>
      </c>
    </row>
    <row r="426" spans="1:4" ht="18" hidden="1" x14ac:dyDescent="0.3">
      <c r="A426" s="10" t="s">
        <v>89</v>
      </c>
      <c r="B426" s="8"/>
      <c r="C426" s="8"/>
      <c r="D426" s="8">
        <f t="shared" si="7"/>
        <v>0</v>
      </c>
    </row>
    <row r="427" spans="1:4" ht="18" x14ac:dyDescent="0.3">
      <c r="A427" s="10" t="s">
        <v>90</v>
      </c>
      <c r="B427" s="8">
        <v>42</v>
      </c>
      <c r="C427" s="8">
        <v>6000</v>
      </c>
      <c r="D427" s="8">
        <f t="shared" si="7"/>
        <v>252000</v>
      </c>
    </row>
    <row r="428" spans="1:4" ht="18" hidden="1" x14ac:dyDescent="0.3">
      <c r="A428" s="23" t="s">
        <v>91</v>
      </c>
      <c r="B428" s="8"/>
      <c r="C428" s="8"/>
      <c r="D428" s="8">
        <f t="shared" si="7"/>
        <v>0</v>
      </c>
    </row>
    <row r="429" spans="1:4" ht="18" hidden="1" x14ac:dyDescent="0.3">
      <c r="A429" s="23" t="s">
        <v>92</v>
      </c>
      <c r="B429" s="8"/>
      <c r="C429" s="8"/>
      <c r="D429" s="8">
        <f t="shared" si="7"/>
        <v>0</v>
      </c>
    </row>
    <row r="430" spans="1:4" ht="18" hidden="1" x14ac:dyDescent="0.3">
      <c r="A430" s="23" t="s">
        <v>93</v>
      </c>
      <c r="B430" s="8"/>
      <c r="C430" s="8"/>
      <c r="D430" s="8">
        <f t="shared" si="7"/>
        <v>0</v>
      </c>
    </row>
    <row r="431" spans="1:4" ht="18" hidden="1" x14ac:dyDescent="0.3">
      <c r="A431" s="12" t="s">
        <v>94</v>
      </c>
      <c r="B431" s="8"/>
      <c r="C431" s="8"/>
      <c r="D431" s="8">
        <f t="shared" si="7"/>
        <v>0</v>
      </c>
    </row>
    <row r="432" spans="1:4" ht="18" hidden="1" x14ac:dyDescent="0.3">
      <c r="A432" s="14" t="s">
        <v>95</v>
      </c>
      <c r="B432" s="8"/>
      <c r="C432" s="8"/>
      <c r="D432" s="8">
        <f t="shared" si="7"/>
        <v>0</v>
      </c>
    </row>
    <row r="433" spans="1:4" ht="18" hidden="1" x14ac:dyDescent="0.3">
      <c r="A433" s="12" t="s">
        <v>343</v>
      </c>
      <c r="B433" s="8"/>
      <c r="C433" s="8"/>
      <c r="D433" s="8">
        <f t="shared" si="7"/>
        <v>0</v>
      </c>
    </row>
    <row r="434" spans="1:4" ht="18" hidden="1" x14ac:dyDescent="0.3">
      <c r="A434" s="10" t="s">
        <v>96</v>
      </c>
      <c r="B434" s="8"/>
      <c r="C434" s="8"/>
      <c r="D434" s="8">
        <f t="shared" si="7"/>
        <v>0</v>
      </c>
    </row>
    <row r="435" spans="1:4" ht="18" hidden="1" x14ac:dyDescent="0.3">
      <c r="A435" s="10" t="s">
        <v>97</v>
      </c>
      <c r="B435" s="8"/>
      <c r="C435" s="8"/>
      <c r="D435" s="8">
        <f t="shared" si="7"/>
        <v>0</v>
      </c>
    </row>
    <row r="436" spans="1:4" ht="18" hidden="1" x14ac:dyDescent="0.3">
      <c r="A436" s="12" t="s">
        <v>344</v>
      </c>
      <c r="B436" s="8"/>
      <c r="C436" s="8"/>
      <c r="D436" s="8">
        <f t="shared" si="7"/>
        <v>0</v>
      </c>
    </row>
    <row r="437" spans="1:4" ht="18" hidden="1" x14ac:dyDescent="0.3">
      <c r="A437" s="12" t="s">
        <v>345</v>
      </c>
      <c r="B437" s="8"/>
      <c r="C437" s="8"/>
      <c r="D437" s="8">
        <f t="shared" si="7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7"/>
        <v>0</v>
      </c>
    </row>
    <row r="439" spans="1:4" ht="18" hidden="1" x14ac:dyDescent="0.3">
      <c r="A439" s="23" t="s">
        <v>101</v>
      </c>
      <c r="B439" s="8"/>
      <c r="C439" s="8"/>
      <c r="D439" s="8">
        <f t="shared" si="7"/>
        <v>0</v>
      </c>
    </row>
    <row r="440" spans="1:4" ht="18" hidden="1" x14ac:dyDescent="0.3">
      <c r="A440" s="12" t="s">
        <v>102</v>
      </c>
      <c r="B440" s="8"/>
      <c r="C440" s="8"/>
      <c r="D440" s="8">
        <f t="shared" si="7"/>
        <v>0</v>
      </c>
    </row>
    <row r="441" spans="1:4" ht="18" hidden="1" x14ac:dyDescent="0.3">
      <c r="A441" s="12" t="s">
        <v>346</v>
      </c>
      <c r="B441" s="8"/>
      <c r="C441" s="8"/>
      <c r="D441" s="8">
        <f t="shared" si="7"/>
        <v>0</v>
      </c>
    </row>
    <row r="442" spans="1:4" ht="18" hidden="1" x14ac:dyDescent="0.3">
      <c r="A442" s="10" t="s">
        <v>103</v>
      </c>
      <c r="B442" s="8"/>
      <c r="C442" s="8"/>
      <c r="D442" s="8">
        <f t="shared" si="7"/>
        <v>0</v>
      </c>
    </row>
    <row r="443" spans="1:4" ht="18" hidden="1" x14ac:dyDescent="0.3">
      <c r="A443" s="18" t="s">
        <v>104</v>
      </c>
      <c r="B443" s="8"/>
      <c r="C443" s="8"/>
      <c r="D443" s="8">
        <f t="shared" si="7"/>
        <v>0</v>
      </c>
    </row>
    <row r="444" spans="1:4" ht="18" hidden="1" x14ac:dyDescent="0.3">
      <c r="A444" s="26" t="s">
        <v>105</v>
      </c>
      <c r="B444" s="8"/>
      <c r="C444" s="8"/>
      <c r="D444" s="8">
        <f t="shared" si="7"/>
        <v>0</v>
      </c>
    </row>
    <row r="445" spans="1:4" ht="18" hidden="1" x14ac:dyDescent="0.3">
      <c r="A445" s="26" t="s">
        <v>106</v>
      </c>
      <c r="B445" s="8"/>
      <c r="C445" s="8"/>
      <c r="D445" s="8">
        <f t="shared" si="7"/>
        <v>0</v>
      </c>
    </row>
    <row r="446" spans="1:4" ht="18" hidden="1" x14ac:dyDescent="0.3">
      <c r="A446" s="25" t="s">
        <v>107</v>
      </c>
      <c r="B446" s="8"/>
      <c r="C446" s="8"/>
      <c r="D446" s="8">
        <f t="shared" si="7"/>
        <v>0</v>
      </c>
    </row>
    <row r="447" spans="1:4" ht="18" hidden="1" x14ac:dyDescent="0.3">
      <c r="A447" s="27" t="s">
        <v>108</v>
      </c>
      <c r="B447" s="8"/>
      <c r="C447" s="8"/>
      <c r="D447" s="8">
        <f t="shared" si="7"/>
        <v>0</v>
      </c>
    </row>
    <row r="448" spans="1:4" ht="18" hidden="1" x14ac:dyDescent="0.3">
      <c r="A448" s="10" t="s">
        <v>109</v>
      </c>
      <c r="B448" s="8"/>
      <c r="C448" s="8"/>
      <c r="D448" s="8">
        <f t="shared" si="7"/>
        <v>0</v>
      </c>
    </row>
    <row r="449" spans="1:4" ht="18" hidden="1" x14ac:dyDescent="0.3">
      <c r="A449" s="10" t="s">
        <v>110</v>
      </c>
      <c r="B449" s="8"/>
      <c r="C449" s="8"/>
      <c r="D449" s="8">
        <f t="shared" si="7"/>
        <v>0</v>
      </c>
    </row>
    <row r="450" spans="1:4" ht="18" hidden="1" x14ac:dyDescent="0.3">
      <c r="A450" s="10" t="s">
        <v>111</v>
      </c>
      <c r="B450" s="8"/>
      <c r="C450" s="8"/>
      <c r="D450" s="8">
        <f t="shared" si="7"/>
        <v>0</v>
      </c>
    </row>
    <row r="451" spans="1:4" ht="18" hidden="1" x14ac:dyDescent="0.3">
      <c r="A451" s="10" t="s">
        <v>112</v>
      </c>
      <c r="B451" s="8"/>
      <c r="C451" s="8"/>
      <c r="D451" s="8">
        <f t="shared" si="7"/>
        <v>0</v>
      </c>
    </row>
    <row r="452" spans="1:4" ht="18" hidden="1" x14ac:dyDescent="0.3">
      <c r="A452" s="10" t="s">
        <v>114</v>
      </c>
      <c r="B452" s="8"/>
      <c r="C452" s="8"/>
      <c r="D452" s="8">
        <f t="shared" si="7"/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hidden="1" x14ac:dyDescent="0.3">
      <c r="A461" s="10" t="s">
        <v>122</v>
      </c>
      <c r="B461" s="8"/>
      <c r="C461" s="8"/>
      <c r="D461" s="8">
        <f t="shared" si="7"/>
        <v>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120</v>
      </c>
      <c r="C472" s="8">
        <v>5500</v>
      </c>
      <c r="D472" s="8">
        <f t="shared" si="7"/>
        <v>660000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ref="D474:D537" si="8">B474*C474</f>
        <v>0</v>
      </c>
    </row>
    <row r="475" spans="1:4" ht="18" hidden="1" x14ac:dyDescent="0.3">
      <c r="A475" s="13" t="s">
        <v>138</v>
      </c>
      <c r="B475" s="8"/>
      <c r="C475" s="8"/>
      <c r="D475" s="8">
        <f t="shared" si="8"/>
        <v>0</v>
      </c>
    </row>
    <row r="476" spans="1:4" ht="18" hidden="1" x14ac:dyDescent="0.3">
      <c r="A476" s="10" t="s">
        <v>139</v>
      </c>
      <c r="B476" s="8"/>
      <c r="C476" s="8"/>
      <c r="D476" s="8">
        <f t="shared" si="8"/>
        <v>0</v>
      </c>
    </row>
    <row r="477" spans="1:4" ht="18" hidden="1" x14ac:dyDescent="0.3">
      <c r="A477" s="10" t="s">
        <v>348</v>
      </c>
      <c r="B477" s="8"/>
      <c r="C477" s="8"/>
      <c r="D477" s="8">
        <f t="shared" si="8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8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8"/>
        <v>0</v>
      </c>
    </row>
    <row r="480" spans="1:4" ht="18" hidden="1" x14ac:dyDescent="0.3">
      <c r="A480" s="10" t="s">
        <v>143</v>
      </c>
      <c r="B480" s="8"/>
      <c r="C480" s="8"/>
      <c r="D480" s="8">
        <f t="shared" si="8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8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8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8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8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8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8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8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8"/>
        <v>0</v>
      </c>
    </row>
    <row r="489" spans="1:4" ht="18" hidden="1" x14ac:dyDescent="0.3">
      <c r="A489" s="10" t="s">
        <v>152</v>
      </c>
      <c r="B489" s="8"/>
      <c r="C489" s="8"/>
      <c r="D489" s="8">
        <f t="shared" si="8"/>
        <v>0</v>
      </c>
    </row>
    <row r="490" spans="1:4" ht="18" hidden="1" x14ac:dyDescent="0.3">
      <c r="A490" s="10" t="s">
        <v>349</v>
      </c>
      <c r="B490" s="8"/>
      <c r="C490" s="8"/>
      <c r="D490" s="8">
        <f t="shared" si="8"/>
        <v>0</v>
      </c>
    </row>
    <row r="491" spans="1:4" ht="18" hidden="1" x14ac:dyDescent="0.3">
      <c r="A491" s="10" t="s">
        <v>153</v>
      </c>
      <c r="B491" s="8"/>
      <c r="C491" s="8"/>
      <c r="D491" s="8">
        <f t="shared" si="8"/>
        <v>0</v>
      </c>
    </row>
    <row r="492" spans="1:4" ht="18" x14ac:dyDescent="0.3">
      <c r="A492" s="10" t="s">
        <v>154</v>
      </c>
      <c r="B492" s="8">
        <v>9</v>
      </c>
      <c r="C492" s="8">
        <v>13000</v>
      </c>
      <c r="D492" s="8">
        <f t="shared" si="8"/>
        <v>117000</v>
      </c>
    </row>
    <row r="493" spans="1:4" ht="18" hidden="1" x14ac:dyDescent="0.3">
      <c r="A493" s="10" t="s">
        <v>155</v>
      </c>
      <c r="B493" s="8"/>
      <c r="C493" s="8"/>
      <c r="D493" s="8">
        <f t="shared" si="8"/>
        <v>0</v>
      </c>
    </row>
    <row r="494" spans="1:4" ht="18" hidden="1" x14ac:dyDescent="0.3">
      <c r="A494" s="18" t="s">
        <v>156</v>
      </c>
      <c r="B494" s="8"/>
      <c r="C494" s="8"/>
      <c r="D494" s="8">
        <f t="shared" si="8"/>
        <v>0</v>
      </c>
    </row>
    <row r="495" spans="1:4" ht="18" hidden="1" x14ac:dyDescent="0.3">
      <c r="A495" s="10" t="s">
        <v>157</v>
      </c>
      <c r="B495" s="8"/>
      <c r="C495" s="8"/>
      <c r="D495" s="8">
        <f t="shared" si="8"/>
        <v>0</v>
      </c>
    </row>
    <row r="496" spans="1:4" ht="18" hidden="1" x14ac:dyDescent="0.3">
      <c r="A496" s="10" t="s">
        <v>158</v>
      </c>
      <c r="B496" s="8"/>
      <c r="C496" s="8"/>
      <c r="D496" s="8">
        <f t="shared" si="8"/>
        <v>0</v>
      </c>
    </row>
    <row r="497" spans="1:4" ht="18" x14ac:dyDescent="0.3">
      <c r="A497" s="10" t="s">
        <v>159</v>
      </c>
      <c r="B497" s="8">
        <v>8</v>
      </c>
      <c r="C497" s="8">
        <v>8000</v>
      </c>
      <c r="D497" s="8">
        <f t="shared" si="8"/>
        <v>64000</v>
      </c>
    </row>
    <row r="498" spans="1:4" ht="18" hidden="1" x14ac:dyDescent="0.3">
      <c r="A498" s="10" t="s">
        <v>160</v>
      </c>
      <c r="B498" s="8"/>
      <c r="C498" s="8"/>
      <c r="D498" s="8">
        <f t="shared" si="8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8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8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8"/>
        <v>0</v>
      </c>
    </row>
    <row r="502" spans="1:4" ht="18" hidden="1" x14ac:dyDescent="0.3">
      <c r="A502" s="10" t="s">
        <v>165</v>
      </c>
      <c r="B502" s="8"/>
      <c r="C502" s="8"/>
      <c r="D502" s="8">
        <f t="shared" si="8"/>
        <v>0</v>
      </c>
    </row>
    <row r="503" spans="1:4" ht="18" hidden="1" x14ac:dyDescent="0.3">
      <c r="A503" s="18" t="s">
        <v>166</v>
      </c>
      <c r="B503" s="8"/>
      <c r="C503" s="8"/>
      <c r="D503" s="8">
        <f t="shared" si="8"/>
        <v>0</v>
      </c>
    </row>
    <row r="504" spans="1:4" ht="18" x14ac:dyDescent="0.3">
      <c r="A504" s="10" t="s">
        <v>350</v>
      </c>
      <c r="B504" s="8">
        <v>22</v>
      </c>
      <c r="C504" s="8">
        <v>6500</v>
      </c>
      <c r="D504" s="8">
        <f t="shared" si="8"/>
        <v>143000</v>
      </c>
    </row>
    <row r="505" spans="1:4" ht="18" hidden="1" x14ac:dyDescent="0.3">
      <c r="A505" s="13" t="s">
        <v>167</v>
      </c>
      <c r="B505" s="8"/>
      <c r="C505" s="8"/>
      <c r="D505" s="8">
        <f t="shared" si="8"/>
        <v>0</v>
      </c>
    </row>
    <row r="506" spans="1:4" ht="18" hidden="1" x14ac:dyDescent="0.3">
      <c r="A506" s="10" t="s">
        <v>168</v>
      </c>
      <c r="B506" s="8"/>
      <c r="C506" s="8"/>
      <c r="D506" s="8">
        <f t="shared" si="8"/>
        <v>0</v>
      </c>
    </row>
    <row r="507" spans="1:4" ht="18" hidden="1" x14ac:dyDescent="0.3">
      <c r="A507" s="10" t="s">
        <v>170</v>
      </c>
      <c r="B507" s="8"/>
      <c r="C507" s="8"/>
      <c r="D507" s="8">
        <f t="shared" si="8"/>
        <v>0</v>
      </c>
    </row>
    <row r="508" spans="1:4" ht="18" hidden="1" x14ac:dyDescent="0.3">
      <c r="A508" s="10" t="s">
        <v>171</v>
      </c>
      <c r="B508" s="8"/>
      <c r="C508" s="8"/>
      <c r="D508" s="8">
        <f t="shared" si="8"/>
        <v>0</v>
      </c>
    </row>
    <row r="509" spans="1:4" ht="18" hidden="1" x14ac:dyDescent="0.3">
      <c r="A509" s="22" t="s">
        <v>172</v>
      </c>
      <c r="B509" s="8"/>
      <c r="C509" s="8"/>
      <c r="D509" s="8">
        <f t="shared" si="8"/>
        <v>0</v>
      </c>
    </row>
    <row r="510" spans="1:4" ht="18" hidden="1" x14ac:dyDescent="0.3">
      <c r="A510" s="10" t="s">
        <v>173</v>
      </c>
      <c r="B510" s="8"/>
      <c r="C510" s="8"/>
      <c r="D510" s="8">
        <f t="shared" si="8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8"/>
        <v>0</v>
      </c>
    </row>
    <row r="512" spans="1:4" ht="18" hidden="1" x14ac:dyDescent="0.3">
      <c r="A512" s="12" t="s">
        <v>175</v>
      </c>
      <c r="B512" s="8"/>
      <c r="C512" s="8"/>
      <c r="D512" s="8">
        <f t="shared" si="8"/>
        <v>0</v>
      </c>
    </row>
    <row r="513" spans="1:4" ht="18" hidden="1" x14ac:dyDescent="0.3">
      <c r="A513" s="10" t="s">
        <v>176</v>
      </c>
      <c r="B513" s="8"/>
      <c r="C513" s="8"/>
      <c r="D513" s="8">
        <f t="shared" si="8"/>
        <v>0</v>
      </c>
    </row>
    <row r="514" spans="1:4" ht="18" hidden="1" x14ac:dyDescent="0.3">
      <c r="A514" s="10" t="s">
        <v>177</v>
      </c>
      <c r="B514" s="8"/>
      <c r="C514" s="8"/>
      <c r="D514" s="8">
        <f t="shared" si="8"/>
        <v>0</v>
      </c>
    </row>
    <row r="515" spans="1:4" ht="18" hidden="1" x14ac:dyDescent="0.3">
      <c r="A515" s="13" t="s">
        <v>178</v>
      </c>
      <c r="B515" s="8"/>
      <c r="C515" s="8"/>
      <c r="D515" s="8">
        <f t="shared" si="8"/>
        <v>0</v>
      </c>
    </row>
    <row r="516" spans="1:4" ht="18" hidden="1" x14ac:dyDescent="0.3">
      <c r="A516" s="10" t="s">
        <v>179</v>
      </c>
      <c r="B516" s="8"/>
      <c r="C516" s="8"/>
      <c r="D516" s="8">
        <f t="shared" si="8"/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350+980+100-150</f>
        <v>1280</v>
      </c>
      <c r="C520" s="8">
        <v>8000</v>
      </c>
      <c r="D520" s="8">
        <f t="shared" si="8"/>
        <v>10240000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ref="D538:D601" si="9">B538*C538</f>
        <v>0</v>
      </c>
    </row>
    <row r="539" spans="1:4" ht="18" hidden="1" x14ac:dyDescent="0.3">
      <c r="A539" s="13" t="s">
        <v>202</v>
      </c>
      <c r="B539" s="8"/>
      <c r="C539" s="8"/>
      <c r="D539" s="8">
        <f t="shared" si="9"/>
        <v>0</v>
      </c>
    </row>
    <row r="540" spans="1:4" ht="18" hidden="1" x14ac:dyDescent="0.3">
      <c r="A540" s="10" t="s">
        <v>351</v>
      </c>
      <c r="B540" s="8"/>
      <c r="C540" s="8"/>
      <c r="D540" s="8">
        <f t="shared" si="9"/>
        <v>0</v>
      </c>
    </row>
    <row r="541" spans="1:4" ht="18" hidden="1" x14ac:dyDescent="0.3">
      <c r="A541" s="10" t="s">
        <v>203</v>
      </c>
      <c r="B541" s="8"/>
      <c r="C541" s="8"/>
      <c r="D541" s="8">
        <f t="shared" si="9"/>
        <v>0</v>
      </c>
    </row>
    <row r="542" spans="1:4" ht="18" x14ac:dyDescent="0.3">
      <c r="A542" s="10" t="s">
        <v>204</v>
      </c>
      <c r="B542" s="8">
        <f>500+230</f>
        <v>730</v>
      </c>
      <c r="C542" s="8">
        <v>9000</v>
      </c>
      <c r="D542" s="8">
        <f t="shared" si="9"/>
        <v>6570000</v>
      </c>
    </row>
    <row r="543" spans="1:4" ht="18" hidden="1" x14ac:dyDescent="0.3">
      <c r="A543" s="39" t="s">
        <v>205</v>
      </c>
      <c r="B543" s="8"/>
      <c r="C543" s="8"/>
      <c r="D543" s="8">
        <f t="shared" si="9"/>
        <v>0</v>
      </c>
    </row>
    <row r="544" spans="1:4" ht="18" hidden="1" x14ac:dyDescent="0.3">
      <c r="A544" s="39" t="s">
        <v>206</v>
      </c>
      <c r="B544" s="8"/>
      <c r="C544" s="8"/>
      <c r="D544" s="8">
        <f t="shared" si="9"/>
        <v>0</v>
      </c>
    </row>
    <row r="545" spans="1:4" ht="18" hidden="1" x14ac:dyDescent="0.3">
      <c r="A545" s="10" t="s">
        <v>207</v>
      </c>
      <c r="B545" s="8"/>
      <c r="C545" s="8"/>
      <c r="D545" s="8">
        <f t="shared" si="9"/>
        <v>0</v>
      </c>
    </row>
    <row r="546" spans="1:4" ht="18" hidden="1" x14ac:dyDescent="0.3">
      <c r="A546" s="12" t="s">
        <v>208</v>
      </c>
      <c r="B546" s="8"/>
      <c r="C546" s="8"/>
      <c r="D546" s="8">
        <f t="shared" si="9"/>
        <v>0</v>
      </c>
    </row>
    <row r="547" spans="1:4" ht="18" hidden="1" x14ac:dyDescent="0.3">
      <c r="A547" s="10" t="s">
        <v>209</v>
      </c>
      <c r="B547" s="8"/>
      <c r="C547" s="8"/>
      <c r="D547" s="8">
        <f t="shared" si="9"/>
        <v>0</v>
      </c>
    </row>
    <row r="548" spans="1:4" ht="18" hidden="1" x14ac:dyDescent="0.3">
      <c r="A548" s="12" t="s">
        <v>352</v>
      </c>
      <c r="B548" s="8"/>
      <c r="C548" s="8"/>
      <c r="D548" s="8">
        <f t="shared" si="9"/>
        <v>0</v>
      </c>
    </row>
    <row r="549" spans="1:4" ht="18" hidden="1" x14ac:dyDescent="0.3">
      <c r="A549" s="10" t="s">
        <v>210</v>
      </c>
      <c r="B549" s="8"/>
      <c r="C549" s="8"/>
      <c r="D549" s="8">
        <f t="shared" si="9"/>
        <v>0</v>
      </c>
    </row>
    <row r="550" spans="1:4" ht="18" hidden="1" x14ac:dyDescent="0.3">
      <c r="A550" s="10" t="s">
        <v>211</v>
      </c>
      <c r="B550" s="8"/>
      <c r="C550" s="8"/>
      <c r="D550" s="8">
        <f t="shared" si="9"/>
        <v>0</v>
      </c>
    </row>
    <row r="551" spans="1:4" ht="18" hidden="1" x14ac:dyDescent="0.3">
      <c r="A551" s="10" t="s">
        <v>353</v>
      </c>
      <c r="B551" s="8"/>
      <c r="C551" s="8"/>
      <c r="D551" s="8">
        <f t="shared" si="9"/>
        <v>0</v>
      </c>
    </row>
    <row r="552" spans="1:4" ht="18" hidden="1" x14ac:dyDescent="0.3">
      <c r="A552" s="10" t="s">
        <v>354</v>
      </c>
      <c r="B552" s="8"/>
      <c r="C552" s="8"/>
      <c r="D552" s="8">
        <f t="shared" si="9"/>
        <v>0</v>
      </c>
    </row>
    <row r="553" spans="1:4" ht="18" x14ac:dyDescent="0.3">
      <c r="A553" s="10" t="s">
        <v>212</v>
      </c>
      <c r="B553" s="8">
        <v>7</v>
      </c>
      <c r="C553" s="8">
        <v>17000</v>
      </c>
      <c r="D553" s="8">
        <f t="shared" si="9"/>
        <v>119000</v>
      </c>
    </row>
    <row r="554" spans="1:4" ht="18" hidden="1" x14ac:dyDescent="0.3">
      <c r="A554" s="40" t="s">
        <v>213</v>
      </c>
      <c r="B554" s="8"/>
      <c r="C554" s="8"/>
      <c r="D554" s="8">
        <f t="shared" si="9"/>
        <v>0</v>
      </c>
    </row>
    <row r="555" spans="1:4" ht="18" hidden="1" x14ac:dyDescent="0.3">
      <c r="A555" s="10" t="s">
        <v>214</v>
      </c>
      <c r="B555" s="8"/>
      <c r="C555" s="8"/>
      <c r="D555" s="8">
        <f t="shared" si="9"/>
        <v>0</v>
      </c>
    </row>
    <row r="556" spans="1:4" ht="18" x14ac:dyDescent="0.3">
      <c r="A556" s="10" t="s">
        <v>215</v>
      </c>
      <c r="B556" s="8">
        <v>240</v>
      </c>
      <c r="C556" s="8">
        <v>14500</v>
      </c>
      <c r="D556" s="8">
        <f t="shared" si="9"/>
        <v>3480000</v>
      </c>
    </row>
    <row r="557" spans="1:4" ht="18" hidden="1" x14ac:dyDescent="0.3">
      <c r="A557" s="10" t="s">
        <v>216</v>
      </c>
      <c r="B557" s="8"/>
      <c r="C557" s="8"/>
      <c r="D557" s="8">
        <f t="shared" si="9"/>
        <v>0</v>
      </c>
    </row>
    <row r="558" spans="1:4" ht="18" hidden="1" x14ac:dyDescent="0.3">
      <c r="A558" s="10" t="s">
        <v>355</v>
      </c>
      <c r="B558" s="8"/>
      <c r="C558" s="8"/>
      <c r="D558" s="8">
        <f t="shared" si="9"/>
        <v>0</v>
      </c>
    </row>
    <row r="559" spans="1:4" ht="18" hidden="1" x14ac:dyDescent="0.3">
      <c r="A559" s="10" t="s">
        <v>217</v>
      </c>
      <c r="B559" s="8"/>
      <c r="C559" s="8"/>
      <c r="D559" s="8">
        <f t="shared" si="9"/>
        <v>0</v>
      </c>
    </row>
    <row r="560" spans="1:4" ht="18" hidden="1" x14ac:dyDescent="0.3">
      <c r="A560" s="18" t="s">
        <v>218</v>
      </c>
      <c r="B560" s="8"/>
      <c r="C560" s="8"/>
      <c r="D560" s="8">
        <f t="shared" si="9"/>
        <v>0</v>
      </c>
    </row>
    <row r="561" spans="1:4" ht="18" hidden="1" x14ac:dyDescent="0.3">
      <c r="A561" s="18" t="s">
        <v>219</v>
      </c>
      <c r="B561" s="8"/>
      <c r="C561" s="8"/>
      <c r="D561" s="8">
        <f t="shared" si="9"/>
        <v>0</v>
      </c>
    </row>
    <row r="562" spans="1:4" ht="18" hidden="1" x14ac:dyDescent="0.3">
      <c r="A562" s="18" t="s">
        <v>220</v>
      </c>
      <c r="B562" s="8"/>
      <c r="C562" s="8"/>
      <c r="D562" s="8">
        <f t="shared" si="9"/>
        <v>0</v>
      </c>
    </row>
    <row r="563" spans="1:4" ht="18" hidden="1" x14ac:dyDescent="0.3">
      <c r="A563" s="18" t="s">
        <v>221</v>
      </c>
      <c r="B563" s="8"/>
      <c r="C563" s="8"/>
      <c r="D563" s="8">
        <f t="shared" si="9"/>
        <v>0</v>
      </c>
    </row>
    <row r="564" spans="1:4" ht="18" hidden="1" x14ac:dyDescent="0.3">
      <c r="A564" s="10" t="s">
        <v>222</v>
      </c>
      <c r="B564" s="8"/>
      <c r="C564" s="8"/>
      <c r="D564" s="8">
        <f t="shared" si="9"/>
        <v>0</v>
      </c>
    </row>
    <row r="565" spans="1:4" ht="18" hidden="1" x14ac:dyDescent="0.3">
      <c r="A565" s="10" t="s">
        <v>223</v>
      </c>
      <c r="B565" s="8"/>
      <c r="C565" s="8"/>
      <c r="D565" s="8">
        <f t="shared" si="9"/>
        <v>0</v>
      </c>
    </row>
    <row r="566" spans="1:4" ht="18" hidden="1" x14ac:dyDescent="0.3">
      <c r="A566" s="18" t="s">
        <v>224</v>
      </c>
      <c r="B566" s="8"/>
      <c r="C566" s="8"/>
      <c r="D566" s="8">
        <f t="shared" si="9"/>
        <v>0</v>
      </c>
    </row>
    <row r="567" spans="1:4" ht="18" hidden="1" x14ac:dyDescent="0.3">
      <c r="A567" s="18" t="s">
        <v>225</v>
      </c>
      <c r="B567" s="8"/>
      <c r="C567" s="8"/>
      <c r="D567" s="8">
        <f t="shared" si="9"/>
        <v>0</v>
      </c>
    </row>
    <row r="568" spans="1:4" ht="18" hidden="1" x14ac:dyDescent="0.3">
      <c r="A568" s="12" t="s">
        <v>226</v>
      </c>
      <c r="B568" s="8"/>
      <c r="C568" s="8"/>
      <c r="D568" s="8">
        <f t="shared" si="9"/>
        <v>0</v>
      </c>
    </row>
    <row r="569" spans="1:4" ht="18" hidden="1" x14ac:dyDescent="0.3">
      <c r="A569" s="13" t="s">
        <v>227</v>
      </c>
      <c r="B569" s="8"/>
      <c r="C569" s="8"/>
      <c r="D569" s="8">
        <f t="shared" si="9"/>
        <v>0</v>
      </c>
    </row>
    <row r="570" spans="1:4" ht="18" x14ac:dyDescent="0.3">
      <c r="A570" s="23" t="s">
        <v>356</v>
      </c>
      <c r="B570" s="8">
        <v>7</v>
      </c>
      <c r="C570" s="8">
        <v>12000</v>
      </c>
      <c r="D570" s="8">
        <f t="shared" si="9"/>
        <v>84000</v>
      </c>
    </row>
    <row r="571" spans="1:4" ht="18" x14ac:dyDescent="0.3">
      <c r="A571" s="23" t="s">
        <v>357</v>
      </c>
      <c r="B571" s="8">
        <f>95*2</f>
        <v>190</v>
      </c>
      <c r="C571" s="8">
        <v>25000</v>
      </c>
      <c r="D571" s="8">
        <f t="shared" si="9"/>
        <v>4750000</v>
      </c>
    </row>
    <row r="572" spans="1:4" ht="18" hidden="1" x14ac:dyDescent="0.3">
      <c r="A572" s="12" t="s">
        <v>232</v>
      </c>
      <c r="B572" s="8"/>
      <c r="C572" s="8"/>
      <c r="D572" s="8">
        <f t="shared" si="9"/>
        <v>0</v>
      </c>
    </row>
    <row r="573" spans="1:4" ht="18" hidden="1" x14ac:dyDescent="0.3">
      <c r="A573" s="10" t="s">
        <v>237</v>
      </c>
      <c r="B573" s="8"/>
      <c r="C573" s="8"/>
      <c r="D573" s="8">
        <f t="shared" si="9"/>
        <v>0</v>
      </c>
    </row>
    <row r="574" spans="1:4" ht="18" hidden="1" x14ac:dyDescent="0.3">
      <c r="A574" s="10" t="s">
        <v>238</v>
      </c>
      <c r="B574" s="8"/>
      <c r="C574" s="8"/>
      <c r="D574" s="8">
        <f t="shared" si="9"/>
        <v>0</v>
      </c>
    </row>
    <row r="575" spans="1:4" ht="18" hidden="1" x14ac:dyDescent="0.3">
      <c r="A575" s="14" t="s">
        <v>239</v>
      </c>
      <c r="B575" s="8"/>
      <c r="C575" s="8"/>
      <c r="D575" s="8">
        <f t="shared" si="9"/>
        <v>0</v>
      </c>
    </row>
    <row r="576" spans="1:4" ht="18" hidden="1" x14ac:dyDescent="0.3">
      <c r="A576" s="14" t="s">
        <v>240</v>
      </c>
      <c r="B576" s="8"/>
      <c r="C576" s="8"/>
      <c r="D576" s="8">
        <f t="shared" si="9"/>
        <v>0</v>
      </c>
    </row>
    <row r="577" spans="1:4" ht="18" hidden="1" x14ac:dyDescent="0.3">
      <c r="A577" s="37" t="s">
        <v>241</v>
      </c>
      <c r="B577" s="8"/>
      <c r="C577" s="8"/>
      <c r="D577" s="8">
        <f t="shared" si="9"/>
        <v>0</v>
      </c>
    </row>
    <row r="578" spans="1:4" ht="18" hidden="1" x14ac:dyDescent="0.3">
      <c r="A578" s="10" t="s">
        <v>242</v>
      </c>
      <c r="B578" s="8"/>
      <c r="C578" s="8"/>
      <c r="D578" s="8">
        <f t="shared" si="9"/>
        <v>0</v>
      </c>
    </row>
    <row r="579" spans="1:4" ht="18" hidden="1" x14ac:dyDescent="0.3">
      <c r="A579" s="10" t="s">
        <v>243</v>
      </c>
      <c r="B579" s="8"/>
      <c r="C579" s="8"/>
      <c r="D579" s="8">
        <f t="shared" si="9"/>
        <v>0</v>
      </c>
    </row>
    <row r="580" spans="1:4" ht="18" hidden="1" x14ac:dyDescent="0.3">
      <c r="A580" s="10" t="s">
        <v>244</v>
      </c>
      <c r="B580" s="17"/>
      <c r="C580" s="17"/>
      <c r="D580" s="8">
        <f t="shared" si="9"/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ref="D602:D665" si="10">B602*C602</f>
        <v>0</v>
      </c>
    </row>
    <row r="603" spans="1:4" ht="18" hidden="1" x14ac:dyDescent="0.3">
      <c r="A603" s="12" t="s">
        <v>268</v>
      </c>
      <c r="B603" s="8"/>
      <c r="C603" s="8"/>
      <c r="D603" s="8">
        <f t="shared" si="10"/>
        <v>0</v>
      </c>
    </row>
    <row r="604" spans="1:4" ht="18" hidden="1" x14ac:dyDescent="0.3">
      <c r="A604" s="12" t="s">
        <v>269</v>
      </c>
      <c r="B604" s="8"/>
      <c r="C604" s="8"/>
      <c r="D604" s="8">
        <f t="shared" si="10"/>
        <v>0</v>
      </c>
    </row>
    <row r="605" spans="1:4" ht="18" hidden="1" x14ac:dyDescent="0.3">
      <c r="A605" s="10" t="s">
        <v>270</v>
      </c>
      <c r="B605" s="8"/>
      <c r="C605" s="8"/>
      <c r="D605" s="8">
        <f t="shared" si="10"/>
        <v>0</v>
      </c>
    </row>
    <row r="606" spans="1:4" ht="18" hidden="1" x14ac:dyDescent="0.3">
      <c r="A606" s="10" t="s">
        <v>358</v>
      </c>
      <c r="B606" s="8"/>
      <c r="C606" s="8"/>
      <c r="D606" s="8">
        <f t="shared" si="10"/>
        <v>0</v>
      </c>
    </row>
    <row r="607" spans="1:4" ht="18" hidden="1" x14ac:dyDescent="0.3">
      <c r="A607" s="10" t="s">
        <v>271</v>
      </c>
      <c r="B607" s="8"/>
      <c r="C607" s="8"/>
      <c r="D607" s="8">
        <f t="shared" si="10"/>
        <v>0</v>
      </c>
    </row>
    <row r="608" spans="1:4" ht="18" hidden="1" x14ac:dyDescent="0.3">
      <c r="A608" s="10" t="s">
        <v>359</v>
      </c>
      <c r="B608" s="8"/>
      <c r="C608" s="8"/>
      <c r="D608" s="8">
        <f t="shared" si="10"/>
        <v>0</v>
      </c>
    </row>
    <row r="609" spans="1:4" ht="18" hidden="1" x14ac:dyDescent="0.3">
      <c r="A609" s="10" t="s">
        <v>273</v>
      </c>
      <c r="B609" s="8"/>
      <c r="C609" s="8"/>
      <c r="D609" s="8">
        <f t="shared" si="10"/>
        <v>0</v>
      </c>
    </row>
    <row r="610" spans="1:4" ht="18" hidden="1" x14ac:dyDescent="0.3">
      <c r="A610" s="10" t="s">
        <v>274</v>
      </c>
      <c r="B610" s="8"/>
      <c r="C610" s="8"/>
      <c r="D610" s="8">
        <f t="shared" si="10"/>
        <v>0</v>
      </c>
    </row>
    <row r="611" spans="1:4" ht="18" hidden="1" x14ac:dyDescent="0.3">
      <c r="A611" s="10" t="s">
        <v>275</v>
      </c>
      <c r="B611" s="8"/>
      <c r="C611" s="8"/>
      <c r="D611" s="8">
        <f t="shared" si="10"/>
        <v>0</v>
      </c>
    </row>
    <row r="612" spans="1:4" ht="18" hidden="1" x14ac:dyDescent="0.3">
      <c r="A612" s="37" t="s">
        <v>277</v>
      </c>
      <c r="B612" s="8"/>
      <c r="C612" s="8"/>
      <c r="D612" s="8">
        <f t="shared" si="10"/>
        <v>0</v>
      </c>
    </row>
    <row r="613" spans="1:4" ht="18" hidden="1" x14ac:dyDescent="0.3">
      <c r="A613" s="10" t="s">
        <v>278</v>
      </c>
      <c r="B613" s="8"/>
      <c r="C613" s="8"/>
      <c r="D613" s="8">
        <f t="shared" si="10"/>
        <v>0</v>
      </c>
    </row>
    <row r="614" spans="1:4" ht="18" hidden="1" x14ac:dyDescent="0.3">
      <c r="A614" s="37" t="s">
        <v>279</v>
      </c>
      <c r="B614" s="8"/>
      <c r="C614" s="8"/>
      <c r="D614" s="8">
        <f t="shared" si="10"/>
        <v>0</v>
      </c>
    </row>
    <row r="615" spans="1:4" ht="18" hidden="1" x14ac:dyDescent="0.3">
      <c r="A615" s="12" t="s">
        <v>360</v>
      </c>
      <c r="B615" s="8"/>
      <c r="C615" s="8"/>
      <c r="D615" s="8">
        <f t="shared" si="10"/>
        <v>0</v>
      </c>
    </row>
    <row r="616" spans="1:4" ht="18" hidden="1" x14ac:dyDescent="0.3">
      <c r="A616" s="37" t="s">
        <v>280</v>
      </c>
      <c r="B616" s="8"/>
      <c r="C616" s="8"/>
      <c r="D616" s="8">
        <f t="shared" si="10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10"/>
        <v>0</v>
      </c>
    </row>
    <row r="618" spans="1:4" ht="18" hidden="1" x14ac:dyDescent="0.3">
      <c r="A618" s="18" t="s">
        <v>284</v>
      </c>
      <c r="B618" s="8"/>
      <c r="C618" s="8"/>
      <c r="D618" s="8">
        <f t="shared" si="10"/>
        <v>0</v>
      </c>
    </row>
    <row r="619" spans="1:4" ht="18" hidden="1" x14ac:dyDescent="0.3">
      <c r="A619" s="18" t="s">
        <v>285</v>
      </c>
      <c r="B619" s="8"/>
      <c r="C619" s="8"/>
      <c r="D619" s="8">
        <f t="shared" si="10"/>
        <v>0</v>
      </c>
    </row>
    <row r="620" spans="1:4" ht="18" hidden="1" x14ac:dyDescent="0.3">
      <c r="A620" s="18" t="s">
        <v>286</v>
      </c>
      <c r="B620" s="8"/>
      <c r="C620" s="8"/>
      <c r="D620" s="8">
        <f t="shared" si="10"/>
        <v>0</v>
      </c>
    </row>
    <row r="621" spans="1:4" ht="18" hidden="1" x14ac:dyDescent="0.3">
      <c r="A621" s="10" t="s">
        <v>287</v>
      </c>
      <c r="B621" s="8"/>
      <c r="C621" s="8"/>
      <c r="D621" s="8">
        <f t="shared" si="10"/>
        <v>0</v>
      </c>
    </row>
    <row r="622" spans="1:4" ht="18" hidden="1" x14ac:dyDescent="0.3">
      <c r="A622" s="18" t="s">
        <v>288</v>
      </c>
      <c r="B622" s="8"/>
      <c r="C622" s="8"/>
      <c r="D622" s="8">
        <f t="shared" si="10"/>
        <v>0</v>
      </c>
    </row>
    <row r="623" spans="1:4" ht="18" hidden="1" x14ac:dyDescent="0.3">
      <c r="A623" s="10" t="s">
        <v>289</v>
      </c>
      <c r="B623" s="8"/>
      <c r="C623" s="8"/>
      <c r="D623" s="8">
        <f t="shared" si="10"/>
        <v>0</v>
      </c>
    </row>
    <row r="624" spans="1:4" ht="18" hidden="1" x14ac:dyDescent="0.3">
      <c r="A624" s="10" t="s">
        <v>290</v>
      </c>
      <c r="B624" s="8"/>
      <c r="C624" s="8"/>
      <c r="D624" s="8">
        <f t="shared" si="10"/>
        <v>0</v>
      </c>
    </row>
    <row r="625" spans="1:4" ht="18" hidden="1" x14ac:dyDescent="0.3">
      <c r="A625" s="18" t="s">
        <v>291</v>
      </c>
      <c r="B625" s="8"/>
      <c r="C625" s="8"/>
      <c r="D625" s="8">
        <f t="shared" si="10"/>
        <v>0</v>
      </c>
    </row>
    <row r="626" spans="1:4" ht="18" hidden="1" x14ac:dyDescent="0.3">
      <c r="A626" s="27" t="s">
        <v>292</v>
      </c>
      <c r="B626" s="8"/>
      <c r="C626" s="8"/>
      <c r="D626" s="8">
        <f t="shared" si="10"/>
        <v>0</v>
      </c>
    </row>
    <row r="627" spans="1:4" ht="18" hidden="1" x14ac:dyDescent="0.3">
      <c r="A627" s="10" t="s">
        <v>293</v>
      </c>
      <c r="B627" s="8"/>
      <c r="C627" s="8"/>
      <c r="D627" s="8">
        <f t="shared" si="10"/>
        <v>0</v>
      </c>
    </row>
    <row r="628" spans="1:4" ht="18" hidden="1" x14ac:dyDescent="0.3">
      <c r="A628" s="14" t="s">
        <v>294</v>
      </c>
      <c r="B628" s="8"/>
      <c r="C628" s="8"/>
      <c r="D628" s="8">
        <f t="shared" si="10"/>
        <v>0</v>
      </c>
    </row>
    <row r="629" spans="1:4" ht="18" hidden="1" x14ac:dyDescent="0.3">
      <c r="A629" s="13" t="s">
        <v>296</v>
      </c>
      <c r="B629" s="8"/>
      <c r="C629" s="8"/>
      <c r="D629" s="8">
        <f t="shared" si="10"/>
        <v>0</v>
      </c>
    </row>
    <row r="630" spans="1:4" ht="18" hidden="1" x14ac:dyDescent="0.3">
      <c r="A630" s="18" t="s">
        <v>297</v>
      </c>
      <c r="B630" s="8"/>
      <c r="C630" s="8"/>
      <c r="D630" s="8">
        <f t="shared" si="10"/>
        <v>0</v>
      </c>
    </row>
    <row r="631" spans="1:4" ht="18" hidden="1" x14ac:dyDescent="0.3">
      <c r="A631" s="14" t="s">
        <v>298</v>
      </c>
      <c r="B631" s="8"/>
      <c r="C631" s="8"/>
      <c r="D631" s="8">
        <f t="shared" si="10"/>
        <v>0</v>
      </c>
    </row>
    <row r="632" spans="1:4" ht="18" hidden="1" x14ac:dyDescent="0.3">
      <c r="A632" s="10" t="s">
        <v>299</v>
      </c>
      <c r="B632" s="8"/>
      <c r="C632" s="8"/>
      <c r="D632" s="8">
        <f t="shared" si="10"/>
        <v>0</v>
      </c>
    </row>
    <row r="633" spans="1:4" ht="18" hidden="1" x14ac:dyDescent="0.3">
      <c r="A633" s="18" t="s">
        <v>300</v>
      </c>
      <c r="B633" s="8"/>
      <c r="C633" s="8"/>
      <c r="D633" s="8">
        <f t="shared" si="10"/>
        <v>0</v>
      </c>
    </row>
    <row r="634" spans="1:4" ht="18" hidden="1" x14ac:dyDescent="0.3">
      <c r="A634" s="13" t="s">
        <v>361</v>
      </c>
      <c r="B634" s="8"/>
      <c r="C634" s="8"/>
      <c r="D634" s="8">
        <f t="shared" si="10"/>
        <v>0</v>
      </c>
    </row>
    <row r="635" spans="1:4" ht="18" hidden="1" x14ac:dyDescent="0.3">
      <c r="A635" s="10" t="s">
        <v>362</v>
      </c>
      <c r="B635" s="8"/>
      <c r="C635" s="8"/>
      <c r="D635" s="8">
        <f t="shared" si="10"/>
        <v>0</v>
      </c>
    </row>
    <row r="636" spans="1:4" ht="18" hidden="1" x14ac:dyDescent="0.3">
      <c r="A636" s="12" t="s">
        <v>303</v>
      </c>
      <c r="B636" s="8"/>
      <c r="C636" s="8"/>
      <c r="D636" s="8">
        <f t="shared" si="10"/>
        <v>0</v>
      </c>
    </row>
    <row r="637" spans="1:4" ht="18" hidden="1" x14ac:dyDescent="0.3">
      <c r="A637" s="10" t="s">
        <v>363</v>
      </c>
      <c r="B637" s="8"/>
      <c r="C637" s="8"/>
      <c r="D637" s="8">
        <f t="shared" si="10"/>
        <v>0</v>
      </c>
    </row>
    <row r="638" spans="1:4" ht="18" hidden="1" x14ac:dyDescent="0.3">
      <c r="A638" s="13" t="s">
        <v>304</v>
      </c>
      <c r="B638" s="8"/>
      <c r="C638" s="8"/>
      <c r="D638" s="8">
        <f t="shared" si="10"/>
        <v>0</v>
      </c>
    </row>
    <row r="639" spans="1:4" ht="18" hidden="1" x14ac:dyDescent="0.3">
      <c r="A639" s="13" t="s">
        <v>305</v>
      </c>
      <c r="B639" s="8"/>
      <c r="C639" s="8"/>
      <c r="D639" s="8">
        <f t="shared" si="10"/>
        <v>0</v>
      </c>
    </row>
    <row r="640" spans="1:4" ht="18" hidden="1" x14ac:dyDescent="0.3">
      <c r="A640" s="10" t="s">
        <v>306</v>
      </c>
      <c r="B640" s="8"/>
      <c r="C640" s="8"/>
      <c r="D640" s="8">
        <f t="shared" si="10"/>
        <v>0</v>
      </c>
    </row>
    <row r="641" spans="1:4" ht="18" hidden="1" x14ac:dyDescent="0.3">
      <c r="A641" s="10" t="s">
        <v>307</v>
      </c>
      <c r="B641" s="8"/>
      <c r="C641" s="8"/>
      <c r="D641" s="8">
        <f t="shared" si="10"/>
        <v>0</v>
      </c>
    </row>
    <row r="642" spans="1:4" ht="18" hidden="1" x14ac:dyDescent="0.3">
      <c r="A642" s="10" t="s">
        <v>308</v>
      </c>
      <c r="B642" s="8"/>
      <c r="C642" s="8"/>
      <c r="D642" s="8">
        <f t="shared" si="10"/>
        <v>0</v>
      </c>
    </row>
    <row r="643" spans="1:4" ht="18" hidden="1" x14ac:dyDescent="0.3">
      <c r="A643" s="14" t="s">
        <v>309</v>
      </c>
      <c r="B643" s="8"/>
      <c r="C643" s="8"/>
      <c r="D643" s="8">
        <f t="shared" si="10"/>
        <v>0</v>
      </c>
    </row>
    <row r="644" spans="1:4" ht="18" hidden="1" x14ac:dyDescent="0.3">
      <c r="A644" s="14" t="s">
        <v>310</v>
      </c>
      <c r="B644" s="8"/>
      <c r="C644" s="8"/>
      <c r="D644" s="8">
        <f t="shared" si="10"/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x14ac:dyDescent="0.3">
      <c r="A663" s="10" t="s">
        <v>329</v>
      </c>
      <c r="B663" s="8">
        <v>25</v>
      </c>
      <c r="C663" s="8">
        <v>6800</v>
      </c>
      <c r="D663" s="8">
        <f t="shared" si="10"/>
        <v>170000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x14ac:dyDescent="0.3">
      <c r="A666" s="10" t="s">
        <v>332</v>
      </c>
      <c r="B666" s="8">
        <v>28</v>
      </c>
      <c r="C666" s="8">
        <v>6800</v>
      </c>
      <c r="D666" s="8">
        <f t="shared" ref="D666:D671" si="11">B666*C666</f>
        <v>190400</v>
      </c>
    </row>
    <row r="667" spans="1:4" ht="18" hidden="1" x14ac:dyDescent="0.3">
      <c r="A667" s="10" t="s">
        <v>333</v>
      </c>
      <c r="B667" s="8"/>
      <c r="C667" s="8"/>
      <c r="D667" s="8">
        <f t="shared" si="11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1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1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1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1"/>
        <v>0</v>
      </c>
    </row>
    <row r="672" spans="1:4" ht="17.399999999999999" x14ac:dyDescent="0.3">
      <c r="A672" s="43"/>
      <c r="B672" s="46">
        <f>SUM(B345:B671)</f>
        <v>3165</v>
      </c>
      <c r="C672" s="46"/>
      <c r="D672" s="46">
        <f t="shared" ref="D672" si="12">SUM(D345:D671)</f>
        <v>35038400</v>
      </c>
    </row>
    <row r="674" spans="4:4" x14ac:dyDescent="0.3">
      <c r="D674" s="49">
        <f>D672+D340</f>
        <v>76704400</v>
      </c>
    </row>
  </sheetData>
  <protectedRanges>
    <protectedRange password="CF71" sqref="B3:C339 B1:D2" name="tho"/>
    <protectedRange password="CF71" sqref="D3:D341" name="tho_2"/>
    <protectedRange password="CF71" sqref="B342:D671" name="tho_3"/>
  </protectedRanges>
  <autoFilter ref="A2:D672" xr:uid="{00000000-0009-0000-0000-000007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674"/>
  <sheetViews>
    <sheetView topLeftCell="A275" workbookViewId="0">
      <selection activeCell="D674" sqref="D674"/>
    </sheetView>
  </sheetViews>
  <sheetFormatPr defaultRowHeight="14.4" x14ac:dyDescent="0.3"/>
  <cols>
    <col min="1" max="1" width="36.5546875" customWidth="1"/>
    <col min="3" max="3" width="14.88671875" customWidth="1"/>
    <col min="4" max="4" width="21.5546875" customWidth="1"/>
  </cols>
  <sheetData>
    <row r="1" spans="1:4" x14ac:dyDescent="0.3">
      <c r="A1" s="1" t="s">
        <v>380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6" t="s">
        <v>2</v>
      </c>
      <c r="B3" s="8"/>
      <c r="C3" s="8"/>
      <c r="D3" s="8">
        <f>B3*C3</f>
        <v>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v>106</v>
      </c>
      <c r="C18" s="8">
        <v>4000</v>
      </c>
      <c r="D18" s="8">
        <f t="shared" si="0"/>
        <v>424000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hidden="1" x14ac:dyDescent="0.3">
      <c r="A20" s="10" t="s">
        <v>19</v>
      </c>
      <c r="B20" s="8"/>
      <c r="C20" s="8"/>
      <c r="D20" s="8">
        <f t="shared" si="0"/>
        <v>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120</v>
      </c>
      <c r="C25" s="8">
        <v>8000</v>
      </c>
      <c r="D25" s="8">
        <f t="shared" si="0"/>
        <v>960000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34+12+13</f>
        <v>59</v>
      </c>
      <c r="C28" s="8">
        <v>17000</v>
      </c>
      <c r="D28" s="8">
        <f t="shared" si="0"/>
        <v>1003000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f>210+56</f>
        <v>266</v>
      </c>
      <c r="C37" s="8">
        <v>11463</v>
      </c>
      <c r="D37" s="8">
        <f t="shared" si="0"/>
        <v>3049158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x14ac:dyDescent="0.3">
      <c r="A54" s="13" t="s">
        <v>52</v>
      </c>
      <c r="B54" s="8">
        <f>180+80</f>
        <v>260</v>
      </c>
      <c r="C54" s="8">
        <v>27000</v>
      </c>
      <c r="D54" s="8">
        <f t="shared" si="0"/>
        <v>7020000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20</v>
      </c>
      <c r="C64" s="8">
        <v>25000</v>
      </c>
      <c r="D64" s="8">
        <f t="shared" si="0"/>
        <v>500000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x14ac:dyDescent="0.3">
      <c r="A81" s="10" t="s">
        <v>80</v>
      </c>
      <c r="B81" s="8">
        <v>60</v>
      </c>
      <c r="C81" s="8">
        <v>23000</v>
      </c>
      <c r="D81" s="8">
        <f t="shared" si="1"/>
        <v>1380000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x14ac:dyDescent="0.3">
      <c r="A104" s="26" t="s">
        <v>103</v>
      </c>
      <c r="B104" s="8">
        <v>30</v>
      </c>
      <c r="C104" s="8">
        <v>7500</v>
      </c>
      <c r="D104" s="8">
        <f t="shared" si="1"/>
        <v>225000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v>10</v>
      </c>
      <c r="C111" s="8">
        <v>23000</v>
      </c>
      <c r="D111" s="8">
        <f t="shared" si="1"/>
        <v>230000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x14ac:dyDescent="0.3">
      <c r="A132" s="13" t="s">
        <v>131</v>
      </c>
      <c r="B132" s="17">
        <v>1</v>
      </c>
      <c r="C132" s="17">
        <v>16000</v>
      </c>
      <c r="D132" s="8">
        <f t="shared" ref="D132:D195" si="2">B132*C132</f>
        <v>16000</v>
      </c>
    </row>
    <row r="133" spans="1:4" ht="18" x14ac:dyDescent="0.3">
      <c r="A133" s="10" t="s">
        <v>132</v>
      </c>
      <c r="B133" s="8">
        <v>5</v>
      </c>
      <c r="C133" s="8">
        <v>5000</v>
      </c>
      <c r="D133" s="8">
        <f t="shared" si="2"/>
        <v>25000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24</v>
      </c>
      <c r="C171" s="8">
        <v>11000</v>
      </c>
      <c r="D171" s="8">
        <f t="shared" si="2"/>
        <v>264000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x14ac:dyDescent="0.3">
      <c r="A175" s="34" t="s">
        <v>174</v>
      </c>
      <c r="B175" s="36">
        <v>5</v>
      </c>
      <c r="C175" s="36">
        <v>13000</v>
      </c>
      <c r="D175" s="8">
        <f t="shared" si="2"/>
        <v>65000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140</v>
      </c>
      <c r="C184" s="8">
        <v>8000</v>
      </c>
      <c r="D184" s="8">
        <f t="shared" si="2"/>
        <v>1120000</v>
      </c>
    </row>
    <row r="185" spans="1:4" ht="18" x14ac:dyDescent="0.3">
      <c r="A185" s="10" t="s">
        <v>184</v>
      </c>
      <c r="B185" s="8">
        <v>150</v>
      </c>
      <c r="C185" s="8">
        <v>2100</v>
      </c>
      <c r="D185" s="8">
        <f t="shared" si="2"/>
        <v>315000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20</v>
      </c>
      <c r="C187" s="8">
        <v>20000</v>
      </c>
      <c r="D187" s="8">
        <f t="shared" si="2"/>
        <v>400000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v>500</v>
      </c>
      <c r="C202" s="8">
        <v>20000</v>
      </c>
      <c r="D202" s="8">
        <f t="shared" si="3"/>
        <v>10000000</v>
      </c>
    </row>
    <row r="203" spans="1:4" ht="18" x14ac:dyDescent="0.3">
      <c r="A203" s="13" t="s">
        <v>202</v>
      </c>
      <c r="B203" s="8">
        <f>60+100+80</f>
        <v>240</v>
      </c>
      <c r="C203" s="8">
        <v>19000</v>
      </c>
      <c r="D203" s="8">
        <f t="shared" si="3"/>
        <v>4560000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12</v>
      </c>
      <c r="C211" s="8">
        <v>10000</v>
      </c>
      <c r="D211" s="8">
        <f t="shared" si="3"/>
        <v>120000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200</v>
      </c>
      <c r="C216" s="8">
        <v>14500</v>
      </c>
      <c r="D216" s="8">
        <f t="shared" si="3"/>
        <v>2900000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x14ac:dyDescent="0.3">
      <c r="A230" s="18" t="s">
        <v>229</v>
      </c>
      <c r="B230" s="8">
        <v>1050</v>
      </c>
      <c r="C230" s="8">
        <v>30000</v>
      </c>
      <c r="D230" s="8">
        <f t="shared" si="3"/>
        <v>31500000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v>120</v>
      </c>
      <c r="C251" s="8">
        <v>24000</v>
      </c>
      <c r="D251" s="8">
        <f t="shared" si="3"/>
        <v>2880000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v>8</v>
      </c>
      <c r="C254" s="8">
        <v>11000</v>
      </c>
      <c r="D254" s="8">
        <f t="shared" si="3"/>
        <v>88000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60</v>
      </c>
      <c r="C259" s="8">
        <v>34000</v>
      </c>
      <c r="D259" s="8">
        <f t="shared" si="3"/>
        <v>2040000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v>83</v>
      </c>
      <c r="C263" s="8">
        <v>20000</v>
      </c>
      <c r="D263" s="8">
        <f t="shared" si="4"/>
        <v>1660000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x14ac:dyDescent="0.3">
      <c r="A271" s="10" t="s">
        <v>270</v>
      </c>
      <c r="B271" s="8">
        <v>7</v>
      </c>
      <c r="C271" s="8">
        <v>14000</v>
      </c>
      <c r="D271" s="8">
        <f t="shared" si="4"/>
        <v>98000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v>6</v>
      </c>
      <c r="C275" s="8">
        <v>17000</v>
      </c>
      <c r="D275" s="8">
        <f t="shared" si="4"/>
        <v>102000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20</v>
      </c>
      <c r="C288" s="8">
        <v>9000</v>
      </c>
      <c r="D288" s="8">
        <f t="shared" si="4"/>
        <v>180000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hidden="1" x14ac:dyDescent="0.3">
      <c r="A294" s="10" t="s">
        <v>293</v>
      </c>
      <c r="B294" s="8"/>
      <c r="C294" s="8"/>
      <c r="D294" s="8">
        <f t="shared" si="4"/>
        <v>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3582</v>
      </c>
      <c r="C340" s="46"/>
      <c r="D340" s="8">
        <f>SUM(D18:D288)</f>
        <v>73124158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381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150</v>
      </c>
      <c r="C348" s="8">
        <v>7300</v>
      </c>
      <c r="D348" s="8">
        <f t="shared" si="5"/>
        <v>1095000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hidden="1" x14ac:dyDescent="0.3">
      <c r="A355" s="10" t="s">
        <v>12</v>
      </c>
      <c r="B355" s="8"/>
      <c r="C355" s="8"/>
      <c r="D355" s="8">
        <f t="shared" si="5"/>
        <v>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hidden="1" x14ac:dyDescent="0.3">
      <c r="A362" s="10" t="s">
        <v>19</v>
      </c>
      <c r="B362" s="8"/>
      <c r="C362" s="8"/>
      <c r="D362" s="8">
        <f t="shared" si="5"/>
        <v>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70+250+120</f>
        <v>440</v>
      </c>
      <c r="C389" s="8">
        <v>27000</v>
      </c>
      <c r="D389" s="8">
        <f t="shared" si="6"/>
        <v>11880000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v>70</v>
      </c>
      <c r="C414" s="8">
        <v>29000</v>
      </c>
      <c r="D414" s="8">
        <f t="shared" si="6"/>
        <v>2030000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v>50</v>
      </c>
      <c r="C427" s="8">
        <v>6000</v>
      </c>
      <c r="D427" s="8">
        <f t="shared" si="6"/>
        <v>300000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hidden="1" x14ac:dyDescent="0.3">
      <c r="A461" s="10" t="s">
        <v>122</v>
      </c>
      <c r="B461" s="8"/>
      <c r="C461" s="8"/>
      <c r="D461" s="8">
        <f t="shared" si="7"/>
        <v>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120</v>
      </c>
      <c r="C472" s="8">
        <v>5500</v>
      </c>
      <c r="D472" s="8">
        <f t="shared" si="7"/>
        <v>660000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x14ac:dyDescent="0.3">
      <c r="A497" s="10" t="s">
        <v>159</v>
      </c>
      <c r="B497" s="8">
        <v>3</v>
      </c>
      <c r="C497" s="8">
        <v>8000</v>
      </c>
      <c r="D497" s="8">
        <f t="shared" si="7"/>
        <v>24000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v>45</v>
      </c>
      <c r="C504" s="8">
        <v>6500</v>
      </c>
      <c r="D504" s="8">
        <f t="shared" si="7"/>
        <v>292500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500+560+280+760</f>
        <v>2100</v>
      </c>
      <c r="C520" s="8">
        <v>8000</v>
      </c>
      <c r="D520" s="8">
        <f t="shared" si="8"/>
        <v>16800000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230+150+150+140</f>
        <v>670</v>
      </c>
      <c r="C542" s="8">
        <v>10000</v>
      </c>
      <c r="D542" s="8">
        <f t="shared" si="8"/>
        <v>6700000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x14ac:dyDescent="0.3">
      <c r="A553" s="10" t="s">
        <v>212</v>
      </c>
      <c r="B553" s="8">
        <v>15</v>
      </c>
      <c r="C553" s="8">
        <v>17000</v>
      </c>
      <c r="D553" s="8">
        <f t="shared" si="8"/>
        <v>255000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270+45+195-200</f>
        <v>310</v>
      </c>
      <c r="C556" s="8">
        <v>14500</v>
      </c>
      <c r="D556" s="8">
        <f t="shared" si="8"/>
        <v>4495000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x14ac:dyDescent="0.3">
      <c r="A571" s="23" t="s">
        <v>357</v>
      </c>
      <c r="B571" s="8">
        <f>132*2</f>
        <v>264</v>
      </c>
      <c r="C571" s="8">
        <v>25000</v>
      </c>
      <c r="D571" s="8">
        <f t="shared" si="8"/>
        <v>6600000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x14ac:dyDescent="0.3">
      <c r="A660" s="10" t="s">
        <v>326</v>
      </c>
      <c r="B660" s="8">
        <v>5</v>
      </c>
      <c r="C660" s="8">
        <v>30000</v>
      </c>
      <c r="D660" s="8">
        <f t="shared" si="10"/>
        <v>150000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4242</v>
      </c>
      <c r="C672" s="46"/>
      <c r="D672" s="46">
        <f t="shared" ref="D672" si="11">SUM(D345:D671)</f>
        <v>51281500</v>
      </c>
    </row>
    <row r="674" spans="4:4" x14ac:dyDescent="0.3">
      <c r="D674" s="49">
        <f>D672+D340</f>
        <v>124405658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8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675"/>
  <sheetViews>
    <sheetView topLeftCell="A348" workbookViewId="0">
      <selection activeCell="D675" sqref="D675"/>
    </sheetView>
  </sheetViews>
  <sheetFormatPr defaultRowHeight="14.4" x14ac:dyDescent="0.3"/>
  <cols>
    <col min="1" max="1" width="38.5546875" customWidth="1"/>
    <col min="3" max="3" width="14.6640625" customWidth="1"/>
    <col min="4" max="4" width="19.88671875" customWidth="1"/>
  </cols>
  <sheetData>
    <row r="1" spans="1:4" x14ac:dyDescent="0.3">
      <c r="A1" s="1" t="s">
        <v>382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10</v>
      </c>
      <c r="C3" s="8">
        <v>11000</v>
      </c>
      <c r="D3" s="8">
        <f>B3*C3</f>
        <v>110000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hidden="1" x14ac:dyDescent="0.3">
      <c r="A18" s="14" t="s">
        <v>17</v>
      </c>
      <c r="B18" s="8"/>
      <c r="C18" s="8"/>
      <c r="D18" s="8">
        <f t="shared" si="0"/>
        <v>0</v>
      </c>
    </row>
    <row r="19" spans="1:4" ht="18" x14ac:dyDescent="0.3">
      <c r="A19" s="12" t="s">
        <v>18</v>
      </c>
      <c r="B19" s="8">
        <v>8</v>
      </c>
      <c r="C19" s="47">
        <v>14000</v>
      </c>
      <c r="D19" s="8">
        <f t="shared" si="0"/>
        <v>112000</v>
      </c>
    </row>
    <row r="20" spans="1:4" ht="18" x14ac:dyDescent="0.3">
      <c r="A20" s="10" t="s">
        <v>19</v>
      </c>
      <c r="B20" s="8">
        <v>300</v>
      </c>
      <c r="C20" s="8">
        <v>17000</v>
      </c>
      <c r="D20" s="8">
        <f t="shared" si="0"/>
        <v>5100000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35+30+90+50+60</f>
        <v>265</v>
      </c>
      <c r="C25" s="8">
        <v>12000</v>
      </c>
      <c r="D25" s="8">
        <f t="shared" si="0"/>
        <v>3180000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18+250+120+60</f>
        <v>448</v>
      </c>
      <c r="C28" s="8">
        <v>13480</v>
      </c>
      <c r="D28" s="8">
        <f t="shared" si="0"/>
        <v>6039040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f>105+65+80+10</f>
        <v>260</v>
      </c>
      <c r="C37" s="8">
        <v>11463</v>
      </c>
      <c r="D37" s="8">
        <f t="shared" si="0"/>
        <v>2980380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x14ac:dyDescent="0.3">
      <c r="A47" s="10" t="s">
        <v>45</v>
      </c>
      <c r="B47" s="8">
        <v>47</v>
      </c>
      <c r="C47" s="8">
        <v>23000</v>
      </c>
      <c r="D47" s="8">
        <f t="shared" si="0"/>
        <v>1081000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x14ac:dyDescent="0.3">
      <c r="A57" s="18" t="s">
        <v>55</v>
      </c>
      <c r="B57" s="8">
        <v>10</v>
      </c>
      <c r="C57" s="8">
        <v>16500</v>
      </c>
      <c r="D57" s="8">
        <f t="shared" si="0"/>
        <v>165000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15</v>
      </c>
      <c r="C64" s="8">
        <v>24000</v>
      </c>
      <c r="D64" s="8">
        <f t="shared" si="0"/>
        <v>360000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x14ac:dyDescent="0.3">
      <c r="A77" s="10" t="s">
        <v>75</v>
      </c>
      <c r="B77" s="8">
        <v>30</v>
      </c>
      <c r="C77" s="8">
        <v>10400</v>
      </c>
      <c r="D77" s="8">
        <f t="shared" si="1"/>
        <v>312000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x14ac:dyDescent="0.3">
      <c r="A81" s="10" t="s">
        <v>80</v>
      </c>
      <c r="B81" s="8">
        <v>6</v>
      </c>
      <c r="C81" s="8">
        <v>23000</v>
      </c>
      <c r="D81" s="8">
        <f t="shared" si="1"/>
        <v>138000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x14ac:dyDescent="0.3">
      <c r="A91" s="10" t="s">
        <v>90</v>
      </c>
      <c r="B91" s="8">
        <v>25</v>
      </c>
      <c r="C91" s="8">
        <v>6000</v>
      </c>
      <c r="D91" s="8">
        <f t="shared" si="1"/>
        <v>150000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f>20+15+5</f>
        <v>40</v>
      </c>
      <c r="C111" s="8">
        <v>23000</v>
      </c>
      <c r="D111" s="8">
        <f t="shared" si="1"/>
        <v>920000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x14ac:dyDescent="0.3">
      <c r="A154" s="10" t="s">
        <v>153</v>
      </c>
      <c r="B154" s="8">
        <f>13*0.5</f>
        <v>6.5</v>
      </c>
      <c r="C154" s="8">
        <v>13000</v>
      </c>
      <c r="D154" s="8">
        <f t="shared" si="2"/>
        <v>84500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x14ac:dyDescent="0.3">
      <c r="A169" s="10" t="s">
        <v>168</v>
      </c>
      <c r="B169" s="8">
        <v>135</v>
      </c>
      <c r="C169" s="48">
        <v>6500</v>
      </c>
      <c r="D169" s="8">
        <f t="shared" si="2"/>
        <v>877500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15</v>
      </c>
      <c r="C171" s="8">
        <v>11000</v>
      </c>
      <c r="D171" s="8">
        <f t="shared" si="2"/>
        <v>165000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150</v>
      </c>
      <c r="C184" s="8">
        <v>8000</v>
      </c>
      <c r="D184" s="8">
        <f t="shared" si="2"/>
        <v>1200000</v>
      </c>
    </row>
    <row r="185" spans="1:4" ht="18" x14ac:dyDescent="0.3">
      <c r="A185" s="10" t="s">
        <v>184</v>
      </c>
      <c r="B185" s="8">
        <f>60/0.3</f>
        <v>200</v>
      </c>
      <c r="C185" s="8">
        <v>2100</v>
      </c>
      <c r="D185" s="8">
        <f t="shared" si="2"/>
        <v>420000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20</v>
      </c>
      <c r="C187" s="8">
        <v>20000</v>
      </c>
      <c r="D187" s="8">
        <f t="shared" si="2"/>
        <v>400000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40+90+60+30+240+200</f>
        <v>660</v>
      </c>
      <c r="C202" s="8">
        <v>20000</v>
      </c>
      <c r="D202" s="8">
        <f t="shared" si="3"/>
        <v>13200000</v>
      </c>
    </row>
    <row r="203" spans="1:4" ht="18" x14ac:dyDescent="0.3">
      <c r="A203" s="13" t="s">
        <v>202</v>
      </c>
      <c r="B203" s="8">
        <f>50+80</f>
        <v>130</v>
      </c>
      <c r="C203" s="8">
        <v>19000</v>
      </c>
      <c r="D203" s="8">
        <f t="shared" si="3"/>
        <v>2470000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220</v>
      </c>
      <c r="C216" s="8">
        <v>14500</v>
      </c>
      <c r="D216" s="8">
        <f t="shared" si="3"/>
        <v>3190000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x14ac:dyDescent="0.3">
      <c r="A229" s="12" t="s">
        <v>228</v>
      </c>
      <c r="B229" s="8">
        <v>20</v>
      </c>
      <c r="C229" s="8">
        <v>12000</v>
      </c>
      <c r="D229" s="8">
        <f t="shared" si="3"/>
        <v>240000</v>
      </c>
    </row>
    <row r="230" spans="1:4" ht="18" x14ac:dyDescent="0.3">
      <c r="A230" s="18" t="s">
        <v>229</v>
      </c>
      <c r="B230" s="8">
        <f>830+7</f>
        <v>837</v>
      </c>
      <c r="C230" s="8">
        <v>25000</v>
      </c>
      <c r="D230" s="8">
        <f t="shared" si="3"/>
        <v>20925000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2</v>
      </c>
      <c r="C248" s="8">
        <v>14000</v>
      </c>
      <c r="D248" s="8">
        <f t="shared" si="3"/>
        <v>28000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10+10+10+35+15+30</f>
        <v>110</v>
      </c>
      <c r="C251" s="8">
        <v>24000</v>
      </c>
      <c r="D251" s="8">
        <f t="shared" si="3"/>
        <v>2640000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v>40</v>
      </c>
      <c r="C254" s="8">
        <v>11000</v>
      </c>
      <c r="D254" s="8">
        <f t="shared" si="3"/>
        <v>440000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50</v>
      </c>
      <c r="C259" s="8">
        <v>34000</v>
      </c>
      <c r="D259" s="8">
        <f t="shared" si="3"/>
        <v>1700000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40+10+20+5</f>
        <v>75</v>
      </c>
      <c r="C263" s="8">
        <v>20000</v>
      </c>
      <c r="D263" s="8">
        <f t="shared" si="4"/>
        <v>1500000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hidden="1" x14ac:dyDescent="0.3">
      <c r="A271" s="10" t="s">
        <v>270</v>
      </c>
      <c r="B271" s="8"/>
      <c r="C271" s="8"/>
      <c r="D271" s="8">
        <f t="shared" si="4"/>
        <v>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v>20</v>
      </c>
      <c r="C275" s="8">
        <v>17000</v>
      </c>
      <c r="D275" s="8">
        <f t="shared" si="4"/>
        <v>340000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hidden="1" x14ac:dyDescent="0.3">
      <c r="A288" s="10" t="s">
        <v>287</v>
      </c>
      <c r="B288" s="8"/>
      <c r="C288" s="8"/>
      <c r="D288" s="8">
        <f t="shared" si="4"/>
        <v>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hidden="1" x14ac:dyDescent="0.3">
      <c r="A294" s="10" t="s">
        <v>293</v>
      </c>
      <c r="B294" s="8"/>
      <c r="C294" s="8"/>
      <c r="D294" s="8">
        <f t="shared" si="4"/>
        <v>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4154.5</v>
      </c>
      <c r="C340" s="46"/>
      <c r="D340" s="8">
        <f>SUM(D3:D275)</f>
        <v>70467420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383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130</v>
      </c>
      <c r="C348" s="8">
        <v>7300</v>
      </c>
      <c r="D348" s="8">
        <f t="shared" si="5"/>
        <v>949000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14</v>
      </c>
      <c r="C355" s="8">
        <v>10000</v>
      </c>
      <c r="D355" s="8">
        <f t="shared" si="5"/>
        <v>140000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870-300+5+40</f>
        <v>615</v>
      </c>
      <c r="C362" s="8">
        <v>17000</v>
      </c>
      <c r="D362" s="8">
        <f t="shared" si="5"/>
        <v>10455000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140+260+10+60+20</f>
        <v>490</v>
      </c>
      <c r="C389" s="8">
        <v>26000</v>
      </c>
      <c r="D389" s="8">
        <f t="shared" si="6"/>
        <v>12740000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100+30+10</f>
        <v>140</v>
      </c>
      <c r="C414" s="8">
        <v>29000</v>
      </c>
      <c r="D414" s="8">
        <f t="shared" si="6"/>
        <v>4060000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hidden="1" x14ac:dyDescent="0.3">
      <c r="A427" s="10" t="s">
        <v>90</v>
      </c>
      <c r="B427" s="8"/>
      <c r="C427" s="8"/>
      <c r="D427" s="8">
        <f t="shared" si="6"/>
        <v>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x14ac:dyDescent="0.3">
      <c r="A442" s="10" t="s">
        <v>103</v>
      </c>
      <c r="B442" s="8">
        <v>30</v>
      </c>
      <c r="C442" s="8">
        <v>7500</v>
      </c>
      <c r="D442" s="8">
        <f t="shared" si="6"/>
        <v>225000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hidden="1" x14ac:dyDescent="0.3">
      <c r="A461" s="10" t="s">
        <v>122</v>
      </c>
      <c r="B461" s="8"/>
      <c r="C461" s="8"/>
      <c r="D461" s="8">
        <f t="shared" si="7"/>
        <v>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x14ac:dyDescent="0.3">
      <c r="A470" s="10" t="s">
        <v>132</v>
      </c>
      <c r="B470" s="8">
        <f>25+7</f>
        <v>32</v>
      </c>
      <c r="C470" s="8">
        <v>5000</v>
      </c>
      <c r="D470" s="8">
        <f t="shared" si="7"/>
        <v>160000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f>35+80</f>
        <v>115</v>
      </c>
      <c r="C472" s="8">
        <v>5500</v>
      </c>
      <c r="D472" s="8">
        <f t="shared" si="7"/>
        <v>632500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v>100</v>
      </c>
      <c r="C504" s="8">
        <v>6500</v>
      </c>
      <c r="D504" s="8">
        <f t="shared" si="7"/>
        <v>650000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30+40+220+550+40-150+80+720+400</f>
        <v>1930</v>
      </c>
      <c r="C520" s="8">
        <v>7700</v>
      </c>
      <c r="D520" s="8">
        <f t="shared" si="8"/>
        <v>14861000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340+220+240</f>
        <v>800</v>
      </c>
      <c r="C542" s="8">
        <v>10000</v>
      </c>
      <c r="D542" s="8">
        <f t="shared" si="8"/>
        <v>8000000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x14ac:dyDescent="0.3">
      <c r="A551" s="10" t="s">
        <v>353</v>
      </c>
      <c r="B551" s="8">
        <f>60+30</f>
        <v>90</v>
      </c>
      <c r="C551" s="8">
        <v>10000</v>
      </c>
      <c r="D551" s="8">
        <f t="shared" si="8"/>
        <v>900000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x14ac:dyDescent="0.3">
      <c r="A553" s="10" t="s">
        <v>212</v>
      </c>
      <c r="B553" s="8">
        <v>15</v>
      </c>
      <c r="C553" s="8">
        <v>17000</v>
      </c>
      <c r="D553" s="8">
        <f t="shared" si="8"/>
        <v>255000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40+170</f>
        <v>210</v>
      </c>
      <c r="C556" s="8">
        <v>14500</v>
      </c>
      <c r="D556" s="8">
        <f t="shared" si="8"/>
        <v>3045000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x14ac:dyDescent="0.3">
      <c r="A571" s="23" t="s">
        <v>357</v>
      </c>
      <c r="B571" s="8">
        <f>50/0.5</f>
        <v>100</v>
      </c>
      <c r="C571" s="8">
        <v>30000</v>
      </c>
      <c r="D571" s="8">
        <f t="shared" si="8"/>
        <v>3000000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x14ac:dyDescent="0.3">
      <c r="A621" s="10" t="s">
        <v>287</v>
      </c>
      <c r="B621" s="8">
        <v>25</v>
      </c>
      <c r="C621" s="8">
        <v>9000</v>
      </c>
      <c r="D621" s="8">
        <f t="shared" si="9"/>
        <v>225000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x14ac:dyDescent="0.3">
      <c r="A624" s="10" t="s">
        <v>290</v>
      </c>
      <c r="B624" s="8">
        <v>5</v>
      </c>
      <c r="C624" s="8">
        <v>9000</v>
      </c>
      <c r="D624" s="8">
        <f t="shared" si="9"/>
        <v>45000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4841</v>
      </c>
      <c r="C672" s="46"/>
      <c r="D672" s="46">
        <f t="shared" ref="D672" si="11">SUM(D345:D671)</f>
        <v>60342500</v>
      </c>
    </row>
    <row r="675" spans="4:4" x14ac:dyDescent="0.3">
      <c r="D675" s="49">
        <f>D672+D340</f>
        <v>130809920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9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D674"/>
  <sheetViews>
    <sheetView topLeftCell="A461" workbookViewId="0">
      <selection activeCell="D674" sqref="D674"/>
    </sheetView>
  </sheetViews>
  <sheetFormatPr defaultRowHeight="14.4" x14ac:dyDescent="0.3"/>
  <cols>
    <col min="1" max="1" width="40.5546875" customWidth="1"/>
    <col min="3" max="3" width="16" customWidth="1"/>
    <col min="4" max="4" width="21.6640625" customWidth="1"/>
  </cols>
  <sheetData>
    <row r="1" spans="1:4" x14ac:dyDescent="0.3">
      <c r="A1" s="1" t="s">
        <v>385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12</v>
      </c>
      <c r="C3" s="8">
        <v>11000</v>
      </c>
      <c r="D3" s="8">
        <f>B3*C3</f>
        <v>132000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f>52+37+50+20+46+53+50</f>
        <v>308</v>
      </c>
      <c r="C18" s="8">
        <v>4000</v>
      </c>
      <c r="D18" s="8">
        <f t="shared" si="0"/>
        <v>1232000</v>
      </c>
    </row>
    <row r="19" spans="1:4" ht="18" x14ac:dyDescent="0.3">
      <c r="A19" s="12" t="s">
        <v>18</v>
      </c>
      <c r="B19" s="8">
        <v>16</v>
      </c>
      <c r="C19" s="47">
        <v>14000</v>
      </c>
      <c r="D19" s="8">
        <f t="shared" si="0"/>
        <v>224000</v>
      </c>
    </row>
    <row r="20" spans="1:4" ht="18" hidden="1" x14ac:dyDescent="0.3">
      <c r="A20" s="10" t="s">
        <v>19</v>
      </c>
      <c r="B20" s="8"/>
      <c r="C20" s="8"/>
      <c r="D20" s="8">
        <f t="shared" si="0"/>
        <v>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50</v>
      </c>
      <c r="C25" s="8">
        <v>8000</v>
      </c>
      <c r="D25" s="8">
        <f t="shared" si="0"/>
        <v>400000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18+15</f>
        <v>33</v>
      </c>
      <c r="C28" s="8">
        <v>13000</v>
      </c>
      <c r="D28" s="8">
        <f t="shared" si="0"/>
        <v>429000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f>35+62+27+65+12</f>
        <v>201</v>
      </c>
      <c r="C37" s="8">
        <v>11500</v>
      </c>
      <c r="D37" s="8">
        <f t="shared" si="0"/>
        <v>2311500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x14ac:dyDescent="0.3">
      <c r="A47" s="10" t="s">
        <v>45</v>
      </c>
      <c r="B47" s="8">
        <v>16</v>
      </c>
      <c r="C47" s="8">
        <v>23000</v>
      </c>
      <c r="D47" s="8">
        <f t="shared" si="0"/>
        <v>368000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x14ac:dyDescent="0.3">
      <c r="A55" s="10" t="s">
        <v>53</v>
      </c>
      <c r="B55" s="8">
        <v>7</v>
      </c>
      <c r="C55" s="8">
        <v>16500</v>
      </c>
      <c r="D55" s="8">
        <f t="shared" si="0"/>
        <v>115500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90</v>
      </c>
      <c r="C64" s="8">
        <v>17000</v>
      </c>
      <c r="D64" s="8">
        <f t="shared" si="0"/>
        <v>1530000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40</v>
      </c>
      <c r="C80" s="8">
        <v>32000</v>
      </c>
      <c r="D80" s="8">
        <f t="shared" si="1"/>
        <v>1280000</v>
      </c>
    </row>
    <row r="81" spans="1:4" ht="18" hidden="1" x14ac:dyDescent="0.3">
      <c r="A81" s="10" t="s">
        <v>80</v>
      </c>
      <c r="B81" s="8"/>
      <c r="C81" s="8"/>
      <c r="D81" s="8">
        <f t="shared" si="1"/>
        <v>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x14ac:dyDescent="0.3">
      <c r="A87" s="10" t="s">
        <v>86</v>
      </c>
      <c r="B87" s="8">
        <f>36+15</f>
        <v>51</v>
      </c>
      <c r="C87" s="8">
        <v>12000</v>
      </c>
      <c r="D87" s="8">
        <f t="shared" si="1"/>
        <v>612000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x14ac:dyDescent="0.3">
      <c r="A96" s="14" t="s">
        <v>95</v>
      </c>
      <c r="B96" s="8">
        <v>10</v>
      </c>
      <c r="C96" s="8">
        <v>32000</v>
      </c>
      <c r="D96" s="8">
        <f t="shared" si="1"/>
        <v>320000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f>14+17+11</f>
        <v>42</v>
      </c>
      <c r="C111" s="8">
        <v>23000</v>
      </c>
      <c r="D111" s="8">
        <f t="shared" si="1"/>
        <v>966000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x14ac:dyDescent="0.3">
      <c r="A133" s="10" t="s">
        <v>132</v>
      </c>
      <c r="B133" s="8">
        <v>4</v>
      </c>
      <c r="C133" s="8">
        <v>5000</v>
      </c>
      <c r="D133" s="8">
        <f t="shared" si="2"/>
        <v>20000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x14ac:dyDescent="0.3">
      <c r="A169" s="10" t="s">
        <v>168</v>
      </c>
      <c r="B169" s="8">
        <v>122</v>
      </c>
      <c r="C169" s="48">
        <v>6500</v>
      </c>
      <c r="D169" s="8">
        <f t="shared" si="2"/>
        <v>793000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74</v>
      </c>
      <c r="C171" s="8">
        <v>11000</v>
      </c>
      <c r="D171" s="8">
        <f t="shared" si="2"/>
        <v>814000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x14ac:dyDescent="0.3">
      <c r="A175" s="34" t="s">
        <v>174</v>
      </c>
      <c r="B175" s="36">
        <v>10</v>
      </c>
      <c r="C175" s="36">
        <v>16000</v>
      </c>
      <c r="D175" s="8">
        <f t="shared" si="2"/>
        <v>160000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x14ac:dyDescent="0.3">
      <c r="A177" s="10" t="s">
        <v>176</v>
      </c>
      <c r="B177" s="8">
        <v>3</v>
      </c>
      <c r="C177" s="8">
        <v>42000</v>
      </c>
      <c r="D177" s="8">
        <f t="shared" si="2"/>
        <v>126000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200</v>
      </c>
      <c r="C184" s="8">
        <v>7700</v>
      </c>
      <c r="D184" s="8">
        <f t="shared" si="2"/>
        <v>1540000</v>
      </c>
    </row>
    <row r="185" spans="1:4" ht="18" hidden="1" x14ac:dyDescent="0.3">
      <c r="A185" s="10" t="s">
        <v>184</v>
      </c>
      <c r="B185" s="8"/>
      <c r="C185" s="8"/>
      <c r="D185" s="8">
        <f t="shared" si="2"/>
        <v>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20</v>
      </c>
      <c r="C187" s="8">
        <v>20000</v>
      </c>
      <c r="D187" s="8">
        <f t="shared" si="2"/>
        <v>400000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15+190</f>
        <v>205</v>
      </c>
      <c r="C202" s="8">
        <v>20000</v>
      </c>
      <c r="D202" s="8">
        <f t="shared" si="3"/>
        <v>4100000</v>
      </c>
    </row>
    <row r="203" spans="1:4" ht="18" x14ac:dyDescent="0.3">
      <c r="A203" s="13" t="s">
        <v>202</v>
      </c>
      <c r="B203" s="8">
        <f>200+260+100</f>
        <v>560</v>
      </c>
      <c r="C203" s="8">
        <v>19000</v>
      </c>
      <c r="D203" s="8">
        <f t="shared" si="3"/>
        <v>10640000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34</v>
      </c>
      <c r="C211" s="8">
        <v>10000</v>
      </c>
      <c r="D211" s="8">
        <f t="shared" si="3"/>
        <v>340000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200</v>
      </c>
      <c r="C216" s="8">
        <v>17000</v>
      </c>
      <c r="D216" s="8">
        <f t="shared" si="3"/>
        <v>3400000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x14ac:dyDescent="0.3">
      <c r="A227" s="12" t="s">
        <v>226</v>
      </c>
      <c r="B227" s="8">
        <v>120</v>
      </c>
      <c r="C227" s="8">
        <v>40000</v>
      </c>
      <c r="D227" s="8">
        <f t="shared" si="3"/>
        <v>4800000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x14ac:dyDescent="0.3">
      <c r="A230" s="18" t="s">
        <v>229</v>
      </c>
      <c r="B230" s="8">
        <f>20+25+110+40+160</f>
        <v>355</v>
      </c>
      <c r="C230" s="8">
        <v>25000</v>
      </c>
      <c r="D230" s="8">
        <f t="shared" si="3"/>
        <v>8875000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5+30+100+20+16</f>
        <v>171</v>
      </c>
      <c r="C251" s="8">
        <v>24000</v>
      </c>
      <c r="D251" s="8">
        <f t="shared" si="3"/>
        <v>4104000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f>15+5+15+15</f>
        <v>50</v>
      </c>
      <c r="C254" s="8">
        <v>11000</v>
      </c>
      <c r="D254" s="8">
        <f t="shared" si="3"/>
        <v>550000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7+8+10+40+7</f>
        <v>72</v>
      </c>
      <c r="C259" s="8">
        <v>34000</v>
      </c>
      <c r="D259" s="8">
        <f t="shared" si="3"/>
        <v>2448000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40+8+8+6</f>
        <v>62</v>
      </c>
      <c r="C263" s="8">
        <v>20000</v>
      </c>
      <c r="D263" s="8">
        <f t="shared" si="4"/>
        <v>1240000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x14ac:dyDescent="0.3">
      <c r="A271" s="10" t="s">
        <v>270</v>
      </c>
      <c r="B271" s="8">
        <v>4</v>
      </c>
      <c r="C271" s="8">
        <v>14000</v>
      </c>
      <c r="D271" s="8">
        <f t="shared" si="4"/>
        <v>56000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v>5</v>
      </c>
      <c r="C275" s="8">
        <v>17000</v>
      </c>
      <c r="D275" s="8">
        <f t="shared" si="4"/>
        <v>85000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5</v>
      </c>
      <c r="C288" s="8">
        <v>9000</v>
      </c>
      <c r="D288" s="8">
        <f t="shared" si="4"/>
        <v>45000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v>34</v>
      </c>
      <c r="C291" s="8">
        <v>9000</v>
      </c>
      <c r="D291" s="8">
        <f t="shared" si="4"/>
        <v>306000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hidden="1" x14ac:dyDescent="0.3">
      <c r="A294" s="10" t="s">
        <v>293</v>
      </c>
      <c r="B294" s="8"/>
      <c r="C294" s="8"/>
      <c r="D294" s="8">
        <f t="shared" si="4"/>
        <v>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x14ac:dyDescent="0.3">
      <c r="A310" s="14" t="s">
        <v>309</v>
      </c>
      <c r="B310" s="8">
        <v>3</v>
      </c>
      <c r="C310" s="8">
        <v>36000</v>
      </c>
      <c r="D310" s="8">
        <f t="shared" si="4"/>
        <v>108000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x14ac:dyDescent="0.3">
      <c r="A327" s="10" t="s">
        <v>326</v>
      </c>
      <c r="B327" s="8">
        <v>4</v>
      </c>
      <c r="C327" s="8">
        <v>28000</v>
      </c>
      <c r="D327" s="8">
        <f t="shared" si="5"/>
        <v>112000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x14ac:dyDescent="0.3">
      <c r="A334" s="10" t="s">
        <v>333</v>
      </c>
      <c r="B334" s="8">
        <v>23</v>
      </c>
      <c r="C334" s="8">
        <v>6800</v>
      </c>
      <c r="D334" s="8">
        <f t="shared" si="5"/>
        <v>156400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3216</v>
      </c>
      <c r="C340" s="46"/>
      <c r="D340" s="8">
        <f>SUM(D3:D334)</f>
        <v>55138400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386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120</v>
      </c>
      <c r="C348" s="8">
        <v>7300</v>
      </c>
      <c r="D348" s="8">
        <f t="shared" si="5"/>
        <v>876000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10</v>
      </c>
      <c r="C355" s="8">
        <v>10000</v>
      </c>
      <c r="D355" s="8">
        <f t="shared" si="5"/>
        <v>100000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390+40</f>
        <v>430</v>
      </c>
      <c r="C362" s="8">
        <v>17000</v>
      </c>
      <c r="D362" s="8">
        <f t="shared" si="5"/>
        <v>7310000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210+180+100+240</f>
        <v>730</v>
      </c>
      <c r="C389" s="8">
        <v>20000</v>
      </c>
      <c r="D389" s="8">
        <f t="shared" si="6"/>
        <v>14600000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v>210</v>
      </c>
      <c r="C414" s="8">
        <v>29000</v>
      </c>
      <c r="D414" s="8">
        <f t="shared" si="6"/>
        <v>6090000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f>10+30+6</f>
        <v>46</v>
      </c>
      <c r="C427" s="8">
        <v>6000</v>
      </c>
      <c r="D427" s="8">
        <f t="shared" si="6"/>
        <v>276000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5</v>
      </c>
      <c r="C461" s="8">
        <v>10000</v>
      </c>
      <c r="D461" s="8">
        <f t="shared" si="7"/>
        <v>50000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135</v>
      </c>
      <c r="C472" s="8">
        <v>5500</v>
      </c>
      <c r="D472" s="8">
        <f t="shared" si="7"/>
        <v>742500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x14ac:dyDescent="0.3">
      <c r="A492" s="10" t="s">
        <v>154</v>
      </c>
      <c r="B492" s="8">
        <v>22</v>
      </c>
      <c r="C492" s="8">
        <v>13000</v>
      </c>
      <c r="D492" s="8">
        <f t="shared" si="7"/>
        <v>286000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x14ac:dyDescent="0.3">
      <c r="A497" s="10" t="s">
        <v>159</v>
      </c>
      <c r="B497" s="8">
        <v>7</v>
      </c>
      <c r="C497" s="8">
        <v>10000</v>
      </c>
      <c r="D497" s="8">
        <f t="shared" si="7"/>
        <v>70000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v>114</v>
      </c>
      <c r="C504" s="8">
        <v>6500</v>
      </c>
      <c r="D504" s="8">
        <f t="shared" si="7"/>
        <v>741000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400+460+340+560+880-200</f>
        <v>2440</v>
      </c>
      <c r="C520" s="8">
        <v>7700</v>
      </c>
      <c r="D520" s="8">
        <f t="shared" si="8"/>
        <v>18788000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v>600</v>
      </c>
      <c r="C542" s="8">
        <v>10000</v>
      </c>
      <c r="D542" s="8">
        <f t="shared" si="8"/>
        <v>6000000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x14ac:dyDescent="0.3">
      <c r="A553" s="10" t="s">
        <v>212</v>
      </c>
      <c r="B553" s="8">
        <v>5</v>
      </c>
      <c r="C553" s="8">
        <v>17000</v>
      </c>
      <c r="D553" s="8">
        <f t="shared" si="8"/>
        <v>85000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20+150+240+135-200</f>
        <v>345</v>
      </c>
      <c r="C556" s="8">
        <v>17000</v>
      </c>
      <c r="D556" s="8">
        <f t="shared" si="8"/>
        <v>5865000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x14ac:dyDescent="0.3">
      <c r="A570" s="23" t="s">
        <v>356</v>
      </c>
      <c r="B570" s="8">
        <f>25+23+40</f>
        <v>88</v>
      </c>
      <c r="C570" s="8">
        <v>12000</v>
      </c>
      <c r="D570" s="8">
        <f t="shared" si="8"/>
        <v>1056000</v>
      </c>
    </row>
    <row r="571" spans="1:4" ht="18" x14ac:dyDescent="0.3">
      <c r="A571" s="23" t="s">
        <v>357</v>
      </c>
      <c r="B571" s="8">
        <f>63*2</f>
        <v>126</v>
      </c>
      <c r="C571" s="8">
        <v>40000</v>
      </c>
      <c r="D571" s="8">
        <f t="shared" si="8"/>
        <v>5040000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x14ac:dyDescent="0.3">
      <c r="A663" s="10" t="s">
        <v>329</v>
      </c>
      <c r="B663" s="8">
        <v>15</v>
      </c>
      <c r="C663" s="8">
        <v>6800</v>
      </c>
      <c r="D663" s="8">
        <f t="shared" si="10"/>
        <v>102000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5448</v>
      </c>
      <c r="C672" s="46"/>
      <c r="D672" s="46">
        <f t="shared" ref="D672" si="11">SUM(D345:D671)</f>
        <v>68077500</v>
      </c>
    </row>
    <row r="674" spans="4:4" x14ac:dyDescent="0.3">
      <c r="D674" s="49">
        <f>D672+D340</f>
        <v>123215900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A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D674"/>
  <sheetViews>
    <sheetView topLeftCell="A271" workbookViewId="0">
      <selection activeCell="D674" sqref="D674"/>
    </sheetView>
  </sheetViews>
  <sheetFormatPr defaultRowHeight="14.4" x14ac:dyDescent="0.3"/>
  <cols>
    <col min="1" max="1" width="35.6640625" customWidth="1"/>
    <col min="3" max="3" width="11.6640625" customWidth="1"/>
    <col min="4" max="4" width="20.109375" customWidth="1"/>
  </cols>
  <sheetData>
    <row r="1" spans="1:4" x14ac:dyDescent="0.3">
      <c r="A1" s="1" t="s">
        <v>387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20</v>
      </c>
      <c r="C3" s="8">
        <v>11000</v>
      </c>
      <c r="D3" s="8">
        <f>B3*C3</f>
        <v>220000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f>14+26+30+85+50</f>
        <v>205</v>
      </c>
      <c r="C18" s="8">
        <v>3500</v>
      </c>
      <c r="D18" s="8">
        <f t="shared" si="0"/>
        <v>717500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hidden="1" x14ac:dyDescent="0.3">
      <c r="A20" s="10" t="s">
        <v>19</v>
      </c>
      <c r="B20" s="8"/>
      <c r="C20" s="8"/>
      <c r="D20" s="8">
        <f t="shared" si="0"/>
        <v>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hidden="1" x14ac:dyDescent="0.3">
      <c r="A25" s="10" t="s">
        <v>24</v>
      </c>
      <c r="B25" s="8"/>
      <c r="C25" s="8"/>
      <c r="D25" s="8">
        <f t="shared" si="0"/>
        <v>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v>160</v>
      </c>
      <c r="C28" s="8">
        <v>13000</v>
      </c>
      <c r="D28" s="8">
        <f t="shared" si="0"/>
        <v>2080000</v>
      </c>
    </row>
    <row r="29" spans="1:4" ht="18" hidden="1" x14ac:dyDescent="0.3">
      <c r="A29" s="13" t="s">
        <v>28</v>
      </c>
      <c r="B29" s="8"/>
      <c r="C29" s="8"/>
      <c r="D29" s="8">
        <f t="shared" si="0"/>
        <v>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v>63</v>
      </c>
      <c r="C37" s="8">
        <v>11500</v>
      </c>
      <c r="D37" s="8">
        <f t="shared" si="0"/>
        <v>724500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hidden="1" x14ac:dyDescent="0.3">
      <c r="A39" s="10" t="s">
        <v>37</v>
      </c>
      <c r="B39" s="8"/>
      <c r="C39" s="8"/>
      <c r="D39" s="8">
        <f t="shared" si="0"/>
        <v>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x14ac:dyDescent="0.3">
      <c r="A55" s="10" t="s">
        <v>53</v>
      </c>
      <c r="B55" s="8">
        <v>3</v>
      </c>
      <c r="C55" s="8">
        <v>27500</v>
      </c>
      <c r="D55" s="8">
        <f t="shared" si="0"/>
        <v>82500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x14ac:dyDescent="0.3">
      <c r="A57" s="18" t="s">
        <v>55</v>
      </c>
      <c r="B57" s="8">
        <f>76+8</f>
        <v>84</v>
      </c>
      <c r="C57" s="8">
        <v>16500</v>
      </c>
      <c r="D57" s="8">
        <f t="shared" si="0"/>
        <v>1386000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140</v>
      </c>
      <c r="C64" s="8">
        <v>16000</v>
      </c>
      <c r="D64" s="8">
        <f t="shared" si="0"/>
        <v>2240000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80</v>
      </c>
      <c r="C80" s="8">
        <v>30000</v>
      </c>
      <c r="D80" s="8">
        <f t="shared" si="1"/>
        <v>2400000</v>
      </c>
    </row>
    <row r="81" spans="1:4" ht="18" hidden="1" x14ac:dyDescent="0.3">
      <c r="A81" s="10" t="s">
        <v>80</v>
      </c>
      <c r="B81" s="8"/>
      <c r="C81" s="8"/>
      <c r="D81" s="8">
        <f t="shared" si="1"/>
        <v>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v>20</v>
      </c>
      <c r="C111" s="8">
        <v>23000</v>
      </c>
      <c r="D111" s="8">
        <f t="shared" si="1"/>
        <v>460000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x14ac:dyDescent="0.3">
      <c r="A132" s="13" t="s">
        <v>131</v>
      </c>
      <c r="B132" s="17">
        <v>3</v>
      </c>
      <c r="C132" s="17">
        <v>16000</v>
      </c>
      <c r="D132" s="8">
        <f t="shared" ref="D132:D195" si="2">B132*C132</f>
        <v>48000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x14ac:dyDescent="0.3">
      <c r="A161" s="10" t="s">
        <v>160</v>
      </c>
      <c r="B161" s="8">
        <v>6</v>
      </c>
      <c r="C161" s="8">
        <v>10000</v>
      </c>
      <c r="D161" s="8">
        <f t="shared" si="2"/>
        <v>60000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20</v>
      </c>
      <c r="C171" s="8">
        <v>6500</v>
      </c>
      <c r="D171" s="8">
        <f t="shared" si="2"/>
        <v>130000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x14ac:dyDescent="0.3">
      <c r="A174" s="10" t="s">
        <v>173</v>
      </c>
      <c r="B174" s="8">
        <v>6</v>
      </c>
      <c r="C174" s="8">
        <v>16000</v>
      </c>
      <c r="D174" s="8">
        <f t="shared" si="2"/>
        <v>96000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200</v>
      </c>
      <c r="C184" s="8">
        <v>7700</v>
      </c>
      <c r="D184" s="8">
        <f t="shared" si="2"/>
        <v>1540000</v>
      </c>
    </row>
    <row r="185" spans="1:4" ht="18" x14ac:dyDescent="0.3">
      <c r="A185" s="10" t="s">
        <v>184</v>
      </c>
      <c r="B185" s="8">
        <v>90</v>
      </c>
      <c r="C185" s="8">
        <v>2100</v>
      </c>
      <c r="D185" s="8">
        <f t="shared" si="2"/>
        <v>189000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20</v>
      </c>
      <c r="C187" s="8">
        <v>20000</v>
      </c>
      <c r="D187" s="8">
        <f t="shared" si="2"/>
        <v>400000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v>200</v>
      </c>
      <c r="C202" s="8">
        <v>20000</v>
      </c>
      <c r="D202" s="8">
        <f t="shared" si="3"/>
        <v>4000000</v>
      </c>
    </row>
    <row r="203" spans="1:4" ht="18" x14ac:dyDescent="0.3">
      <c r="A203" s="13" t="s">
        <v>202</v>
      </c>
      <c r="B203" s="8">
        <f>420+90</f>
        <v>510</v>
      </c>
      <c r="C203" s="8">
        <v>19000</v>
      </c>
      <c r="D203" s="8">
        <f t="shared" si="3"/>
        <v>9690000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2" t="s">
        <v>208</v>
      </c>
      <c r="B209" s="8"/>
      <c r="C209" s="8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20</v>
      </c>
      <c r="C211" s="8">
        <v>10000</v>
      </c>
      <c r="D211" s="8">
        <f t="shared" si="3"/>
        <v>200000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250</v>
      </c>
      <c r="C216" s="8">
        <v>17000</v>
      </c>
      <c r="D216" s="8">
        <f t="shared" si="3"/>
        <v>4250000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x14ac:dyDescent="0.3">
      <c r="A227" s="12" t="s">
        <v>226</v>
      </c>
      <c r="B227" s="8">
        <f>140+40+120+45</f>
        <v>345</v>
      </c>
      <c r="C227" s="8">
        <v>40000</v>
      </c>
      <c r="D227" s="8">
        <f t="shared" si="3"/>
        <v>13800000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x14ac:dyDescent="0.3">
      <c r="A230" s="18" t="s">
        <v>229</v>
      </c>
      <c r="B230" s="8">
        <f>49+20</f>
        <v>69</v>
      </c>
      <c r="C230" s="8">
        <v>25000</v>
      </c>
      <c r="D230" s="8">
        <f t="shared" si="3"/>
        <v>1725000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x14ac:dyDescent="0.3">
      <c r="A238" s="10" t="s">
        <v>237</v>
      </c>
      <c r="B238" s="8">
        <v>3</v>
      </c>
      <c r="C238" s="8">
        <v>10000</v>
      </c>
      <c r="D238" s="8">
        <f t="shared" si="3"/>
        <v>30000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20+95+47</f>
        <v>162</v>
      </c>
      <c r="C251" s="8">
        <v>24000</v>
      </c>
      <c r="D251" s="8">
        <f t="shared" si="3"/>
        <v>3888000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v>35</v>
      </c>
      <c r="C254" s="8">
        <v>11000</v>
      </c>
      <c r="D254" s="8">
        <f t="shared" si="3"/>
        <v>385000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32+23</f>
        <v>55</v>
      </c>
      <c r="C259" s="8">
        <v>34000</v>
      </c>
      <c r="D259" s="8">
        <f t="shared" si="3"/>
        <v>1870000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v>43</v>
      </c>
      <c r="C263" s="8">
        <v>20000</v>
      </c>
      <c r="D263" s="8">
        <f t="shared" si="4"/>
        <v>860000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268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x14ac:dyDescent="0.3">
      <c r="A271" s="10" t="s">
        <v>270</v>
      </c>
      <c r="B271" s="8">
        <v>12</v>
      </c>
      <c r="C271" s="8">
        <v>14000</v>
      </c>
      <c r="D271" s="8">
        <f t="shared" si="4"/>
        <v>168000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f>8+3+10+25</f>
        <v>46</v>
      </c>
      <c r="C275" s="8">
        <v>17000</v>
      </c>
      <c r="D275" s="8">
        <f t="shared" si="4"/>
        <v>782000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10</v>
      </c>
      <c r="C288" s="8">
        <v>9000</v>
      </c>
      <c r="D288" s="8">
        <f t="shared" si="4"/>
        <v>90000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f>20+20+40+8+10</f>
        <v>98</v>
      </c>
      <c r="C294" s="8">
        <v>12000</v>
      </c>
      <c r="D294" s="8">
        <f t="shared" si="4"/>
        <v>1176000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x14ac:dyDescent="0.3">
      <c r="A327" s="10" t="s">
        <v>326</v>
      </c>
      <c r="B327" s="8">
        <v>2</v>
      </c>
      <c r="C327" s="8">
        <v>30000</v>
      </c>
      <c r="D327" s="8">
        <f t="shared" si="5"/>
        <v>60000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x14ac:dyDescent="0.3">
      <c r="A331" s="10" t="s">
        <v>330</v>
      </c>
      <c r="B331" s="8">
        <v>24</v>
      </c>
      <c r="C331" s="8">
        <v>6800</v>
      </c>
      <c r="D331" s="8">
        <f t="shared" si="5"/>
        <v>163200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3004</v>
      </c>
      <c r="C340" s="46"/>
      <c r="D340" s="8">
        <f>SUM(D3:D331)</f>
        <v>55910700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384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hidden="1" x14ac:dyDescent="0.3">
      <c r="A348" s="50" t="s">
        <v>5</v>
      </c>
      <c r="B348" s="51"/>
      <c r="C348" s="51"/>
      <c r="D348" s="8">
        <f t="shared" si="5"/>
        <v>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hidden="1" x14ac:dyDescent="0.3">
      <c r="A355" s="10" t="s">
        <v>12</v>
      </c>
      <c r="B355" s="8"/>
      <c r="C355" s="8"/>
      <c r="D355" s="8">
        <f t="shared" si="5"/>
        <v>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v>60</v>
      </c>
      <c r="C362" s="8">
        <v>17000</v>
      </c>
      <c r="D362" s="8">
        <f t="shared" si="5"/>
        <v>1020000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x14ac:dyDescent="0.3">
      <c r="A365" s="10" t="s">
        <v>22</v>
      </c>
      <c r="B365" s="8">
        <v>4.5</v>
      </c>
      <c r="C365" s="8">
        <v>12000</v>
      </c>
      <c r="D365" s="8">
        <f t="shared" si="5"/>
        <v>54000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52" t="s">
        <v>50</v>
      </c>
      <c r="B387" s="53"/>
      <c r="C387" s="53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40+60+120+40+180+40</f>
        <v>480</v>
      </c>
      <c r="C389" s="8">
        <v>19000</v>
      </c>
      <c r="D389" s="8">
        <f t="shared" si="6"/>
        <v>9120000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v>120</v>
      </c>
      <c r="C414" s="8">
        <v>29000</v>
      </c>
      <c r="D414" s="8">
        <f t="shared" si="6"/>
        <v>3480000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v>15</v>
      </c>
      <c r="C427" s="8">
        <v>6000</v>
      </c>
      <c r="D427" s="8">
        <f t="shared" si="6"/>
        <v>90000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54" t="s">
        <v>105</v>
      </c>
      <c r="B444" s="51"/>
      <c r="C444" s="51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55" t="s">
        <v>347</v>
      </c>
      <c r="B454" s="56"/>
      <c r="C454" s="56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hidden="1" x14ac:dyDescent="0.3">
      <c r="A461" s="10" t="s">
        <v>122</v>
      </c>
      <c r="B461" s="8"/>
      <c r="C461" s="8"/>
      <c r="D461" s="8">
        <f t="shared" si="7"/>
        <v>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52" t="s">
        <v>132</v>
      </c>
      <c r="B470" s="53"/>
      <c r="C470" s="53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f>40+5+20</f>
        <v>65</v>
      </c>
      <c r="C472" s="8">
        <v>5500</v>
      </c>
      <c r="D472" s="8">
        <f t="shared" si="7"/>
        <v>357500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hidden="1" x14ac:dyDescent="0.3">
      <c r="A504" s="10" t="s">
        <v>350</v>
      </c>
      <c r="B504" s="8"/>
      <c r="C504" s="8"/>
      <c r="D504" s="8">
        <f t="shared" si="7"/>
        <v>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300+60+240+140+180+920+880-200</f>
        <v>2520</v>
      </c>
      <c r="C520" s="8">
        <v>7700</v>
      </c>
      <c r="D520" s="8">
        <f t="shared" si="8"/>
        <v>19404000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300+280+20</f>
        <v>600</v>
      </c>
      <c r="C542" s="8">
        <v>10000</v>
      </c>
      <c r="D542" s="8">
        <f t="shared" si="8"/>
        <v>6000000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180+95+20</f>
        <v>295</v>
      </c>
      <c r="C556" s="8">
        <v>17000</v>
      </c>
      <c r="D556" s="8">
        <f t="shared" si="8"/>
        <v>5015000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57" t="s">
        <v>356</v>
      </c>
      <c r="B570" s="8"/>
      <c r="C570" s="8"/>
      <c r="D570" s="8">
        <f t="shared" si="8"/>
        <v>0</v>
      </c>
    </row>
    <row r="571" spans="1:4" ht="18" hidden="1" x14ac:dyDescent="0.3">
      <c r="A571" s="57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52" t="s">
        <v>287</v>
      </c>
      <c r="B621" s="53"/>
      <c r="C621" s="53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52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52" t="s">
        <v>313</v>
      </c>
      <c r="B647" s="53"/>
      <c r="C647" s="53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52" t="s">
        <v>329</v>
      </c>
      <c r="B663" s="53"/>
      <c r="C663" s="53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52" t="s">
        <v>332</v>
      </c>
      <c r="B666" s="53"/>
      <c r="C666" s="53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4159.5</v>
      </c>
      <c r="C672" s="46"/>
      <c r="D672" s="46">
        <f t="shared" ref="D672" si="11">SUM(D345:D671)</f>
        <v>44540500</v>
      </c>
    </row>
    <row r="674" spans="4:4" x14ac:dyDescent="0.3">
      <c r="D674" s="49">
        <f>D672+D340</f>
        <v>100451200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B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WOK672"/>
  <sheetViews>
    <sheetView workbookViewId="0">
      <pane xSplit="1" ySplit="6" topLeftCell="B601" activePane="bottomRight" state="frozen"/>
      <selection pane="topRight" activeCell="B1" sqref="B1"/>
      <selection pane="bottomLeft" activeCell="A7" sqref="A7"/>
      <selection pane="bottomRight" activeCell="E672" sqref="E672"/>
    </sheetView>
  </sheetViews>
  <sheetFormatPr defaultColWidth="0" defaultRowHeight="16.8" x14ac:dyDescent="0.3"/>
  <cols>
    <col min="1" max="1" width="41.44140625" style="95" customWidth="1"/>
    <col min="2" max="2" width="6.44140625" style="96" customWidth="1"/>
    <col min="3" max="3" width="13" style="95" customWidth="1"/>
    <col min="4" max="4" width="21.21875" style="97" customWidth="1"/>
    <col min="5" max="5" width="18.6640625" style="98" customWidth="1"/>
    <col min="6" max="6" width="5" style="95" customWidth="1"/>
    <col min="7" max="7" width="6.44140625" style="95" hidden="1" customWidth="1"/>
    <col min="8" max="8" width="7.5546875" style="95" hidden="1" customWidth="1"/>
    <col min="9" max="11" width="6.44140625" style="95" hidden="1" customWidth="1"/>
    <col min="12" max="12" width="5" style="95" customWidth="1"/>
    <col min="13" max="13" width="0" style="95" hidden="1" customWidth="1"/>
    <col min="14" max="14" width="6.44140625" style="95" hidden="1" customWidth="1"/>
    <col min="15" max="15" width="5" style="95" customWidth="1"/>
    <col min="16" max="16" width="0" style="95" hidden="1" customWidth="1"/>
    <col min="17" max="17" width="6.44140625" style="95" hidden="1" customWidth="1"/>
    <col min="18" max="18" width="8.44140625" style="95" hidden="1" customWidth="1"/>
    <col min="19" max="19" width="0" style="95" hidden="1" customWidth="1"/>
    <col min="20" max="20" width="6.44140625" style="95" hidden="1" customWidth="1"/>
    <col min="21" max="21" width="0" style="95" hidden="1" customWidth="1"/>
    <col min="22" max="22" width="9" style="95" hidden="1" customWidth="1"/>
    <col min="23" max="23" width="6.44140625" style="95" customWidth="1"/>
    <col min="24" max="24" width="11" style="95" hidden="1" customWidth="1"/>
    <col min="25" max="25" width="6.44140625" style="95" hidden="1" customWidth="1"/>
    <col min="26" max="26" width="8.5546875" style="95" hidden="1" customWidth="1"/>
    <col min="27" max="29" width="6.44140625" style="95" hidden="1" customWidth="1"/>
    <col min="30" max="30" width="7" style="95" hidden="1" customWidth="1"/>
    <col min="31" max="31" width="8.88671875" style="95" hidden="1" customWidth="1"/>
    <col min="32" max="33" width="7" style="95" hidden="1" customWidth="1"/>
    <col min="34" max="34" width="8.88671875" style="95" hidden="1" customWidth="1"/>
    <col min="35" max="37" width="7" style="95" hidden="1" customWidth="1"/>
    <col min="38" max="38" width="8.88671875" style="95" hidden="1" customWidth="1"/>
    <col min="39" max="39" width="7.5546875" style="95" hidden="1" customWidth="1"/>
    <col min="40" max="40" width="7" style="95" hidden="1" customWidth="1"/>
    <col min="41" max="41" width="8.88671875" style="95" hidden="1" customWidth="1"/>
    <col min="42" max="43" width="7" style="95" hidden="1" customWidth="1"/>
    <col min="44" max="44" width="8.88671875" style="95" hidden="1" customWidth="1"/>
    <col min="45" max="48" width="6.44140625" style="95" customWidth="1"/>
    <col min="49" max="49" width="6.88671875" style="95" customWidth="1"/>
    <col min="50" max="50" width="6.44140625" style="95" customWidth="1"/>
    <col min="51" max="51" width="8.44140625" style="95" hidden="1" customWidth="1"/>
    <col min="52" max="60" width="11.44140625" style="95" hidden="1" customWidth="1"/>
    <col min="61" max="62" width="7" style="95" hidden="1" customWidth="1"/>
    <col min="63" max="63" width="8.88671875" style="95" hidden="1" customWidth="1"/>
    <col min="64" max="64" width="7.5546875" style="95" hidden="1" customWidth="1"/>
    <col min="65" max="65" width="7" style="95" hidden="1" customWidth="1"/>
    <col min="66" max="66" width="8.88671875" style="95" hidden="1" customWidth="1"/>
    <col min="67" max="67" width="7" style="95" hidden="1" customWidth="1"/>
    <col min="68" max="68" width="6.5546875" style="95" customWidth="1"/>
    <col min="69" max="69" width="6.44140625" style="95" customWidth="1"/>
    <col min="70" max="71" width="7" style="95" hidden="1" customWidth="1"/>
    <col min="72" max="72" width="6.44140625" style="95" customWidth="1"/>
    <col min="73" max="74" width="7" style="95" hidden="1" customWidth="1"/>
    <col min="75" max="75" width="7.44140625" style="95" customWidth="1"/>
    <col min="76" max="76" width="8.44140625" style="95" hidden="1" customWidth="1"/>
    <col min="77" max="77" width="6.44140625" style="95" customWidth="1"/>
    <col min="78" max="92" width="11.44140625" style="95" hidden="1" customWidth="1"/>
    <col min="93" max="94" width="7" style="95" hidden="1" customWidth="1"/>
    <col min="95" max="95" width="8.88671875" style="95" hidden="1" customWidth="1"/>
    <col min="96" max="96" width="7.5546875" style="95" hidden="1" customWidth="1"/>
    <col min="97" max="97" width="7" style="95" hidden="1" customWidth="1"/>
    <col min="98" max="98" width="8.88671875" style="95" hidden="1" customWidth="1"/>
    <col min="99" max="100" width="7" style="95" hidden="1" customWidth="1"/>
    <col min="101" max="101" width="8.88671875" style="95" hidden="1" customWidth="1"/>
    <col min="102" max="103" width="7" style="95" hidden="1" customWidth="1"/>
    <col min="104" max="104" width="8.88671875" style="95" hidden="1" customWidth="1"/>
    <col min="105" max="106" width="7" style="95" hidden="1" customWidth="1"/>
    <col min="107" max="107" width="6.44140625" style="95" hidden="1" customWidth="1"/>
    <col min="108" max="108" width="8.44140625" style="95" hidden="1" customWidth="1"/>
    <col min="109" max="116" width="11.44140625" style="95" hidden="1" customWidth="1"/>
    <col min="117" max="119" width="11.44140625" style="95" hidden="1"/>
    <col min="120" max="120" width="6.44140625" style="95" hidden="1"/>
    <col min="121" max="121" width="7.5546875" style="95" hidden="1"/>
    <col min="122" max="123" width="9.44140625" style="95" hidden="1"/>
    <col min="124" max="124" width="5" style="95" hidden="1"/>
    <col min="125" max="130" width="0" style="95" hidden="1"/>
    <col min="131" max="131" width="6.44140625" style="95" hidden="1"/>
    <col min="132" max="132" width="5.88671875" style="95" hidden="1"/>
    <col min="133" max="133" width="7" style="95" hidden="1"/>
    <col min="134" max="134" width="7.44140625" style="95" hidden="1"/>
    <col min="135" max="137" width="6.44140625" style="95" hidden="1"/>
    <col min="138" max="138" width="8.44140625" style="95" hidden="1"/>
    <col min="139" max="139" width="6.44140625" style="95" hidden="1"/>
    <col min="140" max="140" width="5" style="95" hidden="1"/>
    <col min="141" max="142" width="6.44140625" style="95" hidden="1"/>
    <col min="143" max="143" width="41.44140625" style="95" customWidth="1"/>
    <col min="144" max="144" width="6.44140625" style="95" customWidth="1"/>
    <col min="145" max="145" width="14.6640625" style="95" customWidth="1"/>
    <col min="146" max="146" width="11.44140625" style="95" customWidth="1"/>
    <col min="147" max="148" width="13" style="95" customWidth="1"/>
    <col min="149" max="149" width="9.44140625" style="95" customWidth="1"/>
    <col min="150" max="150" width="6.44140625" style="95" hidden="1" customWidth="1"/>
    <col min="151" max="151" width="8.44140625" style="95" hidden="1" customWidth="1"/>
    <col min="152" max="152" width="0" style="95" hidden="1" customWidth="1"/>
    <col min="153" max="153" width="6.44140625" style="95" hidden="1" customWidth="1"/>
    <col min="154" max="154" width="8.44140625" style="95" hidden="1" customWidth="1"/>
    <col min="155" max="155" width="0" style="95" hidden="1" customWidth="1"/>
    <col min="156" max="156" width="6.44140625" style="95" hidden="1" customWidth="1"/>
    <col min="157" max="157" width="0" style="95" hidden="1" customWidth="1"/>
    <col min="158" max="159" width="9" style="95" hidden="1" customWidth="1"/>
    <col min="160" max="160" width="11" style="95" hidden="1" customWidth="1"/>
    <col min="161" max="161" width="10.109375" style="95" customWidth="1"/>
    <col min="162" max="162" width="8.5546875" style="95" hidden="1" customWidth="1"/>
    <col min="163" max="165" width="6.44140625" style="95" hidden="1" customWidth="1"/>
    <col min="166" max="166" width="7" style="95" hidden="1" customWidth="1"/>
    <col min="167" max="167" width="8.88671875" style="95" hidden="1" customWidth="1"/>
    <col min="168" max="169" width="7" style="95" hidden="1" customWidth="1"/>
    <col min="170" max="170" width="8.88671875" style="95" hidden="1" customWidth="1"/>
    <col min="171" max="171" width="8.6640625" style="95" customWidth="1"/>
    <col min="172" max="172" width="7" style="95" hidden="1" customWidth="1"/>
    <col min="173" max="173" width="9.44140625" style="95" customWidth="1"/>
    <col min="174" max="174" width="8.88671875" style="95" hidden="1" customWidth="1"/>
    <col min="175" max="176" width="11.44140625" style="95" customWidth="1"/>
    <col min="177" max="177" width="26.6640625" style="95" customWidth="1"/>
    <col min="178" max="178" width="9.109375" style="95" bestFit="1" customWidth="1"/>
    <col min="179" max="179" width="14.6640625" style="95" customWidth="1"/>
    <col min="180" max="180" width="9.88671875" style="95" customWidth="1"/>
    <col min="181" max="181" width="9.109375" style="95" bestFit="1" customWidth="1"/>
    <col min="182" max="182" width="7" style="95" hidden="1" customWidth="1"/>
    <col min="183" max="183" width="8.88671875" style="95" hidden="1" customWidth="1"/>
    <col min="184" max="185" width="7" style="95" hidden="1" customWidth="1"/>
    <col min="186" max="186" width="6.44140625" style="95" hidden="1" customWidth="1"/>
    <col min="187" max="187" width="8.44140625" style="95" hidden="1" customWidth="1"/>
    <col min="188" max="196" width="11.44140625" style="95" hidden="1" customWidth="1"/>
    <col min="197" max="198" width="7" style="95" hidden="1" customWidth="1"/>
    <col min="199" max="199" width="8.88671875" style="95" hidden="1" customWidth="1"/>
    <col min="200" max="200" width="7.5546875" style="95" hidden="1" customWidth="1"/>
    <col min="201" max="201" width="7" style="95" hidden="1" customWidth="1"/>
    <col min="202" max="202" width="8.88671875" style="95" hidden="1" customWidth="1"/>
    <col min="203" max="204" width="7" style="95" hidden="1" customWidth="1"/>
    <col min="205" max="205" width="8.88671875" style="95" hidden="1" customWidth="1"/>
    <col min="206" max="207" width="7" style="95" hidden="1" customWidth="1"/>
    <col min="208" max="208" width="8.88671875" style="95" hidden="1" customWidth="1"/>
    <col min="209" max="210" width="7" style="95" hidden="1" customWidth="1"/>
    <col min="211" max="211" width="6.44140625" style="95" hidden="1" customWidth="1"/>
    <col min="212" max="212" width="8.44140625" style="95" hidden="1" customWidth="1"/>
    <col min="213" max="223" width="11.44140625" style="95" hidden="1" customWidth="1"/>
    <col min="224" max="224" width="8.44140625" style="95" customWidth="1"/>
    <col min="225" max="228" width="11.44140625" style="95" hidden="1" customWidth="1"/>
    <col min="229" max="230" width="7" style="95" hidden="1" customWidth="1"/>
    <col min="231" max="231" width="8.88671875" style="95" hidden="1" customWidth="1"/>
    <col min="232" max="232" width="7.5546875" style="95" hidden="1" customWidth="1"/>
    <col min="233" max="233" width="7" style="95" hidden="1" customWidth="1"/>
    <col min="234" max="234" width="8.88671875" style="95" hidden="1" customWidth="1"/>
    <col min="235" max="236" width="7" style="95" hidden="1" customWidth="1"/>
    <col min="237" max="237" width="8.88671875" style="95" hidden="1" customWidth="1"/>
    <col min="238" max="239" width="7" style="95" hidden="1" customWidth="1"/>
    <col min="240" max="240" width="8.88671875" style="95" hidden="1" customWidth="1"/>
    <col min="241" max="242" width="7" style="95" hidden="1" customWidth="1"/>
    <col min="243" max="243" width="6.44140625" style="95" hidden="1" customWidth="1"/>
    <col min="244" max="244" width="8.44140625" style="95" hidden="1" customWidth="1"/>
    <col min="245" max="255" width="11.44140625" style="95" hidden="1" customWidth="1"/>
    <col min="256" max="259" width="7" style="95" hidden="1" customWidth="1"/>
    <col min="260" max="260" width="9.44140625" style="95" customWidth="1"/>
    <col min="261" max="261" width="7" style="95" hidden="1" customWidth="1"/>
    <col min="262" max="262" width="5" style="95" customWidth="1"/>
    <col min="263" max="267" width="7" style="95" hidden="1" customWidth="1"/>
    <col min="268" max="268" width="5" style="95" customWidth="1"/>
    <col min="269" max="270" width="7" style="95" hidden="1" customWidth="1"/>
    <col min="271" max="271" width="5" style="95" customWidth="1"/>
    <col min="272" max="278" width="7" style="95" hidden="1" customWidth="1"/>
    <col min="279" max="279" width="6.44140625" style="95" customWidth="1"/>
    <col min="280" max="300" width="7" style="95" hidden="1" customWidth="1"/>
    <col min="301" max="304" width="6.44140625" style="95" customWidth="1"/>
    <col min="305" max="305" width="6.88671875" style="95" customWidth="1"/>
    <col min="306" max="306" width="6.44140625" style="95" customWidth="1"/>
    <col min="307" max="323" width="7" style="95" hidden="1" customWidth="1"/>
    <col min="324" max="324" width="6.5546875" style="95" customWidth="1"/>
    <col min="325" max="325" width="6.44140625" style="95" customWidth="1"/>
    <col min="326" max="327" width="7" style="95" hidden="1" customWidth="1"/>
    <col min="328" max="328" width="6.44140625" style="95" customWidth="1"/>
    <col min="329" max="330" width="7" style="95" hidden="1" customWidth="1"/>
    <col min="331" max="331" width="7.44140625" style="95" customWidth="1"/>
    <col min="332" max="332" width="7" style="95" hidden="1" customWidth="1"/>
    <col min="333" max="333" width="6.44140625" style="95" customWidth="1"/>
    <col min="334" max="372" width="7" style="95" hidden="1" customWidth="1"/>
    <col min="373" max="398" width="7" style="95" hidden="1"/>
    <col min="399" max="399" width="41.44140625" style="95" customWidth="1"/>
    <col min="400" max="400" width="6.44140625" style="95" customWidth="1"/>
    <col min="401" max="401" width="14.6640625" style="95" customWidth="1"/>
    <col min="402" max="402" width="11.44140625" style="95" customWidth="1"/>
    <col min="403" max="404" width="13" style="95" customWidth="1"/>
    <col min="405" max="405" width="9.44140625" style="95" customWidth="1"/>
    <col min="406" max="416" width="7" style="95" hidden="1" customWidth="1"/>
    <col min="417" max="417" width="10.109375" style="95" customWidth="1"/>
    <col min="418" max="426" width="7" style="95" hidden="1" customWidth="1"/>
    <col min="427" max="427" width="8.6640625" style="95" customWidth="1"/>
    <col min="428" max="428" width="7" style="95" hidden="1" customWidth="1"/>
    <col min="429" max="429" width="9.44140625" style="95" customWidth="1"/>
    <col min="430" max="430" width="7" style="95" hidden="1" customWidth="1"/>
    <col min="431" max="432" width="11.44140625" style="95" customWidth="1"/>
    <col min="433" max="433" width="26.6640625" style="95" customWidth="1"/>
    <col min="434" max="434" width="9.109375" style="95" bestFit="1" customWidth="1"/>
    <col min="435" max="435" width="14.6640625" style="95" customWidth="1"/>
    <col min="436" max="436" width="9.88671875" style="95" customWidth="1"/>
    <col min="437" max="437" width="9.109375" style="95" bestFit="1" customWidth="1"/>
    <col min="438" max="479" width="7" style="95" hidden="1" customWidth="1"/>
    <col min="480" max="480" width="8.44140625" style="95" customWidth="1"/>
    <col min="481" max="515" width="7" style="95" hidden="1" customWidth="1"/>
    <col min="516" max="516" width="9.44140625" style="95" customWidth="1"/>
    <col min="517" max="517" width="7" style="95" hidden="1" customWidth="1"/>
    <col min="518" max="518" width="5" style="95" customWidth="1"/>
    <col min="519" max="523" width="7" style="95" hidden="1" customWidth="1"/>
    <col min="524" max="524" width="5" style="95" customWidth="1"/>
    <col min="525" max="526" width="7" style="95" hidden="1" customWidth="1"/>
    <col min="527" max="527" width="5" style="95" customWidth="1"/>
    <col min="528" max="534" width="7" style="95" hidden="1" customWidth="1"/>
    <col min="535" max="535" width="6.44140625" style="95" customWidth="1"/>
    <col min="536" max="556" width="7" style="95" hidden="1" customWidth="1"/>
    <col min="557" max="560" width="6.44140625" style="95" customWidth="1"/>
    <col min="561" max="561" width="6.88671875" style="95" customWidth="1"/>
    <col min="562" max="562" width="6.44140625" style="95" customWidth="1"/>
    <col min="563" max="579" width="7" style="95" hidden="1" customWidth="1"/>
    <col min="580" max="580" width="6.5546875" style="95" customWidth="1"/>
    <col min="581" max="581" width="6.44140625" style="95" customWidth="1"/>
    <col min="582" max="583" width="7" style="95" hidden="1" customWidth="1"/>
    <col min="584" max="584" width="6.44140625" style="95" customWidth="1"/>
    <col min="585" max="586" width="7" style="95" hidden="1" customWidth="1"/>
    <col min="587" max="587" width="7.44140625" style="95" customWidth="1"/>
    <col min="588" max="588" width="7" style="95" hidden="1" customWidth="1"/>
    <col min="589" max="589" width="6.44140625" style="95" customWidth="1"/>
    <col min="590" max="628" width="7" style="95" hidden="1" customWidth="1"/>
    <col min="629" max="654" width="7" style="95" hidden="1"/>
    <col min="655" max="655" width="41.44140625" style="95" customWidth="1"/>
    <col min="656" max="656" width="6.44140625" style="95" customWidth="1"/>
    <col min="657" max="657" width="14.6640625" style="95" customWidth="1"/>
    <col min="658" max="658" width="11.44140625" style="95" customWidth="1"/>
    <col min="659" max="660" width="13" style="95" customWidth="1"/>
    <col min="661" max="661" width="9.44140625" style="95" customWidth="1"/>
    <col min="662" max="672" width="7" style="95" hidden="1" customWidth="1"/>
    <col min="673" max="673" width="10.109375" style="95" customWidth="1"/>
    <col min="674" max="682" width="7" style="95" hidden="1" customWidth="1"/>
    <col min="683" max="683" width="8.6640625" style="95" customWidth="1"/>
    <col min="684" max="684" width="7" style="95" hidden="1" customWidth="1"/>
    <col min="685" max="685" width="9.44140625" style="95" customWidth="1"/>
    <col min="686" max="686" width="7" style="95" hidden="1" customWidth="1"/>
    <col min="687" max="688" width="11.44140625" style="95" customWidth="1"/>
    <col min="689" max="689" width="26.6640625" style="95" customWidth="1"/>
    <col min="690" max="690" width="9.109375" style="95" bestFit="1" customWidth="1"/>
    <col min="691" max="691" width="14.6640625" style="95" customWidth="1"/>
    <col min="692" max="692" width="9.88671875" style="95" customWidth="1"/>
    <col min="693" max="693" width="9.109375" style="95" bestFit="1" customWidth="1"/>
    <col min="694" max="735" width="7" style="95" hidden="1" customWidth="1"/>
    <col min="736" max="736" width="8.44140625" style="95" customWidth="1"/>
    <col min="737" max="771" width="7" style="95" hidden="1" customWidth="1"/>
    <col min="772" max="772" width="9.44140625" style="95" customWidth="1"/>
    <col min="773" max="773" width="7" style="95" hidden="1" customWidth="1"/>
    <col min="774" max="774" width="5" style="95" customWidth="1"/>
    <col min="775" max="779" width="7" style="95" hidden="1" customWidth="1"/>
    <col min="780" max="780" width="5" style="95" customWidth="1"/>
    <col min="781" max="782" width="7" style="95" hidden="1" customWidth="1"/>
    <col min="783" max="783" width="5" style="95" customWidth="1"/>
    <col min="784" max="790" width="7" style="95" hidden="1" customWidth="1"/>
    <col min="791" max="791" width="6.44140625" style="95" customWidth="1"/>
    <col min="792" max="812" width="7" style="95" hidden="1" customWidth="1"/>
    <col min="813" max="816" width="6.44140625" style="95" customWidth="1"/>
    <col min="817" max="817" width="6.88671875" style="95" customWidth="1"/>
    <col min="818" max="818" width="6.44140625" style="95" customWidth="1"/>
    <col min="819" max="835" width="7" style="95" hidden="1" customWidth="1"/>
    <col min="836" max="836" width="6.5546875" style="95" customWidth="1"/>
    <col min="837" max="837" width="6.44140625" style="95" customWidth="1"/>
    <col min="838" max="839" width="7" style="95" hidden="1" customWidth="1"/>
    <col min="840" max="840" width="6.44140625" style="95" customWidth="1"/>
    <col min="841" max="842" width="7" style="95" hidden="1" customWidth="1"/>
    <col min="843" max="843" width="7.44140625" style="95" customWidth="1"/>
    <col min="844" max="844" width="7" style="95" hidden="1" customWidth="1"/>
    <col min="845" max="845" width="6.44140625" style="95" customWidth="1"/>
    <col min="846" max="884" width="7" style="95" hidden="1" customWidth="1"/>
    <col min="885" max="910" width="7" style="95" hidden="1"/>
    <col min="911" max="911" width="41.44140625" style="95" customWidth="1"/>
    <col min="912" max="912" width="6.44140625" style="95" customWidth="1"/>
    <col min="913" max="913" width="14.6640625" style="95" customWidth="1"/>
    <col min="914" max="914" width="11.44140625" style="95" customWidth="1"/>
    <col min="915" max="916" width="13" style="95" customWidth="1"/>
    <col min="917" max="917" width="9.44140625" style="95" customWidth="1"/>
    <col min="918" max="928" width="7" style="95" hidden="1" customWidth="1"/>
    <col min="929" max="929" width="10.109375" style="95" customWidth="1"/>
    <col min="930" max="938" width="7" style="95" hidden="1" customWidth="1"/>
    <col min="939" max="939" width="8.6640625" style="95" customWidth="1"/>
    <col min="940" max="940" width="7" style="95" hidden="1" customWidth="1"/>
    <col min="941" max="941" width="9.44140625" style="95" customWidth="1"/>
    <col min="942" max="942" width="7" style="95" hidden="1" customWidth="1"/>
    <col min="943" max="944" width="11.44140625" style="95" customWidth="1"/>
    <col min="945" max="945" width="26.6640625" style="95" customWidth="1"/>
    <col min="946" max="946" width="9.109375" style="95" bestFit="1" customWidth="1"/>
    <col min="947" max="947" width="14.6640625" style="95" customWidth="1"/>
    <col min="948" max="948" width="9.88671875" style="95" customWidth="1"/>
    <col min="949" max="949" width="9.109375" style="95" bestFit="1" customWidth="1"/>
    <col min="950" max="991" width="7" style="95" hidden="1" customWidth="1"/>
    <col min="992" max="992" width="8.44140625" style="95" customWidth="1"/>
    <col min="993" max="1027" width="7" style="95" hidden="1" customWidth="1"/>
    <col min="1028" max="1028" width="9.44140625" style="95" customWidth="1"/>
    <col min="1029" max="1029" width="7" style="95" hidden="1" customWidth="1"/>
    <col min="1030" max="1030" width="5" style="95" customWidth="1"/>
    <col min="1031" max="1035" width="7" style="95" hidden="1" customWidth="1"/>
    <col min="1036" max="1036" width="5" style="95" customWidth="1"/>
    <col min="1037" max="1038" width="7" style="95" hidden="1" customWidth="1"/>
    <col min="1039" max="1039" width="5" style="95" customWidth="1"/>
    <col min="1040" max="1046" width="7" style="95" hidden="1" customWidth="1"/>
    <col min="1047" max="1047" width="6.44140625" style="95" customWidth="1"/>
    <col min="1048" max="1068" width="7" style="95" hidden="1" customWidth="1"/>
    <col min="1069" max="1072" width="6.44140625" style="95" customWidth="1"/>
    <col min="1073" max="1073" width="6.88671875" style="95" customWidth="1"/>
    <col min="1074" max="1074" width="6.44140625" style="95" customWidth="1"/>
    <col min="1075" max="1091" width="7" style="95" hidden="1" customWidth="1"/>
    <col min="1092" max="1092" width="6.5546875" style="95" customWidth="1"/>
    <col min="1093" max="1093" width="6.44140625" style="95" customWidth="1"/>
    <col min="1094" max="1095" width="7" style="95" hidden="1" customWidth="1"/>
    <col min="1096" max="1096" width="6.44140625" style="95" customWidth="1"/>
    <col min="1097" max="1098" width="7" style="95" hidden="1" customWidth="1"/>
    <col min="1099" max="1099" width="7.44140625" style="95" customWidth="1"/>
    <col min="1100" max="1100" width="7" style="95" hidden="1" customWidth="1"/>
    <col min="1101" max="1101" width="6.44140625" style="95" customWidth="1"/>
    <col min="1102" max="1140" width="7" style="95" hidden="1" customWidth="1"/>
    <col min="1141" max="1166" width="7" style="95" hidden="1"/>
    <col min="1167" max="1167" width="41.44140625" style="95" customWidth="1"/>
    <col min="1168" max="1168" width="6.44140625" style="95" customWidth="1"/>
    <col min="1169" max="1169" width="14.6640625" style="95" customWidth="1"/>
    <col min="1170" max="1170" width="11.44140625" style="95" customWidth="1"/>
    <col min="1171" max="1172" width="13" style="95" customWidth="1"/>
    <col min="1173" max="1173" width="9.44140625" style="95" customWidth="1"/>
    <col min="1174" max="1184" width="7" style="95" hidden="1" customWidth="1"/>
    <col min="1185" max="1185" width="10.109375" style="95" customWidth="1"/>
    <col min="1186" max="1194" width="7" style="95" hidden="1" customWidth="1"/>
    <col min="1195" max="1195" width="8.6640625" style="95" customWidth="1"/>
    <col min="1196" max="1196" width="7" style="95" hidden="1" customWidth="1"/>
    <col min="1197" max="1197" width="9.44140625" style="95" customWidth="1"/>
    <col min="1198" max="1198" width="7" style="95" hidden="1" customWidth="1"/>
    <col min="1199" max="1200" width="11.44140625" style="95" customWidth="1"/>
    <col min="1201" max="1201" width="26.6640625" style="95" customWidth="1"/>
    <col min="1202" max="1202" width="9.109375" style="95" bestFit="1" customWidth="1"/>
    <col min="1203" max="1203" width="14.6640625" style="95" customWidth="1"/>
    <col min="1204" max="1204" width="9.88671875" style="95" customWidth="1"/>
    <col min="1205" max="1205" width="9.109375" style="95" bestFit="1" customWidth="1"/>
    <col min="1206" max="1247" width="7" style="95" hidden="1" customWidth="1"/>
    <col min="1248" max="1248" width="8.44140625" style="95" customWidth="1"/>
    <col min="1249" max="1283" width="7" style="95" hidden="1" customWidth="1"/>
    <col min="1284" max="1284" width="9.44140625" style="95" customWidth="1"/>
    <col min="1285" max="1285" width="7" style="95" hidden="1" customWidth="1"/>
    <col min="1286" max="1286" width="5" style="95" customWidth="1"/>
    <col min="1287" max="1291" width="7" style="95" hidden="1" customWidth="1"/>
    <col min="1292" max="1292" width="5" style="95" customWidth="1"/>
    <col min="1293" max="1294" width="7" style="95" hidden="1" customWidth="1"/>
    <col min="1295" max="1295" width="5" style="95" customWidth="1"/>
    <col min="1296" max="1302" width="7" style="95" hidden="1" customWidth="1"/>
    <col min="1303" max="1303" width="6.44140625" style="95" customWidth="1"/>
    <col min="1304" max="1324" width="7" style="95" hidden="1" customWidth="1"/>
    <col min="1325" max="1328" width="6.44140625" style="95" customWidth="1"/>
    <col min="1329" max="1329" width="6.88671875" style="95" customWidth="1"/>
    <col min="1330" max="1330" width="6.44140625" style="95" customWidth="1"/>
    <col min="1331" max="1347" width="7" style="95" hidden="1" customWidth="1"/>
    <col min="1348" max="1348" width="6.5546875" style="95" customWidth="1"/>
    <col min="1349" max="1349" width="6.44140625" style="95" customWidth="1"/>
    <col min="1350" max="1351" width="7" style="95" hidden="1" customWidth="1"/>
    <col min="1352" max="1352" width="6.44140625" style="95" customWidth="1"/>
    <col min="1353" max="1354" width="7" style="95" hidden="1" customWidth="1"/>
    <col min="1355" max="1355" width="7.44140625" style="95" customWidth="1"/>
    <col min="1356" max="1356" width="7" style="95" hidden="1" customWidth="1"/>
    <col min="1357" max="1357" width="6.44140625" style="95" customWidth="1"/>
    <col min="1358" max="1396" width="7" style="95" hidden="1" customWidth="1"/>
    <col min="1397" max="1422" width="7" style="95" hidden="1"/>
    <col min="1423" max="1423" width="41.44140625" style="95" customWidth="1"/>
    <col min="1424" max="1424" width="6.44140625" style="95" customWidth="1"/>
    <col min="1425" max="1425" width="14.6640625" style="95" customWidth="1"/>
    <col min="1426" max="1426" width="11.44140625" style="95" customWidth="1"/>
    <col min="1427" max="1428" width="13" style="95" customWidth="1"/>
    <col min="1429" max="1429" width="9.44140625" style="95" customWidth="1"/>
    <col min="1430" max="1440" width="7" style="95" hidden="1" customWidth="1"/>
    <col min="1441" max="1441" width="10.109375" style="95" customWidth="1"/>
    <col min="1442" max="1450" width="7" style="95" hidden="1" customWidth="1"/>
    <col min="1451" max="1451" width="8.6640625" style="95" customWidth="1"/>
    <col min="1452" max="1452" width="7" style="95" hidden="1" customWidth="1"/>
    <col min="1453" max="1453" width="9.44140625" style="95" customWidth="1"/>
    <col min="1454" max="1454" width="7" style="95" hidden="1" customWidth="1"/>
    <col min="1455" max="1456" width="11.44140625" style="95" customWidth="1"/>
    <col min="1457" max="1457" width="26.6640625" style="95" customWidth="1"/>
    <col min="1458" max="1458" width="9.109375" style="95" bestFit="1" customWidth="1"/>
    <col min="1459" max="1459" width="14.6640625" style="95" customWidth="1"/>
    <col min="1460" max="1460" width="9.88671875" style="95" customWidth="1"/>
    <col min="1461" max="1461" width="9.109375" style="95" bestFit="1" customWidth="1"/>
    <col min="1462" max="1503" width="7" style="95" hidden="1" customWidth="1"/>
    <col min="1504" max="1504" width="8.44140625" style="95" customWidth="1"/>
    <col min="1505" max="1539" width="7" style="95" hidden="1" customWidth="1"/>
    <col min="1540" max="1540" width="9.44140625" style="95" customWidth="1"/>
    <col min="1541" max="1541" width="7" style="95" hidden="1" customWidth="1"/>
    <col min="1542" max="1542" width="5" style="95" customWidth="1"/>
    <col min="1543" max="1547" width="7" style="95" hidden="1" customWidth="1"/>
    <col min="1548" max="1548" width="5" style="95" customWidth="1"/>
    <col min="1549" max="1550" width="7" style="95" hidden="1" customWidth="1"/>
    <col min="1551" max="1551" width="5" style="95" customWidth="1"/>
    <col min="1552" max="1558" width="7" style="95" hidden="1" customWidth="1"/>
    <col min="1559" max="1559" width="6.44140625" style="95" customWidth="1"/>
    <col min="1560" max="1580" width="7" style="95" hidden="1" customWidth="1"/>
    <col min="1581" max="1584" width="6.44140625" style="95" customWidth="1"/>
    <col min="1585" max="1585" width="6.88671875" style="95" customWidth="1"/>
    <col min="1586" max="1586" width="6.44140625" style="95" customWidth="1"/>
    <col min="1587" max="1603" width="7" style="95" hidden="1" customWidth="1"/>
    <col min="1604" max="1604" width="6.5546875" style="95" customWidth="1"/>
    <col min="1605" max="1605" width="6.44140625" style="95" customWidth="1"/>
    <col min="1606" max="1607" width="7" style="95" hidden="1" customWidth="1"/>
    <col min="1608" max="1608" width="6.44140625" style="95" customWidth="1"/>
    <col min="1609" max="1610" width="7" style="95" hidden="1" customWidth="1"/>
    <col min="1611" max="1611" width="7.44140625" style="95" customWidth="1"/>
    <col min="1612" max="1612" width="7" style="95" hidden="1" customWidth="1"/>
    <col min="1613" max="1613" width="6.44140625" style="95" customWidth="1"/>
    <col min="1614" max="1652" width="7" style="95" hidden="1" customWidth="1"/>
    <col min="1653" max="1678" width="7" style="95" hidden="1"/>
    <col min="1679" max="1679" width="41.44140625" style="95" customWidth="1"/>
    <col min="1680" max="1680" width="6.44140625" style="95" customWidth="1"/>
    <col min="1681" max="1681" width="14.6640625" style="95" customWidth="1"/>
    <col min="1682" max="1682" width="11.44140625" style="95" customWidth="1"/>
    <col min="1683" max="1684" width="13" style="95" customWidth="1"/>
    <col min="1685" max="1685" width="9.44140625" style="95" customWidth="1"/>
    <col min="1686" max="1696" width="7" style="95" hidden="1" customWidth="1"/>
    <col min="1697" max="1697" width="10.109375" style="95" customWidth="1"/>
    <col min="1698" max="1706" width="7" style="95" hidden="1" customWidth="1"/>
    <col min="1707" max="1707" width="8.6640625" style="95" customWidth="1"/>
    <col min="1708" max="1708" width="7" style="95" hidden="1" customWidth="1"/>
    <col min="1709" max="1709" width="9.44140625" style="95" customWidth="1"/>
    <col min="1710" max="1710" width="7" style="95" hidden="1" customWidth="1"/>
    <col min="1711" max="1712" width="11.44140625" style="95" customWidth="1"/>
    <col min="1713" max="1713" width="26.6640625" style="95" customWidth="1"/>
    <col min="1714" max="1714" width="9.109375" style="95" bestFit="1" customWidth="1"/>
    <col min="1715" max="1715" width="14.6640625" style="95" customWidth="1"/>
    <col min="1716" max="1716" width="9.88671875" style="95" customWidth="1"/>
    <col min="1717" max="1717" width="9.109375" style="95" bestFit="1" customWidth="1"/>
    <col min="1718" max="1759" width="7" style="95" hidden="1" customWidth="1"/>
    <col min="1760" max="1760" width="8.44140625" style="95" customWidth="1"/>
    <col min="1761" max="1795" width="7" style="95" hidden="1" customWidth="1"/>
    <col min="1796" max="1796" width="9.44140625" style="95" customWidth="1"/>
    <col min="1797" max="1797" width="7" style="95" hidden="1" customWidth="1"/>
    <col min="1798" max="1798" width="5" style="95" customWidth="1"/>
    <col min="1799" max="1803" width="7" style="95" hidden="1" customWidth="1"/>
    <col min="1804" max="1804" width="5" style="95" customWidth="1"/>
    <col min="1805" max="1806" width="7" style="95" hidden="1" customWidth="1"/>
    <col min="1807" max="1807" width="5" style="95" customWidth="1"/>
    <col min="1808" max="1814" width="7" style="95" hidden="1" customWidth="1"/>
    <col min="1815" max="1815" width="6.44140625" style="95" customWidth="1"/>
    <col min="1816" max="1836" width="7" style="95" hidden="1" customWidth="1"/>
    <col min="1837" max="1840" width="6.44140625" style="95" customWidth="1"/>
    <col min="1841" max="1841" width="6.88671875" style="95" customWidth="1"/>
    <col min="1842" max="1842" width="6.44140625" style="95" customWidth="1"/>
    <col min="1843" max="1859" width="7" style="95" hidden="1" customWidth="1"/>
    <col min="1860" max="1860" width="6.5546875" style="95" customWidth="1"/>
    <col min="1861" max="1861" width="6.44140625" style="95" customWidth="1"/>
    <col min="1862" max="1863" width="7" style="95" hidden="1" customWidth="1"/>
    <col min="1864" max="1864" width="6.44140625" style="95" customWidth="1"/>
    <col min="1865" max="1866" width="7" style="95" hidden="1" customWidth="1"/>
    <col min="1867" max="1867" width="7.44140625" style="95" customWidth="1"/>
    <col min="1868" max="1868" width="7" style="95" hidden="1" customWidth="1"/>
    <col min="1869" max="1869" width="6.44140625" style="95" customWidth="1"/>
    <col min="1870" max="1908" width="7" style="95" hidden="1" customWidth="1"/>
    <col min="1909" max="1934" width="7" style="95" hidden="1"/>
    <col min="1935" max="1935" width="41.44140625" style="95" customWidth="1"/>
    <col min="1936" max="1936" width="6.44140625" style="95" customWidth="1"/>
    <col min="1937" max="1937" width="14.6640625" style="95" customWidth="1"/>
    <col min="1938" max="1938" width="11.44140625" style="95" customWidth="1"/>
    <col min="1939" max="1940" width="13" style="95" customWidth="1"/>
    <col min="1941" max="1941" width="9.44140625" style="95" customWidth="1"/>
    <col min="1942" max="1952" width="7" style="95" hidden="1" customWidth="1"/>
    <col min="1953" max="1953" width="10.109375" style="95" customWidth="1"/>
    <col min="1954" max="1962" width="7" style="95" hidden="1" customWidth="1"/>
    <col min="1963" max="1963" width="8.6640625" style="95" customWidth="1"/>
    <col min="1964" max="1964" width="7" style="95" hidden="1" customWidth="1"/>
    <col min="1965" max="1965" width="9.44140625" style="95" customWidth="1"/>
    <col min="1966" max="1966" width="7" style="95" hidden="1" customWidth="1"/>
    <col min="1967" max="1968" width="11.44140625" style="95" customWidth="1"/>
    <col min="1969" max="1969" width="26.6640625" style="95" customWidth="1"/>
    <col min="1970" max="1970" width="9.109375" style="95" bestFit="1" customWidth="1"/>
    <col min="1971" max="1971" width="14.6640625" style="95" customWidth="1"/>
    <col min="1972" max="1972" width="9.88671875" style="95" customWidth="1"/>
    <col min="1973" max="1973" width="9.109375" style="95" bestFit="1" customWidth="1"/>
    <col min="1974" max="2015" width="7" style="95" hidden="1" customWidth="1"/>
    <col min="2016" max="2016" width="8.44140625" style="95" customWidth="1"/>
    <col min="2017" max="2051" width="7" style="95" hidden="1" customWidth="1"/>
    <col min="2052" max="2052" width="9.44140625" style="95" customWidth="1"/>
    <col min="2053" max="2053" width="7" style="95" hidden="1" customWidth="1"/>
    <col min="2054" max="2054" width="5" style="95" customWidth="1"/>
    <col min="2055" max="2059" width="7" style="95" hidden="1" customWidth="1"/>
    <col min="2060" max="2060" width="5" style="95" customWidth="1"/>
    <col min="2061" max="2062" width="7" style="95" hidden="1" customWidth="1"/>
    <col min="2063" max="2063" width="5" style="95" customWidth="1"/>
    <col min="2064" max="2070" width="7" style="95" hidden="1" customWidth="1"/>
    <col min="2071" max="2071" width="6.44140625" style="95" customWidth="1"/>
    <col min="2072" max="2092" width="7" style="95" hidden="1" customWidth="1"/>
    <col min="2093" max="2096" width="6.44140625" style="95" customWidth="1"/>
    <col min="2097" max="2097" width="6.88671875" style="95" customWidth="1"/>
    <col min="2098" max="2098" width="6.44140625" style="95" customWidth="1"/>
    <col min="2099" max="2115" width="7" style="95" hidden="1" customWidth="1"/>
    <col min="2116" max="2116" width="6.5546875" style="95" customWidth="1"/>
    <col min="2117" max="2117" width="6.44140625" style="95" customWidth="1"/>
    <col min="2118" max="2119" width="7" style="95" hidden="1" customWidth="1"/>
    <col min="2120" max="2120" width="6.44140625" style="95" customWidth="1"/>
    <col min="2121" max="2122" width="7" style="95" hidden="1" customWidth="1"/>
    <col min="2123" max="2123" width="7.44140625" style="95" customWidth="1"/>
    <col min="2124" max="2124" width="7" style="95" hidden="1" customWidth="1"/>
    <col min="2125" max="2125" width="6.44140625" style="95" customWidth="1"/>
    <col min="2126" max="2164" width="7" style="95" hidden="1" customWidth="1"/>
    <col min="2165" max="2190" width="7" style="95" hidden="1"/>
    <col min="2191" max="2191" width="41.44140625" style="95" customWidth="1"/>
    <col min="2192" max="2192" width="6.44140625" style="95" customWidth="1"/>
    <col min="2193" max="2193" width="14.6640625" style="95" customWidth="1"/>
    <col min="2194" max="2194" width="11.44140625" style="95" customWidth="1"/>
    <col min="2195" max="2196" width="13" style="95" customWidth="1"/>
    <col min="2197" max="2197" width="9.44140625" style="95" customWidth="1"/>
    <col min="2198" max="2208" width="7" style="95" hidden="1" customWidth="1"/>
    <col min="2209" max="2209" width="10.109375" style="95" customWidth="1"/>
    <col min="2210" max="2218" width="7" style="95" hidden="1" customWidth="1"/>
    <col min="2219" max="2219" width="8.6640625" style="95" customWidth="1"/>
    <col min="2220" max="2220" width="7" style="95" hidden="1" customWidth="1"/>
    <col min="2221" max="2221" width="9.44140625" style="95" customWidth="1"/>
    <col min="2222" max="2222" width="7" style="95" hidden="1" customWidth="1"/>
    <col min="2223" max="2224" width="11.44140625" style="95" customWidth="1"/>
    <col min="2225" max="2225" width="26.6640625" style="95" customWidth="1"/>
    <col min="2226" max="2226" width="9.109375" style="95" bestFit="1" customWidth="1"/>
    <col min="2227" max="2227" width="14.6640625" style="95" customWidth="1"/>
    <col min="2228" max="2228" width="9.88671875" style="95" customWidth="1"/>
    <col min="2229" max="2229" width="9.109375" style="95" bestFit="1" customWidth="1"/>
    <col min="2230" max="2271" width="7" style="95" hidden="1" customWidth="1"/>
    <col min="2272" max="2272" width="8.44140625" style="95" customWidth="1"/>
    <col min="2273" max="2307" width="7" style="95" hidden="1" customWidth="1"/>
    <col min="2308" max="2308" width="9.44140625" style="95" customWidth="1"/>
    <col min="2309" max="2309" width="7" style="95" hidden="1" customWidth="1"/>
    <col min="2310" max="2310" width="5" style="95" customWidth="1"/>
    <col min="2311" max="2315" width="7" style="95" hidden="1" customWidth="1"/>
    <col min="2316" max="2316" width="5" style="95" customWidth="1"/>
    <col min="2317" max="2318" width="7" style="95" hidden="1" customWidth="1"/>
    <col min="2319" max="2319" width="5" style="95" customWidth="1"/>
    <col min="2320" max="2326" width="7" style="95" hidden="1" customWidth="1"/>
    <col min="2327" max="2327" width="6.44140625" style="95" customWidth="1"/>
    <col min="2328" max="2348" width="7" style="95" hidden="1" customWidth="1"/>
    <col min="2349" max="2352" width="6.44140625" style="95" customWidth="1"/>
    <col min="2353" max="2353" width="6.88671875" style="95" customWidth="1"/>
    <col min="2354" max="2354" width="6.44140625" style="95" customWidth="1"/>
    <col min="2355" max="2371" width="7" style="95" hidden="1" customWidth="1"/>
    <col min="2372" max="2372" width="6.5546875" style="95" customWidth="1"/>
    <col min="2373" max="2373" width="6.44140625" style="95" customWidth="1"/>
    <col min="2374" max="2375" width="7" style="95" hidden="1" customWidth="1"/>
    <col min="2376" max="2376" width="6.44140625" style="95" customWidth="1"/>
    <col min="2377" max="2378" width="7" style="95" hidden="1" customWidth="1"/>
    <col min="2379" max="2379" width="7.44140625" style="95" customWidth="1"/>
    <col min="2380" max="2380" width="7" style="95" hidden="1" customWidth="1"/>
    <col min="2381" max="2381" width="6.44140625" style="95" customWidth="1"/>
    <col min="2382" max="2420" width="7" style="95" hidden="1" customWidth="1"/>
    <col min="2421" max="2446" width="7" style="95" hidden="1"/>
    <col min="2447" max="2447" width="41.44140625" style="95" customWidth="1"/>
    <col min="2448" max="2448" width="6.44140625" style="95" customWidth="1"/>
    <col min="2449" max="2449" width="14.6640625" style="95" customWidth="1"/>
    <col min="2450" max="2450" width="11.44140625" style="95" customWidth="1"/>
    <col min="2451" max="2452" width="13" style="95" customWidth="1"/>
    <col min="2453" max="2453" width="9.44140625" style="95" customWidth="1"/>
    <col min="2454" max="2464" width="7" style="95" hidden="1" customWidth="1"/>
    <col min="2465" max="2465" width="10.109375" style="95" customWidth="1"/>
    <col min="2466" max="2474" width="7" style="95" hidden="1" customWidth="1"/>
    <col min="2475" max="2475" width="8.6640625" style="95" customWidth="1"/>
    <col min="2476" max="2476" width="7" style="95" hidden="1" customWidth="1"/>
    <col min="2477" max="2477" width="9.44140625" style="95" customWidth="1"/>
    <col min="2478" max="2478" width="7" style="95" hidden="1" customWidth="1"/>
    <col min="2479" max="2480" width="11.44140625" style="95" customWidth="1"/>
    <col min="2481" max="2481" width="26.6640625" style="95" customWidth="1"/>
    <col min="2482" max="2482" width="9.109375" style="95" bestFit="1" customWidth="1"/>
    <col min="2483" max="2483" width="14.6640625" style="95" customWidth="1"/>
    <col min="2484" max="2484" width="9.88671875" style="95" customWidth="1"/>
    <col min="2485" max="2485" width="9.109375" style="95" bestFit="1" customWidth="1"/>
    <col min="2486" max="2527" width="7" style="95" hidden="1" customWidth="1"/>
    <col min="2528" max="2528" width="8.44140625" style="95" customWidth="1"/>
    <col min="2529" max="2563" width="7" style="95" hidden="1" customWidth="1"/>
    <col min="2564" max="2564" width="9.44140625" style="95" customWidth="1"/>
    <col min="2565" max="2565" width="7" style="95" hidden="1" customWidth="1"/>
    <col min="2566" max="2566" width="5" style="95" customWidth="1"/>
    <col min="2567" max="2571" width="7" style="95" hidden="1" customWidth="1"/>
    <col min="2572" max="2572" width="5" style="95" customWidth="1"/>
    <col min="2573" max="2574" width="7" style="95" hidden="1" customWidth="1"/>
    <col min="2575" max="2575" width="5" style="95" customWidth="1"/>
    <col min="2576" max="2582" width="7" style="95" hidden="1" customWidth="1"/>
    <col min="2583" max="2583" width="6.44140625" style="95" customWidth="1"/>
    <col min="2584" max="2604" width="7" style="95" hidden="1" customWidth="1"/>
    <col min="2605" max="2608" width="6.44140625" style="95" customWidth="1"/>
    <col min="2609" max="2609" width="6.88671875" style="95" customWidth="1"/>
    <col min="2610" max="2610" width="6.44140625" style="95" customWidth="1"/>
    <col min="2611" max="2627" width="7" style="95" hidden="1" customWidth="1"/>
    <col min="2628" max="2628" width="6.5546875" style="95" customWidth="1"/>
    <col min="2629" max="2629" width="6.44140625" style="95" customWidth="1"/>
    <col min="2630" max="2631" width="7" style="95" hidden="1" customWidth="1"/>
    <col min="2632" max="2632" width="6.44140625" style="95" customWidth="1"/>
    <col min="2633" max="2634" width="7" style="95" hidden="1" customWidth="1"/>
    <col min="2635" max="2635" width="7.44140625" style="95" customWidth="1"/>
    <col min="2636" max="2636" width="7" style="95" hidden="1" customWidth="1"/>
    <col min="2637" max="2637" width="6.44140625" style="95" customWidth="1"/>
    <col min="2638" max="2676" width="7" style="95" hidden="1" customWidth="1"/>
    <col min="2677" max="2702" width="7" style="95" hidden="1"/>
    <col min="2703" max="2703" width="41.44140625" style="95" customWidth="1"/>
    <col min="2704" max="2704" width="6.44140625" style="95" customWidth="1"/>
    <col min="2705" max="2705" width="14.6640625" style="95" customWidth="1"/>
    <col min="2706" max="2706" width="11.44140625" style="95" customWidth="1"/>
    <col min="2707" max="2708" width="13" style="95" customWidth="1"/>
    <col min="2709" max="2709" width="9.44140625" style="95" customWidth="1"/>
    <col min="2710" max="2720" width="7" style="95" hidden="1" customWidth="1"/>
    <col min="2721" max="2721" width="10.109375" style="95" customWidth="1"/>
    <col min="2722" max="2730" width="7" style="95" hidden="1" customWidth="1"/>
    <col min="2731" max="2731" width="8.6640625" style="95" customWidth="1"/>
    <col min="2732" max="2732" width="7" style="95" hidden="1" customWidth="1"/>
    <col min="2733" max="2733" width="9.44140625" style="95" customWidth="1"/>
    <col min="2734" max="2734" width="7" style="95" hidden="1" customWidth="1"/>
    <col min="2735" max="2736" width="11.44140625" style="95" customWidth="1"/>
    <col min="2737" max="2737" width="26.6640625" style="95" customWidth="1"/>
    <col min="2738" max="2738" width="9.109375" style="95" bestFit="1" customWidth="1"/>
    <col min="2739" max="2739" width="14.6640625" style="95" customWidth="1"/>
    <col min="2740" max="2740" width="9.88671875" style="95" customWidth="1"/>
    <col min="2741" max="2741" width="9.109375" style="95" bestFit="1" customWidth="1"/>
    <col min="2742" max="2783" width="7" style="95" hidden="1" customWidth="1"/>
    <col min="2784" max="2784" width="8.44140625" style="95" customWidth="1"/>
    <col min="2785" max="2819" width="7" style="95" hidden="1" customWidth="1"/>
    <col min="2820" max="2820" width="9.44140625" style="95" customWidth="1"/>
    <col min="2821" max="2821" width="7" style="95" hidden="1" customWidth="1"/>
    <col min="2822" max="2822" width="5" style="95" customWidth="1"/>
    <col min="2823" max="2827" width="7" style="95" hidden="1" customWidth="1"/>
    <col min="2828" max="2828" width="5" style="95" customWidth="1"/>
    <col min="2829" max="2830" width="7" style="95" hidden="1" customWidth="1"/>
    <col min="2831" max="2831" width="5" style="95" customWidth="1"/>
    <col min="2832" max="2838" width="7" style="95" hidden="1" customWidth="1"/>
    <col min="2839" max="2839" width="6.44140625" style="95" customWidth="1"/>
    <col min="2840" max="2860" width="7" style="95" hidden="1" customWidth="1"/>
    <col min="2861" max="2864" width="6.44140625" style="95" customWidth="1"/>
    <col min="2865" max="2865" width="6.88671875" style="95" customWidth="1"/>
    <col min="2866" max="2866" width="6.44140625" style="95" customWidth="1"/>
    <col min="2867" max="2883" width="7" style="95" hidden="1" customWidth="1"/>
    <col min="2884" max="2884" width="6.5546875" style="95" customWidth="1"/>
    <col min="2885" max="2885" width="6.44140625" style="95" customWidth="1"/>
    <col min="2886" max="2887" width="7" style="95" hidden="1" customWidth="1"/>
    <col min="2888" max="2888" width="6.44140625" style="95" customWidth="1"/>
    <col min="2889" max="2890" width="7" style="95" hidden="1" customWidth="1"/>
    <col min="2891" max="2891" width="7.44140625" style="95" customWidth="1"/>
    <col min="2892" max="2892" width="7" style="95" hidden="1" customWidth="1"/>
    <col min="2893" max="2893" width="6.44140625" style="95" customWidth="1"/>
    <col min="2894" max="2932" width="7" style="95" hidden="1" customWidth="1"/>
    <col min="2933" max="2958" width="7" style="95" hidden="1"/>
    <col min="2959" max="2959" width="41.44140625" style="95" customWidth="1"/>
    <col min="2960" max="2960" width="6.44140625" style="95" customWidth="1"/>
    <col min="2961" max="2961" width="14.6640625" style="95" customWidth="1"/>
    <col min="2962" max="2962" width="11.44140625" style="95" customWidth="1"/>
    <col min="2963" max="2964" width="13" style="95" customWidth="1"/>
    <col min="2965" max="2965" width="9.44140625" style="95" customWidth="1"/>
    <col min="2966" max="2976" width="7" style="95" hidden="1" customWidth="1"/>
    <col min="2977" max="2977" width="10.109375" style="95" customWidth="1"/>
    <col min="2978" max="2986" width="7" style="95" hidden="1" customWidth="1"/>
    <col min="2987" max="2987" width="8.6640625" style="95" customWidth="1"/>
    <col min="2988" max="2988" width="7" style="95" hidden="1" customWidth="1"/>
    <col min="2989" max="2989" width="9.44140625" style="95" customWidth="1"/>
    <col min="2990" max="2990" width="7" style="95" hidden="1" customWidth="1"/>
    <col min="2991" max="2992" width="11.44140625" style="95" customWidth="1"/>
    <col min="2993" max="2993" width="26.6640625" style="95" customWidth="1"/>
    <col min="2994" max="2994" width="9.109375" style="95" bestFit="1" customWidth="1"/>
    <col min="2995" max="2995" width="14.6640625" style="95" customWidth="1"/>
    <col min="2996" max="2996" width="9.88671875" style="95" customWidth="1"/>
    <col min="2997" max="2997" width="9.109375" style="95" bestFit="1" customWidth="1"/>
    <col min="2998" max="3039" width="7" style="95" hidden="1" customWidth="1"/>
    <col min="3040" max="3040" width="8.44140625" style="95" customWidth="1"/>
    <col min="3041" max="3075" width="7" style="95" hidden="1" customWidth="1"/>
    <col min="3076" max="3076" width="9.44140625" style="95" customWidth="1"/>
    <col min="3077" max="3077" width="7" style="95" hidden="1" customWidth="1"/>
    <col min="3078" max="3078" width="5" style="95" customWidth="1"/>
    <col min="3079" max="3083" width="7" style="95" hidden="1" customWidth="1"/>
    <col min="3084" max="3084" width="5" style="95" customWidth="1"/>
    <col min="3085" max="3086" width="7" style="95" hidden="1" customWidth="1"/>
    <col min="3087" max="3087" width="5" style="95" customWidth="1"/>
    <col min="3088" max="3094" width="7" style="95" hidden="1" customWidth="1"/>
    <col min="3095" max="3095" width="6.44140625" style="95" customWidth="1"/>
    <col min="3096" max="3116" width="7" style="95" hidden="1" customWidth="1"/>
    <col min="3117" max="3120" width="6.44140625" style="95" customWidth="1"/>
    <col min="3121" max="3121" width="6.88671875" style="95" customWidth="1"/>
    <col min="3122" max="3122" width="6.44140625" style="95" customWidth="1"/>
    <col min="3123" max="3139" width="7" style="95" hidden="1" customWidth="1"/>
    <col min="3140" max="3140" width="6.5546875" style="95" customWidth="1"/>
    <col min="3141" max="3141" width="6.44140625" style="95" customWidth="1"/>
    <col min="3142" max="3143" width="7" style="95" hidden="1" customWidth="1"/>
    <col min="3144" max="3144" width="6.44140625" style="95" customWidth="1"/>
    <col min="3145" max="3146" width="7" style="95" hidden="1" customWidth="1"/>
    <col min="3147" max="3147" width="7.44140625" style="95" customWidth="1"/>
    <col min="3148" max="3148" width="7" style="95" hidden="1" customWidth="1"/>
    <col min="3149" max="3149" width="6.44140625" style="95" customWidth="1"/>
    <col min="3150" max="3188" width="7" style="95" hidden="1" customWidth="1"/>
    <col min="3189" max="3214" width="7" style="95" hidden="1"/>
    <col min="3215" max="3215" width="41.44140625" style="95" customWidth="1"/>
    <col min="3216" max="3216" width="6.44140625" style="95" customWidth="1"/>
    <col min="3217" max="3217" width="14.6640625" style="95" customWidth="1"/>
    <col min="3218" max="3218" width="11.44140625" style="95" customWidth="1"/>
    <col min="3219" max="3220" width="13" style="95" customWidth="1"/>
    <col min="3221" max="3221" width="9.44140625" style="95" customWidth="1"/>
    <col min="3222" max="3232" width="7" style="95" hidden="1" customWidth="1"/>
    <col min="3233" max="3233" width="10.109375" style="95" customWidth="1"/>
    <col min="3234" max="3242" width="7" style="95" hidden="1" customWidth="1"/>
    <col min="3243" max="3243" width="8.6640625" style="95" customWidth="1"/>
    <col min="3244" max="3244" width="7" style="95" hidden="1" customWidth="1"/>
    <col min="3245" max="3245" width="9.44140625" style="95" customWidth="1"/>
    <col min="3246" max="3246" width="7" style="95" hidden="1" customWidth="1"/>
    <col min="3247" max="3248" width="11.44140625" style="95" customWidth="1"/>
    <col min="3249" max="3249" width="26.6640625" style="95" customWidth="1"/>
    <col min="3250" max="3250" width="9.109375" style="95" bestFit="1" customWidth="1"/>
    <col min="3251" max="3251" width="14.6640625" style="95" customWidth="1"/>
    <col min="3252" max="3252" width="9.88671875" style="95" customWidth="1"/>
    <col min="3253" max="3253" width="9.109375" style="95" bestFit="1" customWidth="1"/>
    <col min="3254" max="3295" width="7" style="95" hidden="1" customWidth="1"/>
    <col min="3296" max="3296" width="8.44140625" style="95" customWidth="1"/>
    <col min="3297" max="3331" width="7" style="95" hidden="1" customWidth="1"/>
    <col min="3332" max="3332" width="9.44140625" style="95" customWidth="1"/>
    <col min="3333" max="3333" width="7" style="95" hidden="1" customWidth="1"/>
    <col min="3334" max="3334" width="5" style="95" customWidth="1"/>
    <col min="3335" max="3339" width="7" style="95" hidden="1" customWidth="1"/>
    <col min="3340" max="3340" width="5" style="95" customWidth="1"/>
    <col min="3341" max="3342" width="7" style="95" hidden="1" customWidth="1"/>
    <col min="3343" max="3343" width="5" style="95" customWidth="1"/>
    <col min="3344" max="3350" width="7" style="95" hidden="1" customWidth="1"/>
    <col min="3351" max="3351" width="6.44140625" style="95" customWidth="1"/>
    <col min="3352" max="3372" width="7" style="95" hidden="1" customWidth="1"/>
    <col min="3373" max="3376" width="6.44140625" style="95" customWidth="1"/>
    <col min="3377" max="3377" width="6.88671875" style="95" customWidth="1"/>
    <col min="3378" max="3378" width="6.44140625" style="95" customWidth="1"/>
    <col min="3379" max="3395" width="7" style="95" hidden="1" customWidth="1"/>
    <col min="3396" max="3396" width="6.5546875" style="95" customWidth="1"/>
    <col min="3397" max="3397" width="6.44140625" style="95" customWidth="1"/>
    <col min="3398" max="3399" width="7" style="95" hidden="1" customWidth="1"/>
    <col min="3400" max="3400" width="6.44140625" style="95" customWidth="1"/>
    <col min="3401" max="3402" width="7" style="95" hidden="1" customWidth="1"/>
    <col min="3403" max="3403" width="7.44140625" style="95" customWidth="1"/>
    <col min="3404" max="3404" width="7" style="95" hidden="1" customWidth="1"/>
    <col min="3405" max="3405" width="6.44140625" style="95" customWidth="1"/>
    <col min="3406" max="3444" width="7" style="95" hidden="1" customWidth="1"/>
    <col min="3445" max="3470" width="7" style="95" hidden="1"/>
    <col min="3471" max="3471" width="41.44140625" style="95" customWidth="1"/>
    <col min="3472" max="3472" width="6.44140625" style="95" customWidth="1"/>
    <col min="3473" max="3473" width="14.6640625" style="95" customWidth="1"/>
    <col min="3474" max="3474" width="11.44140625" style="95" customWidth="1"/>
    <col min="3475" max="3476" width="13" style="95" customWidth="1"/>
    <col min="3477" max="3477" width="9.44140625" style="95" customWidth="1"/>
    <col min="3478" max="3488" width="7" style="95" hidden="1" customWidth="1"/>
    <col min="3489" max="3489" width="10.109375" style="95" customWidth="1"/>
    <col min="3490" max="3498" width="7" style="95" hidden="1" customWidth="1"/>
    <col min="3499" max="3499" width="8.6640625" style="95" customWidth="1"/>
    <col min="3500" max="3500" width="7" style="95" hidden="1" customWidth="1"/>
    <col min="3501" max="3501" width="9.44140625" style="95" customWidth="1"/>
    <col min="3502" max="3502" width="7" style="95" hidden="1" customWidth="1"/>
    <col min="3503" max="3504" width="11.44140625" style="95" customWidth="1"/>
    <col min="3505" max="3505" width="26.6640625" style="95" customWidth="1"/>
    <col min="3506" max="3506" width="9.109375" style="95" bestFit="1" customWidth="1"/>
    <col min="3507" max="3507" width="14.6640625" style="95" customWidth="1"/>
    <col min="3508" max="3508" width="9.88671875" style="95" customWidth="1"/>
    <col min="3509" max="3509" width="9.109375" style="95" bestFit="1" customWidth="1"/>
    <col min="3510" max="3551" width="7" style="95" hidden="1" customWidth="1"/>
    <col min="3552" max="3552" width="8.44140625" style="95" customWidth="1"/>
    <col min="3553" max="3587" width="7" style="95" hidden="1" customWidth="1"/>
    <col min="3588" max="3588" width="9.44140625" style="95" customWidth="1"/>
    <col min="3589" max="3589" width="7" style="95" hidden="1" customWidth="1"/>
    <col min="3590" max="3590" width="5" style="95" customWidth="1"/>
    <col min="3591" max="3595" width="7" style="95" hidden="1" customWidth="1"/>
    <col min="3596" max="3596" width="5" style="95" customWidth="1"/>
    <col min="3597" max="3598" width="7" style="95" hidden="1" customWidth="1"/>
    <col min="3599" max="3599" width="5" style="95" customWidth="1"/>
    <col min="3600" max="3606" width="7" style="95" hidden="1" customWidth="1"/>
    <col min="3607" max="3607" width="6.44140625" style="95" customWidth="1"/>
    <col min="3608" max="3628" width="7" style="95" hidden="1" customWidth="1"/>
    <col min="3629" max="3632" width="6.44140625" style="95" customWidth="1"/>
    <col min="3633" max="3633" width="6.88671875" style="95" customWidth="1"/>
    <col min="3634" max="3634" width="6.44140625" style="95" customWidth="1"/>
    <col min="3635" max="3651" width="7" style="95" hidden="1" customWidth="1"/>
    <col min="3652" max="3652" width="6.5546875" style="95" customWidth="1"/>
    <col min="3653" max="3653" width="6.44140625" style="95" customWidth="1"/>
    <col min="3654" max="3655" width="7" style="95" hidden="1" customWidth="1"/>
    <col min="3656" max="3656" width="6.44140625" style="95" customWidth="1"/>
    <col min="3657" max="3658" width="7" style="95" hidden="1" customWidth="1"/>
    <col min="3659" max="3659" width="7.44140625" style="95" customWidth="1"/>
    <col min="3660" max="3660" width="7" style="95" hidden="1" customWidth="1"/>
    <col min="3661" max="3661" width="6.44140625" style="95" customWidth="1"/>
    <col min="3662" max="3700" width="7" style="95" hidden="1" customWidth="1"/>
    <col min="3701" max="3726" width="7" style="95" hidden="1"/>
    <col min="3727" max="3727" width="41.44140625" style="95" customWidth="1"/>
    <col min="3728" max="3728" width="6.44140625" style="95" customWidth="1"/>
    <col min="3729" max="3729" width="14.6640625" style="95" customWidth="1"/>
    <col min="3730" max="3730" width="11.44140625" style="95" customWidth="1"/>
    <col min="3731" max="3732" width="13" style="95" customWidth="1"/>
    <col min="3733" max="3733" width="9.44140625" style="95" customWidth="1"/>
    <col min="3734" max="3744" width="7" style="95" hidden="1" customWidth="1"/>
    <col min="3745" max="3745" width="10.109375" style="95" customWidth="1"/>
    <col min="3746" max="3754" width="7" style="95" hidden="1" customWidth="1"/>
    <col min="3755" max="3755" width="8.6640625" style="95" customWidth="1"/>
    <col min="3756" max="3756" width="7" style="95" hidden="1" customWidth="1"/>
    <col min="3757" max="3757" width="9.44140625" style="95" customWidth="1"/>
    <col min="3758" max="3758" width="7" style="95" hidden="1" customWidth="1"/>
    <col min="3759" max="3760" width="11.44140625" style="95" customWidth="1"/>
    <col min="3761" max="3761" width="26.6640625" style="95" customWidth="1"/>
    <col min="3762" max="3762" width="9.109375" style="95" bestFit="1" customWidth="1"/>
    <col min="3763" max="3763" width="14.6640625" style="95" customWidth="1"/>
    <col min="3764" max="3764" width="9.88671875" style="95" customWidth="1"/>
    <col min="3765" max="3765" width="9.109375" style="95" bestFit="1" customWidth="1"/>
    <col min="3766" max="3807" width="7" style="95" hidden="1" customWidth="1"/>
    <col min="3808" max="3808" width="8.44140625" style="95" customWidth="1"/>
    <col min="3809" max="3843" width="7" style="95" hidden="1" customWidth="1"/>
    <col min="3844" max="3844" width="9.44140625" style="95" customWidth="1"/>
    <col min="3845" max="3845" width="7" style="95" hidden="1" customWidth="1"/>
    <col min="3846" max="3846" width="5" style="95" customWidth="1"/>
    <col min="3847" max="3851" width="7" style="95" hidden="1" customWidth="1"/>
    <col min="3852" max="3852" width="5" style="95" customWidth="1"/>
    <col min="3853" max="3854" width="7" style="95" hidden="1" customWidth="1"/>
    <col min="3855" max="3855" width="5" style="95" customWidth="1"/>
    <col min="3856" max="3862" width="7" style="95" hidden="1" customWidth="1"/>
    <col min="3863" max="3863" width="6.44140625" style="95" customWidth="1"/>
    <col min="3864" max="3884" width="7" style="95" hidden="1" customWidth="1"/>
    <col min="3885" max="3888" width="6.44140625" style="95" customWidth="1"/>
    <col min="3889" max="3889" width="6.88671875" style="95" customWidth="1"/>
    <col min="3890" max="3890" width="6.44140625" style="95" customWidth="1"/>
    <col min="3891" max="3907" width="7" style="95" hidden="1" customWidth="1"/>
    <col min="3908" max="3908" width="6.5546875" style="95" customWidth="1"/>
    <col min="3909" max="3909" width="6.44140625" style="95" customWidth="1"/>
    <col min="3910" max="3911" width="7" style="95" hidden="1" customWidth="1"/>
    <col min="3912" max="3912" width="6.44140625" style="95" customWidth="1"/>
    <col min="3913" max="3914" width="7" style="95" hidden="1" customWidth="1"/>
    <col min="3915" max="3915" width="7.44140625" style="95" customWidth="1"/>
    <col min="3916" max="3916" width="7" style="95" hidden="1" customWidth="1"/>
    <col min="3917" max="3917" width="6.44140625" style="95" customWidth="1"/>
    <col min="3918" max="3956" width="7" style="95" hidden="1" customWidth="1"/>
    <col min="3957" max="3982" width="7" style="95" hidden="1"/>
    <col min="3983" max="3983" width="41.44140625" style="95" customWidth="1"/>
    <col min="3984" max="3984" width="6.44140625" style="95" customWidth="1"/>
    <col min="3985" max="3985" width="14.6640625" style="95" customWidth="1"/>
    <col min="3986" max="3986" width="11.44140625" style="95" customWidth="1"/>
    <col min="3987" max="3988" width="13" style="95" customWidth="1"/>
    <col min="3989" max="3989" width="9.44140625" style="95" customWidth="1"/>
    <col min="3990" max="4000" width="7" style="95" hidden="1" customWidth="1"/>
    <col min="4001" max="4001" width="10.109375" style="95" customWidth="1"/>
    <col min="4002" max="4010" width="7" style="95" hidden="1" customWidth="1"/>
    <col min="4011" max="4011" width="8.6640625" style="95" customWidth="1"/>
    <col min="4012" max="4012" width="7" style="95" hidden="1" customWidth="1"/>
    <col min="4013" max="4013" width="9.44140625" style="95" customWidth="1"/>
    <col min="4014" max="4014" width="7" style="95" hidden="1" customWidth="1"/>
    <col min="4015" max="4016" width="11.44140625" style="95" customWidth="1"/>
    <col min="4017" max="4017" width="26.6640625" style="95" customWidth="1"/>
    <col min="4018" max="4018" width="9.109375" style="95" bestFit="1" customWidth="1"/>
    <col min="4019" max="4019" width="14.6640625" style="95" customWidth="1"/>
    <col min="4020" max="4020" width="9.88671875" style="95" customWidth="1"/>
    <col min="4021" max="4021" width="9.109375" style="95" bestFit="1" customWidth="1"/>
    <col min="4022" max="4063" width="7" style="95" hidden="1" customWidth="1"/>
    <col min="4064" max="4064" width="8.44140625" style="95" customWidth="1"/>
    <col min="4065" max="4099" width="7" style="95" hidden="1" customWidth="1"/>
    <col min="4100" max="4100" width="9.44140625" style="95" customWidth="1"/>
    <col min="4101" max="4101" width="7" style="95" hidden="1" customWidth="1"/>
    <col min="4102" max="4102" width="5" style="95" customWidth="1"/>
    <col min="4103" max="4107" width="7" style="95" hidden="1" customWidth="1"/>
    <col min="4108" max="4108" width="5" style="95" customWidth="1"/>
    <col min="4109" max="4110" width="7" style="95" hidden="1" customWidth="1"/>
    <col min="4111" max="4111" width="5" style="95" customWidth="1"/>
    <col min="4112" max="4118" width="7" style="95" hidden="1" customWidth="1"/>
    <col min="4119" max="4119" width="6.44140625" style="95" customWidth="1"/>
    <col min="4120" max="4140" width="7" style="95" hidden="1" customWidth="1"/>
    <col min="4141" max="4144" width="6.44140625" style="95" customWidth="1"/>
    <col min="4145" max="4145" width="6.88671875" style="95" customWidth="1"/>
    <col min="4146" max="4146" width="6.44140625" style="95" customWidth="1"/>
    <col min="4147" max="4163" width="7" style="95" hidden="1" customWidth="1"/>
    <col min="4164" max="4164" width="6.5546875" style="95" customWidth="1"/>
    <col min="4165" max="4165" width="6.44140625" style="95" customWidth="1"/>
    <col min="4166" max="4167" width="7" style="95" hidden="1" customWidth="1"/>
    <col min="4168" max="4168" width="6.44140625" style="95" customWidth="1"/>
    <col min="4169" max="4170" width="7" style="95" hidden="1" customWidth="1"/>
    <col min="4171" max="4171" width="7.44140625" style="95" customWidth="1"/>
    <col min="4172" max="4172" width="7" style="95" hidden="1" customWidth="1"/>
    <col min="4173" max="4173" width="6.44140625" style="95" customWidth="1"/>
    <col min="4174" max="4212" width="7" style="95" hidden="1" customWidth="1"/>
    <col min="4213" max="4238" width="7" style="95" hidden="1"/>
    <col min="4239" max="4239" width="41.44140625" style="95" customWidth="1"/>
    <col min="4240" max="4240" width="6.44140625" style="95" customWidth="1"/>
    <col min="4241" max="4241" width="14.6640625" style="95" customWidth="1"/>
    <col min="4242" max="4242" width="11.44140625" style="95" customWidth="1"/>
    <col min="4243" max="4244" width="13" style="95" customWidth="1"/>
    <col min="4245" max="4245" width="9.44140625" style="95" customWidth="1"/>
    <col min="4246" max="4256" width="7" style="95" hidden="1" customWidth="1"/>
    <col min="4257" max="4257" width="10.109375" style="95" customWidth="1"/>
    <col min="4258" max="4266" width="7" style="95" hidden="1" customWidth="1"/>
    <col min="4267" max="4267" width="8.6640625" style="95" customWidth="1"/>
    <col min="4268" max="4268" width="7" style="95" hidden="1" customWidth="1"/>
    <col min="4269" max="4269" width="9.44140625" style="95" customWidth="1"/>
    <col min="4270" max="4270" width="7" style="95" hidden="1" customWidth="1"/>
    <col min="4271" max="4272" width="11.44140625" style="95" customWidth="1"/>
    <col min="4273" max="4273" width="26.6640625" style="95" customWidth="1"/>
    <col min="4274" max="4274" width="9.109375" style="95" bestFit="1" customWidth="1"/>
    <col min="4275" max="4275" width="14.6640625" style="95" customWidth="1"/>
    <col min="4276" max="4276" width="9.88671875" style="95" customWidth="1"/>
    <col min="4277" max="4277" width="9.109375" style="95" bestFit="1" customWidth="1"/>
    <col min="4278" max="4319" width="7" style="95" hidden="1" customWidth="1"/>
    <col min="4320" max="4320" width="8.44140625" style="95" customWidth="1"/>
    <col min="4321" max="4355" width="7" style="95" hidden="1" customWidth="1"/>
    <col min="4356" max="4356" width="9.44140625" style="95" customWidth="1"/>
    <col min="4357" max="4357" width="7" style="95" hidden="1" customWidth="1"/>
    <col min="4358" max="4358" width="5" style="95" customWidth="1"/>
    <col min="4359" max="4363" width="7" style="95" hidden="1" customWidth="1"/>
    <col min="4364" max="4364" width="5" style="95" customWidth="1"/>
    <col min="4365" max="4366" width="7" style="95" hidden="1" customWidth="1"/>
    <col min="4367" max="4367" width="5" style="95" customWidth="1"/>
    <col min="4368" max="4374" width="7" style="95" hidden="1" customWidth="1"/>
    <col min="4375" max="4375" width="6.44140625" style="95" customWidth="1"/>
    <col min="4376" max="4396" width="7" style="95" hidden="1" customWidth="1"/>
    <col min="4397" max="4400" width="6.44140625" style="95" customWidth="1"/>
    <col min="4401" max="4401" width="6.88671875" style="95" customWidth="1"/>
    <col min="4402" max="4402" width="6.44140625" style="95" customWidth="1"/>
    <col min="4403" max="4419" width="7" style="95" hidden="1" customWidth="1"/>
    <col min="4420" max="4420" width="6.5546875" style="95" customWidth="1"/>
    <col min="4421" max="4421" width="6.44140625" style="95" customWidth="1"/>
    <col min="4422" max="4423" width="7" style="95" hidden="1" customWidth="1"/>
    <col min="4424" max="4424" width="6.44140625" style="95" customWidth="1"/>
    <col min="4425" max="4426" width="7" style="95" hidden="1" customWidth="1"/>
    <col min="4427" max="4427" width="7.44140625" style="95" customWidth="1"/>
    <col min="4428" max="4428" width="7" style="95" hidden="1" customWidth="1"/>
    <col min="4429" max="4429" width="6.44140625" style="95" customWidth="1"/>
    <col min="4430" max="4468" width="7" style="95" hidden="1" customWidth="1"/>
    <col min="4469" max="4494" width="7" style="95" hidden="1"/>
    <col min="4495" max="4495" width="41.44140625" style="95" customWidth="1"/>
    <col min="4496" max="4496" width="6.44140625" style="95" customWidth="1"/>
    <col min="4497" max="4497" width="14.6640625" style="95" customWidth="1"/>
    <col min="4498" max="4498" width="11.44140625" style="95" customWidth="1"/>
    <col min="4499" max="4500" width="13" style="95" customWidth="1"/>
    <col min="4501" max="4501" width="9.44140625" style="95" customWidth="1"/>
    <col min="4502" max="4512" width="7" style="95" hidden="1" customWidth="1"/>
    <col min="4513" max="4513" width="10.109375" style="95" customWidth="1"/>
    <col min="4514" max="4522" width="7" style="95" hidden="1" customWidth="1"/>
    <col min="4523" max="4523" width="8.6640625" style="95" customWidth="1"/>
    <col min="4524" max="4524" width="7" style="95" hidden="1" customWidth="1"/>
    <col min="4525" max="4525" width="9.44140625" style="95" customWidth="1"/>
    <col min="4526" max="4526" width="7" style="95" hidden="1" customWidth="1"/>
    <col min="4527" max="4528" width="11.44140625" style="95" customWidth="1"/>
    <col min="4529" max="4529" width="26.6640625" style="95" customWidth="1"/>
    <col min="4530" max="4530" width="9.109375" style="95" bestFit="1" customWidth="1"/>
    <col min="4531" max="4531" width="14.6640625" style="95" customWidth="1"/>
    <col min="4532" max="4532" width="9.88671875" style="95" customWidth="1"/>
    <col min="4533" max="4533" width="9.109375" style="95" bestFit="1" customWidth="1"/>
    <col min="4534" max="4575" width="7" style="95" hidden="1" customWidth="1"/>
    <col min="4576" max="4576" width="8.44140625" style="95" customWidth="1"/>
    <col min="4577" max="4611" width="7" style="95" hidden="1" customWidth="1"/>
    <col min="4612" max="4612" width="9.44140625" style="95" customWidth="1"/>
    <col min="4613" max="4613" width="7" style="95" hidden="1" customWidth="1"/>
    <col min="4614" max="4614" width="5" style="95" customWidth="1"/>
    <col min="4615" max="4619" width="7" style="95" hidden="1" customWidth="1"/>
    <col min="4620" max="4620" width="5" style="95" customWidth="1"/>
    <col min="4621" max="4622" width="7" style="95" hidden="1" customWidth="1"/>
    <col min="4623" max="4623" width="5" style="95" customWidth="1"/>
    <col min="4624" max="4630" width="7" style="95" hidden="1" customWidth="1"/>
    <col min="4631" max="4631" width="6.44140625" style="95" customWidth="1"/>
    <col min="4632" max="4652" width="7" style="95" hidden="1" customWidth="1"/>
    <col min="4653" max="4656" width="6.44140625" style="95" customWidth="1"/>
    <col min="4657" max="4657" width="6.88671875" style="95" customWidth="1"/>
    <col min="4658" max="4658" width="6.44140625" style="95" customWidth="1"/>
    <col min="4659" max="4675" width="7" style="95" hidden="1" customWidth="1"/>
    <col min="4676" max="4676" width="6.5546875" style="95" customWidth="1"/>
    <col min="4677" max="4677" width="6.44140625" style="95" customWidth="1"/>
    <col min="4678" max="4679" width="7" style="95" hidden="1" customWidth="1"/>
    <col min="4680" max="4680" width="6.44140625" style="95" customWidth="1"/>
    <col min="4681" max="4682" width="7" style="95" hidden="1" customWidth="1"/>
    <col min="4683" max="4683" width="7.44140625" style="95" customWidth="1"/>
    <col min="4684" max="4684" width="7" style="95" hidden="1" customWidth="1"/>
    <col min="4685" max="4685" width="6.44140625" style="95" customWidth="1"/>
    <col min="4686" max="4724" width="7" style="95" hidden="1" customWidth="1"/>
    <col min="4725" max="4750" width="7" style="95" hidden="1"/>
    <col min="4751" max="4751" width="41.44140625" style="95" customWidth="1"/>
    <col min="4752" max="4752" width="6.44140625" style="95" customWidth="1"/>
    <col min="4753" max="4753" width="14.6640625" style="95" customWidth="1"/>
    <col min="4754" max="4754" width="11.44140625" style="95" customWidth="1"/>
    <col min="4755" max="4756" width="13" style="95" customWidth="1"/>
    <col min="4757" max="4757" width="9.44140625" style="95" customWidth="1"/>
    <col min="4758" max="4768" width="7" style="95" hidden="1" customWidth="1"/>
    <col min="4769" max="4769" width="10.109375" style="95" customWidth="1"/>
    <col min="4770" max="4778" width="7" style="95" hidden="1" customWidth="1"/>
    <col min="4779" max="4779" width="8.6640625" style="95" customWidth="1"/>
    <col min="4780" max="4780" width="7" style="95" hidden="1" customWidth="1"/>
    <col min="4781" max="4781" width="9.44140625" style="95" customWidth="1"/>
    <col min="4782" max="4782" width="7" style="95" hidden="1" customWidth="1"/>
    <col min="4783" max="4784" width="11.44140625" style="95" customWidth="1"/>
    <col min="4785" max="4785" width="26.6640625" style="95" customWidth="1"/>
    <col min="4786" max="4786" width="9.109375" style="95" bestFit="1" customWidth="1"/>
    <col min="4787" max="4787" width="14.6640625" style="95" customWidth="1"/>
    <col min="4788" max="4788" width="9.88671875" style="95" customWidth="1"/>
    <col min="4789" max="4789" width="9.109375" style="95" bestFit="1" customWidth="1"/>
    <col min="4790" max="4831" width="7" style="95" hidden="1" customWidth="1"/>
    <col min="4832" max="4832" width="8.44140625" style="95" customWidth="1"/>
    <col min="4833" max="4867" width="7" style="95" hidden="1" customWidth="1"/>
    <col min="4868" max="4868" width="9.44140625" style="95" customWidth="1"/>
    <col min="4869" max="4869" width="7" style="95" hidden="1" customWidth="1"/>
    <col min="4870" max="4870" width="5" style="95" customWidth="1"/>
    <col min="4871" max="4875" width="7" style="95" hidden="1" customWidth="1"/>
    <col min="4876" max="4876" width="5" style="95" customWidth="1"/>
    <col min="4877" max="4878" width="7" style="95" hidden="1" customWidth="1"/>
    <col min="4879" max="4879" width="5" style="95" customWidth="1"/>
    <col min="4880" max="4886" width="7" style="95" hidden="1" customWidth="1"/>
    <col min="4887" max="4887" width="6.44140625" style="95" customWidth="1"/>
    <col min="4888" max="4908" width="7" style="95" hidden="1" customWidth="1"/>
    <col min="4909" max="4912" width="6.44140625" style="95" customWidth="1"/>
    <col min="4913" max="4913" width="6.88671875" style="95" customWidth="1"/>
    <col min="4914" max="4914" width="6.44140625" style="95" customWidth="1"/>
    <col min="4915" max="4931" width="7" style="95" hidden="1" customWidth="1"/>
    <col min="4932" max="4932" width="6.5546875" style="95" customWidth="1"/>
    <col min="4933" max="4933" width="6.44140625" style="95" customWidth="1"/>
    <col min="4934" max="4935" width="7" style="95" hidden="1" customWidth="1"/>
    <col min="4936" max="4936" width="6.44140625" style="95" customWidth="1"/>
    <col min="4937" max="4938" width="7" style="95" hidden="1" customWidth="1"/>
    <col min="4939" max="4939" width="7.44140625" style="95" customWidth="1"/>
    <col min="4940" max="4940" width="7" style="95" hidden="1" customWidth="1"/>
    <col min="4941" max="4941" width="6.44140625" style="95" customWidth="1"/>
    <col min="4942" max="4980" width="7" style="95" hidden="1" customWidth="1"/>
    <col min="4981" max="5006" width="7" style="95" hidden="1"/>
    <col min="5007" max="5007" width="41.44140625" style="95" customWidth="1"/>
    <col min="5008" max="5008" width="6.44140625" style="95" customWidth="1"/>
    <col min="5009" max="5009" width="14.6640625" style="95" customWidth="1"/>
    <col min="5010" max="5010" width="11.44140625" style="95" customWidth="1"/>
    <col min="5011" max="5012" width="13" style="95" customWidth="1"/>
    <col min="5013" max="5013" width="9.44140625" style="95" customWidth="1"/>
    <col min="5014" max="5024" width="7" style="95" hidden="1" customWidth="1"/>
    <col min="5025" max="5025" width="10.109375" style="95" customWidth="1"/>
    <col min="5026" max="5034" width="7" style="95" hidden="1" customWidth="1"/>
    <col min="5035" max="5035" width="8.6640625" style="95" customWidth="1"/>
    <col min="5036" max="5036" width="7" style="95" hidden="1" customWidth="1"/>
    <col min="5037" max="5037" width="9.44140625" style="95" customWidth="1"/>
    <col min="5038" max="5038" width="7" style="95" hidden="1" customWidth="1"/>
    <col min="5039" max="5040" width="11.44140625" style="95" customWidth="1"/>
    <col min="5041" max="5041" width="26.6640625" style="95" customWidth="1"/>
    <col min="5042" max="5042" width="9.109375" style="95" bestFit="1" customWidth="1"/>
    <col min="5043" max="5043" width="14.6640625" style="95" customWidth="1"/>
    <col min="5044" max="5044" width="9.88671875" style="95" customWidth="1"/>
    <col min="5045" max="5045" width="9.109375" style="95" bestFit="1" customWidth="1"/>
    <col min="5046" max="5087" width="7" style="95" hidden="1" customWidth="1"/>
    <col min="5088" max="5088" width="8.44140625" style="95" customWidth="1"/>
    <col min="5089" max="5123" width="7" style="95" hidden="1" customWidth="1"/>
    <col min="5124" max="5124" width="9.44140625" style="95" customWidth="1"/>
    <col min="5125" max="5125" width="7" style="95" hidden="1" customWidth="1"/>
    <col min="5126" max="5126" width="5" style="95" customWidth="1"/>
    <col min="5127" max="5131" width="7" style="95" hidden="1" customWidth="1"/>
    <col min="5132" max="5132" width="5" style="95" customWidth="1"/>
    <col min="5133" max="5134" width="7" style="95" hidden="1" customWidth="1"/>
    <col min="5135" max="5135" width="5" style="95" customWidth="1"/>
    <col min="5136" max="5142" width="7" style="95" hidden="1" customWidth="1"/>
    <col min="5143" max="5143" width="6.44140625" style="95" customWidth="1"/>
    <col min="5144" max="5164" width="7" style="95" hidden="1" customWidth="1"/>
    <col min="5165" max="5168" width="6.44140625" style="95" customWidth="1"/>
    <col min="5169" max="5169" width="6.88671875" style="95" customWidth="1"/>
    <col min="5170" max="5170" width="6.44140625" style="95" customWidth="1"/>
    <col min="5171" max="5187" width="7" style="95" hidden="1" customWidth="1"/>
    <col min="5188" max="5188" width="6.5546875" style="95" customWidth="1"/>
    <col min="5189" max="5189" width="6.44140625" style="95" customWidth="1"/>
    <col min="5190" max="5191" width="7" style="95" hidden="1" customWidth="1"/>
    <col min="5192" max="5192" width="6.44140625" style="95" customWidth="1"/>
    <col min="5193" max="5194" width="7" style="95" hidden="1" customWidth="1"/>
    <col min="5195" max="5195" width="7.44140625" style="95" customWidth="1"/>
    <col min="5196" max="5196" width="7" style="95" hidden="1" customWidth="1"/>
    <col min="5197" max="5197" width="6.44140625" style="95" customWidth="1"/>
    <col min="5198" max="5236" width="7" style="95" hidden="1" customWidth="1"/>
    <col min="5237" max="5262" width="7" style="95" hidden="1"/>
    <col min="5263" max="5263" width="41.44140625" style="95" customWidth="1"/>
    <col min="5264" max="5264" width="6.44140625" style="95" customWidth="1"/>
    <col min="5265" max="5265" width="14.6640625" style="95" customWidth="1"/>
    <col min="5266" max="5266" width="11.44140625" style="95" customWidth="1"/>
    <col min="5267" max="5268" width="13" style="95" customWidth="1"/>
    <col min="5269" max="5269" width="9.44140625" style="95" customWidth="1"/>
    <col min="5270" max="5280" width="7" style="95" hidden="1" customWidth="1"/>
    <col min="5281" max="5281" width="10.109375" style="95" customWidth="1"/>
    <col min="5282" max="5290" width="7" style="95" hidden="1" customWidth="1"/>
    <col min="5291" max="5291" width="8.6640625" style="95" customWidth="1"/>
    <col min="5292" max="5292" width="7" style="95" hidden="1" customWidth="1"/>
    <col min="5293" max="5293" width="9.44140625" style="95" customWidth="1"/>
    <col min="5294" max="5294" width="7" style="95" hidden="1" customWidth="1"/>
    <col min="5295" max="5296" width="11.44140625" style="95" customWidth="1"/>
    <col min="5297" max="5297" width="26.6640625" style="95" customWidth="1"/>
    <col min="5298" max="5298" width="9.109375" style="95" bestFit="1" customWidth="1"/>
    <col min="5299" max="5299" width="14.6640625" style="95" customWidth="1"/>
    <col min="5300" max="5300" width="9.88671875" style="95" customWidth="1"/>
    <col min="5301" max="5301" width="9.109375" style="95" bestFit="1" customWidth="1"/>
    <col min="5302" max="5343" width="7" style="95" hidden="1" customWidth="1"/>
    <col min="5344" max="5344" width="8.44140625" style="95" customWidth="1"/>
    <col min="5345" max="5379" width="7" style="95" hidden="1" customWidth="1"/>
    <col min="5380" max="5380" width="9.44140625" style="95" customWidth="1"/>
    <col min="5381" max="5381" width="7" style="95" hidden="1" customWidth="1"/>
    <col min="5382" max="5382" width="5" style="95" customWidth="1"/>
    <col min="5383" max="5387" width="7" style="95" hidden="1" customWidth="1"/>
    <col min="5388" max="5388" width="5" style="95" customWidth="1"/>
    <col min="5389" max="5390" width="7" style="95" hidden="1" customWidth="1"/>
    <col min="5391" max="5391" width="5" style="95" customWidth="1"/>
    <col min="5392" max="5398" width="7" style="95" hidden="1" customWidth="1"/>
    <col min="5399" max="5399" width="6.44140625" style="95" customWidth="1"/>
    <col min="5400" max="5420" width="7" style="95" hidden="1" customWidth="1"/>
    <col min="5421" max="5424" width="6.44140625" style="95" customWidth="1"/>
    <col min="5425" max="5425" width="6.88671875" style="95" customWidth="1"/>
    <col min="5426" max="5426" width="6.44140625" style="95" customWidth="1"/>
    <col min="5427" max="5443" width="7" style="95" hidden="1" customWidth="1"/>
    <col min="5444" max="5444" width="6.5546875" style="95" customWidth="1"/>
    <col min="5445" max="5445" width="6.44140625" style="95" customWidth="1"/>
    <col min="5446" max="5447" width="7" style="95" hidden="1" customWidth="1"/>
    <col min="5448" max="5448" width="6.44140625" style="95" customWidth="1"/>
    <col min="5449" max="5450" width="7" style="95" hidden="1" customWidth="1"/>
    <col min="5451" max="5451" width="7.44140625" style="95" customWidth="1"/>
    <col min="5452" max="5452" width="7" style="95" hidden="1" customWidth="1"/>
    <col min="5453" max="5453" width="6.44140625" style="95" customWidth="1"/>
    <col min="5454" max="5492" width="7" style="95" hidden="1" customWidth="1"/>
    <col min="5493" max="5518" width="7" style="95" hidden="1"/>
    <col min="5519" max="5519" width="41.44140625" style="95" customWidth="1"/>
    <col min="5520" max="5520" width="6.44140625" style="95" customWidth="1"/>
    <col min="5521" max="5521" width="14.6640625" style="95" customWidth="1"/>
    <col min="5522" max="5522" width="11.44140625" style="95" customWidth="1"/>
    <col min="5523" max="5524" width="13" style="95" customWidth="1"/>
    <col min="5525" max="5525" width="9.44140625" style="95" customWidth="1"/>
    <col min="5526" max="5536" width="7" style="95" hidden="1" customWidth="1"/>
    <col min="5537" max="5537" width="10.109375" style="95" customWidth="1"/>
    <col min="5538" max="5546" width="7" style="95" hidden="1" customWidth="1"/>
    <col min="5547" max="5547" width="8.6640625" style="95" customWidth="1"/>
    <col min="5548" max="5548" width="7" style="95" hidden="1" customWidth="1"/>
    <col min="5549" max="5549" width="9.44140625" style="95" customWidth="1"/>
    <col min="5550" max="5550" width="7" style="95" hidden="1" customWidth="1"/>
    <col min="5551" max="5552" width="11.44140625" style="95" customWidth="1"/>
    <col min="5553" max="5553" width="26.6640625" style="95" customWidth="1"/>
    <col min="5554" max="5554" width="9.109375" style="95" bestFit="1" customWidth="1"/>
    <col min="5555" max="5555" width="14.6640625" style="95" customWidth="1"/>
    <col min="5556" max="5556" width="9.88671875" style="95" customWidth="1"/>
    <col min="5557" max="5557" width="9.109375" style="95" bestFit="1" customWidth="1"/>
    <col min="5558" max="5599" width="7" style="95" hidden="1" customWidth="1"/>
    <col min="5600" max="5600" width="8.44140625" style="95" customWidth="1"/>
    <col min="5601" max="5635" width="7" style="95" hidden="1" customWidth="1"/>
    <col min="5636" max="5636" width="9.44140625" style="95" customWidth="1"/>
    <col min="5637" max="5637" width="7" style="95" hidden="1" customWidth="1"/>
    <col min="5638" max="5638" width="5" style="95" customWidth="1"/>
    <col min="5639" max="5643" width="7" style="95" hidden="1" customWidth="1"/>
    <col min="5644" max="5644" width="5" style="95" customWidth="1"/>
    <col min="5645" max="5646" width="7" style="95" hidden="1" customWidth="1"/>
    <col min="5647" max="5647" width="5" style="95" customWidth="1"/>
    <col min="5648" max="5654" width="7" style="95" hidden="1" customWidth="1"/>
    <col min="5655" max="5655" width="6.44140625" style="95" customWidth="1"/>
    <col min="5656" max="5676" width="7" style="95" hidden="1" customWidth="1"/>
    <col min="5677" max="5680" width="6.44140625" style="95" customWidth="1"/>
    <col min="5681" max="5681" width="6.88671875" style="95" customWidth="1"/>
    <col min="5682" max="5682" width="6.44140625" style="95" customWidth="1"/>
    <col min="5683" max="5699" width="7" style="95" hidden="1" customWidth="1"/>
    <col min="5700" max="5700" width="6.5546875" style="95" customWidth="1"/>
    <col min="5701" max="5701" width="6.44140625" style="95" customWidth="1"/>
    <col min="5702" max="5703" width="7" style="95" hidden="1" customWidth="1"/>
    <col min="5704" max="5704" width="6.44140625" style="95" customWidth="1"/>
    <col min="5705" max="5706" width="7" style="95" hidden="1" customWidth="1"/>
    <col min="5707" max="5707" width="7.44140625" style="95" customWidth="1"/>
    <col min="5708" max="5708" width="7" style="95" hidden="1" customWidth="1"/>
    <col min="5709" max="5709" width="6.44140625" style="95" customWidth="1"/>
    <col min="5710" max="5748" width="7" style="95" hidden="1" customWidth="1"/>
    <col min="5749" max="5774" width="7" style="95" hidden="1"/>
    <col min="5775" max="5775" width="41.44140625" style="95" customWidth="1"/>
    <col min="5776" max="5776" width="6.44140625" style="95" customWidth="1"/>
    <col min="5777" max="5777" width="14.6640625" style="95" customWidth="1"/>
    <col min="5778" max="5778" width="11.44140625" style="95" customWidth="1"/>
    <col min="5779" max="5780" width="13" style="95" customWidth="1"/>
    <col min="5781" max="5781" width="9.44140625" style="95" customWidth="1"/>
    <col min="5782" max="5792" width="7" style="95" hidden="1" customWidth="1"/>
    <col min="5793" max="5793" width="10.109375" style="95" customWidth="1"/>
    <col min="5794" max="5802" width="7" style="95" hidden="1" customWidth="1"/>
    <col min="5803" max="5803" width="8.6640625" style="95" customWidth="1"/>
    <col min="5804" max="5804" width="7" style="95" hidden="1" customWidth="1"/>
    <col min="5805" max="5805" width="9.44140625" style="95" customWidth="1"/>
    <col min="5806" max="5806" width="7" style="95" hidden="1" customWidth="1"/>
    <col min="5807" max="5808" width="11.44140625" style="95" customWidth="1"/>
    <col min="5809" max="5809" width="26.6640625" style="95" customWidth="1"/>
    <col min="5810" max="5810" width="9.109375" style="95" bestFit="1" customWidth="1"/>
    <col min="5811" max="5811" width="14.6640625" style="95" customWidth="1"/>
    <col min="5812" max="5812" width="9.88671875" style="95" customWidth="1"/>
    <col min="5813" max="5813" width="9.109375" style="95" bestFit="1" customWidth="1"/>
    <col min="5814" max="5855" width="7" style="95" hidden="1" customWidth="1"/>
    <col min="5856" max="5856" width="8.44140625" style="95" customWidth="1"/>
    <col min="5857" max="5891" width="7" style="95" hidden="1" customWidth="1"/>
    <col min="5892" max="5892" width="9.44140625" style="95" customWidth="1"/>
    <col min="5893" max="5893" width="7" style="95" hidden="1" customWidth="1"/>
    <col min="5894" max="5894" width="5" style="95" customWidth="1"/>
    <col min="5895" max="5899" width="7" style="95" hidden="1" customWidth="1"/>
    <col min="5900" max="5900" width="5" style="95" customWidth="1"/>
    <col min="5901" max="5902" width="7" style="95" hidden="1" customWidth="1"/>
    <col min="5903" max="5903" width="5" style="95" customWidth="1"/>
    <col min="5904" max="5910" width="7" style="95" hidden="1" customWidth="1"/>
    <col min="5911" max="5911" width="6.44140625" style="95" customWidth="1"/>
    <col min="5912" max="5932" width="7" style="95" hidden="1" customWidth="1"/>
    <col min="5933" max="5936" width="6.44140625" style="95" customWidth="1"/>
    <col min="5937" max="5937" width="6.88671875" style="95" customWidth="1"/>
    <col min="5938" max="5938" width="6.44140625" style="95" customWidth="1"/>
    <col min="5939" max="5955" width="7" style="95" hidden="1" customWidth="1"/>
    <col min="5956" max="5956" width="6.5546875" style="95" customWidth="1"/>
    <col min="5957" max="5957" width="6.44140625" style="95" customWidth="1"/>
    <col min="5958" max="5959" width="7" style="95" hidden="1" customWidth="1"/>
    <col min="5960" max="5960" width="6.44140625" style="95" customWidth="1"/>
    <col min="5961" max="5962" width="7" style="95" hidden="1" customWidth="1"/>
    <col min="5963" max="5963" width="7.44140625" style="95" customWidth="1"/>
    <col min="5964" max="5964" width="7" style="95" hidden="1" customWidth="1"/>
    <col min="5965" max="5965" width="6.44140625" style="95" customWidth="1"/>
    <col min="5966" max="6004" width="7" style="95" hidden="1" customWidth="1"/>
    <col min="6005" max="6030" width="7" style="95" hidden="1"/>
    <col min="6031" max="6031" width="41.44140625" style="95" customWidth="1"/>
    <col min="6032" max="6032" width="6.44140625" style="95" customWidth="1"/>
    <col min="6033" max="6033" width="14.6640625" style="95" customWidth="1"/>
    <col min="6034" max="6034" width="11.44140625" style="95" customWidth="1"/>
    <col min="6035" max="6036" width="13" style="95" customWidth="1"/>
    <col min="6037" max="6037" width="9.44140625" style="95" customWidth="1"/>
    <col min="6038" max="6048" width="7" style="95" hidden="1" customWidth="1"/>
    <col min="6049" max="6049" width="10.109375" style="95" customWidth="1"/>
    <col min="6050" max="6058" width="7" style="95" hidden="1" customWidth="1"/>
    <col min="6059" max="6059" width="8.6640625" style="95" customWidth="1"/>
    <col min="6060" max="6060" width="7" style="95" hidden="1" customWidth="1"/>
    <col min="6061" max="6061" width="9.44140625" style="95" customWidth="1"/>
    <col min="6062" max="6062" width="7" style="95" hidden="1" customWidth="1"/>
    <col min="6063" max="6064" width="11.44140625" style="95" customWidth="1"/>
    <col min="6065" max="6065" width="26.6640625" style="95" customWidth="1"/>
    <col min="6066" max="6066" width="9.109375" style="95" bestFit="1" customWidth="1"/>
    <col min="6067" max="6067" width="14.6640625" style="95" customWidth="1"/>
    <col min="6068" max="6068" width="9.88671875" style="95" customWidth="1"/>
    <col min="6069" max="6069" width="9.109375" style="95" bestFit="1" customWidth="1"/>
    <col min="6070" max="6111" width="7" style="95" hidden="1" customWidth="1"/>
    <col min="6112" max="6112" width="8.44140625" style="95" customWidth="1"/>
    <col min="6113" max="6147" width="7" style="95" hidden="1" customWidth="1"/>
    <col min="6148" max="6148" width="9.44140625" style="95" customWidth="1"/>
    <col min="6149" max="6149" width="7" style="95" hidden="1" customWidth="1"/>
    <col min="6150" max="6150" width="5" style="95" customWidth="1"/>
    <col min="6151" max="6155" width="7" style="95" hidden="1" customWidth="1"/>
    <col min="6156" max="6156" width="5" style="95" customWidth="1"/>
    <col min="6157" max="6158" width="7" style="95" hidden="1" customWidth="1"/>
    <col min="6159" max="6159" width="5" style="95" customWidth="1"/>
    <col min="6160" max="6166" width="7" style="95" hidden="1" customWidth="1"/>
    <col min="6167" max="6167" width="6.44140625" style="95" customWidth="1"/>
    <col min="6168" max="6188" width="7" style="95" hidden="1" customWidth="1"/>
    <col min="6189" max="6192" width="6.44140625" style="95" customWidth="1"/>
    <col min="6193" max="6193" width="6.88671875" style="95" customWidth="1"/>
    <col min="6194" max="6194" width="6.44140625" style="95" customWidth="1"/>
    <col min="6195" max="6211" width="7" style="95" hidden="1" customWidth="1"/>
    <col min="6212" max="6212" width="6.5546875" style="95" customWidth="1"/>
    <col min="6213" max="6213" width="6.44140625" style="95" customWidth="1"/>
    <col min="6214" max="6215" width="7" style="95" hidden="1" customWidth="1"/>
    <col min="6216" max="6216" width="6.44140625" style="95" customWidth="1"/>
    <col min="6217" max="6218" width="7" style="95" hidden="1" customWidth="1"/>
    <col min="6219" max="6219" width="7.44140625" style="95" customWidth="1"/>
    <col min="6220" max="6220" width="7" style="95" hidden="1" customWidth="1"/>
    <col min="6221" max="6221" width="6.44140625" style="95" customWidth="1"/>
    <col min="6222" max="6260" width="7" style="95" hidden="1" customWidth="1"/>
    <col min="6261" max="6286" width="7" style="95" hidden="1"/>
    <col min="6287" max="6287" width="41.44140625" style="95" customWidth="1"/>
    <col min="6288" max="6288" width="6.44140625" style="95" customWidth="1"/>
    <col min="6289" max="6289" width="14.6640625" style="95" customWidth="1"/>
    <col min="6290" max="6290" width="11.44140625" style="95" customWidth="1"/>
    <col min="6291" max="6292" width="13" style="95" customWidth="1"/>
    <col min="6293" max="6293" width="9.44140625" style="95" customWidth="1"/>
    <col min="6294" max="6304" width="7" style="95" hidden="1" customWidth="1"/>
    <col min="6305" max="6305" width="10.109375" style="95" customWidth="1"/>
    <col min="6306" max="6314" width="7" style="95" hidden="1" customWidth="1"/>
    <col min="6315" max="6315" width="8.6640625" style="95" customWidth="1"/>
    <col min="6316" max="6316" width="7" style="95" hidden="1" customWidth="1"/>
    <col min="6317" max="6317" width="9.44140625" style="95" customWidth="1"/>
    <col min="6318" max="6318" width="7" style="95" hidden="1" customWidth="1"/>
    <col min="6319" max="6320" width="11.44140625" style="95" customWidth="1"/>
    <col min="6321" max="6321" width="26.6640625" style="95" customWidth="1"/>
    <col min="6322" max="6322" width="9.109375" style="95" bestFit="1" customWidth="1"/>
    <col min="6323" max="6323" width="14.6640625" style="95" customWidth="1"/>
    <col min="6324" max="6324" width="9.88671875" style="95" customWidth="1"/>
    <col min="6325" max="6325" width="9.109375" style="95" bestFit="1" customWidth="1"/>
    <col min="6326" max="6367" width="7" style="95" hidden="1" customWidth="1"/>
    <col min="6368" max="6368" width="8.44140625" style="95" customWidth="1"/>
    <col min="6369" max="6403" width="7" style="95" hidden="1" customWidth="1"/>
    <col min="6404" max="6404" width="9.44140625" style="95" customWidth="1"/>
    <col min="6405" max="6405" width="7" style="95" hidden="1" customWidth="1"/>
    <col min="6406" max="6406" width="5" style="95" customWidth="1"/>
    <col min="6407" max="6411" width="7" style="95" hidden="1" customWidth="1"/>
    <col min="6412" max="6412" width="5" style="95" customWidth="1"/>
    <col min="6413" max="6414" width="7" style="95" hidden="1" customWidth="1"/>
    <col min="6415" max="6415" width="5" style="95" customWidth="1"/>
    <col min="6416" max="6422" width="7" style="95" hidden="1" customWidth="1"/>
    <col min="6423" max="6423" width="6.44140625" style="95" customWidth="1"/>
    <col min="6424" max="6444" width="7" style="95" hidden="1" customWidth="1"/>
    <col min="6445" max="6448" width="6.44140625" style="95" customWidth="1"/>
    <col min="6449" max="6449" width="6.88671875" style="95" customWidth="1"/>
    <col min="6450" max="6450" width="6.44140625" style="95" customWidth="1"/>
    <col min="6451" max="6467" width="7" style="95" hidden="1" customWidth="1"/>
    <col min="6468" max="6468" width="6.5546875" style="95" customWidth="1"/>
    <col min="6469" max="6469" width="6.44140625" style="95" customWidth="1"/>
    <col min="6470" max="6471" width="7" style="95" hidden="1" customWidth="1"/>
    <col min="6472" max="6472" width="6.44140625" style="95" customWidth="1"/>
    <col min="6473" max="6474" width="7" style="95" hidden="1" customWidth="1"/>
    <col min="6475" max="6475" width="7.44140625" style="95" customWidth="1"/>
    <col min="6476" max="6476" width="7" style="95" hidden="1" customWidth="1"/>
    <col min="6477" max="6477" width="6.44140625" style="95" customWidth="1"/>
    <col min="6478" max="6516" width="7" style="95" hidden="1" customWidth="1"/>
    <col min="6517" max="6542" width="7" style="95" hidden="1"/>
    <col min="6543" max="6543" width="41.44140625" style="95" customWidth="1"/>
    <col min="6544" max="6544" width="6.44140625" style="95" customWidth="1"/>
    <col min="6545" max="6545" width="14.6640625" style="95" customWidth="1"/>
    <col min="6546" max="6546" width="11.44140625" style="95" customWidth="1"/>
    <col min="6547" max="6548" width="13" style="95" customWidth="1"/>
    <col min="6549" max="6549" width="9.44140625" style="95" customWidth="1"/>
    <col min="6550" max="6560" width="7" style="95" hidden="1" customWidth="1"/>
    <col min="6561" max="6561" width="10.109375" style="95" customWidth="1"/>
    <col min="6562" max="6570" width="7" style="95" hidden="1" customWidth="1"/>
    <col min="6571" max="6571" width="8.6640625" style="95" customWidth="1"/>
    <col min="6572" max="6572" width="7" style="95" hidden="1" customWidth="1"/>
    <col min="6573" max="6573" width="9.44140625" style="95" customWidth="1"/>
    <col min="6574" max="6574" width="7" style="95" hidden="1" customWidth="1"/>
    <col min="6575" max="6576" width="11.44140625" style="95" customWidth="1"/>
    <col min="6577" max="6577" width="26.6640625" style="95" customWidth="1"/>
    <col min="6578" max="6578" width="9.109375" style="95" bestFit="1" customWidth="1"/>
    <col min="6579" max="6579" width="14.6640625" style="95" customWidth="1"/>
    <col min="6580" max="6580" width="9.88671875" style="95" customWidth="1"/>
    <col min="6581" max="6581" width="9.109375" style="95" bestFit="1" customWidth="1"/>
    <col min="6582" max="6623" width="7" style="95" hidden="1" customWidth="1"/>
    <col min="6624" max="6624" width="8.44140625" style="95" customWidth="1"/>
    <col min="6625" max="6659" width="7" style="95" hidden="1" customWidth="1"/>
    <col min="6660" max="6660" width="9.44140625" style="95" customWidth="1"/>
    <col min="6661" max="6661" width="7" style="95" hidden="1" customWidth="1"/>
    <col min="6662" max="6662" width="5" style="95" customWidth="1"/>
    <col min="6663" max="6667" width="7" style="95" hidden="1" customWidth="1"/>
    <col min="6668" max="6668" width="5" style="95" customWidth="1"/>
    <col min="6669" max="6670" width="7" style="95" hidden="1" customWidth="1"/>
    <col min="6671" max="6671" width="5" style="95" customWidth="1"/>
    <col min="6672" max="6678" width="7" style="95" hidden="1" customWidth="1"/>
    <col min="6679" max="6679" width="6.44140625" style="95" customWidth="1"/>
    <col min="6680" max="6700" width="7" style="95" hidden="1" customWidth="1"/>
    <col min="6701" max="6704" width="6.44140625" style="95" customWidth="1"/>
    <col min="6705" max="6705" width="6.88671875" style="95" customWidth="1"/>
    <col min="6706" max="6706" width="6.44140625" style="95" customWidth="1"/>
    <col min="6707" max="6723" width="7" style="95" hidden="1" customWidth="1"/>
    <col min="6724" max="6724" width="6.5546875" style="95" customWidth="1"/>
    <col min="6725" max="6725" width="6.44140625" style="95" customWidth="1"/>
    <col min="6726" max="6727" width="7" style="95" hidden="1" customWidth="1"/>
    <col min="6728" max="6728" width="6.44140625" style="95" customWidth="1"/>
    <col min="6729" max="6730" width="7" style="95" hidden="1" customWidth="1"/>
    <col min="6731" max="6731" width="7.44140625" style="95" customWidth="1"/>
    <col min="6732" max="6732" width="7" style="95" hidden="1" customWidth="1"/>
    <col min="6733" max="6733" width="6.44140625" style="95" customWidth="1"/>
    <col min="6734" max="6772" width="7" style="95" hidden="1" customWidth="1"/>
    <col min="6773" max="6798" width="7" style="95" hidden="1"/>
    <col min="6799" max="6799" width="41.44140625" style="95" customWidth="1"/>
    <col min="6800" max="6800" width="6.44140625" style="95" customWidth="1"/>
    <col min="6801" max="6801" width="14.6640625" style="95" customWidth="1"/>
    <col min="6802" max="6802" width="11.44140625" style="95" customWidth="1"/>
    <col min="6803" max="6804" width="13" style="95" customWidth="1"/>
    <col min="6805" max="6805" width="9.44140625" style="95" customWidth="1"/>
    <col min="6806" max="6816" width="7" style="95" hidden="1" customWidth="1"/>
    <col min="6817" max="6817" width="10.109375" style="95" customWidth="1"/>
    <col min="6818" max="6826" width="7" style="95" hidden="1" customWidth="1"/>
    <col min="6827" max="6827" width="8.6640625" style="95" customWidth="1"/>
    <col min="6828" max="6828" width="7" style="95" hidden="1" customWidth="1"/>
    <col min="6829" max="6829" width="9.44140625" style="95" customWidth="1"/>
    <col min="6830" max="6830" width="7" style="95" hidden="1" customWidth="1"/>
    <col min="6831" max="6832" width="11.44140625" style="95" customWidth="1"/>
    <col min="6833" max="6833" width="26.6640625" style="95" customWidth="1"/>
    <col min="6834" max="6834" width="9.109375" style="95" bestFit="1" customWidth="1"/>
    <col min="6835" max="6835" width="14.6640625" style="95" customWidth="1"/>
    <col min="6836" max="6836" width="9.88671875" style="95" customWidth="1"/>
    <col min="6837" max="6837" width="9.109375" style="95" bestFit="1" customWidth="1"/>
    <col min="6838" max="6879" width="7" style="95" hidden="1" customWidth="1"/>
    <col min="6880" max="6880" width="8.44140625" style="95" customWidth="1"/>
    <col min="6881" max="6915" width="7" style="95" hidden="1" customWidth="1"/>
    <col min="6916" max="6916" width="9.44140625" style="95" customWidth="1"/>
    <col min="6917" max="6917" width="7" style="95" hidden="1" customWidth="1"/>
    <col min="6918" max="6918" width="5" style="95" customWidth="1"/>
    <col min="6919" max="6923" width="7" style="95" hidden="1" customWidth="1"/>
    <col min="6924" max="6924" width="5" style="95" customWidth="1"/>
    <col min="6925" max="6926" width="7" style="95" hidden="1" customWidth="1"/>
    <col min="6927" max="6927" width="5" style="95" customWidth="1"/>
    <col min="6928" max="6934" width="7" style="95" hidden="1" customWidth="1"/>
    <col min="6935" max="6935" width="6.44140625" style="95" customWidth="1"/>
    <col min="6936" max="6956" width="7" style="95" hidden="1" customWidth="1"/>
    <col min="6957" max="6960" width="6.44140625" style="95" customWidth="1"/>
    <col min="6961" max="6961" width="6.88671875" style="95" customWidth="1"/>
    <col min="6962" max="6962" width="6.44140625" style="95" customWidth="1"/>
    <col min="6963" max="6979" width="7" style="95" hidden="1" customWidth="1"/>
    <col min="6980" max="6980" width="6.5546875" style="95" customWidth="1"/>
    <col min="6981" max="6981" width="6.44140625" style="95" customWidth="1"/>
    <col min="6982" max="6983" width="7" style="95" hidden="1" customWidth="1"/>
    <col min="6984" max="6984" width="6.44140625" style="95" customWidth="1"/>
    <col min="6985" max="6986" width="7" style="95" hidden="1" customWidth="1"/>
    <col min="6987" max="6987" width="7.44140625" style="95" customWidth="1"/>
    <col min="6988" max="6988" width="7" style="95" hidden="1" customWidth="1"/>
    <col min="6989" max="6989" width="6.44140625" style="95" customWidth="1"/>
    <col min="6990" max="7028" width="7" style="95" hidden="1" customWidth="1"/>
    <col min="7029" max="7054" width="7" style="95" hidden="1"/>
    <col min="7055" max="7055" width="41.44140625" style="95" customWidth="1"/>
    <col min="7056" max="7056" width="6.44140625" style="95" customWidth="1"/>
    <col min="7057" max="7057" width="14.6640625" style="95" customWidth="1"/>
    <col min="7058" max="7058" width="11.44140625" style="95" customWidth="1"/>
    <col min="7059" max="7060" width="13" style="95" customWidth="1"/>
    <col min="7061" max="7061" width="9.44140625" style="95" customWidth="1"/>
    <col min="7062" max="7072" width="7" style="95" hidden="1" customWidth="1"/>
    <col min="7073" max="7073" width="10.109375" style="95" customWidth="1"/>
    <col min="7074" max="7082" width="7" style="95" hidden="1" customWidth="1"/>
    <col min="7083" max="7083" width="8.6640625" style="95" customWidth="1"/>
    <col min="7084" max="7084" width="7" style="95" hidden="1" customWidth="1"/>
    <col min="7085" max="7085" width="9.44140625" style="95" customWidth="1"/>
    <col min="7086" max="7086" width="7" style="95" hidden="1" customWidth="1"/>
    <col min="7087" max="7088" width="11.44140625" style="95" customWidth="1"/>
    <col min="7089" max="7089" width="26.6640625" style="95" customWidth="1"/>
    <col min="7090" max="7090" width="9.109375" style="95" bestFit="1" customWidth="1"/>
    <col min="7091" max="7091" width="14.6640625" style="95" customWidth="1"/>
    <col min="7092" max="7092" width="9.88671875" style="95" customWidth="1"/>
    <col min="7093" max="7093" width="9.109375" style="95" bestFit="1" customWidth="1"/>
    <col min="7094" max="7135" width="7" style="95" hidden="1" customWidth="1"/>
    <col min="7136" max="7136" width="8.44140625" style="95" customWidth="1"/>
    <col min="7137" max="7171" width="7" style="95" hidden="1" customWidth="1"/>
    <col min="7172" max="7172" width="9.44140625" style="95" customWidth="1"/>
    <col min="7173" max="7173" width="7" style="95" hidden="1" customWidth="1"/>
    <col min="7174" max="7174" width="5" style="95" customWidth="1"/>
    <col min="7175" max="7179" width="7" style="95" hidden="1" customWidth="1"/>
    <col min="7180" max="7180" width="5" style="95" customWidth="1"/>
    <col min="7181" max="7182" width="7" style="95" hidden="1" customWidth="1"/>
    <col min="7183" max="7183" width="5" style="95" customWidth="1"/>
    <col min="7184" max="7190" width="7" style="95" hidden="1" customWidth="1"/>
    <col min="7191" max="7191" width="6.44140625" style="95" customWidth="1"/>
    <col min="7192" max="7212" width="7" style="95" hidden="1" customWidth="1"/>
    <col min="7213" max="7216" width="6.44140625" style="95" customWidth="1"/>
    <col min="7217" max="7217" width="6.88671875" style="95" customWidth="1"/>
    <col min="7218" max="7218" width="6.44140625" style="95" customWidth="1"/>
    <col min="7219" max="7235" width="7" style="95" hidden="1" customWidth="1"/>
    <col min="7236" max="7236" width="6.5546875" style="95" customWidth="1"/>
    <col min="7237" max="7237" width="6.44140625" style="95" customWidth="1"/>
    <col min="7238" max="7239" width="7" style="95" hidden="1" customWidth="1"/>
    <col min="7240" max="7240" width="6.44140625" style="95" customWidth="1"/>
    <col min="7241" max="7242" width="7" style="95" hidden="1" customWidth="1"/>
    <col min="7243" max="7243" width="7.44140625" style="95" customWidth="1"/>
    <col min="7244" max="7244" width="7" style="95" hidden="1" customWidth="1"/>
    <col min="7245" max="7245" width="6.44140625" style="95" customWidth="1"/>
    <col min="7246" max="7284" width="7" style="95" hidden="1" customWidth="1"/>
    <col min="7285" max="7310" width="7" style="95" hidden="1"/>
    <col min="7311" max="7311" width="41.44140625" style="95" customWidth="1"/>
    <col min="7312" max="7312" width="6.44140625" style="95" customWidth="1"/>
    <col min="7313" max="7313" width="14.6640625" style="95" customWidth="1"/>
    <col min="7314" max="7314" width="11.44140625" style="95" customWidth="1"/>
    <col min="7315" max="7316" width="13" style="95" customWidth="1"/>
    <col min="7317" max="7317" width="9.44140625" style="95" customWidth="1"/>
    <col min="7318" max="7328" width="7" style="95" hidden="1" customWidth="1"/>
    <col min="7329" max="7329" width="10.109375" style="95" customWidth="1"/>
    <col min="7330" max="7338" width="7" style="95" hidden="1" customWidth="1"/>
    <col min="7339" max="7339" width="8.6640625" style="95" customWidth="1"/>
    <col min="7340" max="7340" width="7" style="95" hidden="1" customWidth="1"/>
    <col min="7341" max="7341" width="9.44140625" style="95" customWidth="1"/>
    <col min="7342" max="7342" width="7" style="95" hidden="1" customWidth="1"/>
    <col min="7343" max="7344" width="11.44140625" style="95" customWidth="1"/>
    <col min="7345" max="7345" width="26.6640625" style="95" customWidth="1"/>
    <col min="7346" max="7346" width="9.109375" style="95" bestFit="1" customWidth="1"/>
    <col min="7347" max="7347" width="14.6640625" style="95" customWidth="1"/>
    <col min="7348" max="7348" width="9.88671875" style="95" customWidth="1"/>
    <col min="7349" max="7349" width="9.109375" style="95" bestFit="1" customWidth="1"/>
    <col min="7350" max="7391" width="7" style="95" hidden="1" customWidth="1"/>
    <col min="7392" max="7392" width="8.44140625" style="95" customWidth="1"/>
    <col min="7393" max="7427" width="7" style="95" hidden="1" customWidth="1"/>
    <col min="7428" max="7428" width="9.44140625" style="95" customWidth="1"/>
    <col min="7429" max="7429" width="7" style="95" hidden="1" customWidth="1"/>
    <col min="7430" max="7430" width="5" style="95" customWidth="1"/>
    <col min="7431" max="7435" width="7" style="95" hidden="1" customWidth="1"/>
    <col min="7436" max="7436" width="5" style="95" customWidth="1"/>
    <col min="7437" max="7438" width="7" style="95" hidden="1" customWidth="1"/>
    <col min="7439" max="7439" width="5" style="95" customWidth="1"/>
    <col min="7440" max="7446" width="7" style="95" hidden="1" customWidth="1"/>
    <col min="7447" max="7447" width="6.44140625" style="95" customWidth="1"/>
    <col min="7448" max="7468" width="7" style="95" hidden="1" customWidth="1"/>
    <col min="7469" max="7472" width="6.44140625" style="95" customWidth="1"/>
    <col min="7473" max="7473" width="6.88671875" style="95" customWidth="1"/>
    <col min="7474" max="7474" width="6.44140625" style="95" customWidth="1"/>
    <col min="7475" max="7491" width="7" style="95" hidden="1" customWidth="1"/>
    <col min="7492" max="7492" width="6.5546875" style="95" customWidth="1"/>
    <col min="7493" max="7493" width="6.44140625" style="95" customWidth="1"/>
    <col min="7494" max="7495" width="7" style="95" hidden="1" customWidth="1"/>
    <col min="7496" max="7496" width="6.44140625" style="95" customWidth="1"/>
    <col min="7497" max="7498" width="7" style="95" hidden="1" customWidth="1"/>
    <col min="7499" max="7499" width="7.44140625" style="95" customWidth="1"/>
    <col min="7500" max="7500" width="7" style="95" hidden="1" customWidth="1"/>
    <col min="7501" max="7501" width="6.44140625" style="95" customWidth="1"/>
    <col min="7502" max="7540" width="7" style="95" hidden="1" customWidth="1"/>
    <col min="7541" max="7566" width="7" style="95" hidden="1"/>
    <col min="7567" max="7567" width="41.44140625" style="95" customWidth="1"/>
    <col min="7568" max="7568" width="6.44140625" style="95" customWidth="1"/>
    <col min="7569" max="7569" width="14.6640625" style="95" customWidth="1"/>
    <col min="7570" max="7570" width="11.44140625" style="95" customWidth="1"/>
    <col min="7571" max="7572" width="13" style="95" customWidth="1"/>
    <col min="7573" max="7573" width="9.44140625" style="95" customWidth="1"/>
    <col min="7574" max="7584" width="7" style="95" hidden="1" customWidth="1"/>
    <col min="7585" max="7585" width="10.109375" style="95" customWidth="1"/>
    <col min="7586" max="7594" width="7" style="95" hidden="1" customWidth="1"/>
    <col min="7595" max="7595" width="8.6640625" style="95" customWidth="1"/>
    <col min="7596" max="7596" width="7" style="95" hidden="1" customWidth="1"/>
    <col min="7597" max="7597" width="9.44140625" style="95" customWidth="1"/>
    <col min="7598" max="7598" width="7" style="95" hidden="1" customWidth="1"/>
    <col min="7599" max="7600" width="11.44140625" style="95" customWidth="1"/>
    <col min="7601" max="7601" width="26.6640625" style="95" customWidth="1"/>
    <col min="7602" max="7602" width="9.109375" style="95" bestFit="1" customWidth="1"/>
    <col min="7603" max="7603" width="14.6640625" style="95" customWidth="1"/>
    <col min="7604" max="7604" width="9.88671875" style="95" customWidth="1"/>
    <col min="7605" max="7605" width="9.109375" style="95" bestFit="1" customWidth="1"/>
    <col min="7606" max="7647" width="7" style="95" hidden="1" customWidth="1"/>
    <col min="7648" max="7648" width="8.44140625" style="95" customWidth="1"/>
    <col min="7649" max="7683" width="7" style="95" hidden="1" customWidth="1"/>
    <col min="7684" max="7684" width="9.44140625" style="95" customWidth="1"/>
    <col min="7685" max="7685" width="7" style="95" hidden="1" customWidth="1"/>
    <col min="7686" max="7686" width="5" style="95" customWidth="1"/>
    <col min="7687" max="7691" width="7" style="95" hidden="1" customWidth="1"/>
    <col min="7692" max="7692" width="5" style="95" customWidth="1"/>
    <col min="7693" max="7694" width="7" style="95" hidden="1" customWidth="1"/>
    <col min="7695" max="7695" width="5" style="95" customWidth="1"/>
    <col min="7696" max="7702" width="7" style="95" hidden="1" customWidth="1"/>
    <col min="7703" max="7703" width="6.44140625" style="95" customWidth="1"/>
    <col min="7704" max="7724" width="7" style="95" hidden="1" customWidth="1"/>
    <col min="7725" max="7728" width="6.44140625" style="95" customWidth="1"/>
    <col min="7729" max="7729" width="6.88671875" style="95" customWidth="1"/>
    <col min="7730" max="7730" width="6.44140625" style="95" customWidth="1"/>
    <col min="7731" max="7747" width="7" style="95" hidden="1" customWidth="1"/>
    <col min="7748" max="7748" width="6.5546875" style="95" customWidth="1"/>
    <col min="7749" max="7749" width="6.44140625" style="95" customWidth="1"/>
    <col min="7750" max="7751" width="7" style="95" hidden="1" customWidth="1"/>
    <col min="7752" max="7752" width="6.44140625" style="95" customWidth="1"/>
    <col min="7753" max="7754" width="7" style="95" hidden="1" customWidth="1"/>
    <col min="7755" max="7755" width="7.44140625" style="95" customWidth="1"/>
    <col min="7756" max="7756" width="7" style="95" hidden="1" customWidth="1"/>
    <col min="7757" max="7757" width="6.44140625" style="95" customWidth="1"/>
    <col min="7758" max="7796" width="7" style="95" hidden="1" customWidth="1"/>
    <col min="7797" max="7822" width="7" style="95" hidden="1"/>
    <col min="7823" max="7823" width="41.44140625" style="95" customWidth="1"/>
    <col min="7824" max="7824" width="6.44140625" style="95" customWidth="1"/>
    <col min="7825" max="7825" width="14.6640625" style="95" customWidth="1"/>
    <col min="7826" max="7826" width="11.44140625" style="95" customWidth="1"/>
    <col min="7827" max="7828" width="13" style="95" customWidth="1"/>
    <col min="7829" max="7829" width="9.44140625" style="95" customWidth="1"/>
    <col min="7830" max="7840" width="7" style="95" hidden="1" customWidth="1"/>
    <col min="7841" max="7841" width="10.109375" style="95" customWidth="1"/>
    <col min="7842" max="7850" width="7" style="95" hidden="1" customWidth="1"/>
    <col min="7851" max="7851" width="8.6640625" style="95" customWidth="1"/>
    <col min="7852" max="7852" width="7" style="95" hidden="1" customWidth="1"/>
    <col min="7853" max="7853" width="9.44140625" style="95" customWidth="1"/>
    <col min="7854" max="7854" width="7" style="95" hidden="1" customWidth="1"/>
    <col min="7855" max="7856" width="11.44140625" style="95" customWidth="1"/>
    <col min="7857" max="7857" width="26.6640625" style="95" customWidth="1"/>
    <col min="7858" max="7858" width="9.109375" style="95" bestFit="1" customWidth="1"/>
    <col min="7859" max="7859" width="14.6640625" style="95" customWidth="1"/>
    <col min="7860" max="7860" width="9.88671875" style="95" customWidth="1"/>
    <col min="7861" max="7861" width="9.109375" style="95" bestFit="1" customWidth="1"/>
    <col min="7862" max="7903" width="7" style="95" hidden="1" customWidth="1"/>
    <col min="7904" max="7904" width="8.44140625" style="95" customWidth="1"/>
    <col min="7905" max="7939" width="7" style="95" hidden="1" customWidth="1"/>
    <col min="7940" max="7940" width="9.44140625" style="95" customWidth="1"/>
    <col min="7941" max="7941" width="7" style="95" hidden="1" customWidth="1"/>
    <col min="7942" max="7942" width="5" style="95" customWidth="1"/>
    <col min="7943" max="7947" width="7" style="95" hidden="1" customWidth="1"/>
    <col min="7948" max="7948" width="5" style="95" customWidth="1"/>
    <col min="7949" max="7950" width="7" style="95" hidden="1" customWidth="1"/>
    <col min="7951" max="7951" width="5" style="95" customWidth="1"/>
    <col min="7952" max="7958" width="7" style="95" hidden="1" customWidth="1"/>
    <col min="7959" max="7959" width="6.44140625" style="95" customWidth="1"/>
    <col min="7960" max="7980" width="7" style="95" hidden="1" customWidth="1"/>
    <col min="7981" max="7984" width="6.44140625" style="95" customWidth="1"/>
    <col min="7985" max="7985" width="6.88671875" style="95" customWidth="1"/>
    <col min="7986" max="7986" width="6.44140625" style="95" customWidth="1"/>
    <col min="7987" max="8003" width="7" style="95" hidden="1" customWidth="1"/>
    <col min="8004" max="8004" width="6.5546875" style="95" customWidth="1"/>
    <col min="8005" max="8005" width="6.44140625" style="95" customWidth="1"/>
    <col min="8006" max="8007" width="7" style="95" hidden="1" customWidth="1"/>
    <col min="8008" max="8008" width="6.44140625" style="95" customWidth="1"/>
    <col min="8009" max="8010" width="7" style="95" hidden="1" customWidth="1"/>
    <col min="8011" max="8011" width="7.44140625" style="95" customWidth="1"/>
    <col min="8012" max="8012" width="7" style="95" hidden="1" customWidth="1"/>
    <col min="8013" max="8013" width="6.44140625" style="95" customWidth="1"/>
    <col min="8014" max="8052" width="7" style="95" hidden="1" customWidth="1"/>
    <col min="8053" max="8078" width="7" style="95" hidden="1"/>
    <col min="8079" max="8079" width="41.44140625" style="95" customWidth="1"/>
    <col min="8080" max="8080" width="6.44140625" style="95" customWidth="1"/>
    <col min="8081" max="8081" width="14.6640625" style="95" customWidth="1"/>
    <col min="8082" max="8082" width="11.44140625" style="95" customWidth="1"/>
    <col min="8083" max="8084" width="13" style="95" customWidth="1"/>
    <col min="8085" max="8085" width="9.44140625" style="95" customWidth="1"/>
    <col min="8086" max="8096" width="7" style="95" hidden="1" customWidth="1"/>
    <col min="8097" max="8097" width="10.109375" style="95" customWidth="1"/>
    <col min="8098" max="8106" width="7" style="95" hidden="1" customWidth="1"/>
    <col min="8107" max="8107" width="8.6640625" style="95" customWidth="1"/>
    <col min="8108" max="8108" width="7" style="95" hidden="1" customWidth="1"/>
    <col min="8109" max="8109" width="9.44140625" style="95" customWidth="1"/>
    <col min="8110" max="8110" width="7" style="95" hidden="1" customWidth="1"/>
    <col min="8111" max="8112" width="11.44140625" style="95" customWidth="1"/>
    <col min="8113" max="8113" width="26.6640625" style="95" customWidth="1"/>
    <col min="8114" max="8114" width="9.109375" style="95" bestFit="1" customWidth="1"/>
    <col min="8115" max="8115" width="14.6640625" style="95" customWidth="1"/>
    <col min="8116" max="8116" width="9.88671875" style="95" customWidth="1"/>
    <col min="8117" max="8117" width="9.109375" style="95" bestFit="1" customWidth="1"/>
    <col min="8118" max="8159" width="7" style="95" hidden="1" customWidth="1"/>
    <col min="8160" max="8160" width="8.44140625" style="95" customWidth="1"/>
    <col min="8161" max="8195" width="7" style="95" hidden="1" customWidth="1"/>
    <col min="8196" max="8196" width="9.44140625" style="95" customWidth="1"/>
    <col min="8197" max="8197" width="7" style="95" hidden="1" customWidth="1"/>
    <col min="8198" max="8198" width="5" style="95" customWidth="1"/>
    <col min="8199" max="8203" width="7" style="95" hidden="1" customWidth="1"/>
    <col min="8204" max="8204" width="5" style="95" customWidth="1"/>
    <col min="8205" max="8206" width="7" style="95" hidden="1" customWidth="1"/>
    <col min="8207" max="8207" width="5" style="95" customWidth="1"/>
    <col min="8208" max="8214" width="7" style="95" hidden="1" customWidth="1"/>
    <col min="8215" max="8215" width="6.44140625" style="95" customWidth="1"/>
    <col min="8216" max="8236" width="7" style="95" hidden="1" customWidth="1"/>
    <col min="8237" max="8240" width="6.44140625" style="95" customWidth="1"/>
    <col min="8241" max="8241" width="6.88671875" style="95" customWidth="1"/>
    <col min="8242" max="8242" width="6.44140625" style="95" customWidth="1"/>
    <col min="8243" max="8259" width="7" style="95" hidden="1" customWidth="1"/>
    <col min="8260" max="8260" width="6.5546875" style="95" customWidth="1"/>
    <col min="8261" max="8261" width="6.44140625" style="95" customWidth="1"/>
    <col min="8262" max="8263" width="7" style="95" hidden="1" customWidth="1"/>
    <col min="8264" max="8264" width="6.44140625" style="95" customWidth="1"/>
    <col min="8265" max="8266" width="7" style="95" hidden="1" customWidth="1"/>
    <col min="8267" max="8267" width="7.44140625" style="95" customWidth="1"/>
    <col min="8268" max="8268" width="7" style="95" hidden="1" customWidth="1"/>
    <col min="8269" max="8269" width="6.44140625" style="95" customWidth="1"/>
    <col min="8270" max="8308" width="7" style="95" hidden="1" customWidth="1"/>
    <col min="8309" max="8334" width="7" style="95" hidden="1"/>
    <col min="8335" max="8335" width="41.44140625" style="95" customWidth="1"/>
    <col min="8336" max="8336" width="6.44140625" style="95" customWidth="1"/>
    <col min="8337" max="8337" width="14.6640625" style="95" customWidth="1"/>
    <col min="8338" max="8338" width="11.44140625" style="95" customWidth="1"/>
    <col min="8339" max="8340" width="13" style="95" customWidth="1"/>
    <col min="8341" max="8341" width="9.44140625" style="95" customWidth="1"/>
    <col min="8342" max="8352" width="7" style="95" hidden="1" customWidth="1"/>
    <col min="8353" max="8353" width="10.109375" style="95" customWidth="1"/>
    <col min="8354" max="8362" width="7" style="95" hidden="1" customWidth="1"/>
    <col min="8363" max="8363" width="8.6640625" style="95" customWidth="1"/>
    <col min="8364" max="8364" width="7" style="95" hidden="1" customWidth="1"/>
    <col min="8365" max="8365" width="9.44140625" style="95" customWidth="1"/>
    <col min="8366" max="8366" width="7" style="95" hidden="1" customWidth="1"/>
    <col min="8367" max="8368" width="11.44140625" style="95" customWidth="1"/>
    <col min="8369" max="8369" width="26.6640625" style="95" customWidth="1"/>
    <col min="8370" max="8370" width="9.109375" style="95" bestFit="1" customWidth="1"/>
    <col min="8371" max="8371" width="14.6640625" style="95" customWidth="1"/>
    <col min="8372" max="8372" width="9.88671875" style="95" customWidth="1"/>
    <col min="8373" max="8373" width="9.109375" style="95" bestFit="1" customWidth="1"/>
    <col min="8374" max="8415" width="7" style="95" hidden="1" customWidth="1"/>
    <col min="8416" max="8416" width="8.44140625" style="95" customWidth="1"/>
    <col min="8417" max="8451" width="7" style="95" hidden="1" customWidth="1"/>
    <col min="8452" max="8452" width="9.44140625" style="95" customWidth="1"/>
    <col min="8453" max="8453" width="7" style="95" hidden="1" customWidth="1"/>
    <col min="8454" max="8454" width="5" style="95" customWidth="1"/>
    <col min="8455" max="8459" width="7" style="95" hidden="1" customWidth="1"/>
    <col min="8460" max="8460" width="5" style="95" customWidth="1"/>
    <col min="8461" max="8462" width="7" style="95" hidden="1" customWidth="1"/>
    <col min="8463" max="8463" width="5" style="95" customWidth="1"/>
    <col min="8464" max="8470" width="7" style="95" hidden="1" customWidth="1"/>
    <col min="8471" max="8471" width="6.44140625" style="95" customWidth="1"/>
    <col min="8472" max="8492" width="7" style="95" hidden="1" customWidth="1"/>
    <col min="8493" max="8496" width="6.44140625" style="95" customWidth="1"/>
    <col min="8497" max="8497" width="6.88671875" style="95" customWidth="1"/>
    <col min="8498" max="8498" width="6.44140625" style="95" customWidth="1"/>
    <col min="8499" max="8515" width="7" style="95" hidden="1" customWidth="1"/>
    <col min="8516" max="8516" width="6.5546875" style="95" customWidth="1"/>
    <col min="8517" max="8517" width="6.44140625" style="95" customWidth="1"/>
    <col min="8518" max="8519" width="7" style="95" hidden="1" customWidth="1"/>
    <col min="8520" max="8520" width="6.44140625" style="95" customWidth="1"/>
    <col min="8521" max="8522" width="7" style="95" hidden="1" customWidth="1"/>
    <col min="8523" max="8523" width="7.44140625" style="95" customWidth="1"/>
    <col min="8524" max="8524" width="7" style="95" hidden="1" customWidth="1"/>
    <col min="8525" max="8525" width="6.44140625" style="95" customWidth="1"/>
    <col min="8526" max="8564" width="7" style="95" hidden="1" customWidth="1"/>
    <col min="8565" max="8590" width="7" style="95" hidden="1"/>
    <col min="8591" max="8591" width="41.44140625" style="95" customWidth="1"/>
    <col min="8592" max="8592" width="6.44140625" style="95" customWidth="1"/>
    <col min="8593" max="8593" width="14.6640625" style="95" customWidth="1"/>
    <col min="8594" max="8594" width="11.44140625" style="95" customWidth="1"/>
    <col min="8595" max="8596" width="13" style="95" customWidth="1"/>
    <col min="8597" max="8597" width="9.44140625" style="95" customWidth="1"/>
    <col min="8598" max="8608" width="7" style="95" hidden="1" customWidth="1"/>
    <col min="8609" max="8609" width="10.109375" style="95" customWidth="1"/>
    <col min="8610" max="8618" width="7" style="95" hidden="1" customWidth="1"/>
    <col min="8619" max="8619" width="8.6640625" style="95" customWidth="1"/>
    <col min="8620" max="8620" width="7" style="95" hidden="1" customWidth="1"/>
    <col min="8621" max="8621" width="9.44140625" style="95" customWidth="1"/>
    <col min="8622" max="8622" width="7" style="95" hidden="1" customWidth="1"/>
    <col min="8623" max="8624" width="11.44140625" style="95" customWidth="1"/>
    <col min="8625" max="8625" width="26.6640625" style="95" customWidth="1"/>
    <col min="8626" max="8626" width="9.109375" style="95" bestFit="1" customWidth="1"/>
    <col min="8627" max="8627" width="14.6640625" style="95" customWidth="1"/>
    <col min="8628" max="8628" width="9.88671875" style="95" customWidth="1"/>
    <col min="8629" max="8629" width="9.109375" style="95" bestFit="1" customWidth="1"/>
    <col min="8630" max="8671" width="7" style="95" hidden="1" customWidth="1"/>
    <col min="8672" max="8672" width="8.44140625" style="95" customWidth="1"/>
    <col min="8673" max="8707" width="7" style="95" hidden="1" customWidth="1"/>
    <col min="8708" max="8708" width="9.44140625" style="95" customWidth="1"/>
    <col min="8709" max="8709" width="7" style="95" hidden="1" customWidth="1"/>
    <col min="8710" max="8710" width="5" style="95" customWidth="1"/>
    <col min="8711" max="8715" width="7" style="95" hidden="1" customWidth="1"/>
    <col min="8716" max="8716" width="5" style="95" customWidth="1"/>
    <col min="8717" max="8718" width="7" style="95" hidden="1" customWidth="1"/>
    <col min="8719" max="8719" width="5" style="95" customWidth="1"/>
    <col min="8720" max="8726" width="7" style="95" hidden="1" customWidth="1"/>
    <col min="8727" max="8727" width="6.44140625" style="95" customWidth="1"/>
    <col min="8728" max="8748" width="7" style="95" hidden="1" customWidth="1"/>
    <col min="8749" max="8752" width="6.44140625" style="95" customWidth="1"/>
    <col min="8753" max="8753" width="6.88671875" style="95" customWidth="1"/>
    <col min="8754" max="8754" width="6.44140625" style="95" customWidth="1"/>
    <col min="8755" max="8771" width="7" style="95" hidden="1" customWidth="1"/>
    <col min="8772" max="8772" width="6.5546875" style="95" customWidth="1"/>
    <col min="8773" max="8773" width="6.44140625" style="95" customWidth="1"/>
    <col min="8774" max="8775" width="7" style="95" hidden="1" customWidth="1"/>
    <col min="8776" max="8776" width="6.44140625" style="95" customWidth="1"/>
    <col min="8777" max="8778" width="7" style="95" hidden="1" customWidth="1"/>
    <col min="8779" max="8779" width="7.44140625" style="95" customWidth="1"/>
    <col min="8780" max="8780" width="7" style="95" hidden="1" customWidth="1"/>
    <col min="8781" max="8781" width="6.44140625" style="95" customWidth="1"/>
    <col min="8782" max="8820" width="7" style="95" hidden="1" customWidth="1"/>
    <col min="8821" max="8846" width="7" style="95" hidden="1"/>
    <col min="8847" max="8847" width="41.44140625" style="95" customWidth="1"/>
    <col min="8848" max="8848" width="6.44140625" style="95" customWidth="1"/>
    <col min="8849" max="8849" width="14.6640625" style="95" customWidth="1"/>
    <col min="8850" max="8850" width="11.44140625" style="95" customWidth="1"/>
    <col min="8851" max="8852" width="13" style="95" customWidth="1"/>
    <col min="8853" max="8853" width="9.44140625" style="95" customWidth="1"/>
    <col min="8854" max="8864" width="7" style="95" hidden="1" customWidth="1"/>
    <col min="8865" max="8865" width="10.109375" style="95" customWidth="1"/>
    <col min="8866" max="8874" width="7" style="95" hidden="1" customWidth="1"/>
    <col min="8875" max="8875" width="8.6640625" style="95" customWidth="1"/>
    <col min="8876" max="8876" width="7" style="95" hidden="1" customWidth="1"/>
    <col min="8877" max="8877" width="9.44140625" style="95" customWidth="1"/>
    <col min="8878" max="8878" width="7" style="95" hidden="1" customWidth="1"/>
    <col min="8879" max="8880" width="11.44140625" style="95" customWidth="1"/>
    <col min="8881" max="8881" width="26.6640625" style="95" customWidth="1"/>
    <col min="8882" max="8882" width="9.109375" style="95" bestFit="1" customWidth="1"/>
    <col min="8883" max="8883" width="14.6640625" style="95" customWidth="1"/>
    <col min="8884" max="8884" width="9.88671875" style="95" customWidth="1"/>
    <col min="8885" max="8885" width="9.109375" style="95" bestFit="1" customWidth="1"/>
    <col min="8886" max="8927" width="7" style="95" hidden="1" customWidth="1"/>
    <col min="8928" max="8928" width="8.44140625" style="95" customWidth="1"/>
    <col min="8929" max="8963" width="7" style="95" hidden="1" customWidth="1"/>
    <col min="8964" max="8964" width="9.44140625" style="95" customWidth="1"/>
    <col min="8965" max="8965" width="7" style="95" hidden="1" customWidth="1"/>
    <col min="8966" max="8966" width="5" style="95" customWidth="1"/>
    <col min="8967" max="8971" width="7" style="95" hidden="1" customWidth="1"/>
    <col min="8972" max="8972" width="5" style="95" customWidth="1"/>
    <col min="8973" max="8974" width="7" style="95" hidden="1" customWidth="1"/>
    <col min="8975" max="8975" width="5" style="95" customWidth="1"/>
    <col min="8976" max="8982" width="7" style="95" hidden="1" customWidth="1"/>
    <col min="8983" max="8983" width="6.44140625" style="95" customWidth="1"/>
    <col min="8984" max="9004" width="7" style="95" hidden="1" customWidth="1"/>
    <col min="9005" max="9008" width="6.44140625" style="95" customWidth="1"/>
    <col min="9009" max="9009" width="6.88671875" style="95" customWidth="1"/>
    <col min="9010" max="9010" width="6.44140625" style="95" customWidth="1"/>
    <col min="9011" max="9027" width="7" style="95" hidden="1" customWidth="1"/>
    <col min="9028" max="9028" width="6.5546875" style="95" customWidth="1"/>
    <col min="9029" max="9029" width="6.44140625" style="95" customWidth="1"/>
    <col min="9030" max="9031" width="7" style="95" hidden="1" customWidth="1"/>
    <col min="9032" max="9032" width="6.44140625" style="95" customWidth="1"/>
    <col min="9033" max="9034" width="7" style="95" hidden="1" customWidth="1"/>
    <col min="9035" max="9035" width="7.44140625" style="95" customWidth="1"/>
    <col min="9036" max="9036" width="7" style="95" hidden="1" customWidth="1"/>
    <col min="9037" max="9037" width="6.44140625" style="95" customWidth="1"/>
    <col min="9038" max="9076" width="7" style="95" hidden="1" customWidth="1"/>
    <col min="9077" max="9102" width="7" style="95" hidden="1"/>
    <col min="9103" max="9103" width="41.44140625" style="95" customWidth="1"/>
    <col min="9104" max="9104" width="6.44140625" style="95" customWidth="1"/>
    <col min="9105" max="9105" width="14.6640625" style="95" customWidth="1"/>
    <col min="9106" max="9106" width="11.44140625" style="95" customWidth="1"/>
    <col min="9107" max="9108" width="13" style="95" customWidth="1"/>
    <col min="9109" max="9109" width="9.44140625" style="95" customWidth="1"/>
    <col min="9110" max="9120" width="7" style="95" hidden="1" customWidth="1"/>
    <col min="9121" max="9121" width="10.109375" style="95" customWidth="1"/>
    <col min="9122" max="9130" width="7" style="95" hidden="1" customWidth="1"/>
    <col min="9131" max="9131" width="8.6640625" style="95" customWidth="1"/>
    <col min="9132" max="9132" width="7" style="95" hidden="1" customWidth="1"/>
    <col min="9133" max="9133" width="9.44140625" style="95" customWidth="1"/>
    <col min="9134" max="9134" width="7" style="95" hidden="1" customWidth="1"/>
    <col min="9135" max="9136" width="11.44140625" style="95" customWidth="1"/>
    <col min="9137" max="9137" width="26.6640625" style="95" customWidth="1"/>
    <col min="9138" max="9138" width="9.109375" style="95" bestFit="1" customWidth="1"/>
    <col min="9139" max="9139" width="14.6640625" style="95" customWidth="1"/>
    <col min="9140" max="9140" width="9.88671875" style="95" customWidth="1"/>
    <col min="9141" max="9141" width="9.109375" style="95" bestFit="1" customWidth="1"/>
    <col min="9142" max="9183" width="7" style="95" hidden="1" customWidth="1"/>
    <col min="9184" max="9184" width="8.44140625" style="95" customWidth="1"/>
    <col min="9185" max="9219" width="7" style="95" hidden="1" customWidth="1"/>
    <col min="9220" max="9220" width="9.44140625" style="95" customWidth="1"/>
    <col min="9221" max="9221" width="7" style="95" hidden="1" customWidth="1"/>
    <col min="9222" max="9222" width="5" style="95" customWidth="1"/>
    <col min="9223" max="9227" width="7" style="95" hidden="1" customWidth="1"/>
    <col min="9228" max="9228" width="5" style="95" customWidth="1"/>
    <col min="9229" max="9230" width="7" style="95" hidden="1" customWidth="1"/>
    <col min="9231" max="9231" width="5" style="95" customWidth="1"/>
    <col min="9232" max="9238" width="7" style="95" hidden="1" customWidth="1"/>
    <col min="9239" max="9239" width="6.44140625" style="95" customWidth="1"/>
    <col min="9240" max="9260" width="7" style="95" hidden="1" customWidth="1"/>
    <col min="9261" max="9264" width="6.44140625" style="95" customWidth="1"/>
    <col min="9265" max="9265" width="6.88671875" style="95" customWidth="1"/>
    <col min="9266" max="9266" width="6.44140625" style="95" customWidth="1"/>
    <col min="9267" max="9283" width="7" style="95" hidden="1" customWidth="1"/>
    <col min="9284" max="9284" width="6.5546875" style="95" customWidth="1"/>
    <col min="9285" max="9285" width="6.44140625" style="95" customWidth="1"/>
    <col min="9286" max="9287" width="7" style="95" hidden="1" customWidth="1"/>
    <col min="9288" max="9288" width="6.44140625" style="95" customWidth="1"/>
    <col min="9289" max="9290" width="7" style="95" hidden="1" customWidth="1"/>
    <col min="9291" max="9291" width="7.44140625" style="95" customWidth="1"/>
    <col min="9292" max="9292" width="7" style="95" hidden="1" customWidth="1"/>
    <col min="9293" max="9293" width="6.44140625" style="95" customWidth="1"/>
    <col min="9294" max="9332" width="7" style="95" hidden="1" customWidth="1"/>
    <col min="9333" max="9358" width="7" style="95" hidden="1"/>
    <col min="9359" max="9359" width="41.44140625" style="95" customWidth="1"/>
    <col min="9360" max="9360" width="6.44140625" style="95" customWidth="1"/>
    <col min="9361" max="9361" width="14.6640625" style="95" customWidth="1"/>
    <col min="9362" max="9362" width="11.44140625" style="95" customWidth="1"/>
    <col min="9363" max="9364" width="13" style="95" customWidth="1"/>
    <col min="9365" max="9365" width="9.44140625" style="95" customWidth="1"/>
    <col min="9366" max="9376" width="7" style="95" hidden="1" customWidth="1"/>
    <col min="9377" max="9377" width="10.109375" style="95" customWidth="1"/>
    <col min="9378" max="9386" width="7" style="95" hidden="1" customWidth="1"/>
    <col min="9387" max="9387" width="8.6640625" style="95" customWidth="1"/>
    <col min="9388" max="9388" width="7" style="95" hidden="1" customWidth="1"/>
    <col min="9389" max="9389" width="9.44140625" style="95" customWidth="1"/>
    <col min="9390" max="9390" width="7" style="95" hidden="1" customWidth="1"/>
    <col min="9391" max="9392" width="11.44140625" style="95" customWidth="1"/>
    <col min="9393" max="9393" width="26.6640625" style="95" customWidth="1"/>
    <col min="9394" max="9394" width="9.109375" style="95" bestFit="1" customWidth="1"/>
    <col min="9395" max="9395" width="14.6640625" style="95" customWidth="1"/>
    <col min="9396" max="9396" width="9.88671875" style="95" customWidth="1"/>
    <col min="9397" max="9397" width="9.109375" style="95" bestFit="1" customWidth="1"/>
    <col min="9398" max="9439" width="7" style="95" hidden="1" customWidth="1"/>
    <col min="9440" max="9440" width="8.44140625" style="95" customWidth="1"/>
    <col min="9441" max="9475" width="7" style="95" hidden="1" customWidth="1"/>
    <col min="9476" max="9476" width="9.44140625" style="95" customWidth="1"/>
    <col min="9477" max="9477" width="7" style="95" hidden="1" customWidth="1"/>
    <col min="9478" max="9478" width="5" style="95" customWidth="1"/>
    <col min="9479" max="9483" width="7" style="95" hidden="1" customWidth="1"/>
    <col min="9484" max="9484" width="5" style="95" customWidth="1"/>
    <col min="9485" max="9486" width="7" style="95" hidden="1" customWidth="1"/>
    <col min="9487" max="9487" width="5" style="95" customWidth="1"/>
    <col min="9488" max="9494" width="7" style="95" hidden="1" customWidth="1"/>
    <col min="9495" max="9495" width="6.44140625" style="95" customWidth="1"/>
    <col min="9496" max="9516" width="7" style="95" hidden="1" customWidth="1"/>
    <col min="9517" max="9520" width="6.44140625" style="95" customWidth="1"/>
    <col min="9521" max="9521" width="6.88671875" style="95" customWidth="1"/>
    <col min="9522" max="9522" width="6.44140625" style="95" customWidth="1"/>
    <col min="9523" max="9539" width="7" style="95" hidden="1" customWidth="1"/>
    <col min="9540" max="9540" width="6.5546875" style="95" customWidth="1"/>
    <col min="9541" max="9541" width="6.44140625" style="95" customWidth="1"/>
    <col min="9542" max="9543" width="7" style="95" hidden="1" customWidth="1"/>
    <col min="9544" max="9544" width="6.44140625" style="95" customWidth="1"/>
    <col min="9545" max="9546" width="7" style="95" hidden="1" customWidth="1"/>
    <col min="9547" max="9547" width="7.44140625" style="95" customWidth="1"/>
    <col min="9548" max="9548" width="7" style="95" hidden="1" customWidth="1"/>
    <col min="9549" max="9549" width="6.44140625" style="95" customWidth="1"/>
    <col min="9550" max="9588" width="7" style="95" hidden="1" customWidth="1"/>
    <col min="9589" max="9614" width="7" style="95" hidden="1"/>
    <col min="9615" max="9615" width="41.44140625" style="95" customWidth="1"/>
    <col min="9616" max="9616" width="6.44140625" style="95" customWidth="1"/>
    <col min="9617" max="9617" width="14.6640625" style="95" customWidth="1"/>
    <col min="9618" max="9618" width="11.44140625" style="95" customWidth="1"/>
    <col min="9619" max="9620" width="13" style="95" customWidth="1"/>
    <col min="9621" max="9621" width="9.44140625" style="95" customWidth="1"/>
    <col min="9622" max="9632" width="7" style="95" hidden="1" customWidth="1"/>
    <col min="9633" max="9633" width="10.109375" style="95" customWidth="1"/>
    <col min="9634" max="9642" width="7" style="95" hidden="1" customWidth="1"/>
    <col min="9643" max="9643" width="8.6640625" style="95" customWidth="1"/>
    <col min="9644" max="9644" width="7" style="95" hidden="1" customWidth="1"/>
    <col min="9645" max="9645" width="9.44140625" style="95" customWidth="1"/>
    <col min="9646" max="9646" width="7" style="95" hidden="1" customWidth="1"/>
    <col min="9647" max="9648" width="11.44140625" style="95" customWidth="1"/>
    <col min="9649" max="9649" width="26.6640625" style="95" customWidth="1"/>
    <col min="9650" max="9650" width="9.109375" style="95" bestFit="1" customWidth="1"/>
    <col min="9651" max="9651" width="14.6640625" style="95" customWidth="1"/>
    <col min="9652" max="9652" width="9.88671875" style="95" customWidth="1"/>
    <col min="9653" max="9653" width="9.109375" style="95" bestFit="1" customWidth="1"/>
    <col min="9654" max="9695" width="7" style="95" hidden="1" customWidth="1"/>
    <col min="9696" max="9696" width="8.44140625" style="95" customWidth="1"/>
    <col min="9697" max="9731" width="7" style="95" hidden="1" customWidth="1"/>
    <col min="9732" max="9732" width="9.44140625" style="95" customWidth="1"/>
    <col min="9733" max="9733" width="7" style="95" hidden="1" customWidth="1"/>
    <col min="9734" max="9734" width="5" style="95" customWidth="1"/>
    <col min="9735" max="9739" width="7" style="95" hidden="1" customWidth="1"/>
    <col min="9740" max="9740" width="5" style="95" customWidth="1"/>
    <col min="9741" max="9742" width="7" style="95" hidden="1" customWidth="1"/>
    <col min="9743" max="9743" width="5" style="95" customWidth="1"/>
    <col min="9744" max="9750" width="7" style="95" hidden="1" customWidth="1"/>
    <col min="9751" max="9751" width="6.44140625" style="95" customWidth="1"/>
    <col min="9752" max="9772" width="7" style="95" hidden="1" customWidth="1"/>
    <col min="9773" max="9776" width="6.44140625" style="95" customWidth="1"/>
    <col min="9777" max="9777" width="6.88671875" style="95" customWidth="1"/>
    <col min="9778" max="9778" width="6.44140625" style="95" customWidth="1"/>
    <col min="9779" max="9795" width="7" style="95" hidden="1" customWidth="1"/>
    <col min="9796" max="9796" width="6.5546875" style="95" customWidth="1"/>
    <col min="9797" max="9797" width="6.44140625" style="95" customWidth="1"/>
    <col min="9798" max="9799" width="7" style="95" hidden="1" customWidth="1"/>
    <col min="9800" max="9800" width="6.44140625" style="95" customWidth="1"/>
    <col min="9801" max="9802" width="7" style="95" hidden="1" customWidth="1"/>
    <col min="9803" max="9803" width="7.44140625" style="95" customWidth="1"/>
    <col min="9804" max="9804" width="7" style="95" hidden="1" customWidth="1"/>
    <col min="9805" max="9805" width="6.44140625" style="95" customWidth="1"/>
    <col min="9806" max="9844" width="7" style="95" hidden="1" customWidth="1"/>
    <col min="9845" max="9870" width="7" style="95" hidden="1"/>
    <col min="9871" max="9871" width="41.44140625" style="95" customWidth="1"/>
    <col min="9872" max="9872" width="6.44140625" style="95" customWidth="1"/>
    <col min="9873" max="9873" width="14.6640625" style="95" customWidth="1"/>
    <col min="9874" max="9874" width="11.44140625" style="95" customWidth="1"/>
    <col min="9875" max="9876" width="13" style="95" customWidth="1"/>
    <col min="9877" max="9877" width="9.44140625" style="95" customWidth="1"/>
    <col min="9878" max="9888" width="7" style="95" hidden="1" customWidth="1"/>
    <col min="9889" max="9889" width="10.109375" style="95" customWidth="1"/>
    <col min="9890" max="9898" width="7" style="95" hidden="1" customWidth="1"/>
    <col min="9899" max="9899" width="8.6640625" style="95" customWidth="1"/>
    <col min="9900" max="9900" width="7" style="95" hidden="1" customWidth="1"/>
    <col min="9901" max="9901" width="9.44140625" style="95" customWidth="1"/>
    <col min="9902" max="9902" width="7" style="95" hidden="1" customWidth="1"/>
    <col min="9903" max="9904" width="11.44140625" style="95" customWidth="1"/>
    <col min="9905" max="9905" width="26.6640625" style="95" customWidth="1"/>
    <col min="9906" max="9906" width="9.109375" style="95" bestFit="1" customWidth="1"/>
    <col min="9907" max="9907" width="14.6640625" style="95" customWidth="1"/>
    <col min="9908" max="9908" width="9.88671875" style="95" customWidth="1"/>
    <col min="9909" max="9909" width="9.109375" style="95" bestFit="1" customWidth="1"/>
    <col min="9910" max="9951" width="7" style="95" hidden="1" customWidth="1"/>
    <col min="9952" max="9952" width="8.44140625" style="95" customWidth="1"/>
    <col min="9953" max="9987" width="7" style="95" hidden="1" customWidth="1"/>
    <col min="9988" max="9988" width="9.44140625" style="95" customWidth="1"/>
    <col min="9989" max="9989" width="7" style="95" hidden="1" customWidth="1"/>
    <col min="9990" max="9990" width="5" style="95" customWidth="1"/>
    <col min="9991" max="9995" width="7" style="95" hidden="1" customWidth="1"/>
    <col min="9996" max="9996" width="5" style="95" customWidth="1"/>
    <col min="9997" max="9998" width="7" style="95" hidden="1" customWidth="1"/>
    <col min="9999" max="9999" width="5" style="95" customWidth="1"/>
    <col min="10000" max="10006" width="7" style="95" hidden="1" customWidth="1"/>
    <col min="10007" max="10007" width="6.44140625" style="95" customWidth="1"/>
    <col min="10008" max="10028" width="7" style="95" hidden="1" customWidth="1"/>
    <col min="10029" max="10032" width="6.44140625" style="95" customWidth="1"/>
    <col min="10033" max="10033" width="6.88671875" style="95" customWidth="1"/>
    <col min="10034" max="10034" width="6.44140625" style="95" customWidth="1"/>
    <col min="10035" max="10051" width="7" style="95" hidden="1" customWidth="1"/>
    <col min="10052" max="10052" width="6.5546875" style="95" customWidth="1"/>
    <col min="10053" max="10053" width="6.44140625" style="95" customWidth="1"/>
    <col min="10054" max="10055" width="7" style="95" hidden="1" customWidth="1"/>
    <col min="10056" max="10056" width="6.44140625" style="95" customWidth="1"/>
    <col min="10057" max="10058" width="7" style="95" hidden="1" customWidth="1"/>
    <col min="10059" max="10059" width="7.44140625" style="95" customWidth="1"/>
    <col min="10060" max="10060" width="7" style="95" hidden="1" customWidth="1"/>
    <col min="10061" max="10061" width="6.44140625" style="95" customWidth="1"/>
    <col min="10062" max="10100" width="7" style="95" hidden="1" customWidth="1"/>
    <col min="10101" max="10126" width="7" style="95" hidden="1"/>
    <col min="10127" max="10127" width="41.44140625" style="95" customWidth="1"/>
    <col min="10128" max="10128" width="6.44140625" style="95" customWidth="1"/>
    <col min="10129" max="10129" width="14.6640625" style="95" customWidth="1"/>
    <col min="10130" max="10130" width="11.44140625" style="95" customWidth="1"/>
    <col min="10131" max="10132" width="13" style="95" customWidth="1"/>
    <col min="10133" max="10133" width="9.44140625" style="95" customWidth="1"/>
    <col min="10134" max="10144" width="7" style="95" hidden="1" customWidth="1"/>
    <col min="10145" max="10145" width="10.109375" style="95" customWidth="1"/>
    <col min="10146" max="10154" width="7" style="95" hidden="1" customWidth="1"/>
    <col min="10155" max="10155" width="8.6640625" style="95" customWidth="1"/>
    <col min="10156" max="10156" width="7" style="95" hidden="1" customWidth="1"/>
    <col min="10157" max="10157" width="9.44140625" style="95" customWidth="1"/>
    <col min="10158" max="10158" width="7" style="95" hidden="1" customWidth="1"/>
    <col min="10159" max="10160" width="11.44140625" style="95" customWidth="1"/>
    <col min="10161" max="10161" width="26.6640625" style="95" customWidth="1"/>
    <col min="10162" max="10162" width="9.109375" style="95" bestFit="1" customWidth="1"/>
    <col min="10163" max="10163" width="14.6640625" style="95" customWidth="1"/>
    <col min="10164" max="10164" width="9.88671875" style="95" customWidth="1"/>
    <col min="10165" max="10165" width="9.109375" style="95" bestFit="1" customWidth="1"/>
    <col min="10166" max="10207" width="7" style="95" hidden="1" customWidth="1"/>
    <col min="10208" max="10208" width="8.44140625" style="95" customWidth="1"/>
    <col min="10209" max="10243" width="7" style="95" hidden="1" customWidth="1"/>
    <col min="10244" max="10244" width="9.44140625" style="95" customWidth="1"/>
    <col min="10245" max="10245" width="7" style="95" hidden="1" customWidth="1"/>
    <col min="10246" max="10246" width="5" style="95" customWidth="1"/>
    <col min="10247" max="10251" width="7" style="95" hidden="1" customWidth="1"/>
    <col min="10252" max="10252" width="5" style="95" customWidth="1"/>
    <col min="10253" max="10254" width="7" style="95" hidden="1" customWidth="1"/>
    <col min="10255" max="10255" width="5" style="95" customWidth="1"/>
    <col min="10256" max="10262" width="7" style="95" hidden="1" customWidth="1"/>
    <col min="10263" max="10263" width="6.44140625" style="95" customWidth="1"/>
    <col min="10264" max="10284" width="7" style="95" hidden="1" customWidth="1"/>
    <col min="10285" max="10288" width="6.44140625" style="95" customWidth="1"/>
    <col min="10289" max="10289" width="6.88671875" style="95" customWidth="1"/>
    <col min="10290" max="10290" width="6.44140625" style="95" customWidth="1"/>
    <col min="10291" max="10307" width="7" style="95" hidden="1" customWidth="1"/>
    <col min="10308" max="10308" width="6.5546875" style="95" customWidth="1"/>
    <col min="10309" max="10309" width="6.44140625" style="95" customWidth="1"/>
    <col min="10310" max="10311" width="7" style="95" hidden="1" customWidth="1"/>
    <col min="10312" max="10312" width="6.44140625" style="95" customWidth="1"/>
    <col min="10313" max="10314" width="7" style="95" hidden="1" customWidth="1"/>
    <col min="10315" max="10315" width="7.44140625" style="95" customWidth="1"/>
    <col min="10316" max="10316" width="7" style="95" hidden="1" customWidth="1"/>
    <col min="10317" max="10317" width="6.44140625" style="95" customWidth="1"/>
    <col min="10318" max="10356" width="7" style="95" hidden="1" customWidth="1"/>
    <col min="10357" max="10382" width="7" style="95" hidden="1"/>
    <col min="10383" max="10383" width="41.44140625" style="95" customWidth="1"/>
    <col min="10384" max="10384" width="6.44140625" style="95" customWidth="1"/>
    <col min="10385" max="10385" width="14.6640625" style="95" customWidth="1"/>
    <col min="10386" max="10386" width="11.44140625" style="95" customWidth="1"/>
    <col min="10387" max="10388" width="13" style="95" customWidth="1"/>
    <col min="10389" max="10389" width="9.44140625" style="95" customWidth="1"/>
    <col min="10390" max="10400" width="7" style="95" hidden="1" customWidth="1"/>
    <col min="10401" max="10401" width="10.109375" style="95" customWidth="1"/>
    <col min="10402" max="10410" width="7" style="95" hidden="1" customWidth="1"/>
    <col min="10411" max="10411" width="8.6640625" style="95" customWidth="1"/>
    <col min="10412" max="10412" width="7" style="95" hidden="1" customWidth="1"/>
    <col min="10413" max="10413" width="9.44140625" style="95" customWidth="1"/>
    <col min="10414" max="10414" width="7" style="95" hidden="1" customWidth="1"/>
    <col min="10415" max="10416" width="11.44140625" style="95" customWidth="1"/>
    <col min="10417" max="10417" width="26.6640625" style="95" customWidth="1"/>
    <col min="10418" max="10418" width="9.109375" style="95" bestFit="1" customWidth="1"/>
    <col min="10419" max="10419" width="14.6640625" style="95" customWidth="1"/>
    <col min="10420" max="10420" width="9.88671875" style="95" customWidth="1"/>
    <col min="10421" max="10421" width="9.109375" style="95" bestFit="1" customWidth="1"/>
    <col min="10422" max="10463" width="7" style="95" hidden="1" customWidth="1"/>
    <col min="10464" max="10464" width="8.44140625" style="95" customWidth="1"/>
    <col min="10465" max="10499" width="7" style="95" hidden="1" customWidth="1"/>
    <col min="10500" max="10500" width="9.44140625" style="95" customWidth="1"/>
    <col min="10501" max="10501" width="7" style="95" hidden="1" customWidth="1"/>
    <col min="10502" max="10502" width="5" style="95" customWidth="1"/>
    <col min="10503" max="10507" width="7" style="95" hidden="1" customWidth="1"/>
    <col min="10508" max="10508" width="5" style="95" customWidth="1"/>
    <col min="10509" max="10510" width="7" style="95" hidden="1" customWidth="1"/>
    <col min="10511" max="10511" width="5" style="95" customWidth="1"/>
    <col min="10512" max="10518" width="7" style="95" hidden="1" customWidth="1"/>
    <col min="10519" max="10519" width="6.44140625" style="95" customWidth="1"/>
    <col min="10520" max="10540" width="7" style="95" hidden="1" customWidth="1"/>
    <col min="10541" max="10544" width="6.44140625" style="95" customWidth="1"/>
    <col min="10545" max="10545" width="6.88671875" style="95" customWidth="1"/>
    <col min="10546" max="10546" width="6.44140625" style="95" customWidth="1"/>
    <col min="10547" max="10563" width="7" style="95" hidden="1" customWidth="1"/>
    <col min="10564" max="10564" width="6.5546875" style="95" customWidth="1"/>
    <col min="10565" max="10565" width="6.44140625" style="95" customWidth="1"/>
    <col min="10566" max="10567" width="7" style="95" hidden="1" customWidth="1"/>
    <col min="10568" max="10568" width="6.44140625" style="95" customWidth="1"/>
    <col min="10569" max="10570" width="7" style="95" hidden="1" customWidth="1"/>
    <col min="10571" max="10571" width="7.44140625" style="95" customWidth="1"/>
    <col min="10572" max="10572" width="7" style="95" hidden="1" customWidth="1"/>
    <col min="10573" max="10573" width="6.44140625" style="95" customWidth="1"/>
    <col min="10574" max="10612" width="7" style="95" hidden="1" customWidth="1"/>
    <col min="10613" max="10638" width="7" style="95" hidden="1"/>
    <col min="10639" max="10639" width="41.44140625" style="95" customWidth="1"/>
    <col min="10640" max="10640" width="6.44140625" style="95" customWidth="1"/>
    <col min="10641" max="10641" width="14.6640625" style="95" customWidth="1"/>
    <col min="10642" max="10642" width="11.44140625" style="95" customWidth="1"/>
    <col min="10643" max="10644" width="13" style="95" customWidth="1"/>
    <col min="10645" max="10645" width="9.44140625" style="95" customWidth="1"/>
    <col min="10646" max="10656" width="7" style="95" hidden="1" customWidth="1"/>
    <col min="10657" max="10657" width="10.109375" style="95" customWidth="1"/>
    <col min="10658" max="10666" width="7" style="95" hidden="1" customWidth="1"/>
    <col min="10667" max="10667" width="8.6640625" style="95" customWidth="1"/>
    <col min="10668" max="10668" width="7" style="95" hidden="1" customWidth="1"/>
    <col min="10669" max="10669" width="9.44140625" style="95" customWidth="1"/>
    <col min="10670" max="10670" width="7" style="95" hidden="1" customWidth="1"/>
    <col min="10671" max="10672" width="11.44140625" style="95" customWidth="1"/>
    <col min="10673" max="10673" width="26.6640625" style="95" customWidth="1"/>
    <col min="10674" max="10674" width="9.109375" style="95" bestFit="1" customWidth="1"/>
    <col min="10675" max="10675" width="14.6640625" style="95" customWidth="1"/>
    <col min="10676" max="10676" width="9.88671875" style="95" customWidth="1"/>
    <col min="10677" max="10677" width="9.109375" style="95" bestFit="1" customWidth="1"/>
    <col min="10678" max="10719" width="7" style="95" hidden="1" customWidth="1"/>
    <col min="10720" max="10720" width="8.44140625" style="95" customWidth="1"/>
    <col min="10721" max="10755" width="7" style="95" hidden="1" customWidth="1"/>
    <col min="10756" max="10756" width="9.44140625" style="95" customWidth="1"/>
    <col min="10757" max="10757" width="7" style="95" hidden="1" customWidth="1"/>
    <col min="10758" max="10758" width="5" style="95" customWidth="1"/>
    <col min="10759" max="10763" width="7" style="95" hidden="1" customWidth="1"/>
    <col min="10764" max="10764" width="5" style="95" customWidth="1"/>
    <col min="10765" max="10766" width="7" style="95" hidden="1" customWidth="1"/>
    <col min="10767" max="10767" width="5" style="95" customWidth="1"/>
    <col min="10768" max="10774" width="7" style="95" hidden="1" customWidth="1"/>
    <col min="10775" max="10775" width="6.44140625" style="95" customWidth="1"/>
    <col min="10776" max="10796" width="7" style="95" hidden="1" customWidth="1"/>
    <col min="10797" max="10800" width="6.44140625" style="95" customWidth="1"/>
    <col min="10801" max="10801" width="6.88671875" style="95" customWidth="1"/>
    <col min="10802" max="10802" width="6.44140625" style="95" customWidth="1"/>
    <col min="10803" max="10819" width="7" style="95" hidden="1" customWidth="1"/>
    <col min="10820" max="10820" width="6.5546875" style="95" customWidth="1"/>
    <col min="10821" max="10821" width="6.44140625" style="95" customWidth="1"/>
    <col min="10822" max="10823" width="7" style="95" hidden="1" customWidth="1"/>
    <col min="10824" max="10824" width="6.44140625" style="95" customWidth="1"/>
    <col min="10825" max="10826" width="7" style="95" hidden="1" customWidth="1"/>
    <col min="10827" max="10827" width="7.44140625" style="95" customWidth="1"/>
    <col min="10828" max="10828" width="7" style="95" hidden="1" customWidth="1"/>
    <col min="10829" max="10829" width="6.44140625" style="95" customWidth="1"/>
    <col min="10830" max="10868" width="7" style="95" hidden="1" customWidth="1"/>
    <col min="10869" max="10894" width="7" style="95" hidden="1"/>
    <col min="10895" max="10895" width="41.44140625" style="95" customWidth="1"/>
    <col min="10896" max="10896" width="6.44140625" style="95" customWidth="1"/>
    <col min="10897" max="10897" width="14.6640625" style="95" customWidth="1"/>
    <col min="10898" max="10898" width="11.44140625" style="95" customWidth="1"/>
    <col min="10899" max="10900" width="13" style="95" customWidth="1"/>
    <col min="10901" max="10901" width="9.44140625" style="95" customWidth="1"/>
    <col min="10902" max="10912" width="7" style="95" hidden="1" customWidth="1"/>
    <col min="10913" max="10913" width="10.109375" style="95" customWidth="1"/>
    <col min="10914" max="10922" width="7" style="95" hidden="1" customWidth="1"/>
    <col min="10923" max="10923" width="8.6640625" style="95" customWidth="1"/>
    <col min="10924" max="10924" width="7" style="95" hidden="1" customWidth="1"/>
    <col min="10925" max="10925" width="9.44140625" style="95" customWidth="1"/>
    <col min="10926" max="10926" width="7" style="95" hidden="1" customWidth="1"/>
    <col min="10927" max="10928" width="11.44140625" style="95" customWidth="1"/>
    <col min="10929" max="10929" width="26.6640625" style="95" customWidth="1"/>
    <col min="10930" max="10930" width="9.109375" style="95" bestFit="1" customWidth="1"/>
    <col min="10931" max="10931" width="14.6640625" style="95" customWidth="1"/>
    <col min="10932" max="10932" width="9.88671875" style="95" customWidth="1"/>
    <col min="10933" max="10933" width="9.109375" style="95" bestFit="1" customWidth="1"/>
    <col min="10934" max="10975" width="7" style="95" hidden="1" customWidth="1"/>
    <col min="10976" max="10976" width="8.44140625" style="95" customWidth="1"/>
    <col min="10977" max="11011" width="7" style="95" hidden="1" customWidth="1"/>
    <col min="11012" max="11012" width="9.44140625" style="95" customWidth="1"/>
    <col min="11013" max="11013" width="7" style="95" hidden="1" customWidth="1"/>
    <col min="11014" max="11014" width="5" style="95" customWidth="1"/>
    <col min="11015" max="11019" width="7" style="95" hidden="1" customWidth="1"/>
    <col min="11020" max="11020" width="5" style="95" customWidth="1"/>
    <col min="11021" max="11022" width="7" style="95" hidden="1" customWidth="1"/>
    <col min="11023" max="11023" width="5" style="95" customWidth="1"/>
    <col min="11024" max="11030" width="7" style="95" hidden="1" customWidth="1"/>
    <col min="11031" max="11031" width="6.44140625" style="95" customWidth="1"/>
    <col min="11032" max="11052" width="7" style="95" hidden="1" customWidth="1"/>
    <col min="11053" max="11056" width="6.44140625" style="95" customWidth="1"/>
    <col min="11057" max="11057" width="6.88671875" style="95" customWidth="1"/>
    <col min="11058" max="11058" width="6.44140625" style="95" customWidth="1"/>
    <col min="11059" max="11075" width="7" style="95" hidden="1" customWidth="1"/>
    <col min="11076" max="11076" width="6.5546875" style="95" customWidth="1"/>
    <col min="11077" max="11077" width="6.44140625" style="95" customWidth="1"/>
    <col min="11078" max="11079" width="7" style="95" hidden="1" customWidth="1"/>
    <col min="11080" max="11080" width="6.44140625" style="95" customWidth="1"/>
    <col min="11081" max="11082" width="7" style="95" hidden="1" customWidth="1"/>
    <col min="11083" max="11083" width="7.44140625" style="95" customWidth="1"/>
    <col min="11084" max="11084" width="7" style="95" hidden="1" customWidth="1"/>
    <col min="11085" max="11085" width="6.44140625" style="95" customWidth="1"/>
    <col min="11086" max="11124" width="7" style="95" hidden="1" customWidth="1"/>
    <col min="11125" max="11150" width="7" style="95" hidden="1"/>
    <col min="11151" max="11151" width="41.44140625" style="95" customWidth="1"/>
    <col min="11152" max="11152" width="6.44140625" style="95" customWidth="1"/>
    <col min="11153" max="11153" width="14.6640625" style="95" customWidth="1"/>
    <col min="11154" max="11154" width="11.44140625" style="95" customWidth="1"/>
    <col min="11155" max="11156" width="13" style="95" customWidth="1"/>
    <col min="11157" max="11157" width="9.44140625" style="95" customWidth="1"/>
    <col min="11158" max="11168" width="7" style="95" hidden="1" customWidth="1"/>
    <col min="11169" max="11169" width="10.109375" style="95" customWidth="1"/>
    <col min="11170" max="11178" width="7" style="95" hidden="1" customWidth="1"/>
    <col min="11179" max="11179" width="8.6640625" style="95" customWidth="1"/>
    <col min="11180" max="11180" width="7" style="95" hidden="1" customWidth="1"/>
    <col min="11181" max="11181" width="9.44140625" style="95" customWidth="1"/>
    <col min="11182" max="11182" width="7" style="95" hidden="1" customWidth="1"/>
    <col min="11183" max="11184" width="11.44140625" style="95" customWidth="1"/>
    <col min="11185" max="11185" width="26.6640625" style="95" customWidth="1"/>
    <col min="11186" max="11186" width="9.109375" style="95" bestFit="1" customWidth="1"/>
    <col min="11187" max="11187" width="14.6640625" style="95" customWidth="1"/>
    <col min="11188" max="11188" width="9.88671875" style="95" customWidth="1"/>
    <col min="11189" max="11189" width="9.109375" style="95" bestFit="1" customWidth="1"/>
    <col min="11190" max="11231" width="7" style="95" hidden="1" customWidth="1"/>
    <col min="11232" max="11232" width="8.44140625" style="95" customWidth="1"/>
    <col min="11233" max="11267" width="7" style="95" hidden="1" customWidth="1"/>
    <col min="11268" max="11268" width="9.44140625" style="95" customWidth="1"/>
    <col min="11269" max="11269" width="7" style="95" hidden="1" customWidth="1"/>
    <col min="11270" max="11270" width="5" style="95" customWidth="1"/>
    <col min="11271" max="11275" width="7" style="95" hidden="1" customWidth="1"/>
    <col min="11276" max="11276" width="5" style="95" customWidth="1"/>
    <col min="11277" max="11278" width="7" style="95" hidden="1" customWidth="1"/>
    <col min="11279" max="11279" width="5" style="95" customWidth="1"/>
    <col min="11280" max="11286" width="7" style="95" hidden="1" customWidth="1"/>
    <col min="11287" max="11287" width="6.44140625" style="95" customWidth="1"/>
    <col min="11288" max="11308" width="7" style="95" hidden="1" customWidth="1"/>
    <col min="11309" max="11312" width="6.44140625" style="95" customWidth="1"/>
    <col min="11313" max="11313" width="6.88671875" style="95" customWidth="1"/>
    <col min="11314" max="11314" width="6.44140625" style="95" customWidth="1"/>
    <col min="11315" max="11331" width="7" style="95" hidden="1" customWidth="1"/>
    <col min="11332" max="11332" width="6.5546875" style="95" customWidth="1"/>
    <col min="11333" max="11333" width="6.44140625" style="95" customWidth="1"/>
    <col min="11334" max="11335" width="7" style="95" hidden="1" customWidth="1"/>
    <col min="11336" max="11336" width="6.44140625" style="95" customWidth="1"/>
    <col min="11337" max="11338" width="7" style="95" hidden="1" customWidth="1"/>
    <col min="11339" max="11339" width="7.44140625" style="95" customWidth="1"/>
    <col min="11340" max="11340" width="7" style="95" hidden="1" customWidth="1"/>
    <col min="11341" max="11341" width="6.44140625" style="95" customWidth="1"/>
    <col min="11342" max="11380" width="7" style="95" hidden="1" customWidth="1"/>
    <col min="11381" max="11406" width="7" style="95" hidden="1"/>
    <col min="11407" max="11407" width="41.44140625" style="95" customWidth="1"/>
    <col min="11408" max="11408" width="6.44140625" style="95" customWidth="1"/>
    <col min="11409" max="11409" width="14.6640625" style="95" customWidth="1"/>
    <col min="11410" max="11410" width="11.44140625" style="95" customWidth="1"/>
    <col min="11411" max="11412" width="13" style="95" customWidth="1"/>
    <col min="11413" max="11413" width="9.44140625" style="95" customWidth="1"/>
    <col min="11414" max="11424" width="7" style="95" hidden="1" customWidth="1"/>
    <col min="11425" max="11425" width="10.109375" style="95" customWidth="1"/>
    <col min="11426" max="11434" width="7" style="95" hidden="1" customWidth="1"/>
    <col min="11435" max="11435" width="8.6640625" style="95" customWidth="1"/>
    <col min="11436" max="11436" width="7" style="95" hidden="1" customWidth="1"/>
    <col min="11437" max="11437" width="9.44140625" style="95" customWidth="1"/>
    <col min="11438" max="11438" width="7" style="95" hidden="1" customWidth="1"/>
    <col min="11439" max="11440" width="11.44140625" style="95" customWidth="1"/>
    <col min="11441" max="11441" width="26.6640625" style="95" customWidth="1"/>
    <col min="11442" max="11442" width="9.109375" style="95" bestFit="1" customWidth="1"/>
    <col min="11443" max="11443" width="14.6640625" style="95" customWidth="1"/>
    <col min="11444" max="11444" width="9.88671875" style="95" customWidth="1"/>
    <col min="11445" max="11445" width="9.109375" style="95" bestFit="1" customWidth="1"/>
    <col min="11446" max="11487" width="7" style="95" hidden="1" customWidth="1"/>
    <col min="11488" max="11488" width="8.44140625" style="95" customWidth="1"/>
    <col min="11489" max="11523" width="7" style="95" hidden="1" customWidth="1"/>
    <col min="11524" max="11524" width="9.44140625" style="95" customWidth="1"/>
    <col min="11525" max="11525" width="7" style="95" hidden="1" customWidth="1"/>
    <col min="11526" max="11526" width="5" style="95" customWidth="1"/>
    <col min="11527" max="11531" width="7" style="95" hidden="1" customWidth="1"/>
    <col min="11532" max="11532" width="5" style="95" customWidth="1"/>
    <col min="11533" max="11534" width="7" style="95" hidden="1" customWidth="1"/>
    <col min="11535" max="11535" width="5" style="95" customWidth="1"/>
    <col min="11536" max="11542" width="7" style="95" hidden="1" customWidth="1"/>
    <col min="11543" max="11543" width="6.44140625" style="95" customWidth="1"/>
    <col min="11544" max="11564" width="7" style="95" hidden="1" customWidth="1"/>
    <col min="11565" max="11568" width="6.44140625" style="95" customWidth="1"/>
    <col min="11569" max="11569" width="6.88671875" style="95" customWidth="1"/>
    <col min="11570" max="11570" width="6.44140625" style="95" customWidth="1"/>
    <col min="11571" max="11587" width="7" style="95" hidden="1" customWidth="1"/>
    <col min="11588" max="11588" width="6.5546875" style="95" customWidth="1"/>
    <col min="11589" max="11589" width="6.44140625" style="95" customWidth="1"/>
    <col min="11590" max="11591" width="7" style="95" hidden="1" customWidth="1"/>
    <col min="11592" max="11592" width="6.44140625" style="95" customWidth="1"/>
    <col min="11593" max="11594" width="7" style="95" hidden="1" customWidth="1"/>
    <col min="11595" max="11595" width="7.44140625" style="95" customWidth="1"/>
    <col min="11596" max="11596" width="7" style="95" hidden="1" customWidth="1"/>
    <col min="11597" max="11597" width="6.44140625" style="95" customWidth="1"/>
    <col min="11598" max="11636" width="7" style="95" hidden="1" customWidth="1"/>
    <col min="11637" max="11662" width="7" style="95" hidden="1"/>
    <col min="11663" max="11663" width="41.44140625" style="95" customWidth="1"/>
    <col min="11664" max="11664" width="6.44140625" style="95" customWidth="1"/>
    <col min="11665" max="11665" width="14.6640625" style="95" customWidth="1"/>
    <col min="11666" max="11666" width="11.44140625" style="95" customWidth="1"/>
    <col min="11667" max="11668" width="13" style="95" customWidth="1"/>
    <col min="11669" max="11669" width="9.44140625" style="95" customWidth="1"/>
    <col min="11670" max="11680" width="7" style="95" hidden="1" customWidth="1"/>
    <col min="11681" max="11681" width="10.109375" style="95" customWidth="1"/>
    <col min="11682" max="11690" width="7" style="95" hidden="1" customWidth="1"/>
    <col min="11691" max="11691" width="8.6640625" style="95" customWidth="1"/>
    <col min="11692" max="11692" width="7" style="95" hidden="1" customWidth="1"/>
    <col min="11693" max="11693" width="9.44140625" style="95" customWidth="1"/>
    <col min="11694" max="11694" width="7" style="95" hidden="1" customWidth="1"/>
    <col min="11695" max="11696" width="11.44140625" style="95" customWidth="1"/>
    <col min="11697" max="11697" width="26.6640625" style="95" customWidth="1"/>
    <col min="11698" max="11698" width="9.109375" style="95" bestFit="1" customWidth="1"/>
    <col min="11699" max="11699" width="14.6640625" style="95" customWidth="1"/>
    <col min="11700" max="11700" width="9.88671875" style="95" customWidth="1"/>
    <col min="11701" max="11701" width="9.109375" style="95" bestFit="1" customWidth="1"/>
    <col min="11702" max="11743" width="7" style="95" hidden="1" customWidth="1"/>
    <col min="11744" max="11744" width="8.44140625" style="95" customWidth="1"/>
    <col min="11745" max="11779" width="7" style="95" hidden="1" customWidth="1"/>
    <col min="11780" max="11780" width="9.44140625" style="95" customWidth="1"/>
    <col min="11781" max="11781" width="7" style="95" hidden="1" customWidth="1"/>
    <col min="11782" max="11782" width="5" style="95" customWidth="1"/>
    <col min="11783" max="11787" width="7" style="95" hidden="1" customWidth="1"/>
    <col min="11788" max="11788" width="5" style="95" customWidth="1"/>
    <col min="11789" max="11790" width="7" style="95" hidden="1" customWidth="1"/>
    <col min="11791" max="11791" width="5" style="95" customWidth="1"/>
    <col min="11792" max="11798" width="7" style="95" hidden="1" customWidth="1"/>
    <col min="11799" max="11799" width="6.44140625" style="95" customWidth="1"/>
    <col min="11800" max="11820" width="7" style="95" hidden="1" customWidth="1"/>
    <col min="11821" max="11824" width="6.44140625" style="95" customWidth="1"/>
    <col min="11825" max="11825" width="6.88671875" style="95" customWidth="1"/>
    <col min="11826" max="11826" width="6.44140625" style="95" customWidth="1"/>
    <col min="11827" max="11843" width="7" style="95" hidden="1" customWidth="1"/>
    <col min="11844" max="11844" width="6.5546875" style="95" customWidth="1"/>
    <col min="11845" max="11845" width="6.44140625" style="95" customWidth="1"/>
    <col min="11846" max="11847" width="7" style="95" hidden="1" customWidth="1"/>
    <col min="11848" max="11848" width="6.44140625" style="95" customWidth="1"/>
    <col min="11849" max="11850" width="7" style="95" hidden="1" customWidth="1"/>
    <col min="11851" max="11851" width="7.44140625" style="95" customWidth="1"/>
    <col min="11852" max="11852" width="7" style="95" hidden="1" customWidth="1"/>
    <col min="11853" max="11853" width="6.44140625" style="95" customWidth="1"/>
    <col min="11854" max="11892" width="7" style="95" hidden="1" customWidth="1"/>
    <col min="11893" max="11918" width="7" style="95" hidden="1"/>
    <col min="11919" max="11919" width="41.44140625" style="95" customWidth="1"/>
    <col min="11920" max="11920" width="6.44140625" style="95" customWidth="1"/>
    <col min="11921" max="11921" width="14.6640625" style="95" customWidth="1"/>
    <col min="11922" max="11922" width="11.44140625" style="95" customWidth="1"/>
    <col min="11923" max="11924" width="13" style="95" customWidth="1"/>
    <col min="11925" max="11925" width="9.44140625" style="95" customWidth="1"/>
    <col min="11926" max="11936" width="7" style="95" hidden="1" customWidth="1"/>
    <col min="11937" max="11937" width="10.109375" style="95" customWidth="1"/>
    <col min="11938" max="11946" width="7" style="95" hidden="1" customWidth="1"/>
    <col min="11947" max="11947" width="8.6640625" style="95" customWidth="1"/>
    <col min="11948" max="11948" width="7" style="95" hidden="1" customWidth="1"/>
    <col min="11949" max="11949" width="9.44140625" style="95" customWidth="1"/>
    <col min="11950" max="11950" width="7" style="95" hidden="1" customWidth="1"/>
    <col min="11951" max="11952" width="11.44140625" style="95" customWidth="1"/>
    <col min="11953" max="11953" width="26.6640625" style="95" customWidth="1"/>
    <col min="11954" max="11954" width="9.109375" style="95" bestFit="1" customWidth="1"/>
    <col min="11955" max="11955" width="14.6640625" style="95" customWidth="1"/>
    <col min="11956" max="11956" width="9.88671875" style="95" customWidth="1"/>
    <col min="11957" max="11957" width="9.109375" style="95" bestFit="1" customWidth="1"/>
    <col min="11958" max="11999" width="7" style="95" hidden="1" customWidth="1"/>
    <col min="12000" max="12000" width="8.44140625" style="95" customWidth="1"/>
    <col min="12001" max="12035" width="7" style="95" hidden="1" customWidth="1"/>
    <col min="12036" max="12036" width="9.44140625" style="95" customWidth="1"/>
    <col min="12037" max="12037" width="7" style="95" hidden="1" customWidth="1"/>
    <col min="12038" max="12038" width="5" style="95" customWidth="1"/>
    <col min="12039" max="12043" width="7" style="95" hidden="1" customWidth="1"/>
    <col min="12044" max="12044" width="5" style="95" customWidth="1"/>
    <col min="12045" max="12046" width="7" style="95" hidden="1" customWidth="1"/>
    <col min="12047" max="12047" width="5" style="95" customWidth="1"/>
    <col min="12048" max="12054" width="7" style="95" hidden="1" customWidth="1"/>
    <col min="12055" max="12055" width="6.44140625" style="95" customWidth="1"/>
    <col min="12056" max="12076" width="7" style="95" hidden="1" customWidth="1"/>
    <col min="12077" max="12080" width="6.44140625" style="95" customWidth="1"/>
    <col min="12081" max="12081" width="6.88671875" style="95" customWidth="1"/>
    <col min="12082" max="12082" width="6.44140625" style="95" customWidth="1"/>
    <col min="12083" max="12099" width="7" style="95" hidden="1" customWidth="1"/>
    <col min="12100" max="12100" width="6.5546875" style="95" customWidth="1"/>
    <col min="12101" max="12101" width="6.44140625" style="95" customWidth="1"/>
    <col min="12102" max="12103" width="7" style="95" hidden="1" customWidth="1"/>
    <col min="12104" max="12104" width="6.44140625" style="95" customWidth="1"/>
    <col min="12105" max="12106" width="7" style="95" hidden="1" customWidth="1"/>
    <col min="12107" max="12107" width="7.44140625" style="95" customWidth="1"/>
    <col min="12108" max="12108" width="7" style="95" hidden="1" customWidth="1"/>
    <col min="12109" max="12109" width="6.44140625" style="95" customWidth="1"/>
    <col min="12110" max="12148" width="7" style="95" hidden="1" customWidth="1"/>
    <col min="12149" max="12174" width="7" style="95" hidden="1"/>
    <col min="12175" max="12175" width="41.44140625" style="95" customWidth="1"/>
    <col min="12176" max="12176" width="6.44140625" style="95" customWidth="1"/>
    <col min="12177" max="12177" width="14.6640625" style="95" customWidth="1"/>
    <col min="12178" max="12178" width="11.44140625" style="95" customWidth="1"/>
    <col min="12179" max="12180" width="13" style="95" customWidth="1"/>
    <col min="12181" max="12181" width="9.44140625" style="95" customWidth="1"/>
    <col min="12182" max="12192" width="7" style="95" hidden="1" customWidth="1"/>
    <col min="12193" max="12193" width="10.109375" style="95" customWidth="1"/>
    <col min="12194" max="12202" width="7" style="95" hidden="1" customWidth="1"/>
    <col min="12203" max="12203" width="8.6640625" style="95" customWidth="1"/>
    <col min="12204" max="12204" width="7" style="95" hidden="1" customWidth="1"/>
    <col min="12205" max="12205" width="9.44140625" style="95" customWidth="1"/>
    <col min="12206" max="12206" width="7" style="95" hidden="1" customWidth="1"/>
    <col min="12207" max="12208" width="11.44140625" style="95" customWidth="1"/>
    <col min="12209" max="12209" width="26.6640625" style="95" customWidth="1"/>
    <col min="12210" max="12210" width="9.109375" style="95" bestFit="1" customWidth="1"/>
    <col min="12211" max="12211" width="14.6640625" style="95" customWidth="1"/>
    <col min="12212" max="12212" width="9.88671875" style="95" customWidth="1"/>
    <col min="12213" max="12213" width="9.109375" style="95" bestFit="1" customWidth="1"/>
    <col min="12214" max="12255" width="7" style="95" hidden="1" customWidth="1"/>
    <col min="12256" max="12256" width="8.44140625" style="95" customWidth="1"/>
    <col min="12257" max="12291" width="7" style="95" hidden="1" customWidth="1"/>
    <col min="12292" max="12292" width="9.44140625" style="95" customWidth="1"/>
    <col min="12293" max="12293" width="7" style="95" hidden="1" customWidth="1"/>
    <col min="12294" max="12294" width="5" style="95" customWidth="1"/>
    <col min="12295" max="12299" width="7" style="95" hidden="1" customWidth="1"/>
    <col min="12300" max="12300" width="5" style="95" customWidth="1"/>
    <col min="12301" max="12302" width="7" style="95" hidden="1" customWidth="1"/>
    <col min="12303" max="12303" width="5" style="95" customWidth="1"/>
    <col min="12304" max="12310" width="7" style="95" hidden="1" customWidth="1"/>
    <col min="12311" max="12311" width="6.44140625" style="95" customWidth="1"/>
    <col min="12312" max="12332" width="7" style="95" hidden="1" customWidth="1"/>
    <col min="12333" max="12336" width="6.44140625" style="95" customWidth="1"/>
    <col min="12337" max="12337" width="6.88671875" style="95" customWidth="1"/>
    <col min="12338" max="12338" width="6.44140625" style="95" customWidth="1"/>
    <col min="12339" max="12355" width="7" style="95" hidden="1" customWidth="1"/>
    <col min="12356" max="12356" width="6.5546875" style="95" customWidth="1"/>
    <col min="12357" max="12357" width="6.44140625" style="95" customWidth="1"/>
    <col min="12358" max="12359" width="7" style="95" hidden="1" customWidth="1"/>
    <col min="12360" max="12360" width="6.44140625" style="95" customWidth="1"/>
    <col min="12361" max="12362" width="7" style="95" hidden="1" customWidth="1"/>
    <col min="12363" max="12363" width="7.44140625" style="95" customWidth="1"/>
    <col min="12364" max="12364" width="7" style="95" hidden="1" customWidth="1"/>
    <col min="12365" max="12365" width="6.44140625" style="95" customWidth="1"/>
    <col min="12366" max="12404" width="7" style="95" hidden="1" customWidth="1"/>
    <col min="12405" max="12430" width="7" style="95" hidden="1"/>
    <col min="12431" max="12431" width="41.44140625" style="95" customWidth="1"/>
    <col min="12432" max="12432" width="6.44140625" style="95" customWidth="1"/>
    <col min="12433" max="12433" width="14.6640625" style="95" customWidth="1"/>
    <col min="12434" max="12434" width="11.44140625" style="95" customWidth="1"/>
    <col min="12435" max="12436" width="13" style="95" customWidth="1"/>
    <col min="12437" max="12437" width="9.44140625" style="95" customWidth="1"/>
    <col min="12438" max="12448" width="7" style="95" hidden="1" customWidth="1"/>
    <col min="12449" max="12449" width="10.109375" style="95" customWidth="1"/>
    <col min="12450" max="12458" width="7" style="95" hidden="1" customWidth="1"/>
    <col min="12459" max="12459" width="8.6640625" style="95" customWidth="1"/>
    <col min="12460" max="12460" width="7" style="95" hidden="1" customWidth="1"/>
    <col min="12461" max="12461" width="9.44140625" style="95" customWidth="1"/>
    <col min="12462" max="12462" width="7" style="95" hidden="1" customWidth="1"/>
    <col min="12463" max="12464" width="11.44140625" style="95" customWidth="1"/>
    <col min="12465" max="12465" width="26.6640625" style="95" customWidth="1"/>
    <col min="12466" max="12466" width="9.109375" style="95" bestFit="1" customWidth="1"/>
    <col min="12467" max="12467" width="14.6640625" style="95" customWidth="1"/>
    <col min="12468" max="12468" width="9.88671875" style="95" customWidth="1"/>
    <col min="12469" max="12469" width="9.109375" style="95" bestFit="1" customWidth="1"/>
    <col min="12470" max="12511" width="7" style="95" hidden="1" customWidth="1"/>
    <col min="12512" max="12512" width="8.44140625" style="95" customWidth="1"/>
    <col min="12513" max="12547" width="7" style="95" hidden="1" customWidth="1"/>
    <col min="12548" max="12548" width="9.44140625" style="95" customWidth="1"/>
    <col min="12549" max="12549" width="7" style="95" hidden="1" customWidth="1"/>
    <col min="12550" max="12550" width="5" style="95" customWidth="1"/>
    <col min="12551" max="12555" width="7" style="95" hidden="1" customWidth="1"/>
    <col min="12556" max="12556" width="5" style="95" customWidth="1"/>
    <col min="12557" max="12558" width="7" style="95" hidden="1" customWidth="1"/>
    <col min="12559" max="12559" width="5" style="95" customWidth="1"/>
    <col min="12560" max="12566" width="7" style="95" hidden="1" customWidth="1"/>
    <col min="12567" max="12567" width="6.44140625" style="95" customWidth="1"/>
    <col min="12568" max="12588" width="7" style="95" hidden="1" customWidth="1"/>
    <col min="12589" max="12592" width="6.44140625" style="95" customWidth="1"/>
    <col min="12593" max="12593" width="6.88671875" style="95" customWidth="1"/>
    <col min="12594" max="12594" width="6.44140625" style="95" customWidth="1"/>
    <col min="12595" max="12611" width="7" style="95" hidden="1" customWidth="1"/>
    <col min="12612" max="12612" width="6.5546875" style="95" customWidth="1"/>
    <col min="12613" max="12613" width="6.44140625" style="95" customWidth="1"/>
    <col min="12614" max="12615" width="7" style="95" hidden="1" customWidth="1"/>
    <col min="12616" max="12616" width="6.44140625" style="95" customWidth="1"/>
    <col min="12617" max="12618" width="7" style="95" hidden="1" customWidth="1"/>
    <col min="12619" max="12619" width="7.44140625" style="95" customWidth="1"/>
    <col min="12620" max="12620" width="7" style="95" hidden="1" customWidth="1"/>
    <col min="12621" max="12621" width="6.44140625" style="95" customWidth="1"/>
    <col min="12622" max="12660" width="7" style="95" hidden="1" customWidth="1"/>
    <col min="12661" max="12686" width="7" style="95" hidden="1"/>
    <col min="12687" max="12687" width="41.44140625" style="95" customWidth="1"/>
    <col min="12688" max="12688" width="6.44140625" style="95" customWidth="1"/>
    <col min="12689" max="12689" width="14.6640625" style="95" customWidth="1"/>
    <col min="12690" max="12690" width="11.44140625" style="95" customWidth="1"/>
    <col min="12691" max="12692" width="13" style="95" customWidth="1"/>
    <col min="12693" max="12693" width="9.44140625" style="95" customWidth="1"/>
    <col min="12694" max="12704" width="7" style="95" hidden="1" customWidth="1"/>
    <col min="12705" max="12705" width="10.109375" style="95" customWidth="1"/>
    <col min="12706" max="12714" width="7" style="95" hidden="1" customWidth="1"/>
    <col min="12715" max="12715" width="8.6640625" style="95" customWidth="1"/>
    <col min="12716" max="12716" width="7" style="95" hidden="1" customWidth="1"/>
    <col min="12717" max="12717" width="9.44140625" style="95" customWidth="1"/>
    <col min="12718" max="12718" width="7" style="95" hidden="1" customWidth="1"/>
    <col min="12719" max="12720" width="11.44140625" style="95" customWidth="1"/>
    <col min="12721" max="12721" width="26.6640625" style="95" customWidth="1"/>
    <col min="12722" max="12722" width="9.109375" style="95" bestFit="1" customWidth="1"/>
    <col min="12723" max="12723" width="14.6640625" style="95" customWidth="1"/>
    <col min="12724" max="12724" width="9.88671875" style="95" customWidth="1"/>
    <col min="12725" max="12725" width="9.109375" style="95" bestFit="1" customWidth="1"/>
    <col min="12726" max="12767" width="7" style="95" hidden="1" customWidth="1"/>
    <col min="12768" max="12768" width="8.44140625" style="95" customWidth="1"/>
    <col min="12769" max="12803" width="7" style="95" hidden="1" customWidth="1"/>
    <col min="12804" max="12804" width="9.44140625" style="95" customWidth="1"/>
    <col min="12805" max="12805" width="7" style="95" hidden="1" customWidth="1"/>
    <col min="12806" max="12806" width="5" style="95" customWidth="1"/>
    <col min="12807" max="12811" width="7" style="95" hidden="1" customWidth="1"/>
    <col min="12812" max="12812" width="5" style="95" customWidth="1"/>
    <col min="12813" max="12814" width="7" style="95" hidden="1" customWidth="1"/>
    <col min="12815" max="12815" width="5" style="95" customWidth="1"/>
    <col min="12816" max="12822" width="7" style="95" hidden="1" customWidth="1"/>
    <col min="12823" max="12823" width="6.44140625" style="95" customWidth="1"/>
    <col min="12824" max="12844" width="7" style="95" hidden="1" customWidth="1"/>
    <col min="12845" max="12848" width="6.44140625" style="95" customWidth="1"/>
    <col min="12849" max="12849" width="6.88671875" style="95" customWidth="1"/>
    <col min="12850" max="12850" width="6.44140625" style="95" customWidth="1"/>
    <col min="12851" max="12867" width="7" style="95" hidden="1" customWidth="1"/>
    <col min="12868" max="12868" width="6.5546875" style="95" customWidth="1"/>
    <col min="12869" max="12869" width="6.44140625" style="95" customWidth="1"/>
    <col min="12870" max="12871" width="7" style="95" hidden="1" customWidth="1"/>
    <col min="12872" max="12872" width="6.44140625" style="95" customWidth="1"/>
    <col min="12873" max="12874" width="7" style="95" hidden="1" customWidth="1"/>
    <col min="12875" max="12875" width="7.44140625" style="95" customWidth="1"/>
    <col min="12876" max="12876" width="7" style="95" hidden="1" customWidth="1"/>
    <col min="12877" max="12877" width="6.44140625" style="95" customWidth="1"/>
    <col min="12878" max="12916" width="7" style="95" hidden="1" customWidth="1"/>
    <col min="12917" max="12942" width="7" style="95" hidden="1"/>
    <col min="12943" max="12943" width="41.44140625" style="95" customWidth="1"/>
    <col min="12944" max="12944" width="6.44140625" style="95" customWidth="1"/>
    <col min="12945" max="12945" width="14.6640625" style="95" customWidth="1"/>
    <col min="12946" max="12946" width="11.44140625" style="95" customWidth="1"/>
    <col min="12947" max="12948" width="13" style="95" customWidth="1"/>
    <col min="12949" max="12949" width="9.44140625" style="95" customWidth="1"/>
    <col min="12950" max="12960" width="7" style="95" hidden="1" customWidth="1"/>
    <col min="12961" max="12961" width="10.109375" style="95" customWidth="1"/>
    <col min="12962" max="12970" width="7" style="95" hidden="1" customWidth="1"/>
    <col min="12971" max="12971" width="8.6640625" style="95" customWidth="1"/>
    <col min="12972" max="12972" width="7" style="95" hidden="1" customWidth="1"/>
    <col min="12973" max="12973" width="9.44140625" style="95" customWidth="1"/>
    <col min="12974" max="12974" width="7" style="95" hidden="1" customWidth="1"/>
    <col min="12975" max="12976" width="11.44140625" style="95" customWidth="1"/>
    <col min="12977" max="12977" width="26.6640625" style="95" customWidth="1"/>
    <col min="12978" max="12978" width="9.109375" style="95" bestFit="1" customWidth="1"/>
    <col min="12979" max="12979" width="14.6640625" style="95" customWidth="1"/>
    <col min="12980" max="12980" width="9.88671875" style="95" customWidth="1"/>
    <col min="12981" max="12981" width="9.109375" style="95" bestFit="1" customWidth="1"/>
    <col min="12982" max="13023" width="7" style="95" hidden="1" customWidth="1"/>
    <col min="13024" max="13024" width="8.44140625" style="95" customWidth="1"/>
    <col min="13025" max="13059" width="7" style="95" hidden="1" customWidth="1"/>
    <col min="13060" max="13060" width="9.44140625" style="95" customWidth="1"/>
    <col min="13061" max="13061" width="7" style="95" hidden="1" customWidth="1"/>
    <col min="13062" max="13062" width="5" style="95" customWidth="1"/>
    <col min="13063" max="13067" width="7" style="95" hidden="1" customWidth="1"/>
    <col min="13068" max="13068" width="5" style="95" customWidth="1"/>
    <col min="13069" max="13070" width="7" style="95" hidden="1" customWidth="1"/>
    <col min="13071" max="13071" width="5" style="95" customWidth="1"/>
    <col min="13072" max="13078" width="7" style="95" hidden="1" customWidth="1"/>
    <col min="13079" max="13079" width="6.44140625" style="95" customWidth="1"/>
    <col min="13080" max="13100" width="7" style="95" hidden="1" customWidth="1"/>
    <col min="13101" max="13104" width="6.44140625" style="95" customWidth="1"/>
    <col min="13105" max="13105" width="6.88671875" style="95" customWidth="1"/>
    <col min="13106" max="13106" width="6.44140625" style="95" customWidth="1"/>
    <col min="13107" max="13123" width="7" style="95" hidden="1" customWidth="1"/>
    <col min="13124" max="13124" width="6.5546875" style="95" customWidth="1"/>
    <col min="13125" max="13125" width="6.44140625" style="95" customWidth="1"/>
    <col min="13126" max="13127" width="7" style="95" hidden="1" customWidth="1"/>
    <col min="13128" max="13128" width="6.44140625" style="95" customWidth="1"/>
    <col min="13129" max="13130" width="7" style="95" hidden="1" customWidth="1"/>
    <col min="13131" max="13131" width="7.44140625" style="95" customWidth="1"/>
    <col min="13132" max="13132" width="7" style="95" hidden="1" customWidth="1"/>
    <col min="13133" max="13133" width="6.44140625" style="95" customWidth="1"/>
    <col min="13134" max="13172" width="7" style="95" hidden="1" customWidth="1"/>
    <col min="13173" max="13198" width="7" style="95" hidden="1"/>
    <col min="13199" max="13199" width="41.44140625" style="95" customWidth="1"/>
    <col min="13200" max="13200" width="6.44140625" style="95" customWidth="1"/>
    <col min="13201" max="13201" width="14.6640625" style="95" customWidth="1"/>
    <col min="13202" max="13202" width="11.44140625" style="95" customWidth="1"/>
    <col min="13203" max="13204" width="13" style="95" customWidth="1"/>
    <col min="13205" max="13205" width="9.44140625" style="95" customWidth="1"/>
    <col min="13206" max="13216" width="7" style="95" hidden="1" customWidth="1"/>
    <col min="13217" max="13217" width="10.109375" style="95" customWidth="1"/>
    <col min="13218" max="13226" width="7" style="95" hidden="1" customWidth="1"/>
    <col min="13227" max="13227" width="8.6640625" style="95" customWidth="1"/>
    <col min="13228" max="13228" width="7" style="95" hidden="1" customWidth="1"/>
    <col min="13229" max="13229" width="9.44140625" style="95" customWidth="1"/>
    <col min="13230" max="13230" width="7" style="95" hidden="1" customWidth="1"/>
    <col min="13231" max="13232" width="11.44140625" style="95" customWidth="1"/>
    <col min="13233" max="13233" width="26.6640625" style="95" customWidth="1"/>
    <col min="13234" max="13234" width="9.109375" style="95" bestFit="1" customWidth="1"/>
    <col min="13235" max="13235" width="14.6640625" style="95" customWidth="1"/>
    <col min="13236" max="13236" width="9.88671875" style="95" customWidth="1"/>
    <col min="13237" max="13237" width="9.109375" style="95" bestFit="1" customWidth="1"/>
    <col min="13238" max="13279" width="7" style="95" hidden="1" customWidth="1"/>
    <col min="13280" max="13280" width="8.44140625" style="95" customWidth="1"/>
    <col min="13281" max="13315" width="7" style="95" hidden="1" customWidth="1"/>
    <col min="13316" max="13316" width="9.44140625" style="95" customWidth="1"/>
    <col min="13317" max="13317" width="7" style="95" hidden="1" customWidth="1"/>
    <col min="13318" max="13318" width="5" style="95" customWidth="1"/>
    <col min="13319" max="13323" width="7" style="95" hidden="1" customWidth="1"/>
    <col min="13324" max="13324" width="5" style="95" customWidth="1"/>
    <col min="13325" max="13326" width="7" style="95" hidden="1" customWidth="1"/>
    <col min="13327" max="13327" width="5" style="95" customWidth="1"/>
    <col min="13328" max="13334" width="7" style="95" hidden="1" customWidth="1"/>
    <col min="13335" max="13335" width="6.44140625" style="95" customWidth="1"/>
    <col min="13336" max="13356" width="7" style="95" hidden="1" customWidth="1"/>
    <col min="13357" max="13360" width="6.44140625" style="95" customWidth="1"/>
    <col min="13361" max="13361" width="6.88671875" style="95" customWidth="1"/>
    <col min="13362" max="13362" width="6.44140625" style="95" customWidth="1"/>
    <col min="13363" max="13379" width="7" style="95" hidden="1" customWidth="1"/>
    <col min="13380" max="13380" width="6.5546875" style="95" customWidth="1"/>
    <col min="13381" max="13381" width="6.44140625" style="95" customWidth="1"/>
    <col min="13382" max="13383" width="7" style="95" hidden="1" customWidth="1"/>
    <col min="13384" max="13384" width="6.44140625" style="95" customWidth="1"/>
    <col min="13385" max="13386" width="7" style="95" hidden="1" customWidth="1"/>
    <col min="13387" max="13387" width="7.44140625" style="95" customWidth="1"/>
    <col min="13388" max="13388" width="7" style="95" hidden="1" customWidth="1"/>
    <col min="13389" max="13389" width="6.44140625" style="95" customWidth="1"/>
    <col min="13390" max="13428" width="7" style="95" hidden="1" customWidth="1"/>
    <col min="13429" max="13454" width="7" style="95" hidden="1"/>
    <col min="13455" max="13455" width="41.44140625" style="95" customWidth="1"/>
    <col min="13456" max="13456" width="6.44140625" style="95" customWidth="1"/>
    <col min="13457" max="13457" width="14.6640625" style="95" customWidth="1"/>
    <col min="13458" max="13458" width="11.44140625" style="95" customWidth="1"/>
    <col min="13459" max="13460" width="13" style="95" customWidth="1"/>
    <col min="13461" max="13461" width="9.44140625" style="95" customWidth="1"/>
    <col min="13462" max="13472" width="7" style="95" hidden="1" customWidth="1"/>
    <col min="13473" max="13473" width="10.109375" style="95" customWidth="1"/>
    <col min="13474" max="13482" width="7" style="95" hidden="1" customWidth="1"/>
    <col min="13483" max="13483" width="8.6640625" style="95" customWidth="1"/>
    <col min="13484" max="13484" width="7" style="95" hidden="1" customWidth="1"/>
    <col min="13485" max="13485" width="9.44140625" style="95" customWidth="1"/>
    <col min="13486" max="13486" width="7" style="95" hidden="1" customWidth="1"/>
    <col min="13487" max="13488" width="11.44140625" style="95" customWidth="1"/>
    <col min="13489" max="13489" width="26.6640625" style="95" customWidth="1"/>
    <col min="13490" max="13490" width="9.109375" style="95" bestFit="1" customWidth="1"/>
    <col min="13491" max="13491" width="14.6640625" style="95" customWidth="1"/>
    <col min="13492" max="13492" width="9.88671875" style="95" customWidth="1"/>
    <col min="13493" max="13493" width="9.109375" style="95" bestFit="1" customWidth="1"/>
    <col min="13494" max="13535" width="7" style="95" hidden="1" customWidth="1"/>
    <col min="13536" max="13536" width="8.44140625" style="95" customWidth="1"/>
    <col min="13537" max="13571" width="7" style="95" hidden="1" customWidth="1"/>
    <col min="13572" max="13572" width="9.44140625" style="95" customWidth="1"/>
    <col min="13573" max="13573" width="7" style="95" hidden="1" customWidth="1"/>
    <col min="13574" max="13574" width="5" style="95" customWidth="1"/>
    <col min="13575" max="13579" width="7" style="95" hidden="1" customWidth="1"/>
    <col min="13580" max="13580" width="5" style="95" customWidth="1"/>
    <col min="13581" max="13582" width="7" style="95" hidden="1" customWidth="1"/>
    <col min="13583" max="13583" width="5" style="95" customWidth="1"/>
    <col min="13584" max="13590" width="7" style="95" hidden="1" customWidth="1"/>
    <col min="13591" max="13591" width="6.44140625" style="95" customWidth="1"/>
    <col min="13592" max="13612" width="7" style="95" hidden="1" customWidth="1"/>
    <col min="13613" max="13616" width="6.44140625" style="95" customWidth="1"/>
    <col min="13617" max="13617" width="6.88671875" style="95" customWidth="1"/>
    <col min="13618" max="13618" width="6.44140625" style="95" customWidth="1"/>
    <col min="13619" max="13635" width="7" style="95" hidden="1" customWidth="1"/>
    <col min="13636" max="13636" width="6.5546875" style="95" customWidth="1"/>
    <col min="13637" max="13637" width="6.44140625" style="95" customWidth="1"/>
    <col min="13638" max="13639" width="7" style="95" hidden="1" customWidth="1"/>
    <col min="13640" max="13640" width="6.44140625" style="95" customWidth="1"/>
    <col min="13641" max="13642" width="7" style="95" hidden="1" customWidth="1"/>
    <col min="13643" max="13643" width="7.44140625" style="95" customWidth="1"/>
    <col min="13644" max="13644" width="7" style="95" hidden="1" customWidth="1"/>
    <col min="13645" max="13645" width="6.44140625" style="95" customWidth="1"/>
    <col min="13646" max="13684" width="7" style="95" hidden="1" customWidth="1"/>
    <col min="13685" max="13710" width="7" style="95" hidden="1"/>
    <col min="13711" max="13711" width="41.44140625" style="95" customWidth="1"/>
    <col min="13712" max="13712" width="6.44140625" style="95" customWidth="1"/>
    <col min="13713" max="13713" width="14.6640625" style="95" customWidth="1"/>
    <col min="13714" max="13714" width="11.44140625" style="95" customWidth="1"/>
    <col min="13715" max="13716" width="13" style="95" customWidth="1"/>
    <col min="13717" max="13717" width="9.44140625" style="95" customWidth="1"/>
    <col min="13718" max="13728" width="7" style="95" hidden="1" customWidth="1"/>
    <col min="13729" max="13729" width="10.109375" style="95" customWidth="1"/>
    <col min="13730" max="13738" width="7" style="95" hidden="1" customWidth="1"/>
    <col min="13739" max="13739" width="8.6640625" style="95" customWidth="1"/>
    <col min="13740" max="13740" width="7" style="95" hidden="1" customWidth="1"/>
    <col min="13741" max="13741" width="9.44140625" style="95" customWidth="1"/>
    <col min="13742" max="13742" width="7" style="95" hidden="1" customWidth="1"/>
    <col min="13743" max="13744" width="11.44140625" style="95" customWidth="1"/>
    <col min="13745" max="13745" width="26.6640625" style="95" customWidth="1"/>
    <col min="13746" max="13746" width="9.109375" style="95" bestFit="1" customWidth="1"/>
    <col min="13747" max="13747" width="14.6640625" style="95" customWidth="1"/>
    <col min="13748" max="13748" width="9.88671875" style="95" customWidth="1"/>
    <col min="13749" max="13749" width="9.109375" style="95" bestFit="1" customWidth="1"/>
    <col min="13750" max="13791" width="7" style="95" hidden="1" customWidth="1"/>
    <col min="13792" max="13792" width="8.44140625" style="95" customWidth="1"/>
    <col min="13793" max="13827" width="7" style="95" hidden="1" customWidth="1"/>
    <col min="13828" max="13828" width="9.44140625" style="95" customWidth="1"/>
    <col min="13829" max="13829" width="7" style="95" hidden="1" customWidth="1"/>
    <col min="13830" max="13830" width="5" style="95" customWidth="1"/>
    <col min="13831" max="13835" width="7" style="95" hidden="1" customWidth="1"/>
    <col min="13836" max="13836" width="5" style="95" customWidth="1"/>
    <col min="13837" max="13838" width="7" style="95" hidden="1" customWidth="1"/>
    <col min="13839" max="13839" width="5" style="95" customWidth="1"/>
    <col min="13840" max="13846" width="7" style="95" hidden="1" customWidth="1"/>
    <col min="13847" max="13847" width="6.44140625" style="95" customWidth="1"/>
    <col min="13848" max="13868" width="7" style="95" hidden="1" customWidth="1"/>
    <col min="13869" max="13872" width="6.44140625" style="95" customWidth="1"/>
    <col min="13873" max="13873" width="6.88671875" style="95" customWidth="1"/>
    <col min="13874" max="13874" width="6.44140625" style="95" customWidth="1"/>
    <col min="13875" max="13891" width="7" style="95" hidden="1" customWidth="1"/>
    <col min="13892" max="13892" width="6.5546875" style="95" customWidth="1"/>
    <col min="13893" max="13893" width="6.44140625" style="95" customWidth="1"/>
    <col min="13894" max="13895" width="7" style="95" hidden="1" customWidth="1"/>
    <col min="13896" max="13896" width="6.44140625" style="95" customWidth="1"/>
    <col min="13897" max="13898" width="7" style="95" hidden="1" customWidth="1"/>
    <col min="13899" max="13899" width="7.44140625" style="95" customWidth="1"/>
    <col min="13900" max="13900" width="7" style="95" hidden="1" customWidth="1"/>
    <col min="13901" max="13901" width="6.44140625" style="95" customWidth="1"/>
    <col min="13902" max="13940" width="7" style="95" hidden="1" customWidth="1"/>
    <col min="13941" max="13966" width="7" style="95" hidden="1"/>
    <col min="13967" max="13967" width="41.44140625" style="95" customWidth="1"/>
    <col min="13968" max="13968" width="6.44140625" style="95" customWidth="1"/>
    <col min="13969" max="13969" width="14.6640625" style="95" customWidth="1"/>
    <col min="13970" max="13970" width="11.44140625" style="95" customWidth="1"/>
    <col min="13971" max="13972" width="13" style="95" customWidth="1"/>
    <col min="13973" max="13973" width="9.44140625" style="95" customWidth="1"/>
    <col min="13974" max="13984" width="7" style="95" hidden="1" customWidth="1"/>
    <col min="13985" max="13985" width="10.109375" style="95" customWidth="1"/>
    <col min="13986" max="13994" width="7" style="95" hidden="1" customWidth="1"/>
    <col min="13995" max="13995" width="8.6640625" style="95" customWidth="1"/>
    <col min="13996" max="13996" width="7" style="95" hidden="1" customWidth="1"/>
    <col min="13997" max="13997" width="9.44140625" style="95" customWidth="1"/>
    <col min="13998" max="13998" width="7" style="95" hidden="1" customWidth="1"/>
    <col min="13999" max="14000" width="11.44140625" style="95" customWidth="1"/>
    <col min="14001" max="14001" width="26.6640625" style="95" customWidth="1"/>
    <col min="14002" max="14002" width="9.109375" style="95" bestFit="1" customWidth="1"/>
    <col min="14003" max="14003" width="14.6640625" style="95" customWidth="1"/>
    <col min="14004" max="14004" width="9.88671875" style="95" customWidth="1"/>
    <col min="14005" max="14005" width="9.109375" style="95" bestFit="1" customWidth="1"/>
    <col min="14006" max="14047" width="7" style="95" hidden="1" customWidth="1"/>
    <col min="14048" max="14048" width="8.44140625" style="95" customWidth="1"/>
    <col min="14049" max="14083" width="7" style="95" hidden="1" customWidth="1"/>
    <col min="14084" max="14084" width="9.44140625" style="95" customWidth="1"/>
    <col min="14085" max="14085" width="7" style="95" hidden="1" customWidth="1"/>
    <col min="14086" max="14086" width="5" style="95" customWidth="1"/>
    <col min="14087" max="14091" width="7" style="95" hidden="1" customWidth="1"/>
    <col min="14092" max="14092" width="5" style="95" customWidth="1"/>
    <col min="14093" max="14094" width="7" style="95" hidden="1" customWidth="1"/>
    <col min="14095" max="14095" width="5" style="95" customWidth="1"/>
    <col min="14096" max="14102" width="7" style="95" hidden="1" customWidth="1"/>
    <col min="14103" max="14103" width="6.44140625" style="95" customWidth="1"/>
    <col min="14104" max="14124" width="7" style="95" hidden="1" customWidth="1"/>
    <col min="14125" max="14128" width="6.44140625" style="95" customWidth="1"/>
    <col min="14129" max="14129" width="6.88671875" style="95" customWidth="1"/>
    <col min="14130" max="14130" width="6.44140625" style="95" customWidth="1"/>
    <col min="14131" max="14147" width="7" style="95" hidden="1" customWidth="1"/>
    <col min="14148" max="14148" width="6.5546875" style="95" customWidth="1"/>
    <col min="14149" max="14149" width="6.44140625" style="95" customWidth="1"/>
    <col min="14150" max="14151" width="7" style="95" hidden="1" customWidth="1"/>
    <col min="14152" max="14152" width="6.44140625" style="95" customWidth="1"/>
    <col min="14153" max="14154" width="7" style="95" hidden="1" customWidth="1"/>
    <col min="14155" max="14155" width="7.44140625" style="95" customWidth="1"/>
    <col min="14156" max="14156" width="7" style="95" hidden="1" customWidth="1"/>
    <col min="14157" max="14157" width="6.44140625" style="95" customWidth="1"/>
    <col min="14158" max="14196" width="7" style="95" hidden="1" customWidth="1"/>
    <col min="14197" max="14222" width="7" style="95" hidden="1"/>
    <col min="14223" max="14223" width="41.44140625" style="95" customWidth="1"/>
    <col min="14224" max="14224" width="6.44140625" style="95" customWidth="1"/>
    <col min="14225" max="14225" width="14.6640625" style="95" customWidth="1"/>
    <col min="14226" max="14226" width="11.44140625" style="95" customWidth="1"/>
    <col min="14227" max="14228" width="13" style="95" customWidth="1"/>
    <col min="14229" max="14229" width="9.44140625" style="95" customWidth="1"/>
    <col min="14230" max="14240" width="7" style="95" hidden="1" customWidth="1"/>
    <col min="14241" max="14241" width="10.109375" style="95" customWidth="1"/>
    <col min="14242" max="14250" width="7" style="95" hidden="1" customWidth="1"/>
    <col min="14251" max="14251" width="8.6640625" style="95" customWidth="1"/>
    <col min="14252" max="14252" width="7" style="95" hidden="1" customWidth="1"/>
    <col min="14253" max="14253" width="9.44140625" style="95" customWidth="1"/>
    <col min="14254" max="14254" width="7" style="95" hidden="1" customWidth="1"/>
    <col min="14255" max="14256" width="11.44140625" style="95" customWidth="1"/>
    <col min="14257" max="14257" width="26.6640625" style="95" customWidth="1"/>
    <col min="14258" max="14258" width="9.109375" style="95" bestFit="1" customWidth="1"/>
    <col min="14259" max="14259" width="14.6640625" style="95" customWidth="1"/>
    <col min="14260" max="14260" width="9.88671875" style="95" customWidth="1"/>
    <col min="14261" max="14261" width="9.109375" style="95" bestFit="1" customWidth="1"/>
    <col min="14262" max="14303" width="7" style="95" hidden="1" customWidth="1"/>
    <col min="14304" max="14304" width="8.44140625" style="95" customWidth="1"/>
    <col min="14305" max="14339" width="7" style="95" hidden="1" customWidth="1"/>
    <col min="14340" max="14340" width="9.44140625" style="95" customWidth="1"/>
    <col min="14341" max="14341" width="7" style="95" hidden="1" customWidth="1"/>
    <col min="14342" max="14342" width="5" style="95" customWidth="1"/>
    <col min="14343" max="14347" width="7" style="95" hidden="1" customWidth="1"/>
    <col min="14348" max="14348" width="5" style="95" customWidth="1"/>
    <col min="14349" max="14350" width="7" style="95" hidden="1" customWidth="1"/>
    <col min="14351" max="14351" width="5" style="95" customWidth="1"/>
    <col min="14352" max="14358" width="7" style="95" hidden="1" customWidth="1"/>
    <col min="14359" max="14359" width="6.44140625" style="95" customWidth="1"/>
    <col min="14360" max="14380" width="7" style="95" hidden="1" customWidth="1"/>
    <col min="14381" max="14384" width="6.44140625" style="95" customWidth="1"/>
    <col min="14385" max="14385" width="6.88671875" style="95" customWidth="1"/>
    <col min="14386" max="14386" width="6.44140625" style="95" customWidth="1"/>
    <col min="14387" max="14403" width="7" style="95" hidden="1" customWidth="1"/>
    <col min="14404" max="14404" width="6.5546875" style="95" customWidth="1"/>
    <col min="14405" max="14405" width="6.44140625" style="95" customWidth="1"/>
    <col min="14406" max="14407" width="7" style="95" hidden="1" customWidth="1"/>
    <col min="14408" max="14408" width="6.44140625" style="95" customWidth="1"/>
    <col min="14409" max="14410" width="7" style="95" hidden="1" customWidth="1"/>
    <col min="14411" max="14411" width="7.44140625" style="95" customWidth="1"/>
    <col min="14412" max="14412" width="7" style="95" hidden="1" customWidth="1"/>
    <col min="14413" max="14413" width="6.44140625" style="95" customWidth="1"/>
    <col min="14414" max="14452" width="7" style="95" hidden="1" customWidth="1"/>
    <col min="14453" max="14478" width="7" style="95" hidden="1"/>
    <col min="14479" max="14479" width="41.44140625" style="95" customWidth="1"/>
    <col min="14480" max="14480" width="6.44140625" style="95" customWidth="1"/>
    <col min="14481" max="14481" width="14.6640625" style="95" customWidth="1"/>
    <col min="14482" max="14482" width="11.44140625" style="95" customWidth="1"/>
    <col min="14483" max="14484" width="13" style="95" customWidth="1"/>
    <col min="14485" max="14485" width="9.44140625" style="95" customWidth="1"/>
    <col min="14486" max="14496" width="7" style="95" hidden="1" customWidth="1"/>
    <col min="14497" max="14497" width="10.109375" style="95" customWidth="1"/>
    <col min="14498" max="14506" width="7" style="95" hidden="1" customWidth="1"/>
    <col min="14507" max="14507" width="8.6640625" style="95" customWidth="1"/>
    <col min="14508" max="14508" width="7" style="95" hidden="1" customWidth="1"/>
    <col min="14509" max="14509" width="9.44140625" style="95" customWidth="1"/>
    <col min="14510" max="14510" width="7" style="95" hidden="1" customWidth="1"/>
    <col min="14511" max="14512" width="11.44140625" style="95" customWidth="1"/>
    <col min="14513" max="14513" width="26.6640625" style="95" customWidth="1"/>
    <col min="14514" max="14514" width="9.109375" style="95" bestFit="1" customWidth="1"/>
    <col min="14515" max="14515" width="14.6640625" style="95" customWidth="1"/>
    <col min="14516" max="14516" width="9.88671875" style="95" customWidth="1"/>
    <col min="14517" max="14517" width="9.109375" style="95" bestFit="1" customWidth="1"/>
    <col min="14518" max="14559" width="7" style="95" hidden="1" customWidth="1"/>
    <col min="14560" max="14560" width="8.44140625" style="95" customWidth="1"/>
    <col min="14561" max="14595" width="7" style="95" hidden="1" customWidth="1"/>
    <col min="14596" max="14596" width="9.44140625" style="95" customWidth="1"/>
    <col min="14597" max="14597" width="7" style="95" hidden="1" customWidth="1"/>
    <col min="14598" max="14598" width="5" style="95" customWidth="1"/>
    <col min="14599" max="14603" width="7" style="95" hidden="1" customWidth="1"/>
    <col min="14604" max="14604" width="5" style="95" customWidth="1"/>
    <col min="14605" max="14606" width="7" style="95" hidden="1" customWidth="1"/>
    <col min="14607" max="14607" width="5" style="95" customWidth="1"/>
    <col min="14608" max="14614" width="7" style="95" hidden="1" customWidth="1"/>
    <col min="14615" max="14615" width="6.44140625" style="95" customWidth="1"/>
    <col min="14616" max="14636" width="7" style="95" hidden="1" customWidth="1"/>
    <col min="14637" max="14640" width="6.44140625" style="95" customWidth="1"/>
    <col min="14641" max="14641" width="6.88671875" style="95" customWidth="1"/>
    <col min="14642" max="14642" width="6.44140625" style="95" customWidth="1"/>
    <col min="14643" max="14659" width="7" style="95" hidden="1" customWidth="1"/>
    <col min="14660" max="14660" width="6.5546875" style="95" customWidth="1"/>
    <col min="14661" max="14661" width="6.44140625" style="95" customWidth="1"/>
    <col min="14662" max="14663" width="7" style="95" hidden="1" customWidth="1"/>
    <col min="14664" max="14664" width="6.44140625" style="95" customWidth="1"/>
    <col min="14665" max="14666" width="7" style="95" hidden="1" customWidth="1"/>
    <col min="14667" max="14667" width="7.44140625" style="95" customWidth="1"/>
    <col min="14668" max="14668" width="7" style="95" hidden="1" customWidth="1"/>
    <col min="14669" max="14669" width="6.44140625" style="95" customWidth="1"/>
    <col min="14670" max="14708" width="7" style="95" hidden="1" customWidth="1"/>
    <col min="14709" max="14734" width="7" style="95" hidden="1"/>
    <col min="14735" max="14735" width="41.44140625" style="95" customWidth="1"/>
    <col min="14736" max="14736" width="6.44140625" style="95" customWidth="1"/>
    <col min="14737" max="14737" width="14.6640625" style="95" customWidth="1"/>
    <col min="14738" max="14738" width="11.44140625" style="95" customWidth="1"/>
    <col min="14739" max="14740" width="13" style="95" customWidth="1"/>
    <col min="14741" max="14741" width="9.44140625" style="95" customWidth="1"/>
    <col min="14742" max="14752" width="7" style="95" hidden="1" customWidth="1"/>
    <col min="14753" max="14753" width="10.109375" style="95" customWidth="1"/>
    <col min="14754" max="14762" width="7" style="95" hidden="1" customWidth="1"/>
    <col min="14763" max="14763" width="8.6640625" style="95" customWidth="1"/>
    <col min="14764" max="14764" width="7" style="95" hidden="1" customWidth="1"/>
    <col min="14765" max="14765" width="9.44140625" style="95" customWidth="1"/>
    <col min="14766" max="14766" width="7" style="95" hidden="1" customWidth="1"/>
    <col min="14767" max="14768" width="11.44140625" style="95" customWidth="1"/>
    <col min="14769" max="14769" width="26.6640625" style="95" customWidth="1"/>
    <col min="14770" max="14770" width="9.109375" style="95" bestFit="1" customWidth="1"/>
    <col min="14771" max="14771" width="14.6640625" style="95" customWidth="1"/>
    <col min="14772" max="14772" width="9.88671875" style="95" customWidth="1"/>
    <col min="14773" max="14773" width="9.109375" style="95" bestFit="1" customWidth="1"/>
    <col min="14774" max="14815" width="7" style="95" hidden="1" customWidth="1"/>
    <col min="14816" max="14816" width="8.44140625" style="95" customWidth="1"/>
    <col min="14817" max="14851" width="7" style="95" hidden="1" customWidth="1"/>
    <col min="14852" max="14852" width="9.44140625" style="95" customWidth="1"/>
    <col min="14853" max="14853" width="7" style="95" hidden="1" customWidth="1"/>
    <col min="14854" max="14854" width="5" style="95" customWidth="1"/>
    <col min="14855" max="14859" width="7" style="95" hidden="1" customWidth="1"/>
    <col min="14860" max="14860" width="5" style="95" customWidth="1"/>
    <col min="14861" max="14862" width="7" style="95" hidden="1" customWidth="1"/>
    <col min="14863" max="14863" width="5" style="95" customWidth="1"/>
    <col min="14864" max="14870" width="7" style="95" hidden="1" customWidth="1"/>
    <col min="14871" max="14871" width="6.44140625" style="95" customWidth="1"/>
    <col min="14872" max="14892" width="7" style="95" hidden="1" customWidth="1"/>
    <col min="14893" max="14896" width="6.44140625" style="95" customWidth="1"/>
    <col min="14897" max="14897" width="6.88671875" style="95" customWidth="1"/>
    <col min="14898" max="14898" width="6.44140625" style="95" customWidth="1"/>
    <col min="14899" max="14915" width="7" style="95" hidden="1" customWidth="1"/>
    <col min="14916" max="14916" width="6.5546875" style="95" customWidth="1"/>
    <col min="14917" max="14917" width="6.44140625" style="95" customWidth="1"/>
    <col min="14918" max="14919" width="7" style="95" hidden="1" customWidth="1"/>
    <col min="14920" max="14920" width="6.44140625" style="95" customWidth="1"/>
    <col min="14921" max="14922" width="7" style="95" hidden="1" customWidth="1"/>
    <col min="14923" max="14923" width="7.44140625" style="95" customWidth="1"/>
    <col min="14924" max="14924" width="7" style="95" hidden="1" customWidth="1"/>
    <col min="14925" max="14925" width="6.44140625" style="95" customWidth="1"/>
    <col min="14926" max="14964" width="7" style="95" hidden="1" customWidth="1"/>
    <col min="14965" max="14990" width="7" style="95" hidden="1"/>
    <col min="14991" max="14991" width="41.44140625" style="95" customWidth="1"/>
    <col min="14992" max="14992" width="6.44140625" style="95" customWidth="1"/>
    <col min="14993" max="14993" width="14.6640625" style="95" customWidth="1"/>
    <col min="14994" max="14994" width="11.44140625" style="95" customWidth="1"/>
    <col min="14995" max="14996" width="13" style="95" customWidth="1"/>
    <col min="14997" max="14997" width="9.44140625" style="95" customWidth="1"/>
    <col min="14998" max="15008" width="7" style="95" hidden="1" customWidth="1"/>
    <col min="15009" max="15009" width="10.109375" style="95" customWidth="1"/>
    <col min="15010" max="15018" width="7" style="95" hidden="1" customWidth="1"/>
    <col min="15019" max="15019" width="8.6640625" style="95" customWidth="1"/>
    <col min="15020" max="15020" width="7" style="95" hidden="1" customWidth="1"/>
    <col min="15021" max="15021" width="9.44140625" style="95" customWidth="1"/>
    <col min="15022" max="15022" width="7" style="95" hidden="1" customWidth="1"/>
    <col min="15023" max="15024" width="11.44140625" style="95" customWidth="1"/>
    <col min="15025" max="15025" width="26.6640625" style="95" customWidth="1"/>
    <col min="15026" max="15026" width="9.109375" style="95" bestFit="1" customWidth="1"/>
    <col min="15027" max="15027" width="14.6640625" style="95" customWidth="1"/>
    <col min="15028" max="15028" width="9.88671875" style="95" customWidth="1"/>
    <col min="15029" max="15029" width="9.109375" style="95" bestFit="1" customWidth="1"/>
    <col min="15030" max="15071" width="7" style="95" hidden="1" customWidth="1"/>
    <col min="15072" max="15072" width="8.44140625" style="95" customWidth="1"/>
    <col min="15073" max="15107" width="7" style="95" hidden="1" customWidth="1"/>
    <col min="15108" max="15108" width="9.44140625" style="95" customWidth="1"/>
    <col min="15109" max="15109" width="7" style="95" hidden="1" customWidth="1"/>
    <col min="15110" max="15110" width="5" style="95" customWidth="1"/>
    <col min="15111" max="15115" width="7" style="95" hidden="1" customWidth="1"/>
    <col min="15116" max="15116" width="5" style="95" customWidth="1"/>
    <col min="15117" max="15118" width="7" style="95" hidden="1" customWidth="1"/>
    <col min="15119" max="15119" width="5" style="95" customWidth="1"/>
    <col min="15120" max="15126" width="7" style="95" hidden="1" customWidth="1"/>
    <col min="15127" max="15127" width="6.44140625" style="95" customWidth="1"/>
    <col min="15128" max="15148" width="7" style="95" hidden="1" customWidth="1"/>
    <col min="15149" max="15152" width="6.44140625" style="95" customWidth="1"/>
    <col min="15153" max="15153" width="6.88671875" style="95" customWidth="1"/>
    <col min="15154" max="15154" width="6.44140625" style="95" customWidth="1"/>
    <col min="15155" max="15171" width="7" style="95" hidden="1" customWidth="1"/>
    <col min="15172" max="15172" width="6.5546875" style="95" customWidth="1"/>
    <col min="15173" max="15173" width="6.44140625" style="95" customWidth="1"/>
    <col min="15174" max="15175" width="7" style="95" hidden="1" customWidth="1"/>
    <col min="15176" max="15176" width="6.44140625" style="95" customWidth="1"/>
    <col min="15177" max="15178" width="7" style="95" hidden="1" customWidth="1"/>
    <col min="15179" max="15179" width="7.44140625" style="95" customWidth="1"/>
    <col min="15180" max="15180" width="7" style="95" hidden="1" customWidth="1"/>
    <col min="15181" max="15181" width="6.44140625" style="95" customWidth="1"/>
    <col min="15182" max="15220" width="7" style="95" hidden="1" customWidth="1"/>
    <col min="15221" max="15246" width="7" style="95" hidden="1"/>
    <col min="15247" max="15247" width="41.44140625" style="95" customWidth="1"/>
    <col min="15248" max="15248" width="6.44140625" style="95" customWidth="1"/>
    <col min="15249" max="15249" width="14.6640625" style="95" customWidth="1"/>
    <col min="15250" max="15250" width="11.44140625" style="95" customWidth="1"/>
    <col min="15251" max="15252" width="13" style="95" customWidth="1"/>
    <col min="15253" max="15253" width="9.44140625" style="95" customWidth="1"/>
    <col min="15254" max="15264" width="7" style="95" hidden="1" customWidth="1"/>
    <col min="15265" max="15265" width="10.109375" style="95" customWidth="1"/>
    <col min="15266" max="15274" width="7" style="95" hidden="1" customWidth="1"/>
    <col min="15275" max="15275" width="8.6640625" style="95" customWidth="1"/>
    <col min="15276" max="15276" width="7" style="95" hidden="1" customWidth="1"/>
    <col min="15277" max="15277" width="9.44140625" style="95" customWidth="1"/>
    <col min="15278" max="15278" width="7" style="95" hidden="1" customWidth="1"/>
    <col min="15279" max="15280" width="11.44140625" style="95" customWidth="1"/>
    <col min="15281" max="15281" width="26.6640625" style="95" customWidth="1"/>
    <col min="15282" max="15282" width="9.109375" style="95" bestFit="1" customWidth="1"/>
    <col min="15283" max="15283" width="14.6640625" style="95" customWidth="1"/>
    <col min="15284" max="15284" width="9.88671875" style="95" customWidth="1"/>
    <col min="15285" max="15285" width="9.109375" style="95" bestFit="1" customWidth="1"/>
    <col min="15286" max="15327" width="7" style="95" hidden="1" customWidth="1"/>
    <col min="15328" max="15328" width="8.44140625" style="95" customWidth="1"/>
    <col min="15329" max="15363" width="7" style="95" hidden="1" customWidth="1"/>
    <col min="15364" max="15364" width="9.44140625" style="95" customWidth="1"/>
    <col min="15365" max="15365" width="7" style="95" hidden="1" customWidth="1"/>
    <col min="15366" max="15366" width="5" style="95" customWidth="1"/>
    <col min="15367" max="15371" width="7" style="95" hidden="1" customWidth="1"/>
    <col min="15372" max="15372" width="5" style="95" customWidth="1"/>
    <col min="15373" max="15374" width="7" style="95" hidden="1" customWidth="1"/>
    <col min="15375" max="15375" width="5" style="95" customWidth="1"/>
    <col min="15376" max="15382" width="7" style="95" hidden="1" customWidth="1"/>
    <col min="15383" max="15383" width="6.44140625" style="95" customWidth="1"/>
    <col min="15384" max="15404" width="7" style="95" hidden="1" customWidth="1"/>
    <col min="15405" max="15408" width="6.44140625" style="95" customWidth="1"/>
    <col min="15409" max="15409" width="6.88671875" style="95" customWidth="1"/>
    <col min="15410" max="15410" width="6.44140625" style="95" customWidth="1"/>
    <col min="15411" max="15427" width="7" style="95" hidden="1" customWidth="1"/>
    <col min="15428" max="15428" width="6.5546875" style="95" customWidth="1"/>
    <col min="15429" max="15429" width="6.44140625" style="95" customWidth="1"/>
    <col min="15430" max="15431" width="7" style="95" hidden="1" customWidth="1"/>
    <col min="15432" max="15432" width="6.44140625" style="95" customWidth="1"/>
    <col min="15433" max="15434" width="7" style="95" hidden="1" customWidth="1"/>
    <col min="15435" max="15435" width="7.44140625" style="95" customWidth="1"/>
    <col min="15436" max="15436" width="7" style="95" hidden="1" customWidth="1"/>
    <col min="15437" max="15437" width="6.44140625" style="95" customWidth="1"/>
    <col min="15438" max="15476" width="7" style="95" hidden="1" customWidth="1"/>
    <col min="15477" max="15502" width="7" style="95" hidden="1"/>
    <col min="15503" max="15503" width="41.44140625" style="95" customWidth="1"/>
    <col min="15504" max="15504" width="6.44140625" style="95" customWidth="1"/>
    <col min="15505" max="15505" width="14.6640625" style="95" customWidth="1"/>
    <col min="15506" max="15506" width="11.44140625" style="95" customWidth="1"/>
    <col min="15507" max="15508" width="13" style="95" customWidth="1"/>
    <col min="15509" max="15509" width="9.44140625" style="95" customWidth="1"/>
    <col min="15510" max="15520" width="7" style="95" hidden="1" customWidth="1"/>
    <col min="15521" max="15521" width="10.109375" style="95" customWidth="1"/>
    <col min="15522" max="15530" width="7" style="95" hidden="1" customWidth="1"/>
    <col min="15531" max="15531" width="8.6640625" style="95" customWidth="1"/>
    <col min="15532" max="15532" width="7" style="95" hidden="1" customWidth="1"/>
    <col min="15533" max="15533" width="9.44140625" style="95" customWidth="1"/>
    <col min="15534" max="15534" width="7" style="95" hidden="1" customWidth="1"/>
    <col min="15535" max="15536" width="11.44140625" style="95" customWidth="1"/>
    <col min="15537" max="15537" width="26.6640625" style="95" customWidth="1"/>
    <col min="15538" max="15538" width="9.109375" style="95" bestFit="1" customWidth="1"/>
    <col min="15539" max="15539" width="14.6640625" style="95" customWidth="1"/>
    <col min="15540" max="15540" width="9.88671875" style="95" customWidth="1"/>
    <col min="15541" max="15541" width="9.109375" style="95" bestFit="1" customWidth="1"/>
    <col min="15542" max="15583" width="7" style="95" hidden="1" customWidth="1"/>
    <col min="15584" max="15584" width="8.44140625" style="95" customWidth="1"/>
    <col min="15585" max="15619" width="7" style="95" hidden="1" customWidth="1"/>
    <col min="15620" max="15620" width="9.44140625" style="95" customWidth="1"/>
    <col min="15621" max="15621" width="7" style="95" hidden="1" customWidth="1"/>
    <col min="15622" max="15622" width="5" style="95" customWidth="1"/>
    <col min="15623" max="15627" width="7" style="95" hidden="1" customWidth="1"/>
    <col min="15628" max="15628" width="5" style="95" customWidth="1"/>
    <col min="15629" max="15630" width="7" style="95" hidden="1" customWidth="1"/>
    <col min="15631" max="15631" width="5" style="95" customWidth="1"/>
    <col min="15632" max="15638" width="7" style="95" hidden="1" customWidth="1"/>
    <col min="15639" max="15639" width="6.44140625" style="95" customWidth="1"/>
    <col min="15640" max="15660" width="7" style="95" hidden="1" customWidth="1"/>
    <col min="15661" max="15664" width="6.44140625" style="95" customWidth="1"/>
    <col min="15665" max="15665" width="6.88671875" style="95" customWidth="1"/>
    <col min="15666" max="15666" width="6.44140625" style="95" customWidth="1"/>
    <col min="15667" max="15683" width="7" style="95" hidden="1" customWidth="1"/>
    <col min="15684" max="15684" width="6.5546875" style="95" customWidth="1"/>
    <col min="15685" max="15685" width="6.44140625" style="95" customWidth="1"/>
    <col min="15686" max="15687" width="7" style="95" hidden="1" customWidth="1"/>
    <col min="15688" max="15688" width="6.44140625" style="95" customWidth="1"/>
    <col min="15689" max="15690" width="7" style="95" hidden="1" customWidth="1"/>
    <col min="15691" max="15691" width="7.44140625" style="95" customWidth="1"/>
    <col min="15692" max="15692" width="7" style="95" hidden="1" customWidth="1"/>
    <col min="15693" max="15693" width="6.44140625" style="95" customWidth="1"/>
    <col min="15694" max="15732" width="7" style="95" hidden="1" customWidth="1"/>
    <col min="15733" max="15758" width="7" style="95" hidden="1"/>
    <col min="15759" max="15759" width="41.44140625" style="95" customWidth="1"/>
    <col min="15760" max="15760" width="6.44140625" style="95" customWidth="1"/>
    <col min="15761" max="15761" width="14.6640625" style="95" customWidth="1"/>
    <col min="15762" max="15762" width="11.44140625" style="95" customWidth="1"/>
    <col min="15763" max="15764" width="13" style="95" customWidth="1"/>
    <col min="15765" max="15765" width="9.44140625" style="95" customWidth="1"/>
    <col min="15766" max="15776" width="7" style="95" hidden="1" customWidth="1"/>
    <col min="15777" max="15777" width="10.109375" style="95" customWidth="1"/>
    <col min="15778" max="15786" width="7" style="95" hidden="1" customWidth="1"/>
    <col min="15787" max="15787" width="8.6640625" style="95" customWidth="1"/>
    <col min="15788" max="15788" width="7" style="95" hidden="1" customWidth="1"/>
    <col min="15789" max="15789" width="9.44140625" style="95" customWidth="1"/>
    <col min="15790" max="15790" width="7" style="95" hidden="1" customWidth="1"/>
    <col min="15791" max="15792" width="11.44140625" style="95" customWidth="1"/>
    <col min="15793" max="15793" width="26.6640625" style="95" customWidth="1"/>
    <col min="15794" max="15794" width="9.109375" style="95" bestFit="1" customWidth="1"/>
    <col min="15795" max="15795" width="14.6640625" style="95" customWidth="1"/>
    <col min="15796" max="15796" width="9.88671875" style="95" customWidth="1"/>
    <col min="15797" max="15797" width="9.109375" style="95" bestFit="1" customWidth="1"/>
    <col min="15798" max="15839" width="7" style="95" hidden="1" customWidth="1"/>
    <col min="15840" max="15840" width="8.44140625" style="95" customWidth="1"/>
    <col min="15841" max="15875" width="7" style="95" hidden="1" customWidth="1"/>
    <col min="15876" max="15876" width="9.44140625" style="95" customWidth="1"/>
    <col min="15877" max="15877" width="7" style="95" hidden="1" customWidth="1"/>
    <col min="15878" max="15878" width="5" style="95" customWidth="1"/>
    <col min="15879" max="15883" width="7" style="95" hidden="1" customWidth="1"/>
    <col min="15884" max="15884" width="5" style="95" customWidth="1"/>
    <col min="15885" max="15886" width="7" style="95" hidden="1" customWidth="1"/>
    <col min="15887" max="15887" width="5" style="95" customWidth="1"/>
    <col min="15888" max="15894" width="7" style="95" hidden="1" customWidth="1"/>
    <col min="15895" max="15895" width="6.44140625" style="95" customWidth="1"/>
    <col min="15896" max="15916" width="7" style="95" hidden="1" customWidth="1"/>
    <col min="15917" max="15920" width="6.44140625" style="95" customWidth="1"/>
    <col min="15921" max="15921" width="6.88671875" style="95" customWidth="1"/>
    <col min="15922" max="15922" width="6.44140625" style="95" customWidth="1"/>
    <col min="15923" max="15939" width="7" style="95" hidden="1" customWidth="1"/>
    <col min="15940" max="15940" width="6.5546875" style="95" customWidth="1"/>
    <col min="15941" max="15941" width="6.44140625" style="95" customWidth="1"/>
    <col min="15942" max="15943" width="7" style="95" hidden="1" customWidth="1"/>
    <col min="15944" max="15944" width="6.44140625" style="95" customWidth="1"/>
    <col min="15945" max="15946" width="7" style="95" hidden="1" customWidth="1"/>
    <col min="15947" max="15947" width="7.44140625" style="95" customWidth="1"/>
    <col min="15948" max="15948" width="7" style="95" hidden="1" customWidth="1"/>
    <col min="15949" max="15949" width="6.44140625" style="95" customWidth="1"/>
    <col min="15950" max="15988" width="7" style="95" hidden="1" customWidth="1"/>
    <col min="15989" max="16384" width="7" style="95" hidden="1"/>
  </cols>
  <sheetData>
    <row r="1" spans="1:5" s="60" customFormat="1" ht="18.75" customHeight="1" x14ac:dyDescent="0.25">
      <c r="A1" s="108">
        <v>45425</v>
      </c>
      <c r="B1" s="58"/>
      <c r="C1" s="2" t="s">
        <v>388</v>
      </c>
      <c r="D1" s="59"/>
      <c r="E1" s="59"/>
    </row>
    <row r="2" spans="1:5" s="64" customFormat="1" ht="34.799999999999997" customHeight="1" x14ac:dyDescent="0.3">
      <c r="A2" s="154" t="s">
        <v>404</v>
      </c>
      <c r="B2" s="103" t="s">
        <v>389</v>
      </c>
      <c r="C2" s="104" t="s">
        <v>1</v>
      </c>
      <c r="D2" s="105" t="s">
        <v>340</v>
      </c>
      <c r="E2" s="106" t="s">
        <v>341</v>
      </c>
    </row>
    <row r="3" spans="1:5" s="67" customFormat="1" hidden="1" x14ac:dyDescent="0.3">
      <c r="A3" s="153"/>
      <c r="B3" s="61"/>
      <c r="C3" s="5"/>
      <c r="D3" s="63"/>
      <c r="E3" s="66"/>
    </row>
    <row r="4" spans="1:5" s="73" customFormat="1" ht="36" hidden="1" customHeight="1" x14ac:dyDescent="0.3">
      <c r="A4" s="6" t="s">
        <v>2</v>
      </c>
      <c r="B4" s="68" t="s">
        <v>390</v>
      </c>
      <c r="C4" s="8"/>
      <c r="D4" s="71"/>
      <c r="E4" s="72"/>
    </row>
    <row r="5" spans="1:5" s="73" customFormat="1" ht="36" hidden="1" customHeight="1" x14ac:dyDescent="0.3">
      <c r="A5" s="9" t="s">
        <v>3</v>
      </c>
      <c r="B5" s="68" t="s">
        <v>391</v>
      </c>
      <c r="C5" s="8"/>
      <c r="D5" s="71"/>
      <c r="E5" s="72"/>
    </row>
    <row r="6" spans="1:5" s="73" customFormat="1" ht="21.75" hidden="1" customHeight="1" x14ac:dyDescent="0.3">
      <c r="A6" s="6" t="s">
        <v>4</v>
      </c>
      <c r="B6" s="68" t="s">
        <v>390</v>
      </c>
      <c r="C6" s="8"/>
      <c r="D6" s="71"/>
      <c r="E6" s="72"/>
    </row>
    <row r="7" spans="1:5" s="73" customFormat="1" ht="19.2" customHeight="1" x14ac:dyDescent="0.3">
      <c r="A7" s="6" t="s">
        <v>5</v>
      </c>
      <c r="B7" s="68" t="s">
        <v>390</v>
      </c>
      <c r="C7" s="8">
        <v>160</v>
      </c>
      <c r="D7" s="71">
        <v>5000</v>
      </c>
      <c r="E7" s="72">
        <f>+D7*C7</f>
        <v>800000</v>
      </c>
    </row>
    <row r="8" spans="1:5" s="73" customFormat="1" ht="20.25" hidden="1" customHeight="1" x14ac:dyDescent="0.3">
      <c r="A8" s="10" t="s">
        <v>6</v>
      </c>
      <c r="B8" s="68" t="s">
        <v>391</v>
      </c>
      <c r="C8" s="8"/>
      <c r="D8" s="71"/>
      <c r="E8" s="72"/>
    </row>
    <row r="9" spans="1:5" s="73" customFormat="1" ht="21.75" hidden="1" customHeight="1" x14ac:dyDescent="0.3">
      <c r="A9" s="11" t="s">
        <v>7</v>
      </c>
      <c r="B9" s="68" t="s">
        <v>390</v>
      </c>
      <c r="C9" s="8"/>
      <c r="D9" s="71"/>
      <c r="E9" s="72"/>
    </row>
    <row r="10" spans="1:5" s="73" customFormat="1" ht="21.75" hidden="1" customHeight="1" x14ac:dyDescent="0.3">
      <c r="A10" s="6" t="s">
        <v>8</v>
      </c>
      <c r="B10" s="68" t="s">
        <v>390</v>
      </c>
      <c r="C10" s="8"/>
      <c r="D10" s="71"/>
      <c r="E10" s="72"/>
    </row>
    <row r="11" spans="1:5" s="73" customFormat="1" ht="21.75" hidden="1" customHeight="1" x14ac:dyDescent="0.3">
      <c r="A11" s="6" t="s">
        <v>9</v>
      </c>
      <c r="B11" s="68" t="s">
        <v>390</v>
      </c>
      <c r="C11" s="8"/>
      <c r="D11" s="71"/>
      <c r="E11" s="72"/>
    </row>
    <row r="12" spans="1:5" s="73" customFormat="1" ht="20.25" hidden="1" customHeight="1" x14ac:dyDescent="0.3">
      <c r="A12" s="12" t="s">
        <v>342</v>
      </c>
      <c r="B12" s="68" t="s">
        <v>390</v>
      </c>
      <c r="C12" s="8"/>
      <c r="D12" s="71"/>
      <c r="E12" s="72"/>
    </row>
    <row r="13" spans="1:5" s="73" customFormat="1" ht="21.75" hidden="1" customHeight="1" x14ac:dyDescent="0.3">
      <c r="A13" s="10" t="s">
        <v>11</v>
      </c>
      <c r="B13" s="68" t="s">
        <v>390</v>
      </c>
      <c r="C13" s="8"/>
      <c r="D13" s="71"/>
      <c r="E13" s="72"/>
    </row>
    <row r="14" spans="1:5" s="73" customFormat="1" ht="19.2" customHeight="1" x14ac:dyDescent="0.3">
      <c r="A14" s="10" t="s">
        <v>12</v>
      </c>
      <c r="B14" s="68" t="s">
        <v>390</v>
      </c>
      <c r="C14" s="8">
        <v>18</v>
      </c>
      <c r="D14" s="71">
        <v>7000</v>
      </c>
      <c r="E14" s="72">
        <f>+D14*C14</f>
        <v>126000</v>
      </c>
    </row>
    <row r="15" spans="1:5" s="73" customFormat="1" ht="39.9" hidden="1" customHeight="1" x14ac:dyDescent="0.3">
      <c r="A15" s="13" t="s">
        <v>13</v>
      </c>
      <c r="B15" s="68" t="s">
        <v>392</v>
      </c>
      <c r="C15" s="8"/>
      <c r="D15" s="71"/>
      <c r="E15" s="72"/>
    </row>
    <row r="16" spans="1:5" s="73" customFormat="1" ht="21.75" hidden="1" customHeight="1" x14ac:dyDescent="0.3">
      <c r="A16" s="13" t="s">
        <v>14</v>
      </c>
      <c r="B16" s="68" t="s">
        <v>390</v>
      </c>
      <c r="C16" s="8"/>
      <c r="D16" s="71"/>
      <c r="E16" s="72"/>
    </row>
    <row r="17" spans="1:5" s="73" customFormat="1" ht="21.75" hidden="1" customHeight="1" x14ac:dyDescent="0.3">
      <c r="A17" s="10" t="s">
        <v>15</v>
      </c>
      <c r="B17" s="68" t="s">
        <v>390</v>
      </c>
      <c r="C17" s="8"/>
      <c r="D17" s="71"/>
      <c r="E17" s="72"/>
    </row>
    <row r="18" spans="1:5" s="73" customFormat="1" ht="21.75" hidden="1" customHeight="1" x14ac:dyDescent="0.3">
      <c r="A18" s="10" t="s">
        <v>16</v>
      </c>
      <c r="B18" s="68" t="s">
        <v>390</v>
      </c>
      <c r="C18" s="8"/>
      <c r="D18" s="77"/>
      <c r="E18" s="72"/>
    </row>
    <row r="19" spans="1:5" s="73" customFormat="1" ht="20.25" hidden="1" customHeight="1" x14ac:dyDescent="0.3">
      <c r="A19" s="14" t="s">
        <v>17</v>
      </c>
      <c r="B19" s="68" t="s">
        <v>392</v>
      </c>
      <c r="C19" s="8"/>
      <c r="D19" s="71"/>
      <c r="E19" s="72"/>
    </row>
    <row r="20" spans="1:5" s="73" customFormat="1" ht="21.75" hidden="1" customHeight="1" x14ac:dyDescent="0.3">
      <c r="A20" s="12" t="s">
        <v>18</v>
      </c>
      <c r="B20" s="68" t="s">
        <v>390</v>
      </c>
      <c r="C20" s="8"/>
      <c r="D20" s="71"/>
      <c r="E20" s="72"/>
    </row>
    <row r="21" spans="1:5" s="73" customFormat="1" ht="19.2" customHeight="1" x14ac:dyDescent="0.3">
      <c r="A21" s="10" t="s">
        <v>19</v>
      </c>
      <c r="B21" s="68" t="s">
        <v>390</v>
      </c>
      <c r="C21" s="8">
        <v>1100</v>
      </c>
      <c r="D21" s="71">
        <v>17000</v>
      </c>
      <c r="E21" s="72">
        <f>+D21*C21</f>
        <v>18700000</v>
      </c>
    </row>
    <row r="22" spans="1:5" s="73" customFormat="1" ht="21.75" hidden="1" customHeight="1" x14ac:dyDescent="0.3">
      <c r="A22" s="13" t="s">
        <v>20</v>
      </c>
      <c r="B22" s="68" t="s">
        <v>392</v>
      </c>
      <c r="C22" s="8"/>
      <c r="D22" s="71"/>
      <c r="E22" s="72"/>
    </row>
    <row r="23" spans="1:5" s="73" customFormat="1" ht="20.25" hidden="1" customHeight="1" x14ac:dyDescent="0.3">
      <c r="A23" s="13" t="s">
        <v>21</v>
      </c>
      <c r="B23" s="68" t="s">
        <v>390</v>
      </c>
      <c r="C23" s="8"/>
      <c r="D23" s="71"/>
      <c r="E23" s="72"/>
    </row>
    <row r="24" spans="1:5" s="73" customFormat="1" ht="21.75" hidden="1" customHeight="1" x14ac:dyDescent="0.3">
      <c r="A24" s="10" t="s">
        <v>22</v>
      </c>
      <c r="B24" s="68" t="s">
        <v>390</v>
      </c>
      <c r="C24" s="8"/>
      <c r="D24" s="71"/>
      <c r="E24" s="72"/>
    </row>
    <row r="25" spans="1:5" s="73" customFormat="1" ht="21.75" hidden="1" customHeight="1" x14ac:dyDescent="0.3">
      <c r="A25" s="10" t="s">
        <v>23</v>
      </c>
      <c r="B25" s="68" t="s">
        <v>392</v>
      </c>
      <c r="C25" s="8"/>
      <c r="D25" s="71"/>
      <c r="E25" s="72"/>
    </row>
    <row r="26" spans="1:5" s="73" customFormat="1" ht="20.25" hidden="1" customHeight="1" x14ac:dyDescent="0.3">
      <c r="A26" s="10" t="s">
        <v>24</v>
      </c>
      <c r="B26" s="68" t="s">
        <v>390</v>
      </c>
      <c r="C26" s="8"/>
      <c r="D26" s="71"/>
      <c r="E26" s="72"/>
    </row>
    <row r="27" spans="1:5" s="73" customFormat="1" ht="21.75" hidden="1" customHeight="1" x14ac:dyDescent="0.3">
      <c r="A27" s="10" t="s">
        <v>25</v>
      </c>
      <c r="B27" s="68" t="s">
        <v>392</v>
      </c>
      <c r="C27" s="8"/>
      <c r="D27" s="71"/>
      <c r="E27" s="72"/>
    </row>
    <row r="28" spans="1:5" s="73" customFormat="1" ht="21.75" hidden="1" customHeight="1" x14ac:dyDescent="0.3">
      <c r="A28" s="10" t="s">
        <v>26</v>
      </c>
      <c r="B28" s="68" t="s">
        <v>390</v>
      </c>
      <c r="C28" s="8"/>
      <c r="D28" s="71"/>
      <c r="E28" s="72"/>
    </row>
    <row r="29" spans="1:5" s="73" customFormat="1" ht="20.25" hidden="1" customHeight="1" x14ac:dyDescent="0.3">
      <c r="A29" s="10" t="s">
        <v>27</v>
      </c>
      <c r="B29" s="68" t="s">
        <v>390</v>
      </c>
      <c r="C29" s="8"/>
      <c r="D29" s="71"/>
      <c r="E29" s="72"/>
    </row>
    <row r="30" spans="1:5" s="73" customFormat="1" ht="20.25" hidden="1" customHeight="1" x14ac:dyDescent="0.3">
      <c r="A30" s="13" t="s">
        <v>28</v>
      </c>
      <c r="B30" s="68" t="s">
        <v>390</v>
      </c>
      <c r="C30" s="8"/>
      <c r="D30" s="71"/>
      <c r="E30" s="72"/>
    </row>
    <row r="31" spans="1:5" s="73" customFormat="1" ht="21.75" hidden="1" customHeight="1" x14ac:dyDescent="0.3">
      <c r="A31" s="13" t="s">
        <v>35</v>
      </c>
      <c r="B31" s="68" t="s">
        <v>390</v>
      </c>
      <c r="C31" s="8"/>
      <c r="D31" s="71"/>
      <c r="E31" s="72"/>
    </row>
    <row r="32" spans="1:5" s="73" customFormat="1" ht="21.75" hidden="1" customHeight="1" x14ac:dyDescent="0.3">
      <c r="A32" s="10" t="s">
        <v>36</v>
      </c>
      <c r="B32" s="68" t="s">
        <v>390</v>
      </c>
      <c r="C32" s="8"/>
      <c r="D32" s="71"/>
      <c r="E32" s="72"/>
    </row>
    <row r="33" spans="1:5" s="73" customFormat="1" ht="21.75" hidden="1" customHeight="1" x14ac:dyDescent="0.3">
      <c r="A33" s="10" t="s">
        <v>37</v>
      </c>
      <c r="B33" s="68" t="s">
        <v>393</v>
      </c>
      <c r="C33" s="8"/>
      <c r="D33" s="71"/>
      <c r="E33" s="72"/>
    </row>
    <row r="34" spans="1:5" s="73" customFormat="1" ht="21.75" hidden="1" customHeight="1" x14ac:dyDescent="0.3">
      <c r="A34" s="12" t="s">
        <v>38</v>
      </c>
      <c r="B34" s="68" t="s">
        <v>390</v>
      </c>
      <c r="C34" s="17"/>
      <c r="D34" s="71"/>
      <c r="E34" s="72"/>
    </row>
    <row r="35" spans="1:5" s="73" customFormat="1" ht="21.75" hidden="1" customHeight="1" x14ac:dyDescent="0.3">
      <c r="A35" s="12" t="s">
        <v>39</v>
      </c>
      <c r="B35" s="68" t="s">
        <v>390</v>
      </c>
      <c r="C35" s="17"/>
      <c r="D35" s="71"/>
      <c r="E35" s="72"/>
    </row>
    <row r="36" spans="1:5" s="73" customFormat="1" ht="20.25" hidden="1" customHeight="1" x14ac:dyDescent="0.3">
      <c r="A36" s="10" t="s">
        <v>40</v>
      </c>
      <c r="B36" s="68" t="s">
        <v>390</v>
      </c>
      <c r="C36" s="8"/>
      <c r="D36" s="71"/>
      <c r="E36" s="72"/>
    </row>
    <row r="37" spans="1:5" s="73" customFormat="1" ht="21.75" hidden="1" customHeight="1" x14ac:dyDescent="0.3">
      <c r="A37" s="10" t="s">
        <v>41</v>
      </c>
      <c r="B37" s="68" t="s">
        <v>390</v>
      </c>
      <c r="C37" s="8"/>
      <c r="D37" s="71"/>
      <c r="E37" s="72"/>
    </row>
    <row r="38" spans="1:5" s="73" customFormat="1" ht="20.25" hidden="1" customHeight="1" x14ac:dyDescent="0.3">
      <c r="A38" s="18" t="s">
        <v>42</v>
      </c>
      <c r="B38" s="68" t="s">
        <v>394</v>
      </c>
      <c r="C38" s="8"/>
      <c r="D38" s="71"/>
      <c r="E38" s="72"/>
    </row>
    <row r="39" spans="1:5" s="73" customFormat="1" ht="20.25" hidden="1" customHeight="1" x14ac:dyDescent="0.3">
      <c r="A39" s="10" t="s">
        <v>43</v>
      </c>
      <c r="B39" s="68" t="s">
        <v>390</v>
      </c>
      <c r="C39" s="8"/>
      <c r="D39" s="71"/>
      <c r="E39" s="72"/>
    </row>
    <row r="40" spans="1:5" s="73" customFormat="1" ht="21.75" hidden="1" customHeight="1" x14ac:dyDescent="0.3">
      <c r="A40" s="10" t="s">
        <v>44</v>
      </c>
      <c r="B40" s="68" t="s">
        <v>395</v>
      </c>
      <c r="C40" s="8"/>
      <c r="D40" s="71"/>
      <c r="E40" s="72"/>
    </row>
    <row r="41" spans="1:5" s="73" customFormat="1" ht="21.75" hidden="1" customHeight="1" x14ac:dyDescent="0.3">
      <c r="A41" s="10" t="s">
        <v>45</v>
      </c>
      <c r="B41" s="68" t="s">
        <v>390</v>
      </c>
      <c r="C41" s="8"/>
      <c r="D41" s="71"/>
      <c r="E41" s="72"/>
    </row>
    <row r="42" spans="1:5" s="73" customFormat="1" ht="21.75" hidden="1" customHeight="1" x14ac:dyDescent="0.3">
      <c r="A42" s="10" t="s">
        <v>46</v>
      </c>
      <c r="B42" s="68" t="s">
        <v>390</v>
      </c>
      <c r="C42" s="8"/>
      <c r="D42" s="100"/>
      <c r="E42" s="72"/>
    </row>
    <row r="43" spans="1:5" s="73" customFormat="1" ht="20.25" hidden="1" customHeight="1" x14ac:dyDescent="0.3">
      <c r="A43" s="14" t="s">
        <v>47</v>
      </c>
      <c r="B43" s="68" t="s">
        <v>395</v>
      </c>
      <c r="C43" s="8"/>
      <c r="D43" s="71"/>
      <c r="E43" s="72"/>
    </row>
    <row r="44" spans="1:5" s="73" customFormat="1" ht="20.25" hidden="1" customHeight="1" x14ac:dyDescent="0.3">
      <c r="A44" s="12" t="s">
        <v>48</v>
      </c>
      <c r="B44" s="68" t="s">
        <v>390</v>
      </c>
      <c r="C44" s="8"/>
      <c r="D44" s="71"/>
      <c r="E44" s="72"/>
    </row>
    <row r="45" spans="1:5" s="73" customFormat="1" ht="20.25" hidden="1" customHeight="1" x14ac:dyDescent="0.3">
      <c r="A45" s="14" t="s">
        <v>49</v>
      </c>
      <c r="B45" s="68" t="s">
        <v>394</v>
      </c>
      <c r="C45" s="8"/>
      <c r="D45" s="71"/>
      <c r="E45" s="72"/>
    </row>
    <row r="46" spans="1:5" s="73" customFormat="1" ht="20.25" hidden="1" customHeight="1" x14ac:dyDescent="0.3">
      <c r="A46" s="10" t="s">
        <v>50</v>
      </c>
      <c r="B46" s="68" t="s">
        <v>390</v>
      </c>
      <c r="C46" s="8"/>
      <c r="D46" s="71"/>
      <c r="E46" s="72"/>
    </row>
    <row r="47" spans="1:5" s="73" customFormat="1" ht="21.75" hidden="1" customHeight="1" x14ac:dyDescent="0.3">
      <c r="A47" s="10" t="s">
        <v>51</v>
      </c>
      <c r="B47" s="68" t="s">
        <v>390</v>
      </c>
      <c r="C47" s="8"/>
      <c r="D47" s="71"/>
      <c r="E47" s="72"/>
    </row>
    <row r="48" spans="1:5" s="73" customFormat="1" ht="19.2" customHeight="1" x14ac:dyDescent="0.3">
      <c r="A48" s="13" t="s">
        <v>52</v>
      </c>
      <c r="B48" s="68" t="s">
        <v>390</v>
      </c>
      <c r="C48" s="8">
        <v>480</v>
      </c>
      <c r="D48" s="71">
        <v>17000</v>
      </c>
      <c r="E48" s="72">
        <f>+D48*C48</f>
        <v>8160000</v>
      </c>
    </row>
    <row r="49" spans="1:5" s="73" customFormat="1" ht="21.75" hidden="1" customHeight="1" x14ac:dyDescent="0.3">
      <c r="A49" s="31" t="s">
        <v>53</v>
      </c>
      <c r="B49" s="68" t="s">
        <v>390</v>
      </c>
      <c r="C49" s="8"/>
      <c r="D49" s="71"/>
      <c r="E49" s="79"/>
    </row>
    <row r="50" spans="1:5" s="73" customFormat="1" ht="21.75" hidden="1" customHeight="1" x14ac:dyDescent="0.3">
      <c r="A50" s="18" t="s">
        <v>54</v>
      </c>
      <c r="B50" s="68" t="s">
        <v>396</v>
      </c>
      <c r="C50" s="8"/>
      <c r="D50" s="71"/>
      <c r="E50" s="72"/>
    </row>
    <row r="51" spans="1:5" s="73" customFormat="1" ht="21.75" hidden="1" customHeight="1" x14ac:dyDescent="0.3">
      <c r="A51" s="18" t="s">
        <v>55</v>
      </c>
      <c r="B51" s="68" t="s">
        <v>396</v>
      </c>
      <c r="C51" s="8"/>
      <c r="D51" s="71"/>
      <c r="E51" s="72"/>
    </row>
    <row r="52" spans="1:5" s="73" customFormat="1" ht="21.75" hidden="1" customHeight="1" x14ac:dyDescent="0.3">
      <c r="A52" s="18" t="s">
        <v>56</v>
      </c>
      <c r="B52" s="68" t="s">
        <v>390</v>
      </c>
      <c r="C52" s="8"/>
      <c r="D52" s="71"/>
      <c r="E52" s="79"/>
    </row>
    <row r="53" spans="1:5" s="73" customFormat="1" ht="20.25" hidden="1" customHeight="1" x14ac:dyDescent="0.3">
      <c r="A53" s="10" t="s">
        <v>57</v>
      </c>
      <c r="B53" s="68" t="s">
        <v>390</v>
      </c>
      <c r="C53" s="8"/>
      <c r="D53" s="71"/>
      <c r="E53" s="79"/>
    </row>
    <row r="54" spans="1:5" s="73" customFormat="1" ht="20.25" hidden="1" customHeight="1" x14ac:dyDescent="0.3">
      <c r="A54" s="12" t="s">
        <v>58</v>
      </c>
      <c r="B54" s="68" t="s">
        <v>390</v>
      </c>
      <c r="C54" s="8"/>
      <c r="D54" s="71"/>
      <c r="E54" s="72"/>
    </row>
    <row r="55" spans="1:5" s="73" customFormat="1" ht="20.25" hidden="1" customHeight="1" x14ac:dyDescent="0.3">
      <c r="A55" s="10" t="s">
        <v>59</v>
      </c>
      <c r="B55" s="68" t="s">
        <v>390</v>
      </c>
      <c r="C55" s="8"/>
      <c r="D55" s="71"/>
      <c r="E55" s="79"/>
    </row>
    <row r="56" spans="1:5" s="73" customFormat="1" ht="20.25" hidden="1" customHeight="1" x14ac:dyDescent="0.3">
      <c r="A56" s="10" t="s">
        <v>60</v>
      </c>
      <c r="B56" s="68" t="s">
        <v>390</v>
      </c>
      <c r="C56" s="8"/>
      <c r="D56" s="71"/>
      <c r="E56" s="72"/>
    </row>
    <row r="57" spans="1:5" s="73" customFormat="1" ht="20.25" hidden="1" customHeight="1" x14ac:dyDescent="0.3">
      <c r="A57" s="18" t="s">
        <v>61</v>
      </c>
      <c r="B57" s="68" t="s">
        <v>396</v>
      </c>
      <c r="C57" s="8"/>
      <c r="D57" s="71"/>
      <c r="E57" s="72"/>
    </row>
    <row r="58" spans="1:5" s="73" customFormat="1" ht="20.25" hidden="1" customHeight="1" x14ac:dyDescent="0.3">
      <c r="A58" s="10" t="s">
        <v>62</v>
      </c>
      <c r="B58" s="68" t="s">
        <v>393</v>
      </c>
      <c r="C58" s="8"/>
      <c r="D58" s="71"/>
      <c r="E58" s="79"/>
    </row>
    <row r="59" spans="1:5" s="73" customFormat="1" ht="20.25" hidden="1" customHeight="1" x14ac:dyDescent="0.3">
      <c r="A59" s="21" t="s">
        <v>63</v>
      </c>
      <c r="B59" s="68" t="s">
        <v>390</v>
      </c>
      <c r="C59" s="8"/>
      <c r="D59" s="71"/>
      <c r="E59" s="72"/>
    </row>
    <row r="60" spans="1:5" s="73" customFormat="1" ht="21.75" hidden="1" customHeight="1" x14ac:dyDescent="0.3">
      <c r="A60" s="10" t="s">
        <v>64</v>
      </c>
      <c r="B60" s="68" t="s">
        <v>390</v>
      </c>
      <c r="C60" s="8"/>
      <c r="D60" s="71"/>
      <c r="E60" s="79"/>
    </row>
    <row r="61" spans="1:5" s="73" customFormat="1" ht="21.75" hidden="1" customHeight="1" x14ac:dyDescent="0.3">
      <c r="A61" s="10" t="s">
        <v>65</v>
      </c>
      <c r="B61" s="68" t="s">
        <v>390</v>
      </c>
      <c r="C61" s="8"/>
      <c r="D61" s="71"/>
      <c r="E61" s="79"/>
    </row>
    <row r="62" spans="1:5" s="73" customFormat="1" ht="21.75" hidden="1" customHeight="1" x14ac:dyDescent="0.3">
      <c r="A62" s="22" t="s">
        <v>66</v>
      </c>
      <c r="B62" s="68" t="s">
        <v>390</v>
      </c>
      <c r="C62" s="8"/>
      <c r="D62" s="71"/>
      <c r="E62" s="79"/>
    </row>
    <row r="63" spans="1:5" s="73" customFormat="1" ht="21.75" hidden="1" customHeight="1" x14ac:dyDescent="0.3">
      <c r="A63" s="45" t="s">
        <v>67</v>
      </c>
      <c r="B63" s="68" t="s">
        <v>390</v>
      </c>
      <c r="C63" s="8"/>
      <c r="D63" s="71"/>
      <c r="E63" s="72"/>
    </row>
    <row r="64" spans="1:5" s="73" customFormat="1" ht="21.75" hidden="1" customHeight="1" x14ac:dyDescent="0.3">
      <c r="A64" s="13" t="s">
        <v>68</v>
      </c>
      <c r="B64" s="68" t="s">
        <v>396</v>
      </c>
      <c r="C64" s="8"/>
      <c r="D64" s="71"/>
      <c r="E64" s="72"/>
    </row>
    <row r="65" spans="1:5" s="73" customFormat="1" ht="20.25" hidden="1" customHeight="1" x14ac:dyDescent="0.3">
      <c r="A65" s="12" t="s">
        <v>69</v>
      </c>
      <c r="B65" s="68" t="s">
        <v>390</v>
      </c>
      <c r="C65" s="8"/>
      <c r="D65" s="71"/>
      <c r="E65" s="72"/>
    </row>
    <row r="66" spans="1:5" s="73" customFormat="1" ht="21.75" hidden="1" customHeight="1" x14ac:dyDescent="0.3">
      <c r="A66" s="13" t="s">
        <v>70</v>
      </c>
      <c r="B66" s="68" t="s">
        <v>390</v>
      </c>
      <c r="C66" s="8"/>
      <c r="D66" s="71"/>
      <c r="E66" s="72"/>
    </row>
    <row r="67" spans="1:5" s="73" customFormat="1" ht="20.25" hidden="1" customHeight="1" x14ac:dyDescent="0.3">
      <c r="A67" s="13" t="s">
        <v>71</v>
      </c>
      <c r="B67" s="68" t="s">
        <v>390</v>
      </c>
      <c r="C67" s="8"/>
      <c r="D67" s="71"/>
      <c r="E67" s="72"/>
    </row>
    <row r="68" spans="1:5" s="73" customFormat="1" ht="21.75" hidden="1" customHeight="1" x14ac:dyDescent="0.3">
      <c r="A68" s="13" t="s">
        <v>72</v>
      </c>
      <c r="B68" s="68" t="s">
        <v>396</v>
      </c>
      <c r="C68" s="8"/>
      <c r="D68" s="71"/>
      <c r="E68" s="72"/>
    </row>
    <row r="69" spans="1:5" s="73" customFormat="1" ht="20.25" hidden="1" customHeight="1" x14ac:dyDescent="0.3">
      <c r="A69" s="22" t="s">
        <v>73</v>
      </c>
      <c r="B69" s="68" t="s">
        <v>390</v>
      </c>
      <c r="C69" s="8"/>
      <c r="D69" s="71"/>
      <c r="E69" s="72"/>
    </row>
    <row r="70" spans="1:5" s="73" customFormat="1" ht="20.25" hidden="1" customHeight="1" x14ac:dyDescent="0.3">
      <c r="A70" s="10" t="s">
        <v>74</v>
      </c>
      <c r="B70" s="68" t="s">
        <v>396</v>
      </c>
      <c r="C70" s="8"/>
      <c r="D70" s="71"/>
      <c r="E70" s="72"/>
    </row>
    <row r="71" spans="1:5" s="73" customFormat="1" ht="21.75" hidden="1" customHeight="1" x14ac:dyDescent="0.3">
      <c r="A71" s="10" t="s">
        <v>75</v>
      </c>
      <c r="B71" s="68" t="s">
        <v>394</v>
      </c>
      <c r="C71" s="8"/>
      <c r="D71" s="71"/>
      <c r="E71" s="72"/>
    </row>
    <row r="72" spans="1:5" s="73" customFormat="1" ht="20.25" hidden="1" customHeight="1" x14ac:dyDescent="0.3">
      <c r="A72" s="13" t="s">
        <v>76</v>
      </c>
      <c r="B72" s="68" t="s">
        <v>390</v>
      </c>
      <c r="C72" s="8"/>
      <c r="D72" s="71"/>
      <c r="E72" s="72"/>
    </row>
    <row r="73" spans="1:5" s="73" customFormat="1" ht="19.2" customHeight="1" x14ac:dyDescent="0.3">
      <c r="A73" s="10" t="s">
        <v>77</v>
      </c>
      <c r="B73" s="68" t="s">
        <v>390</v>
      </c>
      <c r="C73" s="8">
        <v>180</v>
      </c>
      <c r="D73" s="71">
        <v>29000</v>
      </c>
      <c r="E73" s="72">
        <f>+D73*C73</f>
        <v>5220000</v>
      </c>
    </row>
    <row r="74" spans="1:5" s="73" customFormat="1" ht="21.75" hidden="1" customHeight="1" x14ac:dyDescent="0.3">
      <c r="A74" s="14" t="s">
        <v>78</v>
      </c>
      <c r="B74" s="68" t="s">
        <v>394</v>
      </c>
      <c r="C74" s="8"/>
      <c r="D74" s="71"/>
      <c r="E74" s="72"/>
    </row>
    <row r="75" spans="1:5" s="73" customFormat="1" ht="43.5" hidden="1" customHeight="1" x14ac:dyDescent="0.3">
      <c r="A75" s="10" t="s">
        <v>79</v>
      </c>
      <c r="B75" s="68" t="s">
        <v>397</v>
      </c>
      <c r="C75" s="8"/>
      <c r="D75" s="71"/>
      <c r="E75" s="72"/>
    </row>
    <row r="76" spans="1:5" s="73" customFormat="1" ht="20.25" hidden="1" customHeight="1" x14ac:dyDescent="0.3">
      <c r="A76" s="10" t="s">
        <v>80</v>
      </c>
      <c r="B76" s="68" t="s">
        <v>390</v>
      </c>
      <c r="C76" s="8"/>
      <c r="D76" s="71"/>
      <c r="E76" s="72"/>
    </row>
    <row r="77" spans="1:5" s="73" customFormat="1" ht="20.25" hidden="1" customHeight="1" x14ac:dyDescent="0.3">
      <c r="A77" s="10" t="s">
        <v>81</v>
      </c>
      <c r="B77" s="68" t="s">
        <v>390</v>
      </c>
      <c r="C77" s="8"/>
      <c r="D77" s="71"/>
      <c r="E77" s="72"/>
    </row>
    <row r="78" spans="1:5" s="73" customFormat="1" ht="21.75" hidden="1" customHeight="1" x14ac:dyDescent="0.3">
      <c r="A78" s="13" t="s">
        <v>82</v>
      </c>
      <c r="B78" s="68" t="s">
        <v>390</v>
      </c>
      <c r="C78" s="17"/>
      <c r="D78" s="71"/>
      <c r="E78" s="72"/>
    </row>
    <row r="79" spans="1:5" s="73" customFormat="1" ht="21.75" hidden="1" customHeight="1" x14ac:dyDescent="0.3">
      <c r="A79" s="13" t="s">
        <v>83</v>
      </c>
      <c r="B79" s="68" t="s">
        <v>390</v>
      </c>
      <c r="C79" s="17"/>
      <c r="D79" s="71"/>
      <c r="E79" s="72"/>
    </row>
    <row r="80" spans="1:5" s="73" customFormat="1" ht="21.75" hidden="1" customHeight="1" x14ac:dyDescent="0.3">
      <c r="A80" s="13" t="s">
        <v>84</v>
      </c>
      <c r="B80" s="68" t="s">
        <v>394</v>
      </c>
      <c r="C80" s="17"/>
      <c r="D80" s="71"/>
      <c r="E80" s="72"/>
    </row>
    <row r="81" spans="1:5" s="73" customFormat="1" ht="21.75" hidden="1" customHeight="1" x14ac:dyDescent="0.3">
      <c r="A81" s="10" t="s">
        <v>85</v>
      </c>
      <c r="B81" s="68" t="s">
        <v>390</v>
      </c>
      <c r="C81" s="8"/>
      <c r="D81" s="71"/>
      <c r="E81" s="72"/>
    </row>
    <row r="82" spans="1:5" s="73" customFormat="1" ht="20.25" hidden="1" customHeight="1" x14ac:dyDescent="0.3">
      <c r="A82" s="10" t="s">
        <v>86</v>
      </c>
      <c r="B82" s="68" t="s">
        <v>390</v>
      </c>
      <c r="C82" s="8"/>
      <c r="D82" s="71"/>
      <c r="E82" s="72"/>
    </row>
    <row r="83" spans="1:5" s="73" customFormat="1" ht="20.25" hidden="1" customHeight="1" x14ac:dyDescent="0.3">
      <c r="A83" s="10" t="s">
        <v>87</v>
      </c>
      <c r="B83" s="68" t="s">
        <v>393</v>
      </c>
      <c r="C83" s="8"/>
      <c r="D83" s="71"/>
      <c r="E83" s="72"/>
    </row>
    <row r="84" spans="1:5" s="73" customFormat="1" ht="20.25" hidden="1" customHeight="1" x14ac:dyDescent="0.3">
      <c r="A84" s="10" t="s">
        <v>88</v>
      </c>
      <c r="B84" s="68" t="s">
        <v>390</v>
      </c>
      <c r="C84" s="8"/>
      <c r="D84" s="71"/>
      <c r="E84" s="72"/>
    </row>
    <row r="85" spans="1:5" s="73" customFormat="1" ht="20.25" hidden="1" customHeight="1" x14ac:dyDescent="0.3">
      <c r="A85" s="10" t="s">
        <v>89</v>
      </c>
      <c r="B85" s="68" t="s">
        <v>393</v>
      </c>
      <c r="C85" s="8"/>
      <c r="D85" s="71"/>
      <c r="E85" s="72"/>
    </row>
    <row r="86" spans="1:5" s="73" customFormat="1" ht="19.2" customHeight="1" x14ac:dyDescent="0.3">
      <c r="A86" s="10" t="s">
        <v>90</v>
      </c>
      <c r="B86" s="68" t="s">
        <v>390</v>
      </c>
      <c r="C86" s="8">
        <v>32</v>
      </c>
      <c r="D86" s="71">
        <v>7000</v>
      </c>
      <c r="E86" s="72">
        <f>+D86*C86</f>
        <v>224000</v>
      </c>
    </row>
    <row r="87" spans="1:5" s="73" customFormat="1" ht="20.25" hidden="1" customHeight="1" x14ac:dyDescent="0.3">
      <c r="A87" s="23" t="s">
        <v>91</v>
      </c>
      <c r="B87" s="68" t="s">
        <v>398</v>
      </c>
      <c r="C87" s="8"/>
      <c r="D87" s="71"/>
      <c r="E87" s="72"/>
    </row>
    <row r="88" spans="1:5" s="73" customFormat="1" ht="21.75" hidden="1" customHeight="1" x14ac:dyDescent="0.3">
      <c r="A88" s="23" t="s">
        <v>92</v>
      </c>
      <c r="B88" s="68" t="s">
        <v>396</v>
      </c>
      <c r="C88" s="8"/>
      <c r="D88" s="71"/>
      <c r="E88" s="72"/>
    </row>
    <row r="89" spans="1:5" s="80" customFormat="1" ht="20.25" hidden="1" customHeight="1" x14ac:dyDescent="0.3">
      <c r="A89" s="23" t="s">
        <v>93</v>
      </c>
      <c r="B89" s="68" t="s">
        <v>396</v>
      </c>
      <c r="C89" s="8"/>
      <c r="D89" s="71"/>
      <c r="E89" s="72"/>
    </row>
    <row r="90" spans="1:5" s="80" customFormat="1" ht="20.25" hidden="1" customHeight="1" x14ac:dyDescent="0.3">
      <c r="A90" s="12" t="s">
        <v>94</v>
      </c>
      <c r="B90" s="68" t="s">
        <v>390</v>
      </c>
      <c r="C90" s="8"/>
      <c r="D90" s="71"/>
      <c r="E90" s="72"/>
    </row>
    <row r="91" spans="1:5" s="73" customFormat="1" ht="21.75" hidden="1" customHeight="1" x14ac:dyDescent="0.3">
      <c r="A91" s="14" t="s">
        <v>95</v>
      </c>
      <c r="B91" s="68" t="s">
        <v>394</v>
      </c>
      <c r="C91" s="8"/>
      <c r="D91" s="71"/>
      <c r="E91" s="72"/>
    </row>
    <row r="92" spans="1:5" s="73" customFormat="1" ht="21.75" hidden="1" customHeight="1" x14ac:dyDescent="0.3">
      <c r="A92" s="12" t="s">
        <v>343</v>
      </c>
      <c r="B92" s="68" t="s">
        <v>390</v>
      </c>
      <c r="C92" s="8"/>
      <c r="D92" s="71"/>
      <c r="E92" s="72"/>
    </row>
    <row r="93" spans="1:5" s="73" customFormat="1" ht="21.75" hidden="1" customHeight="1" x14ac:dyDescent="0.3">
      <c r="A93" s="10" t="s">
        <v>96</v>
      </c>
      <c r="B93" s="68" t="s">
        <v>390</v>
      </c>
      <c r="C93" s="8"/>
      <c r="D93" s="71"/>
      <c r="E93" s="72"/>
    </row>
    <row r="94" spans="1:5" s="73" customFormat="1" ht="21.75" hidden="1" customHeight="1" x14ac:dyDescent="0.3">
      <c r="A94" s="10" t="s">
        <v>97</v>
      </c>
      <c r="B94" s="68" t="s">
        <v>393</v>
      </c>
      <c r="C94" s="8"/>
      <c r="D94" s="71"/>
      <c r="E94" s="72"/>
    </row>
    <row r="95" spans="1:5" s="73" customFormat="1" ht="21.75" hidden="1" customHeight="1" x14ac:dyDescent="0.3">
      <c r="A95" s="12" t="s">
        <v>344</v>
      </c>
      <c r="B95" s="68" t="s">
        <v>390</v>
      </c>
      <c r="C95" s="8"/>
      <c r="D95" s="71"/>
      <c r="E95" s="72"/>
    </row>
    <row r="96" spans="1:5" s="73" customFormat="1" ht="21.75" hidden="1" customHeight="1" x14ac:dyDescent="0.3">
      <c r="A96" s="12" t="s">
        <v>345</v>
      </c>
      <c r="B96" s="68" t="s">
        <v>393</v>
      </c>
      <c r="C96" s="8"/>
      <c r="D96" s="71"/>
      <c r="E96" s="72"/>
    </row>
    <row r="97" spans="1:5" s="73" customFormat="1" ht="21.75" hidden="1" customHeight="1" x14ac:dyDescent="0.3">
      <c r="A97" s="10" t="s">
        <v>99</v>
      </c>
      <c r="B97" s="68" t="s">
        <v>390</v>
      </c>
      <c r="C97" s="17"/>
      <c r="D97" s="71"/>
      <c r="E97" s="72"/>
    </row>
    <row r="98" spans="1:5" s="73" customFormat="1" ht="21.75" hidden="1" customHeight="1" x14ac:dyDescent="0.3">
      <c r="A98" s="23" t="s">
        <v>101</v>
      </c>
      <c r="B98" s="68" t="s">
        <v>393</v>
      </c>
      <c r="C98" s="8"/>
      <c r="D98" s="71"/>
      <c r="E98" s="72"/>
    </row>
    <row r="99" spans="1:5" s="73" customFormat="1" ht="20.25" hidden="1" customHeight="1" x14ac:dyDescent="0.3">
      <c r="A99" s="12" t="s">
        <v>102</v>
      </c>
      <c r="B99" s="68" t="s">
        <v>390</v>
      </c>
      <c r="C99" s="8"/>
      <c r="D99" s="71"/>
      <c r="E99" s="72"/>
    </row>
    <row r="100" spans="1:5" s="73" customFormat="1" ht="20.25" hidden="1" customHeight="1" x14ac:dyDescent="0.3">
      <c r="A100" s="12" t="s">
        <v>346</v>
      </c>
      <c r="B100" s="68" t="s">
        <v>390</v>
      </c>
      <c r="C100" s="8"/>
      <c r="D100" s="71"/>
      <c r="E100" s="72"/>
    </row>
    <row r="101" spans="1:5" s="73" customFormat="1" ht="20.25" hidden="1" customHeight="1" x14ac:dyDescent="0.3">
      <c r="A101" s="10" t="s">
        <v>103</v>
      </c>
      <c r="B101" s="68" t="s">
        <v>390</v>
      </c>
      <c r="C101" s="8"/>
      <c r="D101" s="71"/>
      <c r="E101" s="72"/>
    </row>
    <row r="102" spans="1:5" s="73" customFormat="1" ht="20.25" hidden="1" customHeight="1" x14ac:dyDescent="0.3">
      <c r="A102" s="18" t="s">
        <v>104</v>
      </c>
      <c r="B102" s="68" t="s">
        <v>391</v>
      </c>
      <c r="C102" s="8"/>
      <c r="D102" s="71"/>
      <c r="E102" s="72"/>
    </row>
    <row r="103" spans="1:5" s="73" customFormat="1" ht="21.75" hidden="1" customHeight="1" x14ac:dyDescent="0.3">
      <c r="A103" s="26" t="s">
        <v>105</v>
      </c>
      <c r="B103" s="68" t="s">
        <v>390</v>
      </c>
      <c r="C103" s="8"/>
      <c r="D103" s="71"/>
      <c r="E103" s="72"/>
    </row>
    <row r="104" spans="1:5" s="73" customFormat="1" ht="20.25" hidden="1" customHeight="1" x14ac:dyDescent="0.3">
      <c r="A104" s="26" t="s">
        <v>106</v>
      </c>
      <c r="B104" s="68" t="s">
        <v>391</v>
      </c>
      <c r="C104" s="8"/>
      <c r="D104" s="71"/>
      <c r="E104" s="72"/>
    </row>
    <row r="105" spans="1:5" s="73" customFormat="1" ht="20.25" hidden="1" customHeight="1" x14ac:dyDescent="0.3">
      <c r="A105" s="25" t="s">
        <v>107</v>
      </c>
      <c r="B105" s="68" t="s">
        <v>390</v>
      </c>
      <c r="C105" s="8"/>
      <c r="D105" s="71"/>
      <c r="E105" s="72"/>
    </row>
    <row r="106" spans="1:5" s="73" customFormat="1" ht="20.25" hidden="1" customHeight="1" x14ac:dyDescent="0.3">
      <c r="A106" s="27" t="s">
        <v>108</v>
      </c>
      <c r="B106" s="68" t="s">
        <v>399</v>
      </c>
      <c r="C106" s="8"/>
      <c r="D106" s="71"/>
      <c r="E106" s="72"/>
    </row>
    <row r="107" spans="1:5" s="73" customFormat="1" ht="20.25" hidden="1" customHeight="1" x14ac:dyDescent="0.3">
      <c r="A107" s="10" t="s">
        <v>109</v>
      </c>
      <c r="B107" s="68" t="s">
        <v>390</v>
      </c>
      <c r="C107" s="8"/>
      <c r="D107" s="71"/>
      <c r="E107" s="72"/>
    </row>
    <row r="108" spans="1:5" s="73" customFormat="1" ht="20.25" hidden="1" customHeight="1" x14ac:dyDescent="0.3">
      <c r="A108" s="10" t="s">
        <v>110</v>
      </c>
      <c r="B108" s="68" t="s">
        <v>390</v>
      </c>
      <c r="C108" s="8"/>
      <c r="D108" s="71"/>
      <c r="E108" s="72"/>
    </row>
    <row r="109" spans="1:5" s="73" customFormat="1" ht="21.75" hidden="1" customHeight="1" x14ac:dyDescent="0.3">
      <c r="A109" s="10" t="s">
        <v>111</v>
      </c>
      <c r="B109" s="68" t="s">
        <v>390</v>
      </c>
      <c r="C109" s="8"/>
      <c r="D109" s="71"/>
      <c r="E109" s="72"/>
    </row>
    <row r="110" spans="1:5" s="73" customFormat="1" ht="21.75" hidden="1" customHeight="1" x14ac:dyDescent="0.3">
      <c r="A110" s="10" t="s">
        <v>112</v>
      </c>
      <c r="B110" s="68" t="s">
        <v>395</v>
      </c>
      <c r="C110" s="8"/>
      <c r="D110" s="71"/>
      <c r="E110" s="72"/>
    </row>
    <row r="111" spans="1:5" s="73" customFormat="1" ht="21.75" hidden="1" customHeight="1" x14ac:dyDescent="0.3">
      <c r="A111" s="10" t="s">
        <v>114</v>
      </c>
      <c r="B111" s="68" t="s">
        <v>390</v>
      </c>
      <c r="C111" s="8"/>
      <c r="D111" s="71"/>
      <c r="E111" s="72"/>
    </row>
    <row r="112" spans="1:5" s="73" customFormat="1" ht="21.75" hidden="1" customHeight="1" x14ac:dyDescent="0.3">
      <c r="A112" s="10" t="s">
        <v>115</v>
      </c>
      <c r="B112" s="68" t="s">
        <v>394</v>
      </c>
      <c r="C112" s="8"/>
      <c r="D112" s="71"/>
      <c r="E112" s="72"/>
    </row>
    <row r="113" spans="1:5" s="73" customFormat="1" ht="21.75" hidden="1" customHeight="1" x14ac:dyDescent="0.3">
      <c r="A113" s="10" t="s">
        <v>347</v>
      </c>
      <c r="B113" s="68" t="s">
        <v>390</v>
      </c>
      <c r="C113" s="8"/>
      <c r="D113" s="71"/>
      <c r="E113" s="72"/>
    </row>
    <row r="114" spans="1:5" s="73" customFormat="1" ht="21.75" hidden="1" customHeight="1" x14ac:dyDescent="0.3">
      <c r="A114" s="10" t="s">
        <v>116</v>
      </c>
      <c r="B114" s="68" t="s">
        <v>390</v>
      </c>
      <c r="C114" s="8"/>
      <c r="D114" s="71"/>
      <c r="E114" s="72"/>
    </row>
    <row r="115" spans="1:5" s="73" customFormat="1" ht="21.75" hidden="1" customHeight="1" x14ac:dyDescent="0.3">
      <c r="A115" s="12" t="s">
        <v>117</v>
      </c>
      <c r="B115" s="68" t="s">
        <v>390</v>
      </c>
      <c r="C115" s="8"/>
      <c r="D115" s="71"/>
      <c r="E115" s="72"/>
    </row>
    <row r="116" spans="1:5" s="73" customFormat="1" ht="21.75" hidden="1" customHeight="1" x14ac:dyDescent="0.3">
      <c r="A116" s="23" t="s">
        <v>118</v>
      </c>
      <c r="B116" s="68" t="s">
        <v>392</v>
      </c>
      <c r="C116" s="8"/>
      <c r="D116" s="71"/>
      <c r="E116" s="72"/>
    </row>
    <row r="117" spans="1:5" s="73" customFormat="1" ht="21.75" hidden="1" customHeight="1" x14ac:dyDescent="0.3">
      <c r="A117" s="10" t="s">
        <v>119</v>
      </c>
      <c r="B117" s="68" t="s">
        <v>400</v>
      </c>
      <c r="C117" s="8"/>
      <c r="D117" s="71"/>
      <c r="E117" s="72"/>
    </row>
    <row r="118" spans="1:5" s="73" customFormat="1" ht="21.75" hidden="1" customHeight="1" x14ac:dyDescent="0.3">
      <c r="A118" s="12" t="s">
        <v>120</v>
      </c>
      <c r="B118" s="68" t="s">
        <v>400</v>
      </c>
      <c r="C118" s="8"/>
      <c r="D118" s="71"/>
      <c r="E118" s="72"/>
    </row>
    <row r="119" spans="1:5" s="73" customFormat="1" ht="21.75" hidden="1" customHeight="1" x14ac:dyDescent="0.3">
      <c r="A119" s="12" t="s">
        <v>121</v>
      </c>
      <c r="B119" s="68" t="s">
        <v>400</v>
      </c>
      <c r="C119" s="8"/>
      <c r="D119" s="71"/>
      <c r="E119" s="72"/>
    </row>
    <row r="120" spans="1:5" s="73" customFormat="1" ht="19.2" customHeight="1" x14ac:dyDescent="0.3">
      <c r="A120" s="10" t="s">
        <v>122</v>
      </c>
      <c r="B120" s="68" t="s">
        <v>390</v>
      </c>
      <c r="C120" s="8">
        <v>5</v>
      </c>
      <c r="D120" s="71">
        <v>10000</v>
      </c>
      <c r="E120" s="72">
        <f>+D120*C120</f>
        <v>50000</v>
      </c>
    </row>
    <row r="121" spans="1:5" s="73" customFormat="1" ht="20.25" hidden="1" customHeight="1" x14ac:dyDescent="0.3">
      <c r="A121" s="11" t="s">
        <v>124</v>
      </c>
      <c r="B121" s="68" t="s">
        <v>390</v>
      </c>
      <c r="C121" s="8"/>
      <c r="D121" s="71"/>
      <c r="E121" s="72"/>
    </row>
    <row r="122" spans="1:5" s="73" customFormat="1" ht="21.75" hidden="1" customHeight="1" x14ac:dyDescent="0.3">
      <c r="A122" s="14" t="s">
        <v>125</v>
      </c>
      <c r="B122" s="68" t="s">
        <v>396</v>
      </c>
      <c r="C122" s="8"/>
      <c r="D122" s="71"/>
      <c r="E122" s="72"/>
    </row>
    <row r="123" spans="1:5" s="73" customFormat="1" ht="21.75" hidden="1" customHeight="1" x14ac:dyDescent="0.3">
      <c r="A123" s="13" t="s">
        <v>126</v>
      </c>
      <c r="B123" s="68" t="s">
        <v>396</v>
      </c>
      <c r="C123" s="17"/>
      <c r="D123" s="71"/>
      <c r="E123" s="72"/>
    </row>
    <row r="124" spans="1:5" s="73" customFormat="1" ht="20.25" hidden="1" customHeight="1" x14ac:dyDescent="0.3">
      <c r="A124" s="13" t="s">
        <v>127</v>
      </c>
      <c r="B124" s="68" t="s">
        <v>390</v>
      </c>
      <c r="C124" s="17"/>
      <c r="D124" s="71"/>
      <c r="E124" s="72"/>
    </row>
    <row r="125" spans="1:5" s="73" customFormat="1" ht="21.75" hidden="1" customHeight="1" x14ac:dyDescent="0.3">
      <c r="A125" s="13" t="s">
        <v>128</v>
      </c>
      <c r="B125" s="68" t="s">
        <v>390</v>
      </c>
      <c r="C125" s="17"/>
      <c r="D125" s="71"/>
      <c r="E125" s="72"/>
    </row>
    <row r="126" spans="1:5" s="73" customFormat="1" ht="21.75" hidden="1" customHeight="1" x14ac:dyDescent="0.3">
      <c r="A126" s="13" t="s">
        <v>129</v>
      </c>
      <c r="B126" s="68" t="s">
        <v>390</v>
      </c>
      <c r="C126" s="29"/>
      <c r="D126" s="71"/>
      <c r="E126" s="72"/>
    </row>
    <row r="127" spans="1:5" s="73" customFormat="1" ht="20.25" hidden="1" customHeight="1" x14ac:dyDescent="0.3">
      <c r="A127" s="30" t="s">
        <v>130</v>
      </c>
      <c r="B127" s="68" t="s">
        <v>394</v>
      </c>
      <c r="C127" s="8"/>
      <c r="D127" s="71"/>
      <c r="E127" s="72"/>
    </row>
    <row r="128" spans="1:5" s="73" customFormat="1" ht="21.75" hidden="1" customHeight="1" x14ac:dyDescent="0.3">
      <c r="A128" s="13" t="s">
        <v>131</v>
      </c>
      <c r="B128" s="68" t="s">
        <v>390</v>
      </c>
      <c r="C128" s="17"/>
      <c r="D128" s="71"/>
      <c r="E128" s="72"/>
    </row>
    <row r="129" spans="1:5" s="73" customFormat="1" ht="21.75" hidden="1" customHeight="1" x14ac:dyDescent="0.3">
      <c r="A129" s="10" t="s">
        <v>132</v>
      </c>
      <c r="B129" s="68" t="s">
        <v>390</v>
      </c>
      <c r="C129" s="8"/>
      <c r="D129" s="71"/>
      <c r="E129" s="72"/>
    </row>
    <row r="130" spans="1:5" s="73" customFormat="1" ht="20.25" hidden="1" customHeight="1" x14ac:dyDescent="0.3">
      <c r="A130" s="10" t="s">
        <v>133</v>
      </c>
      <c r="B130" s="68" t="s">
        <v>398</v>
      </c>
      <c r="C130" s="8"/>
      <c r="D130" s="71"/>
      <c r="E130" s="72"/>
    </row>
    <row r="131" spans="1:5" s="73" customFormat="1" ht="19.2" customHeight="1" x14ac:dyDescent="0.3">
      <c r="A131" s="10" t="s">
        <v>135</v>
      </c>
      <c r="B131" s="68" t="s">
        <v>390</v>
      </c>
      <c r="C131" s="8">
        <v>154</v>
      </c>
      <c r="D131" s="71">
        <v>5500</v>
      </c>
      <c r="E131" s="72">
        <f>+D131*C131</f>
        <v>847000</v>
      </c>
    </row>
    <row r="132" spans="1:5" s="73" customFormat="1" ht="21.75" hidden="1" customHeight="1" x14ac:dyDescent="0.3">
      <c r="A132" s="18" t="s">
        <v>136</v>
      </c>
      <c r="B132" s="68" t="s">
        <v>393</v>
      </c>
      <c r="C132" s="8"/>
      <c r="D132" s="71"/>
      <c r="E132" s="72"/>
    </row>
    <row r="133" spans="1:5" s="73" customFormat="1" ht="20.25" hidden="1" customHeight="1" x14ac:dyDescent="0.3">
      <c r="A133" s="13" t="s">
        <v>137</v>
      </c>
      <c r="B133" s="68" t="s">
        <v>390</v>
      </c>
      <c r="C133" s="8"/>
      <c r="D133" s="71"/>
      <c r="E133" s="72"/>
    </row>
    <row r="134" spans="1:5" s="73" customFormat="1" ht="20.25" hidden="1" customHeight="1" x14ac:dyDescent="0.3">
      <c r="A134" s="13" t="s">
        <v>138</v>
      </c>
      <c r="B134" s="68" t="s">
        <v>393</v>
      </c>
      <c r="C134" s="8"/>
      <c r="D134" s="71"/>
      <c r="E134" s="72"/>
    </row>
    <row r="135" spans="1:5" s="73" customFormat="1" ht="21.75" hidden="1" customHeight="1" x14ac:dyDescent="0.3">
      <c r="A135" s="10" t="s">
        <v>139</v>
      </c>
      <c r="B135" s="68" t="s">
        <v>390</v>
      </c>
      <c r="C135" s="8"/>
      <c r="D135" s="71"/>
      <c r="E135" s="72"/>
    </row>
    <row r="136" spans="1:5" s="73" customFormat="1" ht="20.25" hidden="1" customHeight="1" x14ac:dyDescent="0.3">
      <c r="A136" s="10" t="s">
        <v>348</v>
      </c>
      <c r="B136" s="68" t="s">
        <v>390</v>
      </c>
      <c r="C136" s="8"/>
      <c r="D136" s="71"/>
      <c r="E136" s="72"/>
    </row>
    <row r="137" spans="1:5" s="73" customFormat="1" ht="20.25" hidden="1" customHeight="1" x14ac:dyDescent="0.3">
      <c r="A137" s="10" t="s">
        <v>141</v>
      </c>
      <c r="B137" s="68" t="s">
        <v>390</v>
      </c>
      <c r="C137" s="17"/>
      <c r="D137" s="71"/>
      <c r="E137" s="72"/>
    </row>
    <row r="138" spans="1:5" s="73" customFormat="1" ht="21.75" hidden="1" customHeight="1" x14ac:dyDescent="0.3">
      <c r="A138" s="10" t="s">
        <v>142</v>
      </c>
      <c r="B138" s="68" t="s">
        <v>394</v>
      </c>
      <c r="C138" s="17"/>
      <c r="D138" s="71"/>
      <c r="E138" s="72"/>
    </row>
    <row r="139" spans="1:5" s="73" customFormat="1" ht="21.75" hidden="1" customHeight="1" x14ac:dyDescent="0.3">
      <c r="A139" s="10" t="s">
        <v>143</v>
      </c>
      <c r="B139" s="68"/>
      <c r="C139" s="8"/>
      <c r="D139" s="71"/>
      <c r="E139" s="72"/>
    </row>
    <row r="140" spans="1:5" s="73" customFormat="1" ht="20.25" hidden="1" customHeight="1" x14ac:dyDescent="0.3">
      <c r="A140" s="10" t="s">
        <v>144</v>
      </c>
      <c r="B140" s="68" t="s">
        <v>390</v>
      </c>
      <c r="C140" s="17"/>
      <c r="D140" s="71"/>
      <c r="E140" s="72"/>
    </row>
    <row r="141" spans="1:5" s="73" customFormat="1" ht="20.25" hidden="1" customHeight="1" x14ac:dyDescent="0.3">
      <c r="A141" s="10" t="s">
        <v>145</v>
      </c>
      <c r="B141" s="68" t="s">
        <v>394</v>
      </c>
      <c r="C141" s="17"/>
      <c r="D141" s="71"/>
      <c r="E141" s="72"/>
    </row>
    <row r="142" spans="1:5" s="73" customFormat="1" ht="20.25" hidden="1" customHeight="1" x14ac:dyDescent="0.3">
      <c r="A142" s="10" t="s">
        <v>146</v>
      </c>
      <c r="B142" s="68" t="s">
        <v>390</v>
      </c>
      <c r="C142" s="17"/>
      <c r="D142" s="71"/>
      <c r="E142" s="72"/>
    </row>
    <row r="143" spans="1:5" s="73" customFormat="1" ht="20.25" hidden="1" customHeight="1" x14ac:dyDescent="0.3">
      <c r="A143" s="10" t="s">
        <v>147</v>
      </c>
      <c r="B143" s="68" t="s">
        <v>394</v>
      </c>
      <c r="C143" s="17"/>
      <c r="D143" s="71"/>
      <c r="E143" s="72"/>
    </row>
    <row r="144" spans="1:5" s="73" customFormat="1" ht="41.4" hidden="1" customHeight="1" x14ac:dyDescent="0.3">
      <c r="A144" s="10" t="s">
        <v>148</v>
      </c>
      <c r="B144" s="68" t="s">
        <v>390</v>
      </c>
      <c r="C144" s="17"/>
      <c r="D144" s="71"/>
      <c r="E144" s="72"/>
    </row>
    <row r="145" spans="1:5" s="73" customFormat="1" ht="41.4" hidden="1" customHeight="1" x14ac:dyDescent="0.3">
      <c r="A145" s="10" t="s">
        <v>149</v>
      </c>
      <c r="B145" s="68" t="s">
        <v>390</v>
      </c>
      <c r="C145" s="17"/>
      <c r="D145" s="71"/>
      <c r="E145" s="72"/>
    </row>
    <row r="146" spans="1:5" s="73" customFormat="1" ht="21.75" hidden="1" customHeight="1" x14ac:dyDescent="0.3">
      <c r="A146" s="10" t="s">
        <v>150</v>
      </c>
      <c r="B146" s="68" t="s">
        <v>390</v>
      </c>
      <c r="C146" s="17"/>
      <c r="D146" s="71"/>
      <c r="E146" s="72"/>
    </row>
    <row r="147" spans="1:5" s="73" customFormat="1" ht="21.75" hidden="1" customHeight="1" x14ac:dyDescent="0.3">
      <c r="A147" s="10" t="s">
        <v>151</v>
      </c>
      <c r="B147" s="68" t="s">
        <v>394</v>
      </c>
      <c r="C147" s="17"/>
      <c r="D147" s="71"/>
      <c r="E147" s="72"/>
    </row>
    <row r="148" spans="1:5" s="73" customFormat="1" ht="21.75" hidden="1" customHeight="1" x14ac:dyDescent="0.3">
      <c r="A148" s="10" t="s">
        <v>152</v>
      </c>
      <c r="B148" s="68" t="s">
        <v>390</v>
      </c>
      <c r="C148" s="8"/>
      <c r="D148" s="71"/>
      <c r="E148" s="72"/>
    </row>
    <row r="149" spans="1:5" s="73" customFormat="1" ht="21.75" hidden="1" customHeight="1" x14ac:dyDescent="0.3">
      <c r="A149" s="10" t="s">
        <v>349</v>
      </c>
      <c r="B149" s="68" t="s">
        <v>390</v>
      </c>
      <c r="C149" s="8"/>
      <c r="D149" s="71"/>
      <c r="E149" s="72"/>
    </row>
    <row r="150" spans="1:5" s="73" customFormat="1" ht="20.25" hidden="1" customHeight="1" x14ac:dyDescent="0.3">
      <c r="A150" s="10" t="s">
        <v>153</v>
      </c>
      <c r="B150" s="68" t="s">
        <v>390</v>
      </c>
      <c r="C150" s="8"/>
      <c r="D150" s="71"/>
      <c r="E150" s="72"/>
    </row>
    <row r="151" spans="1:5" s="73" customFormat="1" ht="19.2" customHeight="1" x14ac:dyDescent="0.3">
      <c r="A151" s="10" t="s">
        <v>154</v>
      </c>
      <c r="B151" s="68" t="s">
        <v>393</v>
      </c>
      <c r="C151" s="8">
        <v>8</v>
      </c>
      <c r="D151" s="71">
        <v>10000</v>
      </c>
      <c r="E151" s="72">
        <f>+D151*C151</f>
        <v>80000</v>
      </c>
    </row>
    <row r="152" spans="1:5" s="73" customFormat="1" ht="21.75" hidden="1" customHeight="1" x14ac:dyDescent="0.3">
      <c r="A152" s="10" t="s">
        <v>155</v>
      </c>
      <c r="B152" s="68" t="s">
        <v>393</v>
      </c>
      <c r="C152" s="8"/>
      <c r="D152" s="71"/>
      <c r="E152" s="72"/>
    </row>
    <row r="153" spans="1:5" s="73" customFormat="1" ht="20.25" hidden="1" customHeight="1" x14ac:dyDescent="0.3">
      <c r="A153" s="18" t="s">
        <v>156</v>
      </c>
      <c r="B153" s="68" t="s">
        <v>393</v>
      </c>
      <c r="C153" s="8"/>
      <c r="D153" s="71"/>
      <c r="E153" s="72"/>
    </row>
    <row r="154" spans="1:5" s="73" customFormat="1" ht="21.75" hidden="1" customHeight="1" x14ac:dyDescent="0.3">
      <c r="A154" s="10" t="s">
        <v>157</v>
      </c>
      <c r="B154" s="68" t="s">
        <v>390</v>
      </c>
      <c r="C154" s="8"/>
      <c r="D154" s="71"/>
      <c r="E154" s="72"/>
    </row>
    <row r="155" spans="1:5" s="73" customFormat="1" ht="21.75" hidden="1" customHeight="1" x14ac:dyDescent="0.3">
      <c r="A155" s="10" t="s">
        <v>158</v>
      </c>
      <c r="B155" s="68" t="s">
        <v>390</v>
      </c>
      <c r="C155" s="8"/>
      <c r="D155" s="71"/>
      <c r="E155" s="72"/>
    </row>
    <row r="156" spans="1:5" s="73" customFormat="1" ht="19.2" customHeight="1" x14ac:dyDescent="0.3">
      <c r="A156" s="10" t="s">
        <v>159</v>
      </c>
      <c r="B156" s="68" t="s">
        <v>393</v>
      </c>
      <c r="C156" s="8">
        <v>4</v>
      </c>
      <c r="D156" s="71">
        <v>11000</v>
      </c>
      <c r="E156" s="72">
        <f>+D156*C156</f>
        <v>44000</v>
      </c>
    </row>
    <row r="157" spans="1:5" s="73" customFormat="1" ht="57" hidden="1" customHeight="1" x14ac:dyDescent="0.3">
      <c r="A157" s="10" t="s">
        <v>160</v>
      </c>
      <c r="B157" s="68" t="s">
        <v>393</v>
      </c>
      <c r="C157" s="8"/>
      <c r="D157" s="71"/>
      <c r="E157" s="72"/>
    </row>
    <row r="158" spans="1:5" s="73" customFormat="1" ht="21.75" hidden="1" customHeight="1" x14ac:dyDescent="0.3">
      <c r="A158" s="10" t="s">
        <v>161</v>
      </c>
      <c r="B158" s="68" t="s">
        <v>393</v>
      </c>
      <c r="C158" s="17"/>
      <c r="D158" s="71"/>
      <c r="E158" s="72"/>
    </row>
    <row r="159" spans="1:5" s="73" customFormat="1" ht="21.75" hidden="1" customHeight="1" x14ac:dyDescent="0.3">
      <c r="A159" s="31" t="s">
        <v>162</v>
      </c>
      <c r="B159" s="68" t="s">
        <v>390</v>
      </c>
      <c r="C159" s="17"/>
      <c r="D159" s="71"/>
      <c r="E159" s="72"/>
    </row>
    <row r="160" spans="1:5" s="73" customFormat="1" ht="20.25" hidden="1" customHeight="1" x14ac:dyDescent="0.3">
      <c r="A160" s="10" t="s">
        <v>163</v>
      </c>
      <c r="B160" s="68" t="s">
        <v>394</v>
      </c>
      <c r="C160" s="17"/>
      <c r="D160" s="71"/>
      <c r="E160" s="72"/>
    </row>
    <row r="161" spans="1:5" s="73" customFormat="1" ht="21.75" hidden="1" customHeight="1" x14ac:dyDescent="0.3">
      <c r="A161" s="10" t="s">
        <v>165</v>
      </c>
      <c r="B161" s="68" t="s">
        <v>390</v>
      </c>
      <c r="C161" s="8"/>
      <c r="D161" s="71"/>
      <c r="E161" s="72"/>
    </row>
    <row r="162" spans="1:5" s="73" customFormat="1" ht="21.75" hidden="1" customHeight="1" x14ac:dyDescent="0.3">
      <c r="A162" s="18" t="s">
        <v>166</v>
      </c>
      <c r="B162" s="68" t="s">
        <v>394</v>
      </c>
      <c r="C162" s="8"/>
      <c r="D162" s="71"/>
      <c r="E162" s="72"/>
    </row>
    <row r="163" spans="1:5" s="73" customFormat="1" ht="19.2" customHeight="1" x14ac:dyDescent="0.3">
      <c r="A163" s="10" t="s">
        <v>350</v>
      </c>
      <c r="B163" s="68" t="s">
        <v>394</v>
      </c>
      <c r="C163" s="8">
        <v>120</v>
      </c>
      <c r="D163" s="71">
        <v>7000</v>
      </c>
      <c r="E163" s="72">
        <f>+D163*C163</f>
        <v>840000</v>
      </c>
    </row>
    <row r="164" spans="1:5" s="73" customFormat="1" ht="20.25" hidden="1" customHeight="1" x14ac:dyDescent="0.3">
      <c r="A164" s="13" t="s">
        <v>167</v>
      </c>
      <c r="B164" s="68" t="s">
        <v>390</v>
      </c>
      <c r="C164" s="8"/>
      <c r="D164" s="71"/>
      <c r="E164" s="72"/>
    </row>
    <row r="165" spans="1:5" s="81" customFormat="1" ht="20.25" hidden="1" customHeight="1" x14ac:dyDescent="0.3">
      <c r="A165" s="10" t="s">
        <v>168</v>
      </c>
      <c r="B165" s="68" t="s">
        <v>394</v>
      </c>
      <c r="C165" s="8"/>
      <c r="D165" s="101"/>
      <c r="E165" s="72"/>
    </row>
    <row r="166" spans="1:5" s="73" customFormat="1" ht="21.75" hidden="1" customHeight="1" x14ac:dyDescent="0.3">
      <c r="A166" s="10" t="s">
        <v>170</v>
      </c>
      <c r="B166" s="68" t="s">
        <v>390</v>
      </c>
      <c r="C166" s="8"/>
      <c r="D166" s="77"/>
      <c r="E166" s="72"/>
    </row>
    <row r="167" spans="1:5" s="73" customFormat="1" ht="20.25" hidden="1" customHeight="1" x14ac:dyDescent="0.3">
      <c r="A167" s="10" t="s">
        <v>171</v>
      </c>
      <c r="B167" s="68" t="s">
        <v>390</v>
      </c>
      <c r="C167" s="8"/>
      <c r="D167" s="71"/>
      <c r="E167" s="72"/>
    </row>
    <row r="168" spans="1:5" s="73" customFormat="1" ht="20.25" hidden="1" customHeight="1" x14ac:dyDescent="0.3">
      <c r="A168" s="22" t="s">
        <v>172</v>
      </c>
      <c r="B168" s="68" t="s">
        <v>390</v>
      </c>
      <c r="C168" s="8"/>
      <c r="D168" s="71"/>
      <c r="E168" s="72"/>
    </row>
    <row r="169" spans="1:5" s="73" customFormat="1" ht="20.25" hidden="1" customHeight="1" x14ac:dyDescent="0.3">
      <c r="A169" s="10" t="s">
        <v>173</v>
      </c>
      <c r="B169" s="68" t="s">
        <v>393</v>
      </c>
      <c r="C169" s="8"/>
      <c r="D169" s="71"/>
      <c r="E169" s="72"/>
    </row>
    <row r="170" spans="1:5" s="73" customFormat="1" ht="21.75" hidden="1" customHeight="1" x14ac:dyDescent="0.3">
      <c r="A170" s="34" t="s">
        <v>174</v>
      </c>
      <c r="B170" s="82" t="s">
        <v>390</v>
      </c>
      <c r="C170" s="36"/>
      <c r="D170" s="83"/>
      <c r="E170" s="84"/>
    </row>
    <row r="171" spans="1:5" s="73" customFormat="1" ht="21.75" hidden="1" customHeight="1" x14ac:dyDescent="0.3">
      <c r="A171" s="12" t="s">
        <v>175</v>
      </c>
      <c r="B171" s="68" t="s">
        <v>390</v>
      </c>
      <c r="C171" s="8"/>
      <c r="D171" s="71"/>
      <c r="E171" s="72"/>
    </row>
    <row r="172" spans="1:5" s="73" customFormat="1" ht="21.75" hidden="1" customHeight="1" x14ac:dyDescent="0.3">
      <c r="A172" s="10" t="s">
        <v>176</v>
      </c>
      <c r="B172" s="68" t="s">
        <v>390</v>
      </c>
      <c r="C172" s="8"/>
      <c r="D172" s="71"/>
      <c r="E172" s="72"/>
    </row>
    <row r="173" spans="1:5" s="73" customFormat="1" ht="21.75" hidden="1" customHeight="1" x14ac:dyDescent="0.3">
      <c r="A173" s="10" t="s">
        <v>177</v>
      </c>
      <c r="B173" s="68" t="s">
        <v>390</v>
      </c>
      <c r="C173" s="8"/>
      <c r="D173" s="71"/>
      <c r="E173" s="72"/>
    </row>
    <row r="174" spans="1:5" s="73" customFormat="1" ht="20.25" hidden="1" customHeight="1" x14ac:dyDescent="0.3">
      <c r="A174" s="13" t="s">
        <v>178</v>
      </c>
      <c r="B174" s="68" t="s">
        <v>390</v>
      </c>
      <c r="C174" s="8"/>
      <c r="D174" s="71"/>
      <c r="E174" s="72"/>
    </row>
    <row r="175" spans="1:5" s="73" customFormat="1" ht="21.75" hidden="1" customHeight="1" x14ac:dyDescent="0.3">
      <c r="A175" s="10" t="s">
        <v>179</v>
      </c>
      <c r="B175" s="68" t="s">
        <v>390</v>
      </c>
      <c r="C175" s="8"/>
      <c r="D175" s="71"/>
      <c r="E175" s="72"/>
    </row>
    <row r="176" spans="1:5" s="73" customFormat="1" ht="20.25" hidden="1" customHeight="1" x14ac:dyDescent="0.3">
      <c r="A176" s="10" t="s">
        <v>180</v>
      </c>
      <c r="B176" s="68" t="s">
        <v>390</v>
      </c>
      <c r="C176" s="8"/>
      <c r="D176" s="71"/>
      <c r="E176" s="72"/>
    </row>
    <row r="177" spans="1:5" s="73" customFormat="1" ht="21.75" hidden="1" customHeight="1" x14ac:dyDescent="0.3">
      <c r="A177" s="13" t="s">
        <v>181</v>
      </c>
      <c r="B177" s="68" t="s">
        <v>390</v>
      </c>
      <c r="C177" s="8"/>
      <c r="D177" s="71"/>
      <c r="E177" s="72"/>
    </row>
    <row r="178" spans="1:5" s="73" customFormat="1" ht="21.75" hidden="1" customHeight="1" x14ac:dyDescent="0.3">
      <c r="A178" s="13" t="s">
        <v>182</v>
      </c>
      <c r="B178" s="68" t="s">
        <v>390</v>
      </c>
      <c r="C178" s="8"/>
      <c r="D178" s="71"/>
      <c r="E178" s="72"/>
    </row>
    <row r="179" spans="1:5" s="73" customFormat="1" ht="19.2" customHeight="1" x14ac:dyDescent="0.3">
      <c r="A179" s="13" t="s">
        <v>183</v>
      </c>
      <c r="B179" s="68" t="s">
        <v>390</v>
      </c>
      <c r="C179" s="8">
        <v>2450</v>
      </c>
      <c r="D179" s="71">
        <f>VLOOKUP(A179,'12.6'!A175:C728,3,)</f>
        <v>7700</v>
      </c>
      <c r="E179" s="72">
        <f>+D179*C179</f>
        <v>18865000</v>
      </c>
    </row>
    <row r="180" spans="1:5" s="73" customFormat="1" ht="20.25" hidden="1" customHeight="1" x14ac:dyDescent="0.3">
      <c r="A180" s="10" t="s">
        <v>184</v>
      </c>
      <c r="B180" s="68" t="s">
        <v>393</v>
      </c>
      <c r="C180" s="8"/>
      <c r="D180" s="71"/>
      <c r="E180" s="72"/>
    </row>
    <row r="181" spans="1:5" s="73" customFormat="1" ht="21.75" hidden="1" customHeight="1" x14ac:dyDescent="0.3">
      <c r="A181" s="13" t="s">
        <v>185</v>
      </c>
      <c r="B181" s="68" t="s">
        <v>390</v>
      </c>
      <c r="C181" s="8"/>
      <c r="D181" s="71"/>
      <c r="E181" s="72"/>
    </row>
    <row r="182" spans="1:5" s="73" customFormat="1" ht="21.75" hidden="1" customHeight="1" x14ac:dyDescent="0.3">
      <c r="A182" s="13" t="s">
        <v>186</v>
      </c>
      <c r="B182" s="68" t="s">
        <v>390</v>
      </c>
      <c r="C182" s="8"/>
      <c r="D182" s="71"/>
      <c r="E182" s="72"/>
    </row>
    <row r="183" spans="1:5" s="73" customFormat="1" ht="20.25" hidden="1" customHeight="1" x14ac:dyDescent="0.3">
      <c r="A183" s="13" t="s">
        <v>187</v>
      </c>
      <c r="B183" s="68" t="s">
        <v>393</v>
      </c>
      <c r="C183" s="8"/>
      <c r="D183" s="71"/>
      <c r="E183" s="72"/>
    </row>
    <row r="184" spans="1:5" s="73" customFormat="1" ht="20.25" hidden="1" customHeight="1" x14ac:dyDescent="0.3">
      <c r="A184" s="10" t="s">
        <v>188</v>
      </c>
      <c r="B184" s="68" t="s">
        <v>393</v>
      </c>
      <c r="C184" s="8"/>
      <c r="D184" s="71"/>
      <c r="E184" s="72"/>
    </row>
    <row r="185" spans="1:5" s="73" customFormat="1" ht="20.25" hidden="1" customHeight="1" x14ac:dyDescent="0.3">
      <c r="A185" s="18" t="s">
        <v>189</v>
      </c>
      <c r="B185" s="68" t="s">
        <v>390</v>
      </c>
      <c r="C185" s="8"/>
      <c r="D185" s="71"/>
      <c r="E185" s="72"/>
    </row>
    <row r="186" spans="1:5" s="73" customFormat="1" ht="20.25" hidden="1" customHeight="1" x14ac:dyDescent="0.3">
      <c r="A186" s="18" t="s">
        <v>190</v>
      </c>
      <c r="B186" s="68" t="s">
        <v>390</v>
      </c>
      <c r="C186" s="8"/>
      <c r="D186" s="71"/>
      <c r="E186" s="72"/>
    </row>
    <row r="187" spans="1:5" s="73" customFormat="1" ht="20.25" hidden="1" customHeight="1" x14ac:dyDescent="0.3">
      <c r="A187" s="18" t="s">
        <v>191</v>
      </c>
      <c r="B187" s="68" t="s">
        <v>390</v>
      </c>
      <c r="C187" s="8"/>
      <c r="D187" s="71"/>
      <c r="E187" s="72"/>
    </row>
    <row r="188" spans="1:5" s="73" customFormat="1" ht="20.25" hidden="1" customHeight="1" x14ac:dyDescent="0.3">
      <c r="A188" s="18" t="s">
        <v>192</v>
      </c>
      <c r="B188" s="68" t="s">
        <v>393</v>
      </c>
      <c r="C188" s="8"/>
      <c r="D188" s="71"/>
      <c r="E188" s="72"/>
    </row>
    <row r="189" spans="1:5" s="73" customFormat="1" ht="21.75" hidden="1" customHeight="1" x14ac:dyDescent="0.3">
      <c r="A189" s="13" t="s">
        <v>193</v>
      </c>
      <c r="B189" s="68" t="s">
        <v>390</v>
      </c>
      <c r="C189" s="8"/>
      <c r="D189" s="71"/>
      <c r="E189" s="72"/>
    </row>
    <row r="190" spans="1:5" s="73" customFormat="1" ht="21.75" hidden="1" customHeight="1" x14ac:dyDescent="0.3">
      <c r="A190" s="10" t="s">
        <v>194</v>
      </c>
      <c r="B190" s="68" t="s">
        <v>393</v>
      </c>
      <c r="C190" s="8"/>
      <c r="D190" s="71"/>
      <c r="E190" s="72"/>
    </row>
    <row r="191" spans="1:5" s="73" customFormat="1" ht="21.75" hidden="1" customHeight="1" x14ac:dyDescent="0.3">
      <c r="A191" s="37" t="s">
        <v>195</v>
      </c>
      <c r="B191" s="68" t="s">
        <v>393</v>
      </c>
      <c r="C191" s="8"/>
      <c r="D191" s="71"/>
      <c r="E191" s="72"/>
    </row>
    <row r="192" spans="1:5" s="73" customFormat="1" ht="20.25" hidden="1" customHeight="1" x14ac:dyDescent="0.3">
      <c r="A192" s="37" t="s">
        <v>196</v>
      </c>
      <c r="B192" s="68" t="s">
        <v>393</v>
      </c>
      <c r="C192" s="8"/>
      <c r="D192" s="71"/>
      <c r="E192" s="72"/>
    </row>
    <row r="193" spans="1:5" s="73" customFormat="1" ht="20.25" hidden="1" customHeight="1" x14ac:dyDescent="0.3">
      <c r="A193" s="37" t="s">
        <v>197</v>
      </c>
      <c r="B193" s="68" t="s">
        <v>393</v>
      </c>
      <c r="C193" s="8"/>
      <c r="D193" s="71"/>
      <c r="E193" s="72"/>
    </row>
    <row r="194" spans="1:5" s="73" customFormat="1" ht="20.25" hidden="1" customHeight="1" x14ac:dyDescent="0.3">
      <c r="A194" s="37" t="s">
        <v>198</v>
      </c>
      <c r="B194" s="68" t="s">
        <v>393</v>
      </c>
      <c r="C194" s="8"/>
      <c r="D194" s="71"/>
      <c r="E194" s="72"/>
    </row>
    <row r="195" spans="1:5" s="73" customFormat="1" ht="20.25" hidden="1" customHeight="1" x14ac:dyDescent="0.3">
      <c r="A195" s="10" t="s">
        <v>199</v>
      </c>
      <c r="B195" s="68" t="s">
        <v>390</v>
      </c>
      <c r="C195" s="8"/>
      <c r="D195" s="71"/>
      <c r="E195" s="72"/>
    </row>
    <row r="196" spans="1:5" s="73" customFormat="1" ht="21.75" hidden="1" customHeight="1" x14ac:dyDescent="0.3">
      <c r="A196" s="38" t="s">
        <v>200</v>
      </c>
      <c r="B196" s="68" t="s">
        <v>394</v>
      </c>
      <c r="C196" s="8"/>
      <c r="D196" s="71"/>
      <c r="E196" s="72"/>
    </row>
    <row r="197" spans="1:5" s="73" customFormat="1" ht="21.75" hidden="1" customHeight="1" x14ac:dyDescent="0.3">
      <c r="A197" s="10" t="s">
        <v>201</v>
      </c>
      <c r="B197" s="68" t="s">
        <v>390</v>
      </c>
      <c r="C197" s="8"/>
      <c r="D197" s="71"/>
      <c r="E197" s="72"/>
    </row>
    <row r="198" spans="1:5" s="73" customFormat="1" ht="21.75" hidden="1" customHeight="1" x14ac:dyDescent="0.3">
      <c r="A198" s="13" t="s">
        <v>202</v>
      </c>
      <c r="B198" s="68" t="s">
        <v>390</v>
      </c>
      <c r="C198" s="8"/>
      <c r="D198" s="71"/>
      <c r="E198" s="85"/>
    </row>
    <row r="199" spans="1:5" s="73" customFormat="1" ht="20.25" hidden="1" customHeight="1" x14ac:dyDescent="0.3">
      <c r="A199" s="10" t="s">
        <v>351</v>
      </c>
      <c r="B199" s="68" t="s">
        <v>393</v>
      </c>
      <c r="C199" s="8"/>
      <c r="D199" s="71"/>
      <c r="E199" s="72"/>
    </row>
    <row r="200" spans="1:5" s="73" customFormat="1" ht="21.75" hidden="1" customHeight="1" x14ac:dyDescent="0.3">
      <c r="A200" s="10" t="s">
        <v>203</v>
      </c>
      <c r="B200" s="68" t="s">
        <v>393</v>
      </c>
      <c r="C200" s="8"/>
      <c r="D200" s="71"/>
      <c r="E200" s="72"/>
    </row>
    <row r="201" spans="1:5" s="73" customFormat="1" ht="19.2" customHeight="1" x14ac:dyDescent="0.3">
      <c r="A201" s="10" t="s">
        <v>204</v>
      </c>
      <c r="B201" s="68" t="s">
        <v>390</v>
      </c>
      <c r="C201" s="8">
        <v>640</v>
      </c>
      <c r="D201" s="71">
        <v>12000</v>
      </c>
      <c r="E201" s="72">
        <f>+D201*C201</f>
        <v>7680000</v>
      </c>
    </row>
    <row r="202" spans="1:5" s="73" customFormat="1" ht="20.25" hidden="1" customHeight="1" x14ac:dyDescent="0.3">
      <c r="A202" s="39" t="s">
        <v>205</v>
      </c>
      <c r="B202" s="68" t="s">
        <v>393</v>
      </c>
      <c r="C202" s="8"/>
      <c r="D202" s="71"/>
      <c r="E202" s="72"/>
    </row>
    <row r="203" spans="1:5" s="73" customFormat="1" ht="21.75" hidden="1" customHeight="1" x14ac:dyDescent="0.3">
      <c r="A203" s="39" t="s">
        <v>206</v>
      </c>
      <c r="B203" s="68" t="s">
        <v>393</v>
      </c>
      <c r="C203" s="8"/>
      <c r="D203" s="71"/>
      <c r="E203" s="72"/>
    </row>
    <row r="204" spans="1:5" s="73" customFormat="1" ht="20.25" hidden="1" customHeight="1" x14ac:dyDescent="0.3">
      <c r="A204" s="10" t="s">
        <v>207</v>
      </c>
      <c r="B204" s="68" t="s">
        <v>390</v>
      </c>
      <c r="C204" s="8"/>
      <c r="D204" s="71"/>
      <c r="E204" s="72"/>
    </row>
    <row r="205" spans="1:5" s="73" customFormat="1" ht="21.75" hidden="1" customHeight="1" x14ac:dyDescent="0.3">
      <c r="A205" s="12" t="s">
        <v>208</v>
      </c>
      <c r="B205" s="68" t="s">
        <v>390</v>
      </c>
      <c r="C205" s="8"/>
      <c r="D205" s="88"/>
      <c r="E205" s="72"/>
    </row>
    <row r="206" spans="1:5" s="73" customFormat="1" ht="21.75" hidden="1" customHeight="1" x14ac:dyDescent="0.3">
      <c r="A206" s="10" t="s">
        <v>209</v>
      </c>
      <c r="B206" s="68" t="s">
        <v>390</v>
      </c>
      <c r="C206" s="8"/>
      <c r="D206" s="71"/>
      <c r="E206" s="72"/>
    </row>
    <row r="207" spans="1:5" s="73" customFormat="1" ht="21.6" hidden="1" customHeight="1" x14ac:dyDescent="0.3">
      <c r="A207" s="12" t="s">
        <v>352</v>
      </c>
      <c r="B207" s="68" t="s">
        <v>390</v>
      </c>
      <c r="C207" s="8"/>
      <c r="D207" s="88"/>
      <c r="E207" s="72"/>
    </row>
    <row r="208" spans="1:5" s="73" customFormat="1" ht="36" hidden="1" customHeight="1" x14ac:dyDescent="0.3">
      <c r="A208" s="10" t="s">
        <v>210</v>
      </c>
      <c r="B208" s="68" t="s">
        <v>390</v>
      </c>
      <c r="C208" s="8"/>
      <c r="D208" s="88"/>
      <c r="E208" s="72"/>
    </row>
    <row r="209" spans="1:5" s="73" customFormat="1" ht="20.25" hidden="1" customHeight="1" x14ac:dyDescent="0.3">
      <c r="A209" s="10" t="s">
        <v>211</v>
      </c>
      <c r="B209" s="68" t="s">
        <v>393</v>
      </c>
      <c r="C209" s="8"/>
      <c r="D209" s="71"/>
      <c r="E209" s="72"/>
    </row>
    <row r="210" spans="1:5" s="73" customFormat="1" ht="21.75" hidden="1" customHeight="1" x14ac:dyDescent="0.3">
      <c r="A210" s="10" t="s">
        <v>353</v>
      </c>
      <c r="B210" s="68" t="s">
        <v>393</v>
      </c>
      <c r="C210" s="8"/>
      <c r="D210" s="71"/>
      <c r="E210" s="72"/>
    </row>
    <row r="211" spans="1:5" s="73" customFormat="1" ht="21.75" hidden="1" customHeight="1" x14ac:dyDescent="0.3">
      <c r="A211" s="10" t="s">
        <v>354</v>
      </c>
      <c r="B211" s="68" t="s">
        <v>393</v>
      </c>
      <c r="C211" s="8"/>
      <c r="D211" s="71"/>
      <c r="E211" s="72"/>
    </row>
    <row r="212" spans="1:5" s="73" customFormat="1" ht="21.75" hidden="1" customHeight="1" x14ac:dyDescent="0.3">
      <c r="A212" s="10" t="s">
        <v>212</v>
      </c>
      <c r="B212" s="68" t="s">
        <v>390</v>
      </c>
      <c r="C212" s="8"/>
      <c r="D212" s="71"/>
      <c r="E212" s="72"/>
    </row>
    <row r="213" spans="1:5" s="73" customFormat="1" ht="21.75" hidden="1" customHeight="1" x14ac:dyDescent="0.3">
      <c r="A213" s="40" t="s">
        <v>213</v>
      </c>
      <c r="B213" s="68" t="s">
        <v>393</v>
      </c>
      <c r="C213" s="8"/>
      <c r="D213" s="71"/>
      <c r="E213" s="72"/>
    </row>
    <row r="214" spans="1:5" s="73" customFormat="1" ht="21.75" hidden="1" customHeight="1" x14ac:dyDescent="0.3">
      <c r="A214" s="10" t="s">
        <v>214</v>
      </c>
      <c r="B214" s="68" t="s">
        <v>390</v>
      </c>
      <c r="C214" s="8"/>
      <c r="D214" s="71"/>
      <c r="E214" s="72"/>
    </row>
    <row r="215" spans="1:5" s="73" customFormat="1" ht="21.75" hidden="1" customHeight="1" x14ac:dyDescent="0.3">
      <c r="A215" s="10" t="s">
        <v>215</v>
      </c>
      <c r="B215" s="68" t="s">
        <v>390</v>
      </c>
      <c r="C215" s="8"/>
      <c r="D215" s="71"/>
      <c r="E215" s="72"/>
    </row>
    <row r="216" spans="1:5" s="73" customFormat="1" ht="21.75" hidden="1" customHeight="1" x14ac:dyDescent="0.3">
      <c r="A216" s="10" t="s">
        <v>216</v>
      </c>
      <c r="B216" s="68" t="s">
        <v>393</v>
      </c>
      <c r="C216" s="8"/>
      <c r="D216" s="71"/>
      <c r="E216" s="72"/>
    </row>
    <row r="217" spans="1:5" s="73" customFormat="1" ht="21.75" hidden="1" customHeight="1" x14ac:dyDescent="0.3">
      <c r="A217" s="10" t="s">
        <v>355</v>
      </c>
      <c r="B217" s="68" t="s">
        <v>390</v>
      </c>
      <c r="C217" s="8"/>
      <c r="D217" s="71"/>
      <c r="E217" s="72"/>
    </row>
    <row r="218" spans="1:5" s="73" customFormat="1" ht="21.75" hidden="1" customHeight="1" x14ac:dyDescent="0.3">
      <c r="A218" s="10" t="s">
        <v>217</v>
      </c>
      <c r="B218" s="68" t="s">
        <v>393</v>
      </c>
      <c r="C218" s="8"/>
      <c r="D218" s="71"/>
      <c r="E218" s="72"/>
    </row>
    <row r="219" spans="1:5" s="73" customFormat="1" ht="21.75" hidden="1" customHeight="1" x14ac:dyDescent="0.3">
      <c r="A219" s="18" t="s">
        <v>218</v>
      </c>
      <c r="B219" s="68" t="s">
        <v>390</v>
      </c>
      <c r="C219" s="8"/>
      <c r="D219" s="71"/>
      <c r="E219" s="72"/>
    </row>
    <row r="220" spans="1:5" s="73" customFormat="1" ht="21.75" hidden="1" customHeight="1" x14ac:dyDescent="0.3">
      <c r="A220" s="18" t="s">
        <v>219</v>
      </c>
      <c r="B220" s="68" t="s">
        <v>393</v>
      </c>
      <c r="C220" s="8"/>
      <c r="D220" s="71"/>
      <c r="E220" s="72"/>
    </row>
    <row r="221" spans="1:5" s="73" customFormat="1" ht="20.25" hidden="1" customHeight="1" x14ac:dyDescent="0.3">
      <c r="A221" s="18" t="s">
        <v>220</v>
      </c>
      <c r="B221" s="68" t="s">
        <v>390</v>
      </c>
      <c r="C221" s="8"/>
      <c r="D221" s="71"/>
      <c r="E221" s="72"/>
    </row>
    <row r="222" spans="1:5" s="73" customFormat="1" ht="20.25" hidden="1" customHeight="1" x14ac:dyDescent="0.3">
      <c r="A222" s="18" t="s">
        <v>221</v>
      </c>
      <c r="B222" s="68" t="s">
        <v>393</v>
      </c>
      <c r="C222" s="8"/>
      <c r="D222" s="71"/>
      <c r="E222" s="72"/>
    </row>
    <row r="223" spans="1:5" s="73" customFormat="1" ht="21.75" hidden="1" customHeight="1" x14ac:dyDescent="0.3">
      <c r="A223" s="10" t="s">
        <v>222</v>
      </c>
      <c r="B223" s="68" t="s">
        <v>390</v>
      </c>
      <c r="C223" s="8"/>
      <c r="D223" s="71"/>
      <c r="E223" s="72"/>
    </row>
    <row r="224" spans="1:5" s="73" customFormat="1" ht="20.25" hidden="1" customHeight="1" x14ac:dyDescent="0.3">
      <c r="A224" s="10" t="s">
        <v>223</v>
      </c>
      <c r="B224" s="68" t="s">
        <v>390</v>
      </c>
      <c r="C224" s="8"/>
      <c r="D224" s="71"/>
      <c r="E224" s="72"/>
    </row>
    <row r="225" spans="1:5" s="73" customFormat="1" ht="21.75" hidden="1" customHeight="1" x14ac:dyDescent="0.3">
      <c r="A225" s="18" t="s">
        <v>224</v>
      </c>
      <c r="B225" s="68" t="s">
        <v>393</v>
      </c>
      <c r="C225" s="8"/>
      <c r="D225" s="71"/>
      <c r="E225" s="72"/>
    </row>
    <row r="226" spans="1:5" s="73" customFormat="1" ht="21.75" hidden="1" customHeight="1" x14ac:dyDescent="0.3">
      <c r="A226" s="18" t="s">
        <v>225</v>
      </c>
      <c r="B226" s="68" t="s">
        <v>393</v>
      </c>
      <c r="C226" s="8"/>
      <c r="D226" s="71"/>
      <c r="E226" s="72"/>
    </row>
    <row r="227" spans="1:5" s="73" customFormat="1" ht="20.25" hidden="1" customHeight="1" x14ac:dyDescent="0.3">
      <c r="A227" s="12" t="s">
        <v>226</v>
      </c>
      <c r="B227" s="68" t="s">
        <v>390</v>
      </c>
      <c r="C227" s="8"/>
      <c r="D227" s="71"/>
      <c r="E227" s="72"/>
    </row>
    <row r="228" spans="1:5" s="73" customFormat="1" ht="21.75" hidden="1" customHeight="1" x14ac:dyDescent="0.3">
      <c r="A228" s="13" t="s">
        <v>227</v>
      </c>
      <c r="B228" s="68" t="s">
        <v>396</v>
      </c>
      <c r="C228" s="8"/>
      <c r="D228" s="71"/>
      <c r="E228" s="72"/>
    </row>
    <row r="229" spans="1:5" s="73" customFormat="1" ht="21.75" hidden="1" customHeight="1" x14ac:dyDescent="0.3">
      <c r="A229" s="23" t="s">
        <v>356</v>
      </c>
      <c r="B229" s="68" t="s">
        <v>390</v>
      </c>
      <c r="C229" s="8"/>
      <c r="D229" s="71"/>
      <c r="E229" s="72"/>
    </row>
    <row r="230" spans="1:5" s="73" customFormat="1" ht="21.75" hidden="1" customHeight="1" x14ac:dyDescent="0.3">
      <c r="A230" s="23" t="s">
        <v>357</v>
      </c>
      <c r="B230" s="68" t="s">
        <v>396</v>
      </c>
      <c r="C230" s="8"/>
      <c r="D230" s="71"/>
      <c r="E230" s="72"/>
    </row>
    <row r="231" spans="1:5" s="73" customFormat="1" ht="20.25" hidden="1" customHeight="1" x14ac:dyDescent="0.3">
      <c r="A231" s="12" t="s">
        <v>232</v>
      </c>
      <c r="B231" s="68" t="s">
        <v>399</v>
      </c>
      <c r="C231" s="8"/>
      <c r="D231" s="71"/>
      <c r="E231" s="72"/>
    </row>
    <row r="232" spans="1:5" s="73" customFormat="1" ht="20.25" hidden="1" customHeight="1" x14ac:dyDescent="0.3">
      <c r="A232" s="10" t="s">
        <v>237</v>
      </c>
      <c r="B232" s="68" t="s">
        <v>390</v>
      </c>
      <c r="C232" s="8"/>
      <c r="D232" s="71"/>
      <c r="E232" s="72"/>
    </row>
    <row r="233" spans="1:5" s="73" customFormat="1" ht="20.25" hidden="1" customHeight="1" x14ac:dyDescent="0.3">
      <c r="A233" s="10" t="s">
        <v>238</v>
      </c>
      <c r="B233" s="68" t="s">
        <v>392</v>
      </c>
      <c r="C233" s="8"/>
      <c r="D233" s="71"/>
      <c r="E233" s="72"/>
    </row>
    <row r="234" spans="1:5" s="73" customFormat="1" ht="21.75" hidden="1" customHeight="1" x14ac:dyDescent="0.3">
      <c r="A234" s="14" t="s">
        <v>239</v>
      </c>
      <c r="B234" s="68" t="s">
        <v>396</v>
      </c>
      <c r="C234" s="8"/>
      <c r="D234" s="71"/>
      <c r="E234" s="72"/>
    </row>
    <row r="235" spans="1:5" s="73" customFormat="1" ht="20.25" hidden="1" customHeight="1" x14ac:dyDescent="0.3">
      <c r="A235" s="14" t="s">
        <v>240</v>
      </c>
      <c r="B235" s="68" t="s">
        <v>396</v>
      </c>
      <c r="C235" s="8"/>
      <c r="D235" s="71"/>
      <c r="E235" s="72"/>
    </row>
    <row r="236" spans="1:5" s="73" customFormat="1" ht="21.75" hidden="1" customHeight="1" x14ac:dyDescent="0.3">
      <c r="A236" s="37" t="s">
        <v>241</v>
      </c>
      <c r="B236" s="68" t="s">
        <v>393</v>
      </c>
      <c r="C236" s="8"/>
      <c r="D236" s="71"/>
      <c r="E236" s="72"/>
    </row>
    <row r="237" spans="1:5" s="73" customFormat="1" ht="21.75" hidden="1" customHeight="1" x14ac:dyDescent="0.3">
      <c r="A237" s="10" t="s">
        <v>242</v>
      </c>
      <c r="B237" s="68" t="s">
        <v>390</v>
      </c>
      <c r="C237" s="8"/>
      <c r="D237" s="71"/>
      <c r="E237" s="72"/>
    </row>
    <row r="238" spans="1:5" s="73" customFormat="1" ht="20.25" hidden="1" customHeight="1" x14ac:dyDescent="0.3">
      <c r="A238" s="10" t="s">
        <v>243</v>
      </c>
      <c r="B238" s="68" t="s">
        <v>393</v>
      </c>
      <c r="C238" s="8"/>
      <c r="D238" s="71"/>
      <c r="E238" s="72"/>
    </row>
    <row r="239" spans="1:5" s="73" customFormat="1" ht="20.25" hidden="1" customHeight="1" x14ac:dyDescent="0.3">
      <c r="A239" s="10" t="s">
        <v>244</v>
      </c>
      <c r="B239" s="68" t="s">
        <v>390</v>
      </c>
      <c r="C239" s="17"/>
      <c r="D239" s="71"/>
      <c r="E239" s="72"/>
    </row>
    <row r="240" spans="1:5" s="73" customFormat="1" ht="20.25" hidden="1" customHeight="1" x14ac:dyDescent="0.3">
      <c r="A240" s="37" t="s">
        <v>245</v>
      </c>
      <c r="B240" s="68" t="s">
        <v>393</v>
      </c>
      <c r="C240" s="8"/>
      <c r="D240" s="71"/>
      <c r="E240" s="72"/>
    </row>
    <row r="241" spans="1:5" s="73" customFormat="1" ht="20.25" hidden="1" customHeight="1" x14ac:dyDescent="0.3">
      <c r="A241" s="10" t="s">
        <v>246</v>
      </c>
      <c r="B241" s="68" t="s">
        <v>393</v>
      </c>
      <c r="C241" s="17"/>
      <c r="D241" s="71"/>
      <c r="E241" s="72"/>
    </row>
    <row r="242" spans="1:5" s="73" customFormat="1" ht="21.75" hidden="1" customHeight="1" x14ac:dyDescent="0.3">
      <c r="A242" s="10" t="s">
        <v>247</v>
      </c>
      <c r="B242" s="68" t="s">
        <v>390</v>
      </c>
      <c r="C242" s="8"/>
      <c r="D242" s="71"/>
      <c r="E242" s="72"/>
    </row>
    <row r="243" spans="1:5" s="73" customFormat="1" ht="20.25" hidden="1" customHeight="1" x14ac:dyDescent="0.3">
      <c r="A243" s="12" t="s">
        <v>249</v>
      </c>
      <c r="B243" s="68" t="s">
        <v>394</v>
      </c>
      <c r="C243" s="8"/>
      <c r="D243" s="71"/>
      <c r="E243" s="72"/>
    </row>
    <row r="244" spans="1:5" s="73" customFormat="1" ht="21.75" hidden="1" customHeight="1" x14ac:dyDescent="0.3">
      <c r="A244" s="10" t="s">
        <v>250</v>
      </c>
      <c r="B244" s="68" t="s">
        <v>390</v>
      </c>
      <c r="C244" s="8"/>
      <c r="D244" s="71"/>
      <c r="E244" s="72"/>
    </row>
    <row r="245" spans="1:5" s="73" customFormat="1" ht="20.25" hidden="1" customHeight="1" x14ac:dyDescent="0.3">
      <c r="A245" s="10" t="s">
        <v>251</v>
      </c>
      <c r="B245" s="68" t="s">
        <v>390</v>
      </c>
      <c r="C245" s="8"/>
      <c r="D245" s="71"/>
      <c r="E245" s="72"/>
    </row>
    <row r="246" spans="1:5" s="73" customFormat="1" ht="21.75" hidden="1" customHeight="1" x14ac:dyDescent="0.3">
      <c r="A246" s="10" t="s">
        <v>252</v>
      </c>
      <c r="B246" s="68" t="s">
        <v>392</v>
      </c>
      <c r="C246" s="8"/>
      <c r="D246" s="71"/>
      <c r="E246" s="72"/>
    </row>
    <row r="247" spans="1:5" s="73" customFormat="1" ht="21.75" hidden="1" customHeight="1" x14ac:dyDescent="0.3">
      <c r="A247" s="10" t="s">
        <v>253</v>
      </c>
      <c r="B247" s="68" t="s">
        <v>394</v>
      </c>
      <c r="C247" s="8"/>
      <c r="D247" s="71"/>
      <c r="E247" s="72"/>
    </row>
    <row r="248" spans="1:5" s="73" customFormat="1" ht="21.75" hidden="1" customHeight="1" x14ac:dyDescent="0.3">
      <c r="A248" s="10" t="s">
        <v>254</v>
      </c>
      <c r="B248" s="68" t="s">
        <v>390</v>
      </c>
      <c r="C248" s="8"/>
      <c r="D248" s="89"/>
      <c r="E248" s="72"/>
    </row>
    <row r="249" spans="1:5" s="73" customFormat="1" ht="21.75" hidden="1" customHeight="1" x14ac:dyDescent="0.3">
      <c r="A249" s="18" t="s">
        <v>255</v>
      </c>
      <c r="B249" s="68" t="s">
        <v>390</v>
      </c>
      <c r="C249" s="8"/>
      <c r="D249" s="89"/>
      <c r="E249" s="72"/>
    </row>
    <row r="250" spans="1:5" s="73" customFormat="1" ht="57" hidden="1" customHeight="1" x14ac:dyDescent="0.3">
      <c r="A250" s="23" t="s">
        <v>256</v>
      </c>
      <c r="B250" s="68" t="s">
        <v>390</v>
      </c>
      <c r="C250" s="8"/>
      <c r="D250" s="71"/>
      <c r="E250" s="72"/>
    </row>
    <row r="251" spans="1:5" s="73" customFormat="1" ht="39.9" hidden="1" customHeight="1" x14ac:dyDescent="0.3">
      <c r="A251" s="23" t="s">
        <v>257</v>
      </c>
      <c r="B251" s="68" t="s">
        <v>390</v>
      </c>
      <c r="C251" s="8"/>
      <c r="D251" s="71"/>
      <c r="E251" s="72"/>
    </row>
    <row r="252" spans="1:5" s="73" customFormat="1" ht="39.9" hidden="1" customHeight="1" x14ac:dyDescent="0.3">
      <c r="A252" s="10" t="s">
        <v>258</v>
      </c>
      <c r="B252" s="68" t="s">
        <v>390</v>
      </c>
      <c r="C252" s="8"/>
      <c r="D252" s="71"/>
      <c r="E252" s="72"/>
    </row>
    <row r="253" spans="1:5" s="73" customFormat="1" ht="20.25" hidden="1" customHeight="1" x14ac:dyDescent="0.3">
      <c r="A253" s="10" t="s">
        <v>259</v>
      </c>
      <c r="B253" s="68" t="s">
        <v>390</v>
      </c>
      <c r="C253" s="8"/>
      <c r="D253" s="71"/>
      <c r="E253" s="72"/>
    </row>
    <row r="254" spans="1:5" s="73" customFormat="1" ht="20.25" hidden="1" customHeight="1" x14ac:dyDescent="0.3">
      <c r="A254" s="10" t="s">
        <v>260</v>
      </c>
      <c r="B254" s="68" t="s">
        <v>392</v>
      </c>
      <c r="C254" s="8"/>
      <c r="D254" s="71"/>
      <c r="E254" s="72"/>
    </row>
    <row r="255" spans="1:5" s="73" customFormat="1" ht="21.75" hidden="1" customHeight="1" x14ac:dyDescent="0.3">
      <c r="A255" s="10" t="s">
        <v>261</v>
      </c>
      <c r="B255" s="68" t="s">
        <v>394</v>
      </c>
      <c r="C255" s="8"/>
      <c r="D255" s="71"/>
      <c r="E255" s="72"/>
    </row>
    <row r="256" spans="1:5" s="73" customFormat="1" ht="20.25" hidden="1" customHeight="1" x14ac:dyDescent="0.3">
      <c r="A256" s="10" t="s">
        <v>262</v>
      </c>
      <c r="B256" s="68" t="s">
        <v>390</v>
      </c>
      <c r="C256" s="8"/>
      <c r="D256" s="71"/>
      <c r="E256" s="72"/>
    </row>
    <row r="257" spans="1:5" s="73" customFormat="1" ht="20.25" hidden="1" customHeight="1" x14ac:dyDescent="0.3">
      <c r="A257" s="10" t="s">
        <v>263</v>
      </c>
      <c r="B257" s="68" t="s">
        <v>390</v>
      </c>
      <c r="C257" s="8"/>
      <c r="D257" s="71"/>
      <c r="E257" s="72"/>
    </row>
    <row r="258" spans="1:5" s="73" customFormat="1" ht="20.25" hidden="1" customHeight="1" x14ac:dyDescent="0.3">
      <c r="A258" s="10" t="s">
        <v>264</v>
      </c>
      <c r="B258" s="68" t="s">
        <v>392</v>
      </c>
      <c r="C258" s="8"/>
      <c r="D258" s="71"/>
      <c r="E258" s="72"/>
    </row>
    <row r="259" spans="1:5" s="73" customFormat="1" ht="20.25" hidden="1" customHeight="1" x14ac:dyDescent="0.3">
      <c r="A259" s="10" t="s">
        <v>265</v>
      </c>
      <c r="B259" s="68" t="s">
        <v>390</v>
      </c>
      <c r="C259" s="17"/>
      <c r="D259" s="71"/>
      <c r="E259" s="72"/>
    </row>
    <row r="260" spans="1:5" s="73" customFormat="1" ht="20.25" hidden="1" customHeight="1" x14ac:dyDescent="0.3">
      <c r="A260" s="14" t="s">
        <v>266</v>
      </c>
      <c r="B260" s="68" t="s">
        <v>390</v>
      </c>
      <c r="C260" s="8"/>
      <c r="D260" s="71"/>
      <c r="E260" s="72"/>
    </row>
    <row r="261" spans="1:5" s="73" customFormat="1" ht="21.75" hidden="1" customHeight="1" x14ac:dyDescent="0.3">
      <c r="A261" s="10" t="s">
        <v>267</v>
      </c>
      <c r="B261" s="68" t="s">
        <v>390</v>
      </c>
      <c r="C261" s="8"/>
      <c r="D261" s="71"/>
      <c r="E261" s="72"/>
    </row>
    <row r="262" spans="1:5" s="73" customFormat="1" ht="21.75" hidden="1" customHeight="1" x14ac:dyDescent="0.3">
      <c r="A262" s="12" t="s">
        <v>268</v>
      </c>
      <c r="B262" s="68" t="s">
        <v>390</v>
      </c>
      <c r="C262" s="8"/>
      <c r="D262" s="71"/>
      <c r="E262" s="72"/>
    </row>
    <row r="263" spans="1:5" s="73" customFormat="1" ht="20.25" hidden="1" customHeight="1" x14ac:dyDescent="0.3">
      <c r="A263" s="12" t="s">
        <v>269</v>
      </c>
      <c r="B263" s="68" t="s">
        <v>390</v>
      </c>
      <c r="C263" s="8"/>
      <c r="D263" s="71"/>
      <c r="E263" s="72"/>
    </row>
    <row r="264" spans="1:5" s="73" customFormat="1" ht="20.25" hidden="1" customHeight="1" x14ac:dyDescent="0.3">
      <c r="A264" s="10" t="s">
        <v>270</v>
      </c>
      <c r="B264" s="68" t="s">
        <v>393</v>
      </c>
      <c r="C264" s="8"/>
      <c r="D264" s="90"/>
      <c r="E264" s="72"/>
    </row>
    <row r="265" spans="1:5" s="73" customFormat="1" ht="20.25" hidden="1" customHeight="1" x14ac:dyDescent="0.3">
      <c r="A265" s="10" t="s">
        <v>358</v>
      </c>
      <c r="B265" s="68" t="s">
        <v>393</v>
      </c>
      <c r="C265" s="8"/>
      <c r="D265" s="90"/>
      <c r="E265" s="72"/>
    </row>
    <row r="266" spans="1:5" s="73" customFormat="1" ht="20.25" hidden="1" customHeight="1" x14ac:dyDescent="0.3">
      <c r="A266" s="10" t="s">
        <v>271</v>
      </c>
      <c r="B266" s="68" t="s">
        <v>390</v>
      </c>
      <c r="C266" s="8"/>
      <c r="D266" s="71"/>
      <c r="E266" s="72"/>
    </row>
    <row r="267" spans="1:5" s="73" customFormat="1" ht="20.25" hidden="1" customHeight="1" x14ac:dyDescent="0.3">
      <c r="A267" s="10" t="s">
        <v>359</v>
      </c>
      <c r="B267" s="68"/>
      <c r="C267" s="8"/>
      <c r="D267" s="71"/>
      <c r="E267" s="72"/>
    </row>
    <row r="268" spans="1:5" s="73" customFormat="1" ht="21.75" hidden="1" customHeight="1" x14ac:dyDescent="0.3">
      <c r="A268" s="10" t="s">
        <v>273</v>
      </c>
      <c r="B268" s="68" t="s">
        <v>396</v>
      </c>
      <c r="C268" s="8"/>
      <c r="D268" s="71"/>
      <c r="E268" s="72"/>
    </row>
    <row r="269" spans="1:5" s="73" customFormat="1" ht="20.25" hidden="1" customHeight="1" x14ac:dyDescent="0.3">
      <c r="A269" s="10" t="s">
        <v>274</v>
      </c>
      <c r="B269" s="68" t="s">
        <v>390</v>
      </c>
      <c r="C269" s="8"/>
      <c r="D269" s="71"/>
      <c r="E269" s="72"/>
    </row>
    <row r="270" spans="1:5" s="73" customFormat="1" ht="21.75" hidden="1" customHeight="1" x14ac:dyDescent="0.3">
      <c r="A270" s="10" t="s">
        <v>275</v>
      </c>
      <c r="B270" s="68" t="s">
        <v>395</v>
      </c>
      <c r="C270" s="8"/>
      <c r="D270" s="71"/>
      <c r="E270" s="72"/>
    </row>
    <row r="271" spans="1:5" s="73" customFormat="1" ht="20.25" hidden="1" customHeight="1" x14ac:dyDescent="0.3">
      <c r="A271" s="37" t="s">
        <v>277</v>
      </c>
      <c r="B271" s="68" t="s">
        <v>393</v>
      </c>
      <c r="C271" s="8"/>
      <c r="D271" s="71"/>
      <c r="E271" s="72"/>
    </row>
    <row r="272" spans="1:5" s="73" customFormat="1" ht="20.25" hidden="1" customHeight="1" x14ac:dyDescent="0.3">
      <c r="A272" s="10" t="s">
        <v>278</v>
      </c>
      <c r="B272" s="68" t="s">
        <v>393</v>
      </c>
      <c r="C272" s="8"/>
      <c r="D272" s="71"/>
      <c r="E272" s="72"/>
    </row>
    <row r="273" spans="1:5" s="73" customFormat="1" ht="21.75" hidden="1" customHeight="1" x14ac:dyDescent="0.3">
      <c r="A273" s="37" t="s">
        <v>279</v>
      </c>
      <c r="B273" s="68" t="s">
        <v>393</v>
      </c>
      <c r="C273" s="8"/>
      <c r="D273" s="71"/>
      <c r="E273" s="72"/>
    </row>
    <row r="274" spans="1:5" s="73" customFormat="1" ht="21.75" hidden="1" customHeight="1" x14ac:dyDescent="0.3">
      <c r="A274" s="12" t="s">
        <v>360</v>
      </c>
      <c r="B274" s="68" t="s">
        <v>390</v>
      </c>
      <c r="C274" s="8"/>
      <c r="D274" s="71"/>
      <c r="E274" s="72"/>
    </row>
    <row r="275" spans="1:5" s="73" customFormat="1" ht="21.75" hidden="1" customHeight="1" x14ac:dyDescent="0.3">
      <c r="A275" s="37" t="s">
        <v>280</v>
      </c>
      <c r="B275" s="68" t="s">
        <v>393</v>
      </c>
      <c r="C275" s="8"/>
      <c r="D275" s="71"/>
      <c r="E275" s="72"/>
    </row>
    <row r="276" spans="1:5" s="73" customFormat="1" ht="20.25" hidden="1" customHeight="1" x14ac:dyDescent="0.3">
      <c r="A276" s="13" t="s">
        <v>281</v>
      </c>
      <c r="B276" s="68" t="s">
        <v>390</v>
      </c>
      <c r="C276" s="17"/>
      <c r="D276" s="71"/>
      <c r="E276" s="72"/>
    </row>
    <row r="277" spans="1:5" s="73" customFormat="1" ht="20.25" hidden="1" customHeight="1" x14ac:dyDescent="0.3">
      <c r="A277" s="18" t="s">
        <v>284</v>
      </c>
      <c r="B277" s="68" t="s">
        <v>396</v>
      </c>
      <c r="C277" s="8"/>
      <c r="D277" s="71"/>
      <c r="E277" s="72"/>
    </row>
    <row r="278" spans="1:5" s="73" customFormat="1" ht="21.75" hidden="1" customHeight="1" x14ac:dyDescent="0.3">
      <c r="A278" s="18" t="s">
        <v>285</v>
      </c>
      <c r="B278" s="68" t="s">
        <v>394</v>
      </c>
      <c r="C278" s="8"/>
      <c r="D278" s="71"/>
      <c r="E278" s="72"/>
    </row>
    <row r="279" spans="1:5" s="73" customFormat="1" ht="20.25" hidden="1" customHeight="1" x14ac:dyDescent="0.3">
      <c r="A279" s="18" t="s">
        <v>286</v>
      </c>
      <c r="B279" s="68" t="s">
        <v>394</v>
      </c>
      <c r="C279" s="8"/>
      <c r="D279" s="71"/>
      <c r="E279" s="72"/>
    </row>
    <row r="280" spans="1:5" s="73" customFormat="1" ht="20.25" hidden="1" customHeight="1" x14ac:dyDescent="0.3">
      <c r="A280" s="10" t="s">
        <v>287</v>
      </c>
      <c r="B280" s="68" t="s">
        <v>390</v>
      </c>
      <c r="C280" s="8"/>
      <c r="D280" s="71"/>
      <c r="E280" s="72"/>
    </row>
    <row r="281" spans="1:5" s="73" customFormat="1" ht="21.75" hidden="1" customHeight="1" x14ac:dyDescent="0.3">
      <c r="A281" s="18" t="s">
        <v>288</v>
      </c>
      <c r="B281" s="68" t="s">
        <v>393</v>
      </c>
      <c r="C281" s="8"/>
      <c r="D281" s="71"/>
      <c r="E281" s="72"/>
    </row>
    <row r="282" spans="1:5" s="73" customFormat="1" ht="21.75" hidden="1" customHeight="1" x14ac:dyDescent="0.3">
      <c r="A282" s="10" t="s">
        <v>289</v>
      </c>
      <c r="B282" s="68" t="s">
        <v>390</v>
      </c>
      <c r="C282" s="8"/>
      <c r="D282" s="71"/>
      <c r="E282" s="72"/>
    </row>
    <row r="283" spans="1:5" s="73" customFormat="1" ht="21.75" hidden="1" customHeight="1" x14ac:dyDescent="0.3">
      <c r="A283" s="10" t="s">
        <v>290</v>
      </c>
      <c r="B283" s="68" t="s">
        <v>390</v>
      </c>
      <c r="C283" s="8"/>
      <c r="D283" s="77"/>
      <c r="E283" s="72"/>
    </row>
    <row r="284" spans="1:5" s="73" customFormat="1" ht="21.75" hidden="1" customHeight="1" x14ac:dyDescent="0.3">
      <c r="A284" s="18" t="s">
        <v>291</v>
      </c>
      <c r="B284" s="68" t="s">
        <v>394</v>
      </c>
      <c r="C284" s="8"/>
      <c r="D284" s="71"/>
      <c r="E284" s="72"/>
    </row>
    <row r="285" spans="1:5" s="73" customFormat="1" ht="21.75" hidden="1" customHeight="1" x14ac:dyDescent="0.3">
      <c r="A285" s="27" t="s">
        <v>292</v>
      </c>
      <c r="B285" s="68" t="s">
        <v>390</v>
      </c>
      <c r="C285" s="8"/>
      <c r="D285" s="71"/>
      <c r="E285" s="72"/>
    </row>
    <row r="286" spans="1:5" s="73" customFormat="1" ht="20.25" hidden="1" customHeight="1" x14ac:dyDescent="0.3">
      <c r="A286" s="10" t="s">
        <v>293</v>
      </c>
      <c r="B286" s="68" t="s">
        <v>390</v>
      </c>
      <c r="C286" s="8"/>
      <c r="D286" s="71"/>
      <c r="E286" s="72"/>
    </row>
    <row r="287" spans="1:5" s="73" customFormat="1" ht="20.25" hidden="1" customHeight="1" x14ac:dyDescent="0.3">
      <c r="A287" s="14" t="s">
        <v>294</v>
      </c>
      <c r="B287" s="68" t="s">
        <v>391</v>
      </c>
      <c r="C287" s="8"/>
      <c r="D287" s="71"/>
      <c r="E287" s="72"/>
    </row>
    <row r="288" spans="1:5" s="73" customFormat="1" ht="20.25" hidden="1" customHeight="1" x14ac:dyDescent="0.3">
      <c r="A288" s="13" t="s">
        <v>296</v>
      </c>
      <c r="B288" s="68" t="s">
        <v>390</v>
      </c>
      <c r="C288" s="8"/>
      <c r="D288" s="91"/>
      <c r="E288" s="72"/>
    </row>
    <row r="289" spans="1:5" s="73" customFormat="1" ht="21.75" hidden="1" customHeight="1" x14ac:dyDescent="0.3">
      <c r="A289" s="18" t="s">
        <v>297</v>
      </c>
      <c r="B289" s="68" t="s">
        <v>393</v>
      </c>
      <c r="C289" s="8"/>
      <c r="D289" s="71"/>
      <c r="E289" s="72"/>
    </row>
    <row r="290" spans="1:5" s="73" customFormat="1" ht="21.6" hidden="1" customHeight="1" x14ac:dyDescent="0.3">
      <c r="A290" s="14" t="s">
        <v>298</v>
      </c>
      <c r="B290" s="68" t="s">
        <v>393</v>
      </c>
      <c r="C290" s="8"/>
      <c r="D290" s="91"/>
      <c r="E290" s="72"/>
    </row>
    <row r="291" spans="1:5" s="73" customFormat="1" ht="20.25" hidden="1" customHeight="1" x14ac:dyDescent="0.3">
      <c r="A291" s="10" t="s">
        <v>299</v>
      </c>
      <c r="B291" s="68" t="s">
        <v>390</v>
      </c>
      <c r="C291" s="8"/>
      <c r="D291" s="71"/>
      <c r="E291" s="72"/>
    </row>
    <row r="292" spans="1:5" s="73" customFormat="1" ht="21.75" hidden="1" customHeight="1" x14ac:dyDescent="0.3">
      <c r="A292" s="18" t="s">
        <v>300</v>
      </c>
      <c r="B292" s="68" t="s">
        <v>396</v>
      </c>
      <c r="C292" s="8"/>
      <c r="D292" s="71"/>
      <c r="E292" s="72"/>
    </row>
    <row r="293" spans="1:5" s="73" customFormat="1" ht="21.75" hidden="1" customHeight="1" x14ac:dyDescent="0.3">
      <c r="A293" s="13" t="s">
        <v>361</v>
      </c>
      <c r="B293" s="68" t="s">
        <v>390</v>
      </c>
      <c r="C293" s="8"/>
      <c r="D293" s="71"/>
      <c r="E293" s="72"/>
    </row>
    <row r="294" spans="1:5" s="73" customFormat="1" ht="21.75" hidden="1" customHeight="1" x14ac:dyDescent="0.3">
      <c r="A294" s="10" t="s">
        <v>362</v>
      </c>
      <c r="B294" s="68" t="s">
        <v>390</v>
      </c>
      <c r="C294" s="8"/>
      <c r="D294" s="71"/>
      <c r="E294" s="72"/>
    </row>
    <row r="295" spans="1:5" s="73" customFormat="1" ht="21.75" hidden="1" customHeight="1" x14ac:dyDescent="0.3">
      <c r="A295" s="12" t="s">
        <v>303</v>
      </c>
      <c r="B295" s="68" t="s">
        <v>390</v>
      </c>
      <c r="C295" s="8"/>
      <c r="D295" s="71"/>
      <c r="E295" s="72"/>
    </row>
    <row r="296" spans="1:5" s="73" customFormat="1" ht="21.75" hidden="1" customHeight="1" x14ac:dyDescent="0.3">
      <c r="A296" s="10" t="s">
        <v>363</v>
      </c>
      <c r="B296" s="68" t="s">
        <v>390</v>
      </c>
      <c r="C296" s="8"/>
      <c r="D296" s="71"/>
      <c r="E296" s="72"/>
    </row>
    <row r="297" spans="1:5" s="73" customFormat="1" ht="21.75" hidden="1" customHeight="1" x14ac:dyDescent="0.3">
      <c r="A297" s="13" t="s">
        <v>304</v>
      </c>
      <c r="B297" s="68" t="s">
        <v>390</v>
      </c>
      <c r="C297" s="8"/>
      <c r="D297" s="88"/>
      <c r="E297" s="72"/>
    </row>
    <row r="298" spans="1:5" s="73" customFormat="1" ht="21.75" hidden="1" customHeight="1" x14ac:dyDescent="0.3">
      <c r="A298" s="13" t="s">
        <v>305</v>
      </c>
      <c r="B298" s="68" t="s">
        <v>390</v>
      </c>
      <c r="C298" s="8"/>
      <c r="D298" s="88"/>
      <c r="E298" s="72"/>
    </row>
    <row r="299" spans="1:5" s="73" customFormat="1" ht="21.75" hidden="1" customHeight="1" x14ac:dyDescent="0.3">
      <c r="A299" s="10" t="s">
        <v>306</v>
      </c>
      <c r="B299" s="68" t="s">
        <v>390</v>
      </c>
      <c r="C299" s="8"/>
      <c r="D299" s="71"/>
      <c r="E299" s="72"/>
    </row>
    <row r="300" spans="1:5" s="73" customFormat="1" ht="21.75" hidden="1" customHeight="1" x14ac:dyDescent="0.3">
      <c r="A300" s="10" t="s">
        <v>307</v>
      </c>
      <c r="B300" s="68" t="s">
        <v>397</v>
      </c>
      <c r="C300" s="8"/>
      <c r="D300" s="71"/>
      <c r="E300" s="72"/>
    </row>
    <row r="301" spans="1:5" s="73" customFormat="1" ht="38.4" hidden="1" customHeight="1" x14ac:dyDescent="0.3">
      <c r="A301" s="10" t="s">
        <v>308</v>
      </c>
      <c r="B301" s="68" t="s">
        <v>393</v>
      </c>
      <c r="C301" s="8"/>
      <c r="D301" s="71"/>
      <c r="E301" s="72"/>
    </row>
    <row r="302" spans="1:5" s="73" customFormat="1" ht="21.75" hidden="1" customHeight="1" x14ac:dyDescent="0.3">
      <c r="A302" s="14" t="s">
        <v>309</v>
      </c>
      <c r="B302" s="68" t="s">
        <v>390</v>
      </c>
      <c r="C302" s="8"/>
      <c r="D302" s="71"/>
      <c r="E302" s="72"/>
    </row>
    <row r="303" spans="1:5" s="73" customFormat="1" ht="21.75" hidden="1" customHeight="1" x14ac:dyDescent="0.3">
      <c r="A303" s="14" t="s">
        <v>310</v>
      </c>
      <c r="B303" s="68" t="s">
        <v>390</v>
      </c>
      <c r="C303" s="8"/>
      <c r="D303" s="71"/>
      <c r="E303" s="72"/>
    </row>
    <row r="304" spans="1:5" s="73" customFormat="1" ht="21.75" hidden="1" customHeight="1" x14ac:dyDescent="0.3">
      <c r="A304" s="23" t="s">
        <v>311</v>
      </c>
      <c r="B304" s="68" t="s">
        <v>390</v>
      </c>
      <c r="C304" s="8"/>
      <c r="D304" s="71"/>
      <c r="E304" s="72"/>
    </row>
    <row r="305" spans="1:5" s="73" customFormat="1" ht="21.75" hidden="1" customHeight="1" x14ac:dyDescent="0.3">
      <c r="A305" s="14" t="s">
        <v>312</v>
      </c>
      <c r="B305" s="68" t="s">
        <v>393</v>
      </c>
      <c r="C305" s="8"/>
      <c r="D305" s="71"/>
      <c r="E305" s="72"/>
    </row>
    <row r="306" spans="1:5" s="73" customFormat="1" ht="21.75" hidden="1" customHeight="1" x14ac:dyDescent="0.3">
      <c r="A306" s="10" t="s">
        <v>313</v>
      </c>
      <c r="B306" s="68" t="s">
        <v>395</v>
      </c>
      <c r="C306" s="8"/>
      <c r="D306" s="71"/>
      <c r="E306" s="72"/>
    </row>
    <row r="307" spans="1:5" s="73" customFormat="1" ht="21.75" hidden="1" customHeight="1" x14ac:dyDescent="0.3">
      <c r="A307" s="10" t="s">
        <v>314</v>
      </c>
      <c r="B307" s="68" t="s">
        <v>395</v>
      </c>
      <c r="C307" s="8"/>
      <c r="D307" s="71"/>
      <c r="E307" s="72"/>
    </row>
    <row r="308" spans="1:5" s="73" customFormat="1" ht="21.75" hidden="1" customHeight="1" x14ac:dyDescent="0.3">
      <c r="A308" s="10" t="s">
        <v>315</v>
      </c>
      <c r="B308" s="68" t="s">
        <v>397</v>
      </c>
      <c r="C308" s="8"/>
      <c r="D308" s="71"/>
      <c r="E308" s="72"/>
    </row>
    <row r="309" spans="1:5" s="73" customFormat="1" ht="21.75" hidden="1" customHeight="1" x14ac:dyDescent="0.3">
      <c r="A309" s="10" t="s">
        <v>316</v>
      </c>
      <c r="B309" s="68" t="s">
        <v>390</v>
      </c>
      <c r="C309" s="8"/>
      <c r="D309" s="71"/>
      <c r="E309" s="72"/>
    </row>
    <row r="310" spans="1:5" s="73" customFormat="1" ht="21.75" hidden="1" customHeight="1" x14ac:dyDescent="0.3">
      <c r="A310" s="23" t="s">
        <v>317</v>
      </c>
      <c r="B310" s="68" t="s">
        <v>390</v>
      </c>
      <c r="C310" s="8"/>
      <c r="D310" s="71"/>
      <c r="E310" s="72"/>
    </row>
    <row r="311" spans="1:5" s="73" customFormat="1" ht="21.75" hidden="1" customHeight="1" x14ac:dyDescent="0.3">
      <c r="A311" s="10" t="s">
        <v>318</v>
      </c>
      <c r="B311" s="68" t="s">
        <v>395</v>
      </c>
      <c r="C311" s="8"/>
      <c r="D311" s="71"/>
      <c r="E311" s="72"/>
    </row>
    <row r="312" spans="1:5" s="73" customFormat="1" ht="21.75" hidden="1" customHeight="1" x14ac:dyDescent="0.3">
      <c r="A312" s="10" t="s">
        <v>319</v>
      </c>
      <c r="B312" s="68" t="s">
        <v>390</v>
      </c>
      <c r="C312" s="8"/>
      <c r="D312" s="71"/>
      <c r="E312" s="72"/>
    </row>
    <row r="313" spans="1:5" s="73" customFormat="1" ht="21.75" hidden="1" customHeight="1" x14ac:dyDescent="0.3">
      <c r="A313" s="13" t="s">
        <v>320</v>
      </c>
      <c r="B313" s="68" t="s">
        <v>390</v>
      </c>
      <c r="C313" s="8"/>
      <c r="D313" s="71"/>
      <c r="E313" s="72"/>
    </row>
    <row r="314" spans="1:5" s="73" customFormat="1" ht="21.75" hidden="1" customHeight="1" x14ac:dyDescent="0.3">
      <c r="A314" s="10" t="s">
        <v>321</v>
      </c>
      <c r="B314" s="68" t="s">
        <v>390</v>
      </c>
      <c r="C314" s="42"/>
      <c r="D314" s="71"/>
      <c r="E314" s="72"/>
    </row>
    <row r="315" spans="1:5" s="73" customFormat="1" ht="21.75" hidden="1" customHeight="1" x14ac:dyDescent="0.3">
      <c r="A315" s="10" t="s">
        <v>322</v>
      </c>
      <c r="B315" s="68" t="s">
        <v>395</v>
      </c>
      <c r="C315" s="8"/>
      <c r="D315" s="71"/>
      <c r="E315" s="72"/>
    </row>
    <row r="316" spans="1:5" s="73" customFormat="1" ht="21.75" hidden="1" customHeight="1" x14ac:dyDescent="0.3">
      <c r="A316" s="10" t="s">
        <v>323</v>
      </c>
      <c r="B316" s="68" t="s">
        <v>393</v>
      </c>
      <c r="C316" s="8"/>
      <c r="D316" s="71"/>
      <c r="E316" s="72"/>
    </row>
    <row r="317" spans="1:5" s="73" customFormat="1" ht="21.75" hidden="1" customHeight="1" x14ac:dyDescent="0.3">
      <c r="A317" s="23" t="s">
        <v>324</v>
      </c>
      <c r="B317" s="68" t="s">
        <v>390</v>
      </c>
      <c r="C317" s="8"/>
      <c r="D317" s="71"/>
      <c r="E317" s="72"/>
    </row>
    <row r="318" spans="1:5" s="73" customFormat="1" ht="21.75" hidden="1" customHeight="1" x14ac:dyDescent="0.3">
      <c r="A318" s="23" t="s">
        <v>325</v>
      </c>
      <c r="B318" s="68" t="s">
        <v>390</v>
      </c>
      <c r="C318" s="8"/>
      <c r="D318" s="71"/>
      <c r="E318" s="72"/>
    </row>
    <row r="319" spans="1:5" s="73" customFormat="1" ht="21.75" hidden="1" customHeight="1" x14ac:dyDescent="0.3">
      <c r="A319" s="10" t="s">
        <v>326</v>
      </c>
      <c r="B319" s="68" t="s">
        <v>390</v>
      </c>
      <c r="C319" s="8"/>
      <c r="D319" s="71"/>
      <c r="E319" s="72"/>
    </row>
    <row r="320" spans="1:5" s="73" customFormat="1" ht="21.75" hidden="1" customHeight="1" x14ac:dyDescent="0.3">
      <c r="A320" s="10" t="s">
        <v>327</v>
      </c>
      <c r="B320" s="68" t="s">
        <v>390</v>
      </c>
      <c r="C320" s="8"/>
      <c r="D320" s="71"/>
      <c r="E320" s="72"/>
    </row>
    <row r="321" spans="1:5" s="73" customFormat="1" ht="21.75" hidden="1" customHeight="1" x14ac:dyDescent="0.3">
      <c r="A321" s="23" t="s">
        <v>328</v>
      </c>
      <c r="B321" s="68" t="s">
        <v>390</v>
      </c>
      <c r="C321" s="8"/>
      <c r="D321" s="71"/>
      <c r="E321" s="72"/>
    </row>
    <row r="322" spans="1:5" s="73" customFormat="1" ht="21.75" hidden="1" customHeight="1" x14ac:dyDescent="0.3">
      <c r="A322" s="10" t="s">
        <v>329</v>
      </c>
      <c r="B322" s="68" t="s">
        <v>395</v>
      </c>
      <c r="C322" s="8"/>
      <c r="D322" s="71"/>
      <c r="E322" s="72"/>
    </row>
    <row r="323" spans="1:5" s="73" customFormat="1" ht="21.75" hidden="1" customHeight="1" x14ac:dyDescent="0.3">
      <c r="A323" s="10" t="s">
        <v>330</v>
      </c>
      <c r="B323" s="68" t="s">
        <v>395</v>
      </c>
      <c r="C323" s="8"/>
      <c r="D323" s="71"/>
      <c r="E323" s="72"/>
    </row>
    <row r="324" spans="1:5" s="73" customFormat="1" ht="21.75" hidden="1" customHeight="1" x14ac:dyDescent="0.3">
      <c r="A324" s="10" t="s">
        <v>331</v>
      </c>
      <c r="B324" s="68" t="s">
        <v>395</v>
      </c>
      <c r="C324" s="8"/>
      <c r="D324" s="71"/>
      <c r="E324" s="72"/>
    </row>
    <row r="325" spans="1:5" s="73" customFormat="1" ht="21.75" hidden="1" customHeight="1" x14ac:dyDescent="0.3">
      <c r="A325" s="10" t="s">
        <v>332</v>
      </c>
      <c r="B325" s="68" t="s">
        <v>395</v>
      </c>
      <c r="C325" s="8"/>
      <c r="D325" s="71"/>
      <c r="E325" s="72"/>
    </row>
    <row r="326" spans="1:5" s="73" customFormat="1" ht="21.75" hidden="1" customHeight="1" x14ac:dyDescent="0.3">
      <c r="A326" s="10" t="s">
        <v>333</v>
      </c>
      <c r="B326" s="68" t="s">
        <v>395</v>
      </c>
      <c r="C326" s="8"/>
      <c r="D326" s="71"/>
      <c r="E326" s="72"/>
    </row>
    <row r="327" spans="1:5" s="73" customFormat="1" ht="21.75" hidden="1" customHeight="1" x14ac:dyDescent="0.3">
      <c r="A327" s="10" t="s">
        <v>334</v>
      </c>
      <c r="B327" s="68" t="s">
        <v>397</v>
      </c>
      <c r="C327" s="8"/>
      <c r="D327" s="71"/>
      <c r="E327" s="72"/>
    </row>
    <row r="328" spans="1:5" s="73" customFormat="1" ht="21.75" hidden="1" customHeight="1" x14ac:dyDescent="0.3">
      <c r="A328" s="10" t="s">
        <v>335</v>
      </c>
      <c r="B328" s="68" t="s">
        <v>390</v>
      </c>
      <c r="C328" s="8"/>
      <c r="D328" s="71"/>
      <c r="E328" s="72"/>
    </row>
    <row r="329" spans="1:5" s="73" customFormat="1" ht="21.75" hidden="1" customHeight="1" x14ac:dyDescent="0.3">
      <c r="A329" s="10" t="s">
        <v>336</v>
      </c>
      <c r="B329" s="68" t="s">
        <v>390</v>
      </c>
      <c r="C329" s="8"/>
      <c r="D329" s="71"/>
      <c r="E329" s="72"/>
    </row>
    <row r="330" spans="1:5" s="73" customFormat="1" ht="21.75" hidden="1" customHeight="1" x14ac:dyDescent="0.3">
      <c r="A330" s="12" t="s">
        <v>338</v>
      </c>
      <c r="B330" s="68" t="s">
        <v>390</v>
      </c>
      <c r="C330" s="8"/>
      <c r="D330" s="71"/>
      <c r="E330" s="72"/>
    </row>
    <row r="331" spans="1:5" s="73" customFormat="1" ht="19.2" customHeight="1" x14ac:dyDescent="0.3">
      <c r="A331" s="43"/>
      <c r="B331" s="46">
        <v>0</v>
      </c>
      <c r="C331" s="46">
        <v>5351</v>
      </c>
      <c r="D331" s="94"/>
      <c r="E331" s="72">
        <f>SUBTOTAL(9,E7:E201)</f>
        <v>61636000</v>
      </c>
    </row>
    <row r="332" spans="1:5" ht="34.799999999999997" customHeight="1" x14ac:dyDescent="0.3">
      <c r="A332" s="154" t="s">
        <v>403</v>
      </c>
      <c r="B332" s="103" t="s">
        <v>389</v>
      </c>
      <c r="C332" s="104" t="s">
        <v>1</v>
      </c>
      <c r="D332" s="105" t="s">
        <v>340</v>
      </c>
      <c r="E332" s="106" t="s">
        <v>341</v>
      </c>
    </row>
    <row r="333" spans="1:5" ht="18.75" hidden="1" customHeight="1" x14ac:dyDescent="0.3">
      <c r="A333" s="153"/>
      <c r="B333" s="61"/>
      <c r="C333" s="5"/>
      <c r="D333" s="63"/>
      <c r="E333" s="66"/>
    </row>
    <row r="334" spans="1:5" ht="19.2" customHeight="1" x14ac:dyDescent="0.3">
      <c r="A334" s="6" t="s">
        <v>2</v>
      </c>
      <c r="B334" s="68" t="s">
        <v>390</v>
      </c>
      <c r="C334" s="8">
        <v>5</v>
      </c>
      <c r="D334" s="71">
        <f>VLOOKUP(A334,'12.6'!A3:C331,3,)</f>
        <v>11000</v>
      </c>
      <c r="E334" s="72">
        <f>+D334*C334</f>
        <v>55000</v>
      </c>
    </row>
    <row r="335" spans="1:5" ht="18" hidden="1" x14ac:dyDescent="0.3">
      <c r="A335" s="9" t="s">
        <v>3</v>
      </c>
      <c r="B335" s="68" t="s">
        <v>391</v>
      </c>
      <c r="C335" s="8"/>
      <c r="D335" s="71"/>
      <c r="E335" s="72"/>
    </row>
    <row r="336" spans="1:5" ht="18" hidden="1" x14ac:dyDescent="0.3">
      <c r="A336" s="6" t="s">
        <v>4</v>
      </c>
      <c r="B336" s="68" t="s">
        <v>390</v>
      </c>
      <c r="C336" s="8"/>
      <c r="D336" s="71"/>
      <c r="E336" s="72"/>
    </row>
    <row r="337" spans="1:5" ht="18" hidden="1" x14ac:dyDescent="0.3">
      <c r="A337" s="6" t="s">
        <v>5</v>
      </c>
      <c r="B337" s="68" t="s">
        <v>390</v>
      </c>
      <c r="C337" s="8"/>
      <c r="D337" s="71"/>
      <c r="E337" s="72"/>
    </row>
    <row r="338" spans="1:5" ht="18" hidden="1" x14ac:dyDescent="0.3">
      <c r="A338" s="10" t="s">
        <v>6</v>
      </c>
      <c r="B338" s="68" t="s">
        <v>391</v>
      </c>
      <c r="C338" s="8"/>
      <c r="D338" s="71"/>
      <c r="E338" s="72"/>
    </row>
    <row r="339" spans="1:5" ht="18" hidden="1" x14ac:dyDescent="0.3">
      <c r="A339" s="11" t="s">
        <v>7</v>
      </c>
      <c r="B339" s="68" t="s">
        <v>390</v>
      </c>
      <c r="C339" s="8"/>
      <c r="D339" s="71"/>
      <c r="E339" s="72"/>
    </row>
    <row r="340" spans="1:5" ht="18" hidden="1" x14ac:dyDescent="0.3">
      <c r="A340" s="6" t="s">
        <v>8</v>
      </c>
      <c r="B340" s="68" t="s">
        <v>390</v>
      </c>
      <c r="C340" s="8"/>
      <c r="D340" s="71"/>
      <c r="E340" s="72"/>
    </row>
    <row r="341" spans="1:5" ht="18" hidden="1" x14ac:dyDescent="0.3">
      <c r="A341" s="6" t="s">
        <v>9</v>
      </c>
      <c r="B341" s="68" t="s">
        <v>390</v>
      </c>
      <c r="C341" s="8"/>
      <c r="D341" s="71"/>
      <c r="E341" s="72"/>
    </row>
    <row r="342" spans="1:5" ht="18" hidden="1" x14ac:dyDescent="0.3">
      <c r="A342" s="12" t="s">
        <v>10</v>
      </c>
      <c r="B342" s="68" t="s">
        <v>398</v>
      </c>
      <c r="C342" s="8"/>
      <c r="D342" s="71"/>
      <c r="E342" s="72"/>
    </row>
    <row r="343" spans="1:5" ht="18" hidden="1" x14ac:dyDescent="0.3">
      <c r="A343" s="10" t="s">
        <v>11</v>
      </c>
      <c r="B343" s="68" t="s">
        <v>390</v>
      </c>
      <c r="C343" s="8"/>
      <c r="D343" s="71"/>
      <c r="E343" s="72"/>
    </row>
    <row r="344" spans="1:5" ht="18" hidden="1" x14ac:dyDescent="0.3">
      <c r="A344" s="10" t="s">
        <v>12</v>
      </c>
      <c r="B344" s="68" t="s">
        <v>390</v>
      </c>
      <c r="C344" s="8"/>
      <c r="D344" s="71"/>
      <c r="E344" s="72"/>
    </row>
    <row r="345" spans="1:5" ht="18" hidden="1" x14ac:dyDescent="0.3">
      <c r="A345" s="13" t="s">
        <v>13</v>
      </c>
      <c r="B345" s="68" t="s">
        <v>392</v>
      </c>
      <c r="C345" s="8"/>
      <c r="D345" s="71"/>
      <c r="E345" s="72"/>
    </row>
    <row r="346" spans="1:5" ht="19.2" customHeight="1" x14ac:dyDescent="0.3">
      <c r="A346" s="13" t="s">
        <v>14</v>
      </c>
      <c r="B346" s="68" t="s">
        <v>390</v>
      </c>
      <c r="C346" s="8">
        <v>22</v>
      </c>
      <c r="D346" s="71">
        <v>19000</v>
      </c>
      <c r="E346" s="72">
        <f>+D346*C346</f>
        <v>418000</v>
      </c>
    </row>
    <row r="347" spans="1:5" ht="18" hidden="1" x14ac:dyDescent="0.3">
      <c r="A347" s="10" t="s">
        <v>15</v>
      </c>
      <c r="B347" s="68" t="s">
        <v>390</v>
      </c>
      <c r="C347" s="8"/>
      <c r="D347" s="71"/>
      <c r="E347" s="72"/>
    </row>
    <row r="348" spans="1:5" ht="18" hidden="1" x14ac:dyDescent="0.3">
      <c r="A348" s="10" t="s">
        <v>16</v>
      </c>
      <c r="B348" s="68" t="s">
        <v>390</v>
      </c>
      <c r="C348" s="8"/>
      <c r="D348" s="77"/>
      <c r="E348" s="72"/>
    </row>
    <row r="349" spans="1:5" ht="19.2" customHeight="1" x14ac:dyDescent="0.3">
      <c r="A349" s="14" t="s">
        <v>17</v>
      </c>
      <c r="B349" s="68" t="s">
        <v>392</v>
      </c>
      <c r="C349" s="8">
        <v>25</v>
      </c>
      <c r="D349" s="71">
        <f>VLOOKUP(A349,'12.6'!A18:C346,3,)</f>
        <v>3500</v>
      </c>
      <c r="E349" s="72">
        <f>+D349*C349</f>
        <v>87500</v>
      </c>
    </row>
    <row r="350" spans="1:5" ht="18" hidden="1" x14ac:dyDescent="0.3">
      <c r="A350" s="12" t="s">
        <v>18</v>
      </c>
      <c r="B350" s="68" t="s">
        <v>390</v>
      </c>
      <c r="C350" s="8"/>
      <c r="D350" s="71"/>
      <c r="E350" s="72"/>
    </row>
    <row r="351" spans="1:5" ht="19.2" customHeight="1" x14ac:dyDescent="0.3">
      <c r="A351" s="10" t="s">
        <v>19</v>
      </c>
      <c r="B351" s="68" t="s">
        <v>390</v>
      </c>
      <c r="C351" s="8">
        <v>200</v>
      </c>
      <c r="D351" s="71">
        <v>17000</v>
      </c>
      <c r="E351" s="72">
        <f>+D351*C351</f>
        <v>3400000</v>
      </c>
    </row>
    <row r="352" spans="1:5" ht="18" hidden="1" x14ac:dyDescent="0.3">
      <c r="A352" s="13" t="s">
        <v>20</v>
      </c>
      <c r="B352" s="68" t="s">
        <v>392</v>
      </c>
      <c r="C352" s="8"/>
      <c r="D352" s="71"/>
      <c r="E352" s="72"/>
    </row>
    <row r="353" spans="1:5" ht="18" hidden="1" x14ac:dyDescent="0.3">
      <c r="A353" s="13" t="s">
        <v>21</v>
      </c>
      <c r="B353" s="68" t="s">
        <v>390</v>
      </c>
      <c r="C353" s="8"/>
      <c r="D353" s="71"/>
      <c r="E353" s="72"/>
    </row>
    <row r="354" spans="1:5" ht="18" hidden="1" x14ac:dyDescent="0.3">
      <c r="A354" s="10" t="s">
        <v>22</v>
      </c>
      <c r="B354" s="68" t="s">
        <v>390</v>
      </c>
      <c r="C354" s="8"/>
      <c r="D354" s="71"/>
      <c r="E354" s="72"/>
    </row>
    <row r="355" spans="1:5" ht="18" hidden="1" x14ac:dyDescent="0.3">
      <c r="A355" s="10" t="s">
        <v>23</v>
      </c>
      <c r="B355" s="68" t="s">
        <v>392</v>
      </c>
      <c r="C355" s="8"/>
      <c r="D355" s="71"/>
      <c r="E355" s="72"/>
    </row>
    <row r="356" spans="1:5" ht="19.2" customHeight="1" x14ac:dyDescent="0.3">
      <c r="A356" s="10" t="s">
        <v>24</v>
      </c>
      <c r="B356" s="68" t="s">
        <v>390</v>
      </c>
      <c r="C356" s="8">
        <v>45</v>
      </c>
      <c r="D356" s="71">
        <v>11000</v>
      </c>
      <c r="E356" s="72">
        <f>+D356*C356</f>
        <v>495000</v>
      </c>
    </row>
    <row r="357" spans="1:5" ht="18" hidden="1" x14ac:dyDescent="0.3">
      <c r="A357" s="10" t="s">
        <v>25</v>
      </c>
      <c r="B357" s="68" t="s">
        <v>392</v>
      </c>
      <c r="C357" s="8"/>
      <c r="D357" s="71"/>
      <c r="E357" s="72"/>
    </row>
    <row r="358" spans="1:5" ht="18" hidden="1" x14ac:dyDescent="0.3">
      <c r="A358" s="10" t="s">
        <v>26</v>
      </c>
      <c r="B358" s="68" t="s">
        <v>390</v>
      </c>
      <c r="C358" s="8"/>
      <c r="D358" s="71"/>
      <c r="E358" s="72"/>
    </row>
    <row r="359" spans="1:5" ht="19.2" customHeight="1" x14ac:dyDescent="0.3">
      <c r="A359" s="10" t="s">
        <v>27</v>
      </c>
      <c r="B359" s="68" t="s">
        <v>390</v>
      </c>
      <c r="C359" s="8">
        <v>118</v>
      </c>
      <c r="D359" s="71">
        <f>VLOOKUP(A359,'12.6'!A28:C356,3,)</f>
        <v>13000</v>
      </c>
      <c r="E359" s="72">
        <f>+D359*C359</f>
        <v>1534000</v>
      </c>
    </row>
    <row r="360" spans="1:5" ht="18" hidden="1" x14ac:dyDescent="0.3">
      <c r="A360" s="13" t="s">
        <v>28</v>
      </c>
      <c r="B360" s="68" t="s">
        <v>390</v>
      </c>
      <c r="C360" s="8"/>
      <c r="D360" s="71"/>
      <c r="E360" s="72"/>
    </row>
    <row r="361" spans="1:5" ht="18" hidden="1" x14ac:dyDescent="0.3">
      <c r="A361" s="12" t="s">
        <v>29</v>
      </c>
      <c r="B361" s="68" t="s">
        <v>399</v>
      </c>
      <c r="C361" s="8"/>
      <c r="D361" s="71"/>
      <c r="E361" s="72"/>
    </row>
    <row r="362" spans="1:5" ht="18" hidden="1" x14ac:dyDescent="0.3">
      <c r="A362" s="12" t="s">
        <v>30</v>
      </c>
      <c r="B362" s="68" t="s">
        <v>399</v>
      </c>
      <c r="C362" s="8"/>
      <c r="D362" s="71"/>
      <c r="E362" s="72"/>
    </row>
    <row r="363" spans="1:5" ht="18" hidden="1" x14ac:dyDescent="0.3">
      <c r="A363" s="12" t="s">
        <v>31</v>
      </c>
      <c r="B363" s="68" t="s">
        <v>399</v>
      </c>
      <c r="C363" s="8"/>
      <c r="D363" s="71"/>
      <c r="E363" s="72"/>
    </row>
    <row r="364" spans="1:5" ht="18" hidden="1" x14ac:dyDescent="0.3">
      <c r="A364" s="13" t="s">
        <v>367</v>
      </c>
      <c r="B364" s="68" t="s">
        <v>399</v>
      </c>
      <c r="C364" s="8"/>
      <c r="D364" s="71"/>
      <c r="E364" s="72"/>
    </row>
    <row r="365" spans="1:5" ht="18" hidden="1" x14ac:dyDescent="0.3">
      <c r="A365" s="12" t="s">
        <v>32</v>
      </c>
      <c r="B365" s="68" t="s">
        <v>399</v>
      </c>
      <c r="C365" s="8"/>
      <c r="D365" s="71"/>
      <c r="E365" s="72"/>
    </row>
    <row r="366" spans="1:5" ht="18" hidden="1" x14ac:dyDescent="0.3">
      <c r="A366" s="12" t="s">
        <v>33</v>
      </c>
      <c r="B366" s="68" t="s">
        <v>399</v>
      </c>
      <c r="C366" s="8"/>
      <c r="D366" s="71"/>
      <c r="E366" s="72"/>
    </row>
    <row r="367" spans="1:5" ht="18" hidden="1" x14ac:dyDescent="0.3">
      <c r="A367" s="12" t="s">
        <v>34</v>
      </c>
      <c r="B367" s="68" t="s">
        <v>399</v>
      </c>
      <c r="C367" s="8"/>
      <c r="D367" s="71"/>
      <c r="E367" s="72"/>
    </row>
    <row r="368" spans="1:5" ht="18" hidden="1" x14ac:dyDescent="0.3">
      <c r="A368" s="13" t="s">
        <v>35</v>
      </c>
      <c r="B368" s="68" t="s">
        <v>390</v>
      </c>
      <c r="C368" s="8"/>
      <c r="D368" s="71"/>
      <c r="E368" s="72"/>
    </row>
    <row r="369" spans="1:5" ht="18" hidden="1" x14ac:dyDescent="0.3">
      <c r="A369" s="10" t="s">
        <v>36</v>
      </c>
      <c r="B369" s="68" t="s">
        <v>390</v>
      </c>
      <c r="C369" s="8"/>
      <c r="D369" s="71"/>
      <c r="E369" s="72"/>
    </row>
    <row r="370" spans="1:5" ht="18" hidden="1" x14ac:dyDescent="0.3">
      <c r="A370" s="10" t="s">
        <v>37</v>
      </c>
      <c r="B370" s="68" t="s">
        <v>393</v>
      </c>
      <c r="C370" s="8"/>
      <c r="D370" s="71"/>
      <c r="E370" s="72"/>
    </row>
    <row r="371" spans="1:5" ht="18" hidden="1" x14ac:dyDescent="0.3">
      <c r="A371" s="12" t="s">
        <v>38</v>
      </c>
      <c r="B371" s="68" t="s">
        <v>390</v>
      </c>
      <c r="C371" s="17"/>
      <c r="D371" s="71"/>
      <c r="E371" s="72"/>
    </row>
    <row r="372" spans="1:5" ht="18" hidden="1" x14ac:dyDescent="0.3">
      <c r="A372" s="12" t="s">
        <v>39</v>
      </c>
      <c r="B372" s="68" t="s">
        <v>390</v>
      </c>
      <c r="C372" s="17"/>
      <c r="D372" s="71"/>
      <c r="E372" s="72"/>
    </row>
    <row r="373" spans="1:5" ht="18" hidden="1" x14ac:dyDescent="0.3">
      <c r="A373" s="10" t="s">
        <v>40</v>
      </c>
      <c r="B373" s="68" t="s">
        <v>390</v>
      </c>
      <c r="C373" s="8"/>
      <c r="D373" s="71"/>
      <c r="E373" s="72"/>
    </row>
    <row r="374" spans="1:5" ht="18" hidden="1" x14ac:dyDescent="0.3">
      <c r="A374" s="10" t="s">
        <v>41</v>
      </c>
      <c r="B374" s="68" t="s">
        <v>390</v>
      </c>
      <c r="C374" s="8"/>
      <c r="D374" s="71"/>
      <c r="E374" s="72"/>
    </row>
    <row r="375" spans="1:5" ht="18" hidden="1" x14ac:dyDescent="0.3">
      <c r="A375" s="18" t="s">
        <v>42</v>
      </c>
      <c r="B375" s="68" t="s">
        <v>394</v>
      </c>
      <c r="C375" s="8"/>
      <c r="D375" s="71"/>
      <c r="E375" s="72"/>
    </row>
    <row r="376" spans="1:5" ht="18" hidden="1" x14ac:dyDescent="0.3">
      <c r="A376" s="10" t="s">
        <v>43</v>
      </c>
      <c r="B376" s="68" t="s">
        <v>390</v>
      </c>
      <c r="C376" s="8"/>
      <c r="D376" s="71"/>
      <c r="E376" s="72"/>
    </row>
    <row r="377" spans="1:5" ht="18" hidden="1" x14ac:dyDescent="0.3">
      <c r="A377" s="10" t="s">
        <v>44</v>
      </c>
      <c r="B377" s="68" t="s">
        <v>395</v>
      </c>
      <c r="C377" s="8"/>
      <c r="D377" s="71"/>
      <c r="E377" s="72"/>
    </row>
    <row r="378" spans="1:5" ht="18" hidden="1" x14ac:dyDescent="0.3">
      <c r="A378" s="10" t="s">
        <v>45</v>
      </c>
      <c r="B378" s="68" t="s">
        <v>390</v>
      </c>
      <c r="C378" s="8"/>
      <c r="D378" s="71"/>
      <c r="E378" s="72"/>
    </row>
    <row r="379" spans="1:5" ht="18" hidden="1" x14ac:dyDescent="0.3">
      <c r="A379" s="31" t="s">
        <v>46</v>
      </c>
      <c r="B379" s="68" t="s">
        <v>390</v>
      </c>
      <c r="C379" s="8"/>
      <c r="D379" s="100"/>
      <c r="E379" s="72"/>
    </row>
    <row r="380" spans="1:5" ht="18" hidden="1" x14ac:dyDescent="0.3">
      <c r="A380" s="14" t="s">
        <v>47</v>
      </c>
      <c r="B380" s="68" t="s">
        <v>395</v>
      </c>
      <c r="C380" s="8"/>
      <c r="D380" s="71"/>
      <c r="E380" s="72"/>
    </row>
    <row r="381" spans="1:5" ht="18" hidden="1" x14ac:dyDescent="0.3">
      <c r="A381" s="12" t="s">
        <v>48</v>
      </c>
      <c r="B381" s="68" t="s">
        <v>390</v>
      </c>
      <c r="C381" s="8"/>
      <c r="D381" s="71"/>
      <c r="E381" s="72"/>
    </row>
    <row r="382" spans="1:5" ht="18" hidden="1" x14ac:dyDescent="0.3">
      <c r="A382" s="14" t="s">
        <v>49</v>
      </c>
      <c r="B382" s="68" t="s">
        <v>394</v>
      </c>
      <c r="C382" s="8"/>
      <c r="D382" s="71"/>
      <c r="E382" s="72"/>
    </row>
    <row r="383" spans="1:5" ht="18" hidden="1" x14ac:dyDescent="0.3">
      <c r="A383" s="10" t="s">
        <v>50</v>
      </c>
      <c r="B383" s="68" t="s">
        <v>390</v>
      </c>
      <c r="C383" s="8"/>
      <c r="D383" s="71"/>
      <c r="E383" s="72"/>
    </row>
    <row r="384" spans="1:5" ht="18" hidden="1" x14ac:dyDescent="0.3">
      <c r="A384" s="10" t="s">
        <v>51</v>
      </c>
      <c r="B384" s="68" t="s">
        <v>390</v>
      </c>
      <c r="C384" s="8"/>
      <c r="D384" s="71"/>
      <c r="E384" s="72"/>
    </row>
    <row r="385" spans="1:5" ht="19.2" customHeight="1" x14ac:dyDescent="0.3">
      <c r="A385" s="13" t="s">
        <v>52</v>
      </c>
      <c r="B385" s="68" t="s">
        <v>390</v>
      </c>
      <c r="C385" s="8">
        <v>80</v>
      </c>
      <c r="D385" s="71">
        <v>17000</v>
      </c>
      <c r="E385" s="72">
        <f t="shared" ref="E385:E386" si="0">+D385*C385</f>
        <v>1360000</v>
      </c>
    </row>
    <row r="386" spans="1:5" ht="19.2" customHeight="1" x14ac:dyDescent="0.3">
      <c r="A386" s="10" t="s">
        <v>53</v>
      </c>
      <c r="B386" s="68" t="s">
        <v>390</v>
      </c>
      <c r="C386" s="8">
        <v>2</v>
      </c>
      <c r="D386" s="71">
        <f>VLOOKUP(A386,'12.6'!A55:C383,3,)</f>
        <v>27500</v>
      </c>
      <c r="E386" s="72">
        <f t="shared" si="0"/>
        <v>55000</v>
      </c>
    </row>
    <row r="387" spans="1:5" ht="18" hidden="1" x14ac:dyDescent="0.3">
      <c r="A387" s="18" t="s">
        <v>54</v>
      </c>
      <c r="B387" s="68" t="s">
        <v>396</v>
      </c>
      <c r="C387" s="8"/>
      <c r="D387" s="71"/>
      <c r="E387" s="72"/>
    </row>
    <row r="388" spans="1:5" ht="19.2" customHeight="1" x14ac:dyDescent="0.3">
      <c r="A388" s="18" t="s">
        <v>55</v>
      </c>
      <c r="B388" s="68" t="s">
        <v>396</v>
      </c>
      <c r="C388" s="8">
        <v>15</v>
      </c>
      <c r="D388" s="71">
        <f>VLOOKUP(A388,'12.6'!A57:C385,3,)</f>
        <v>16500</v>
      </c>
      <c r="E388" s="72">
        <f>+D388*C388</f>
        <v>247500</v>
      </c>
    </row>
    <row r="389" spans="1:5" ht="18" hidden="1" x14ac:dyDescent="0.3">
      <c r="A389" s="18" t="s">
        <v>56</v>
      </c>
      <c r="B389" s="68" t="s">
        <v>390</v>
      </c>
      <c r="C389" s="8"/>
      <c r="D389" s="71"/>
      <c r="E389" s="79"/>
    </row>
    <row r="390" spans="1:5" ht="18" hidden="1" x14ac:dyDescent="0.3">
      <c r="A390" s="10" t="s">
        <v>57</v>
      </c>
      <c r="B390" s="68" t="s">
        <v>390</v>
      </c>
      <c r="C390" s="8"/>
      <c r="D390" s="71"/>
      <c r="E390" s="79"/>
    </row>
    <row r="391" spans="1:5" ht="18" hidden="1" x14ac:dyDescent="0.3">
      <c r="A391" s="12" t="s">
        <v>58</v>
      </c>
      <c r="B391" s="68" t="s">
        <v>390</v>
      </c>
      <c r="C391" s="8"/>
      <c r="D391" s="71"/>
      <c r="E391" s="72"/>
    </row>
    <row r="392" spans="1:5" ht="18" hidden="1" x14ac:dyDescent="0.3">
      <c r="A392" s="10" t="s">
        <v>59</v>
      </c>
      <c r="B392" s="68" t="s">
        <v>390</v>
      </c>
      <c r="C392" s="8"/>
      <c r="D392" s="71"/>
      <c r="E392" s="79"/>
    </row>
    <row r="393" spans="1:5" ht="18" hidden="1" x14ac:dyDescent="0.3">
      <c r="A393" s="31" t="s">
        <v>60</v>
      </c>
      <c r="B393" s="68" t="s">
        <v>390</v>
      </c>
      <c r="C393" s="8"/>
      <c r="D393" s="71"/>
      <c r="E393" s="72"/>
    </row>
    <row r="394" spans="1:5" ht="18" hidden="1" x14ac:dyDescent="0.3">
      <c r="A394" s="18" t="s">
        <v>61</v>
      </c>
      <c r="B394" s="68" t="s">
        <v>396</v>
      </c>
      <c r="C394" s="8"/>
      <c r="D394" s="71"/>
      <c r="E394" s="72"/>
    </row>
    <row r="395" spans="1:5" ht="18" hidden="1" x14ac:dyDescent="0.3">
      <c r="A395" s="10" t="s">
        <v>62</v>
      </c>
      <c r="B395" s="68" t="s">
        <v>393</v>
      </c>
      <c r="C395" s="8"/>
      <c r="D395" s="71"/>
      <c r="E395" s="79"/>
    </row>
    <row r="396" spans="1:5" ht="18" hidden="1" x14ac:dyDescent="0.3">
      <c r="A396" s="21" t="s">
        <v>63</v>
      </c>
      <c r="B396" s="68" t="s">
        <v>390</v>
      </c>
      <c r="C396" s="8"/>
      <c r="D396" s="71"/>
      <c r="E396" s="72"/>
    </row>
    <row r="397" spans="1:5" ht="18" hidden="1" x14ac:dyDescent="0.3">
      <c r="A397" s="10" t="s">
        <v>64</v>
      </c>
      <c r="B397" s="68" t="s">
        <v>390</v>
      </c>
      <c r="C397" s="8"/>
      <c r="D397" s="71"/>
      <c r="E397" s="79"/>
    </row>
    <row r="398" spans="1:5" ht="18" hidden="1" x14ac:dyDescent="0.3">
      <c r="A398" s="10" t="s">
        <v>65</v>
      </c>
      <c r="B398" s="68" t="s">
        <v>390</v>
      </c>
      <c r="C398" s="8"/>
      <c r="D398" s="71"/>
      <c r="E398" s="79"/>
    </row>
    <row r="399" spans="1:5" ht="18" hidden="1" x14ac:dyDescent="0.3">
      <c r="A399" s="22" t="s">
        <v>66</v>
      </c>
      <c r="B399" s="68" t="s">
        <v>390</v>
      </c>
      <c r="C399" s="8"/>
      <c r="D399" s="71"/>
      <c r="E399" s="79"/>
    </row>
    <row r="400" spans="1:5" ht="18" hidden="1" x14ac:dyDescent="0.3">
      <c r="A400" s="13" t="s">
        <v>67</v>
      </c>
      <c r="B400" s="68" t="s">
        <v>390</v>
      </c>
      <c r="C400" s="8"/>
      <c r="D400" s="71"/>
      <c r="E400" s="72"/>
    </row>
    <row r="401" spans="1:5" ht="19.2" customHeight="1" x14ac:dyDescent="0.3">
      <c r="A401" s="13" t="s">
        <v>68</v>
      </c>
      <c r="B401" s="68" t="s">
        <v>396</v>
      </c>
      <c r="C401" s="8">
        <v>20</v>
      </c>
      <c r="D401" s="71">
        <v>12000</v>
      </c>
      <c r="E401" s="72">
        <f>+D401*C401</f>
        <v>240000</v>
      </c>
    </row>
    <row r="402" spans="1:5" ht="18" hidden="1" x14ac:dyDescent="0.3">
      <c r="A402" s="12" t="s">
        <v>69</v>
      </c>
      <c r="B402" s="68" t="s">
        <v>390</v>
      </c>
      <c r="C402" s="8"/>
      <c r="D402" s="71"/>
      <c r="E402" s="72"/>
    </row>
    <row r="403" spans="1:5" ht="18" hidden="1" x14ac:dyDescent="0.3">
      <c r="A403" s="13" t="s">
        <v>70</v>
      </c>
      <c r="B403" s="68" t="s">
        <v>390</v>
      </c>
      <c r="C403" s="8"/>
      <c r="D403" s="71"/>
      <c r="E403" s="72"/>
    </row>
    <row r="404" spans="1:5" ht="18" hidden="1" x14ac:dyDescent="0.3">
      <c r="A404" s="13" t="s">
        <v>71</v>
      </c>
      <c r="B404" s="68" t="s">
        <v>390</v>
      </c>
      <c r="C404" s="8"/>
      <c r="D404" s="71"/>
      <c r="E404" s="72"/>
    </row>
    <row r="405" spans="1:5" ht="18" hidden="1" x14ac:dyDescent="0.3">
      <c r="A405" s="13" t="s">
        <v>72</v>
      </c>
      <c r="B405" s="68" t="s">
        <v>396</v>
      </c>
      <c r="C405" s="8"/>
      <c r="D405" s="71"/>
      <c r="E405" s="72"/>
    </row>
    <row r="406" spans="1:5" ht="18" hidden="1" x14ac:dyDescent="0.3">
      <c r="A406" s="22" t="s">
        <v>73</v>
      </c>
      <c r="B406" s="68" t="s">
        <v>390</v>
      </c>
      <c r="C406" s="8"/>
      <c r="D406" s="71"/>
      <c r="E406" s="72"/>
    </row>
    <row r="407" spans="1:5" ht="18" hidden="1" x14ac:dyDescent="0.3">
      <c r="A407" s="10" t="s">
        <v>74</v>
      </c>
      <c r="B407" s="68" t="s">
        <v>396</v>
      </c>
      <c r="C407" s="8"/>
      <c r="D407" s="71"/>
      <c r="E407" s="72"/>
    </row>
    <row r="408" spans="1:5" ht="19.2" customHeight="1" x14ac:dyDescent="0.3">
      <c r="A408" s="10" t="s">
        <v>75</v>
      </c>
      <c r="B408" s="68" t="s">
        <v>394</v>
      </c>
      <c r="C408" s="8">
        <v>270</v>
      </c>
      <c r="D408" s="71">
        <f>17000*0.4</f>
        <v>6800</v>
      </c>
      <c r="E408" s="72">
        <f>+D408*C408</f>
        <v>1836000</v>
      </c>
    </row>
    <row r="409" spans="1:5" ht="18" hidden="1" x14ac:dyDescent="0.3">
      <c r="A409" s="10" t="s">
        <v>77</v>
      </c>
      <c r="B409" s="68" t="s">
        <v>390</v>
      </c>
      <c r="C409" s="8"/>
      <c r="D409" s="71"/>
      <c r="E409" s="72"/>
    </row>
    <row r="410" spans="1:5" ht="18" hidden="1" x14ac:dyDescent="0.3">
      <c r="A410" s="14" t="s">
        <v>78</v>
      </c>
      <c r="B410" s="68" t="s">
        <v>394</v>
      </c>
      <c r="C410" s="8"/>
      <c r="D410" s="71"/>
      <c r="E410" s="72"/>
    </row>
    <row r="411" spans="1:5" ht="18" hidden="1" x14ac:dyDescent="0.3">
      <c r="A411" s="10" t="s">
        <v>79</v>
      </c>
      <c r="B411" s="68" t="s">
        <v>397</v>
      </c>
      <c r="C411" s="8"/>
      <c r="D411" s="71"/>
      <c r="E411" s="72"/>
    </row>
    <row r="412" spans="1:5" ht="18" hidden="1" x14ac:dyDescent="0.3">
      <c r="A412" s="10" t="s">
        <v>80</v>
      </c>
      <c r="B412" s="68" t="s">
        <v>390</v>
      </c>
      <c r="C412" s="8"/>
      <c r="D412" s="71"/>
      <c r="E412" s="72"/>
    </row>
    <row r="413" spans="1:5" ht="18" hidden="1" x14ac:dyDescent="0.3">
      <c r="A413" s="10" t="s">
        <v>81</v>
      </c>
      <c r="B413" s="68" t="s">
        <v>390</v>
      </c>
      <c r="C413" s="8"/>
      <c r="D413" s="71"/>
      <c r="E413" s="72"/>
    </row>
    <row r="414" spans="1:5" ht="18" hidden="1" x14ac:dyDescent="0.3">
      <c r="A414" s="13" t="s">
        <v>82</v>
      </c>
      <c r="B414" s="68" t="s">
        <v>390</v>
      </c>
      <c r="C414" s="17"/>
      <c r="D414" s="71"/>
      <c r="E414" s="72"/>
    </row>
    <row r="415" spans="1:5" ht="18" hidden="1" x14ac:dyDescent="0.3">
      <c r="A415" s="13" t="s">
        <v>83</v>
      </c>
      <c r="B415" s="68" t="s">
        <v>390</v>
      </c>
      <c r="C415" s="17"/>
      <c r="D415" s="71"/>
      <c r="E415" s="72"/>
    </row>
    <row r="416" spans="1:5" ht="18" hidden="1" x14ac:dyDescent="0.3">
      <c r="A416" s="13" t="s">
        <v>84</v>
      </c>
      <c r="B416" s="68" t="s">
        <v>394</v>
      </c>
      <c r="C416" s="17"/>
      <c r="D416" s="71"/>
      <c r="E416" s="72"/>
    </row>
    <row r="417" spans="1:5" ht="18" hidden="1" x14ac:dyDescent="0.3">
      <c r="A417" s="10" t="s">
        <v>85</v>
      </c>
      <c r="B417" s="68" t="s">
        <v>390</v>
      </c>
      <c r="C417" s="8"/>
      <c r="D417" s="71"/>
      <c r="E417" s="72"/>
    </row>
    <row r="418" spans="1:5" ht="19.2" customHeight="1" x14ac:dyDescent="0.3">
      <c r="A418" s="10" t="s">
        <v>86</v>
      </c>
      <c r="B418" s="68" t="s">
        <v>390</v>
      </c>
      <c r="C418" s="8">
        <v>58</v>
      </c>
      <c r="D418" s="71">
        <v>15000</v>
      </c>
      <c r="E418" s="72">
        <f>+D418*C418</f>
        <v>870000</v>
      </c>
    </row>
    <row r="419" spans="1:5" ht="18" hidden="1" x14ac:dyDescent="0.3">
      <c r="A419" s="10" t="s">
        <v>87</v>
      </c>
      <c r="B419" s="68" t="s">
        <v>393</v>
      </c>
      <c r="C419" s="8"/>
      <c r="D419" s="71"/>
      <c r="E419" s="72"/>
    </row>
    <row r="420" spans="1:5" ht="18" hidden="1" x14ac:dyDescent="0.3">
      <c r="A420" s="10" t="s">
        <v>88</v>
      </c>
      <c r="B420" s="68" t="s">
        <v>390</v>
      </c>
      <c r="C420" s="8"/>
      <c r="D420" s="71"/>
      <c r="E420" s="72"/>
    </row>
    <row r="421" spans="1:5" ht="18" hidden="1" x14ac:dyDescent="0.3">
      <c r="A421" s="10" t="s">
        <v>89</v>
      </c>
      <c r="B421" s="68" t="s">
        <v>393</v>
      </c>
      <c r="C421" s="8"/>
      <c r="D421" s="71"/>
      <c r="E421" s="72"/>
    </row>
    <row r="422" spans="1:5" ht="18" hidden="1" x14ac:dyDescent="0.3">
      <c r="A422" s="10" t="s">
        <v>90</v>
      </c>
      <c r="B422" s="68" t="s">
        <v>390</v>
      </c>
      <c r="C422" s="8"/>
      <c r="D422" s="71"/>
      <c r="E422" s="72"/>
    </row>
    <row r="423" spans="1:5" ht="18" hidden="1" x14ac:dyDescent="0.3">
      <c r="A423" s="23" t="s">
        <v>91</v>
      </c>
      <c r="B423" s="68" t="s">
        <v>398</v>
      </c>
      <c r="C423" s="8"/>
      <c r="D423" s="71"/>
      <c r="E423" s="72"/>
    </row>
    <row r="424" spans="1:5" ht="18" hidden="1" x14ac:dyDescent="0.3">
      <c r="A424" s="23" t="s">
        <v>92</v>
      </c>
      <c r="B424" s="68" t="s">
        <v>396</v>
      </c>
      <c r="C424" s="8"/>
      <c r="D424" s="71"/>
      <c r="E424" s="72"/>
    </row>
    <row r="425" spans="1:5" ht="18" hidden="1" x14ac:dyDescent="0.3">
      <c r="A425" s="23" t="s">
        <v>93</v>
      </c>
      <c r="B425" s="68" t="s">
        <v>396</v>
      </c>
      <c r="C425" s="8"/>
      <c r="D425" s="71"/>
      <c r="E425" s="72"/>
    </row>
    <row r="426" spans="1:5" ht="18" hidden="1" x14ac:dyDescent="0.3">
      <c r="A426" s="12" t="s">
        <v>94</v>
      </c>
      <c r="B426" s="68" t="s">
        <v>390</v>
      </c>
      <c r="C426" s="8"/>
      <c r="D426" s="71"/>
      <c r="E426" s="72"/>
    </row>
    <row r="427" spans="1:5" ht="18" hidden="1" x14ac:dyDescent="0.3">
      <c r="A427" s="14" t="s">
        <v>95</v>
      </c>
      <c r="B427" s="68" t="s">
        <v>394</v>
      </c>
      <c r="C427" s="8"/>
      <c r="D427" s="71"/>
      <c r="E427" s="72"/>
    </row>
    <row r="428" spans="1:5" ht="18" hidden="1" x14ac:dyDescent="0.3">
      <c r="A428" s="10" t="s">
        <v>96</v>
      </c>
      <c r="B428" s="68" t="s">
        <v>390</v>
      </c>
      <c r="C428" s="8"/>
      <c r="D428" s="71"/>
      <c r="E428" s="72"/>
    </row>
    <row r="429" spans="1:5" ht="18" hidden="1" x14ac:dyDescent="0.3">
      <c r="A429" s="10" t="s">
        <v>97</v>
      </c>
      <c r="B429" s="68" t="s">
        <v>393</v>
      </c>
      <c r="C429" s="8"/>
      <c r="D429" s="71"/>
      <c r="E429" s="72"/>
    </row>
    <row r="430" spans="1:5" ht="18" hidden="1" x14ac:dyDescent="0.3">
      <c r="A430" s="12" t="s">
        <v>98</v>
      </c>
      <c r="B430" s="68" t="s">
        <v>393</v>
      </c>
      <c r="C430" s="8"/>
      <c r="D430" s="71"/>
      <c r="E430" s="72"/>
    </row>
    <row r="431" spans="1:5" ht="18" hidden="1" x14ac:dyDescent="0.3">
      <c r="A431" s="10" t="s">
        <v>99</v>
      </c>
      <c r="B431" s="68" t="s">
        <v>390</v>
      </c>
      <c r="C431" s="17"/>
      <c r="D431" s="71"/>
      <c r="E431" s="72"/>
    </row>
    <row r="432" spans="1:5" ht="18" hidden="1" x14ac:dyDescent="0.3">
      <c r="A432" s="12" t="s">
        <v>100</v>
      </c>
      <c r="B432" s="68" t="s">
        <v>393</v>
      </c>
      <c r="C432" s="8"/>
      <c r="D432" s="71"/>
      <c r="E432" s="72"/>
    </row>
    <row r="433" spans="1:5" ht="18" hidden="1" x14ac:dyDescent="0.3">
      <c r="A433" s="24" t="s">
        <v>101</v>
      </c>
      <c r="B433" s="68" t="s">
        <v>393</v>
      </c>
      <c r="C433" s="8"/>
      <c r="D433" s="71"/>
      <c r="E433" s="72"/>
    </row>
    <row r="434" spans="1:5" ht="18" hidden="1" x14ac:dyDescent="0.3">
      <c r="A434" s="25" t="s">
        <v>102</v>
      </c>
      <c r="B434" s="68" t="s">
        <v>390</v>
      </c>
      <c r="C434" s="8"/>
      <c r="D434" s="71"/>
      <c r="E434" s="72"/>
    </row>
    <row r="435" spans="1:5" ht="19.2" customHeight="1" x14ac:dyDescent="0.3">
      <c r="A435" s="26" t="s">
        <v>103</v>
      </c>
      <c r="B435" s="68" t="s">
        <v>390</v>
      </c>
      <c r="C435" s="8">
        <v>69</v>
      </c>
      <c r="D435" s="71">
        <v>7000</v>
      </c>
      <c r="E435" s="72">
        <f>+D435*C435</f>
        <v>483000</v>
      </c>
    </row>
    <row r="436" spans="1:5" ht="18" hidden="1" x14ac:dyDescent="0.3">
      <c r="A436" s="18" t="s">
        <v>104</v>
      </c>
      <c r="B436" s="68" t="s">
        <v>391</v>
      </c>
      <c r="C436" s="8"/>
      <c r="D436" s="71"/>
      <c r="E436" s="72"/>
    </row>
    <row r="437" spans="1:5" ht="18" hidden="1" x14ac:dyDescent="0.3">
      <c r="A437" s="10" t="s">
        <v>105</v>
      </c>
      <c r="B437" s="68" t="s">
        <v>390</v>
      </c>
      <c r="C437" s="8"/>
      <c r="D437" s="71"/>
      <c r="E437" s="72"/>
    </row>
    <row r="438" spans="1:5" ht="18" hidden="1" x14ac:dyDescent="0.3">
      <c r="A438" s="10" t="s">
        <v>106</v>
      </c>
      <c r="B438" s="68" t="s">
        <v>391</v>
      </c>
      <c r="C438" s="8"/>
      <c r="D438" s="71"/>
      <c r="E438" s="72"/>
    </row>
    <row r="439" spans="1:5" ht="18" hidden="1" x14ac:dyDescent="0.3">
      <c r="A439" s="12" t="s">
        <v>107</v>
      </c>
      <c r="B439" s="68" t="s">
        <v>390</v>
      </c>
      <c r="C439" s="8"/>
      <c r="D439" s="71"/>
      <c r="E439" s="72"/>
    </row>
    <row r="440" spans="1:5" ht="18" hidden="1" x14ac:dyDescent="0.3">
      <c r="A440" s="27" t="s">
        <v>108</v>
      </c>
      <c r="B440" s="68" t="s">
        <v>399</v>
      </c>
      <c r="C440" s="8"/>
      <c r="D440" s="71"/>
      <c r="E440" s="72"/>
    </row>
    <row r="441" spans="1:5" ht="18" hidden="1" x14ac:dyDescent="0.3">
      <c r="A441" s="10" t="s">
        <v>109</v>
      </c>
      <c r="B441" s="68" t="s">
        <v>390</v>
      </c>
      <c r="C441" s="8"/>
      <c r="D441" s="71"/>
      <c r="E441" s="72"/>
    </row>
    <row r="442" spans="1:5" ht="19.2" customHeight="1" x14ac:dyDescent="0.3">
      <c r="A442" s="10" t="s">
        <v>110</v>
      </c>
      <c r="B442" s="68" t="s">
        <v>390</v>
      </c>
      <c r="C442" s="8">
        <v>28</v>
      </c>
      <c r="D442" s="71">
        <f>VLOOKUP(A442,'12.6'!A111:C439,3,)</f>
        <v>23000</v>
      </c>
      <c r="E442" s="72">
        <f>+D442*C442</f>
        <v>644000</v>
      </c>
    </row>
    <row r="443" spans="1:5" ht="18" hidden="1" x14ac:dyDescent="0.3">
      <c r="A443" s="10" t="s">
        <v>111</v>
      </c>
      <c r="B443" s="68" t="s">
        <v>390</v>
      </c>
      <c r="C443" s="8"/>
      <c r="D443" s="71"/>
      <c r="E443" s="72"/>
    </row>
    <row r="444" spans="1:5" ht="18" hidden="1" x14ac:dyDescent="0.3">
      <c r="A444" s="10" t="s">
        <v>112</v>
      </c>
      <c r="B444" s="68" t="s">
        <v>395</v>
      </c>
      <c r="C444" s="8"/>
      <c r="D444" s="71"/>
      <c r="E444" s="72"/>
    </row>
    <row r="445" spans="1:5" ht="18" hidden="1" x14ac:dyDescent="0.3">
      <c r="A445" s="10" t="s">
        <v>113</v>
      </c>
      <c r="B445" s="68" t="s">
        <v>390</v>
      </c>
      <c r="C445" s="8"/>
      <c r="D445" s="71"/>
      <c r="E445" s="72"/>
    </row>
    <row r="446" spans="1:5" ht="18" hidden="1" x14ac:dyDescent="0.3">
      <c r="A446" s="10" t="s">
        <v>114</v>
      </c>
      <c r="B446" s="68" t="s">
        <v>390</v>
      </c>
      <c r="C446" s="8"/>
      <c r="D446" s="71"/>
      <c r="E446" s="72"/>
    </row>
    <row r="447" spans="1:5" ht="18" hidden="1" x14ac:dyDescent="0.3">
      <c r="A447" s="10" t="s">
        <v>115</v>
      </c>
      <c r="B447" s="68" t="s">
        <v>394</v>
      </c>
      <c r="C447" s="8"/>
      <c r="D447" s="71"/>
      <c r="E447" s="72"/>
    </row>
    <row r="448" spans="1:5" ht="18" hidden="1" x14ac:dyDescent="0.3">
      <c r="A448" s="10" t="s">
        <v>116</v>
      </c>
      <c r="B448" s="68" t="s">
        <v>390</v>
      </c>
      <c r="C448" s="8"/>
      <c r="D448" s="71"/>
      <c r="E448" s="72"/>
    </row>
    <row r="449" spans="1:5" ht="18" hidden="1" x14ac:dyDescent="0.3">
      <c r="A449" s="12" t="s">
        <v>117</v>
      </c>
      <c r="B449" s="68" t="s">
        <v>390</v>
      </c>
      <c r="C449" s="8"/>
      <c r="D449" s="71"/>
      <c r="E449" s="72"/>
    </row>
    <row r="450" spans="1:5" ht="18" hidden="1" x14ac:dyDescent="0.3">
      <c r="A450" s="23" t="s">
        <v>118</v>
      </c>
      <c r="B450" s="68" t="s">
        <v>392</v>
      </c>
      <c r="C450" s="8"/>
      <c r="D450" s="71"/>
      <c r="E450" s="72"/>
    </row>
    <row r="451" spans="1:5" ht="18" hidden="1" x14ac:dyDescent="0.3">
      <c r="A451" s="10" t="s">
        <v>119</v>
      </c>
      <c r="B451" s="68" t="s">
        <v>400</v>
      </c>
      <c r="C451" s="8"/>
      <c r="D451" s="71"/>
      <c r="E451" s="72"/>
    </row>
    <row r="452" spans="1:5" ht="18" hidden="1" x14ac:dyDescent="0.3">
      <c r="A452" s="12" t="s">
        <v>120</v>
      </c>
      <c r="B452" s="68" t="s">
        <v>400</v>
      </c>
      <c r="C452" s="8"/>
      <c r="D452" s="71"/>
      <c r="E452" s="72"/>
    </row>
    <row r="453" spans="1:5" ht="18" hidden="1" x14ac:dyDescent="0.3">
      <c r="A453" s="12" t="s">
        <v>121</v>
      </c>
      <c r="B453" s="68" t="s">
        <v>400</v>
      </c>
      <c r="C453" s="8"/>
      <c r="D453" s="71"/>
      <c r="E453" s="72"/>
    </row>
    <row r="454" spans="1:5" ht="18" hidden="1" x14ac:dyDescent="0.3">
      <c r="A454" s="10" t="s">
        <v>122</v>
      </c>
      <c r="B454" s="68" t="s">
        <v>390</v>
      </c>
      <c r="C454" s="8"/>
      <c r="D454" s="71"/>
      <c r="E454" s="72"/>
    </row>
    <row r="455" spans="1:5" ht="18" hidden="1" x14ac:dyDescent="0.3">
      <c r="A455" s="10" t="s">
        <v>123</v>
      </c>
      <c r="B455" s="68" t="s">
        <v>394</v>
      </c>
      <c r="C455" s="8"/>
      <c r="D455" s="71"/>
      <c r="E455" s="72"/>
    </row>
    <row r="456" spans="1:5" ht="18" hidden="1" x14ac:dyDescent="0.3">
      <c r="A456" s="11" t="s">
        <v>124</v>
      </c>
      <c r="B456" s="68" t="s">
        <v>390</v>
      </c>
      <c r="C456" s="8"/>
      <c r="D456" s="71"/>
      <c r="E456" s="72"/>
    </row>
    <row r="457" spans="1:5" ht="18" hidden="1" x14ac:dyDescent="0.3">
      <c r="A457" s="14" t="s">
        <v>125</v>
      </c>
      <c r="B457" s="68" t="s">
        <v>396</v>
      </c>
      <c r="C457" s="8"/>
      <c r="D457" s="71"/>
      <c r="E457" s="72"/>
    </row>
    <row r="458" spans="1:5" ht="18" hidden="1" x14ac:dyDescent="0.3">
      <c r="A458" s="13" t="s">
        <v>126</v>
      </c>
      <c r="B458" s="68" t="s">
        <v>396</v>
      </c>
      <c r="C458" s="17"/>
      <c r="D458" s="71"/>
      <c r="E458" s="72"/>
    </row>
    <row r="459" spans="1:5" ht="18" hidden="1" x14ac:dyDescent="0.3">
      <c r="A459" s="13" t="s">
        <v>127</v>
      </c>
      <c r="B459" s="68" t="s">
        <v>390</v>
      </c>
      <c r="C459" s="17"/>
      <c r="D459" s="71"/>
      <c r="E459" s="72"/>
    </row>
    <row r="460" spans="1:5" ht="18" hidden="1" x14ac:dyDescent="0.3">
      <c r="A460" s="13" t="s">
        <v>128</v>
      </c>
      <c r="B460" s="68" t="s">
        <v>390</v>
      </c>
      <c r="C460" s="17"/>
      <c r="D460" s="71"/>
      <c r="E460" s="72"/>
    </row>
    <row r="461" spans="1:5" ht="18" hidden="1" x14ac:dyDescent="0.3">
      <c r="A461" s="13" t="s">
        <v>129</v>
      </c>
      <c r="B461" s="68" t="s">
        <v>390</v>
      </c>
      <c r="C461" s="29"/>
      <c r="D461" s="71"/>
      <c r="E461" s="72"/>
    </row>
    <row r="462" spans="1:5" ht="18" hidden="1" x14ac:dyDescent="0.3">
      <c r="A462" s="30" t="s">
        <v>130</v>
      </c>
      <c r="B462" s="68" t="s">
        <v>394</v>
      </c>
      <c r="C462" s="8"/>
      <c r="D462" s="71"/>
      <c r="E462" s="72"/>
    </row>
    <row r="463" spans="1:5" ht="18" hidden="1" x14ac:dyDescent="0.3">
      <c r="A463" s="13" t="s">
        <v>131</v>
      </c>
      <c r="B463" s="68" t="s">
        <v>390</v>
      </c>
      <c r="C463" s="17"/>
      <c r="D463" s="71"/>
      <c r="E463" s="72"/>
    </row>
    <row r="464" spans="1:5" ht="18" hidden="1" x14ac:dyDescent="0.3">
      <c r="A464" s="10" t="s">
        <v>132</v>
      </c>
      <c r="B464" s="68" t="s">
        <v>390</v>
      </c>
      <c r="C464" s="8"/>
      <c r="D464" s="71"/>
      <c r="E464" s="72"/>
    </row>
    <row r="465" spans="1:5" ht="18" hidden="1" x14ac:dyDescent="0.3">
      <c r="A465" s="10" t="s">
        <v>133</v>
      </c>
      <c r="B465" s="68" t="s">
        <v>398</v>
      </c>
      <c r="C465" s="8"/>
      <c r="D465" s="71"/>
      <c r="E465" s="72"/>
    </row>
    <row r="466" spans="1:5" ht="18" hidden="1" x14ac:dyDescent="0.3">
      <c r="A466" s="10" t="s">
        <v>134</v>
      </c>
      <c r="B466" s="68" t="s">
        <v>394</v>
      </c>
      <c r="C466" s="8"/>
      <c r="D466" s="71"/>
      <c r="E466" s="72"/>
    </row>
    <row r="467" spans="1:5" ht="18" hidden="1" x14ac:dyDescent="0.3">
      <c r="A467" s="10" t="s">
        <v>135</v>
      </c>
      <c r="B467" s="68" t="s">
        <v>390</v>
      </c>
      <c r="C467" s="8"/>
      <c r="D467" s="71"/>
      <c r="E467" s="72"/>
    </row>
    <row r="468" spans="1:5" ht="18" hidden="1" x14ac:dyDescent="0.3">
      <c r="A468" s="18" t="s">
        <v>136</v>
      </c>
      <c r="B468" s="68" t="s">
        <v>393</v>
      </c>
      <c r="C468" s="8"/>
      <c r="D468" s="71"/>
      <c r="E468" s="72"/>
    </row>
    <row r="469" spans="1:5" ht="18" hidden="1" x14ac:dyDescent="0.3">
      <c r="A469" s="13" t="s">
        <v>137</v>
      </c>
      <c r="B469" s="68" t="s">
        <v>390</v>
      </c>
      <c r="C469" s="8"/>
      <c r="D469" s="71"/>
      <c r="E469" s="72"/>
    </row>
    <row r="470" spans="1:5" ht="18" hidden="1" x14ac:dyDescent="0.3">
      <c r="A470" s="13" t="s">
        <v>138</v>
      </c>
      <c r="B470" s="68" t="s">
        <v>393</v>
      </c>
      <c r="C470" s="8"/>
      <c r="D470" s="71"/>
      <c r="E470" s="72"/>
    </row>
    <row r="471" spans="1:5" ht="18" hidden="1" x14ac:dyDescent="0.3">
      <c r="A471" s="10" t="s">
        <v>139</v>
      </c>
      <c r="B471" s="68" t="s">
        <v>390</v>
      </c>
      <c r="C471" s="8"/>
      <c r="D471" s="71"/>
      <c r="E471" s="72"/>
    </row>
    <row r="472" spans="1:5" ht="18" hidden="1" x14ac:dyDescent="0.3">
      <c r="A472" s="10" t="s">
        <v>140</v>
      </c>
      <c r="B472" s="68" t="s">
        <v>390</v>
      </c>
      <c r="C472" s="8"/>
      <c r="D472" s="71"/>
      <c r="E472" s="72"/>
    </row>
    <row r="473" spans="1:5" ht="18" hidden="1" x14ac:dyDescent="0.3">
      <c r="A473" s="10" t="s">
        <v>141</v>
      </c>
      <c r="B473" s="68" t="s">
        <v>390</v>
      </c>
      <c r="C473" s="17"/>
      <c r="D473" s="71"/>
      <c r="E473" s="72"/>
    </row>
    <row r="474" spans="1:5" ht="18" hidden="1" x14ac:dyDescent="0.3">
      <c r="A474" s="10" t="s">
        <v>142</v>
      </c>
      <c r="B474" s="68" t="s">
        <v>394</v>
      </c>
      <c r="C474" s="17"/>
      <c r="D474" s="71"/>
      <c r="E474" s="72"/>
    </row>
    <row r="475" spans="1:5" ht="18" hidden="1" x14ac:dyDescent="0.3">
      <c r="A475" s="10" t="s">
        <v>143</v>
      </c>
      <c r="B475" s="68"/>
      <c r="C475" s="8"/>
      <c r="D475" s="71"/>
      <c r="E475" s="72"/>
    </row>
    <row r="476" spans="1:5" ht="18" hidden="1" x14ac:dyDescent="0.3">
      <c r="A476" s="10" t="s">
        <v>144</v>
      </c>
      <c r="B476" s="68" t="s">
        <v>390</v>
      </c>
      <c r="C476" s="17"/>
      <c r="D476" s="71"/>
      <c r="E476" s="72"/>
    </row>
    <row r="477" spans="1:5" ht="18" hidden="1" x14ac:dyDescent="0.3">
      <c r="A477" s="10" t="s">
        <v>145</v>
      </c>
      <c r="B477" s="68" t="s">
        <v>394</v>
      </c>
      <c r="C477" s="17"/>
      <c r="D477" s="71"/>
      <c r="E477" s="72"/>
    </row>
    <row r="478" spans="1:5" ht="18" hidden="1" x14ac:dyDescent="0.3">
      <c r="A478" s="10" t="s">
        <v>146</v>
      </c>
      <c r="B478" s="68" t="s">
        <v>390</v>
      </c>
      <c r="C478" s="17"/>
      <c r="D478" s="71"/>
      <c r="E478" s="72"/>
    </row>
    <row r="479" spans="1:5" ht="18" hidden="1" x14ac:dyDescent="0.3">
      <c r="A479" s="10" t="s">
        <v>147</v>
      </c>
      <c r="B479" s="68" t="s">
        <v>394</v>
      </c>
      <c r="C479" s="17"/>
      <c r="D479" s="71"/>
      <c r="E479" s="72"/>
    </row>
    <row r="480" spans="1:5" ht="18" hidden="1" x14ac:dyDescent="0.3">
      <c r="A480" s="10" t="s">
        <v>148</v>
      </c>
      <c r="B480" s="68" t="s">
        <v>390</v>
      </c>
      <c r="C480" s="17"/>
      <c r="D480" s="71"/>
      <c r="E480" s="72"/>
    </row>
    <row r="481" spans="1:5" ht="18" hidden="1" x14ac:dyDescent="0.3">
      <c r="A481" s="10" t="s">
        <v>149</v>
      </c>
      <c r="B481" s="68" t="s">
        <v>390</v>
      </c>
      <c r="C481" s="17"/>
      <c r="D481" s="71"/>
      <c r="E481" s="72"/>
    </row>
    <row r="482" spans="1:5" ht="18" hidden="1" x14ac:dyDescent="0.3">
      <c r="A482" s="10" t="s">
        <v>150</v>
      </c>
      <c r="B482" s="68" t="s">
        <v>390</v>
      </c>
      <c r="C482" s="17"/>
      <c r="D482" s="71"/>
      <c r="E482" s="72"/>
    </row>
    <row r="483" spans="1:5" ht="18" hidden="1" x14ac:dyDescent="0.3">
      <c r="A483" s="10" t="s">
        <v>151</v>
      </c>
      <c r="B483" s="68" t="s">
        <v>394</v>
      </c>
      <c r="C483" s="17"/>
      <c r="D483" s="71"/>
      <c r="E483" s="72"/>
    </row>
    <row r="484" spans="1:5" ht="18" hidden="1" x14ac:dyDescent="0.3">
      <c r="A484" s="10" t="s">
        <v>152</v>
      </c>
      <c r="B484" s="68" t="s">
        <v>390</v>
      </c>
      <c r="C484" s="8"/>
      <c r="D484" s="71"/>
      <c r="E484" s="72"/>
    </row>
    <row r="485" spans="1:5" ht="18" hidden="1" x14ac:dyDescent="0.3">
      <c r="A485" s="10" t="s">
        <v>153</v>
      </c>
      <c r="B485" s="68" t="s">
        <v>390</v>
      </c>
      <c r="C485" s="8"/>
      <c r="D485" s="71"/>
      <c r="E485" s="72"/>
    </row>
    <row r="486" spans="1:5" ht="18" hidden="1" x14ac:dyDescent="0.3">
      <c r="A486" s="10" t="s">
        <v>154</v>
      </c>
      <c r="B486" s="68" t="s">
        <v>393</v>
      </c>
      <c r="C486" s="8"/>
      <c r="D486" s="71"/>
      <c r="E486" s="72"/>
    </row>
    <row r="487" spans="1:5" ht="18" hidden="1" x14ac:dyDescent="0.3">
      <c r="A487" s="10" t="s">
        <v>155</v>
      </c>
      <c r="B487" s="68" t="s">
        <v>393</v>
      </c>
      <c r="C487" s="8"/>
      <c r="D487" s="71"/>
      <c r="E487" s="72"/>
    </row>
    <row r="488" spans="1:5" ht="18" hidden="1" x14ac:dyDescent="0.3">
      <c r="A488" s="18" t="s">
        <v>156</v>
      </c>
      <c r="B488" s="68" t="s">
        <v>393</v>
      </c>
      <c r="C488" s="8"/>
      <c r="D488" s="71"/>
      <c r="E488" s="72"/>
    </row>
    <row r="489" spans="1:5" ht="18" hidden="1" x14ac:dyDescent="0.3">
      <c r="A489" s="31" t="s">
        <v>157</v>
      </c>
      <c r="B489" s="68" t="s">
        <v>390</v>
      </c>
      <c r="C489" s="8"/>
      <c r="D489" s="71"/>
      <c r="E489" s="72"/>
    </row>
    <row r="490" spans="1:5" ht="18" hidden="1" x14ac:dyDescent="0.3">
      <c r="A490" s="10" t="s">
        <v>158</v>
      </c>
      <c r="B490" s="68" t="s">
        <v>390</v>
      </c>
      <c r="C490" s="8"/>
      <c r="D490" s="71"/>
      <c r="E490" s="72"/>
    </row>
    <row r="491" spans="1:5" ht="18" hidden="1" x14ac:dyDescent="0.3">
      <c r="A491" s="10" t="s">
        <v>159</v>
      </c>
      <c r="B491" s="68" t="s">
        <v>393</v>
      </c>
      <c r="C491" s="8"/>
      <c r="D491" s="71"/>
      <c r="E491" s="72"/>
    </row>
    <row r="492" spans="1:5" ht="19.2" customHeight="1" x14ac:dyDescent="0.3">
      <c r="A492" s="10" t="s">
        <v>160</v>
      </c>
      <c r="B492" s="68" t="s">
        <v>393</v>
      </c>
      <c r="C492" s="8">
        <v>7</v>
      </c>
      <c r="D492" s="71">
        <f>VLOOKUP(A492,'12.6'!A161:C489,3,)</f>
        <v>10000</v>
      </c>
      <c r="E492" s="72">
        <f>+D492*C492</f>
        <v>70000</v>
      </c>
    </row>
    <row r="493" spans="1:5" ht="18" hidden="1" x14ac:dyDescent="0.3">
      <c r="A493" s="10" t="s">
        <v>161</v>
      </c>
      <c r="B493" s="68" t="s">
        <v>393</v>
      </c>
      <c r="C493" s="17"/>
      <c r="D493" s="71"/>
      <c r="E493" s="72"/>
    </row>
    <row r="494" spans="1:5" ht="18" hidden="1" x14ac:dyDescent="0.3">
      <c r="A494" s="10" t="s">
        <v>162</v>
      </c>
      <c r="B494" s="68" t="s">
        <v>390</v>
      </c>
      <c r="C494" s="17"/>
      <c r="D494" s="71"/>
      <c r="E494" s="72"/>
    </row>
    <row r="495" spans="1:5" ht="18" hidden="1" x14ac:dyDescent="0.3">
      <c r="A495" s="10" t="s">
        <v>163</v>
      </c>
      <c r="B495" s="68" t="s">
        <v>394</v>
      </c>
      <c r="C495" s="17"/>
      <c r="D495" s="71"/>
      <c r="E495" s="72"/>
    </row>
    <row r="496" spans="1:5" ht="18" hidden="1" x14ac:dyDescent="0.3">
      <c r="A496" s="10" t="s">
        <v>164</v>
      </c>
      <c r="B496" s="68" t="s">
        <v>394</v>
      </c>
      <c r="C496" s="8"/>
      <c r="D496" s="71"/>
      <c r="E496" s="72"/>
    </row>
    <row r="497" spans="1:5" ht="18" hidden="1" x14ac:dyDescent="0.3">
      <c r="A497" s="10" t="s">
        <v>165</v>
      </c>
      <c r="B497" s="68" t="s">
        <v>390</v>
      </c>
      <c r="C497" s="8"/>
      <c r="D497" s="71"/>
      <c r="E497" s="72"/>
    </row>
    <row r="498" spans="1:5" ht="18" hidden="1" x14ac:dyDescent="0.3">
      <c r="A498" s="18" t="s">
        <v>166</v>
      </c>
      <c r="B498" s="68" t="s">
        <v>394</v>
      </c>
      <c r="C498" s="8"/>
      <c r="D498" s="71"/>
      <c r="E498" s="72"/>
    </row>
    <row r="499" spans="1:5" ht="18" hidden="1" x14ac:dyDescent="0.3">
      <c r="A499" s="13" t="s">
        <v>167</v>
      </c>
      <c r="B499" s="68" t="s">
        <v>390</v>
      </c>
      <c r="C499" s="8"/>
      <c r="D499" s="71"/>
      <c r="E499" s="72"/>
    </row>
    <row r="500" spans="1:5" ht="19.2" customHeight="1" x14ac:dyDescent="0.3">
      <c r="A500" s="10" t="s">
        <v>168</v>
      </c>
      <c r="B500" s="68" t="s">
        <v>394</v>
      </c>
      <c r="C500" s="8">
        <v>122</v>
      </c>
      <c r="D500" s="71">
        <v>7000</v>
      </c>
      <c r="E500" s="72">
        <f>+D500*C500</f>
        <v>854000</v>
      </c>
    </row>
    <row r="501" spans="1:5" ht="18" hidden="1" x14ac:dyDescent="0.3">
      <c r="A501" s="33" t="s">
        <v>169</v>
      </c>
      <c r="B501" s="68" t="s">
        <v>394</v>
      </c>
      <c r="C501" s="8"/>
      <c r="D501" s="77"/>
      <c r="E501" s="72"/>
    </row>
    <row r="502" spans="1:5" ht="19.2" customHeight="1" x14ac:dyDescent="0.3">
      <c r="A502" s="10" t="s">
        <v>170</v>
      </c>
      <c r="B502" s="68" t="s">
        <v>390</v>
      </c>
      <c r="C502" s="8">
        <v>10</v>
      </c>
      <c r="D502" s="71">
        <f>VLOOKUP(A502,'12.6'!A171:C499,3,)</f>
        <v>6500</v>
      </c>
      <c r="E502" s="72">
        <f>+D502*C502</f>
        <v>65000</v>
      </c>
    </row>
    <row r="503" spans="1:5" ht="18" hidden="1" x14ac:dyDescent="0.3">
      <c r="A503" s="10" t="s">
        <v>171</v>
      </c>
      <c r="B503" s="68" t="s">
        <v>390</v>
      </c>
      <c r="C503" s="8"/>
      <c r="D503" s="71"/>
      <c r="E503" s="72"/>
    </row>
    <row r="504" spans="1:5" ht="18" hidden="1" x14ac:dyDescent="0.3">
      <c r="A504" s="22" t="s">
        <v>172</v>
      </c>
      <c r="B504" s="68" t="s">
        <v>390</v>
      </c>
      <c r="C504" s="8"/>
      <c r="D504" s="71"/>
      <c r="E504" s="72"/>
    </row>
    <row r="505" spans="1:5" ht="18" hidden="1" x14ac:dyDescent="0.3">
      <c r="A505" s="10" t="s">
        <v>173</v>
      </c>
      <c r="B505" s="68" t="s">
        <v>393</v>
      </c>
      <c r="C505" s="8"/>
      <c r="D505" s="71"/>
      <c r="E505" s="72"/>
    </row>
    <row r="506" spans="1:5" ht="18" hidden="1" x14ac:dyDescent="0.3">
      <c r="A506" s="34" t="s">
        <v>174</v>
      </c>
      <c r="B506" s="82" t="s">
        <v>390</v>
      </c>
      <c r="C506" s="36"/>
      <c r="D506" s="83"/>
      <c r="E506" s="84"/>
    </row>
    <row r="507" spans="1:5" ht="18" hidden="1" x14ac:dyDescent="0.3">
      <c r="A507" s="12" t="s">
        <v>175</v>
      </c>
      <c r="B507" s="68" t="s">
        <v>390</v>
      </c>
      <c r="C507" s="8"/>
      <c r="D507" s="71"/>
      <c r="E507" s="72"/>
    </row>
    <row r="508" spans="1:5" ht="19.2" customHeight="1" x14ac:dyDescent="0.3">
      <c r="A508" s="10" t="s">
        <v>176</v>
      </c>
      <c r="B508" s="68" t="s">
        <v>390</v>
      </c>
      <c r="C508" s="8">
        <v>1</v>
      </c>
      <c r="D508" s="71">
        <v>48000</v>
      </c>
      <c r="E508" s="72">
        <f>+D508*C508</f>
        <v>48000</v>
      </c>
    </row>
    <row r="509" spans="1:5" ht="18" hidden="1" x14ac:dyDescent="0.3">
      <c r="A509" s="10" t="s">
        <v>177</v>
      </c>
      <c r="B509" s="68" t="s">
        <v>390</v>
      </c>
      <c r="C509" s="8"/>
      <c r="D509" s="71"/>
      <c r="E509" s="72"/>
    </row>
    <row r="510" spans="1:5" ht="18" hidden="1" x14ac:dyDescent="0.3">
      <c r="A510" s="13" t="s">
        <v>178</v>
      </c>
      <c r="B510" s="68" t="s">
        <v>390</v>
      </c>
      <c r="C510" s="8"/>
      <c r="D510" s="71"/>
      <c r="E510" s="72"/>
    </row>
    <row r="511" spans="1:5" ht="18" hidden="1" x14ac:dyDescent="0.3">
      <c r="A511" s="10" t="s">
        <v>179</v>
      </c>
      <c r="B511" s="68" t="s">
        <v>390</v>
      </c>
      <c r="C511" s="8"/>
      <c r="D511" s="71"/>
      <c r="E511" s="72"/>
    </row>
    <row r="512" spans="1:5" ht="18" hidden="1" x14ac:dyDescent="0.3">
      <c r="A512" s="10" t="s">
        <v>180</v>
      </c>
      <c r="B512" s="68" t="s">
        <v>390</v>
      </c>
      <c r="C512" s="8"/>
      <c r="D512" s="71"/>
      <c r="E512" s="72"/>
    </row>
    <row r="513" spans="1:5" ht="18" hidden="1" x14ac:dyDescent="0.3">
      <c r="A513" s="13" t="s">
        <v>181</v>
      </c>
      <c r="B513" s="68" t="s">
        <v>390</v>
      </c>
      <c r="C513" s="8"/>
      <c r="D513" s="71"/>
      <c r="E513" s="72"/>
    </row>
    <row r="514" spans="1:5" ht="18" hidden="1" x14ac:dyDescent="0.3">
      <c r="A514" s="13" t="s">
        <v>182</v>
      </c>
      <c r="B514" s="68" t="s">
        <v>390</v>
      </c>
      <c r="C514" s="8"/>
      <c r="D514" s="71"/>
      <c r="E514" s="72"/>
    </row>
    <row r="515" spans="1:5" ht="19.2" customHeight="1" x14ac:dyDescent="0.3">
      <c r="A515" s="13" t="s">
        <v>183</v>
      </c>
      <c r="B515" s="68" t="s">
        <v>390</v>
      </c>
      <c r="C515" s="8">
        <v>200</v>
      </c>
      <c r="D515" s="71">
        <f>VLOOKUP(A515,'12.6'!A184:C512,3,)</f>
        <v>7700</v>
      </c>
      <c r="E515" s="72">
        <f>+D515*C515</f>
        <v>1540000</v>
      </c>
    </row>
    <row r="516" spans="1:5" ht="18" hidden="1" x14ac:dyDescent="0.3">
      <c r="A516" s="10" t="s">
        <v>184</v>
      </c>
      <c r="B516" s="68" t="s">
        <v>393</v>
      </c>
      <c r="C516" s="8"/>
      <c r="D516" s="71"/>
      <c r="E516" s="72"/>
    </row>
    <row r="517" spans="1:5" ht="18" hidden="1" x14ac:dyDescent="0.3">
      <c r="A517" s="13" t="s">
        <v>185</v>
      </c>
      <c r="B517" s="68" t="s">
        <v>390</v>
      </c>
      <c r="C517" s="8"/>
      <c r="D517" s="71"/>
      <c r="E517" s="72"/>
    </row>
    <row r="518" spans="1:5" ht="19.2" customHeight="1" x14ac:dyDescent="0.3">
      <c r="A518" s="13" t="s">
        <v>186</v>
      </c>
      <c r="B518" s="68" t="s">
        <v>390</v>
      </c>
      <c r="C518" s="8">
        <v>20</v>
      </c>
      <c r="D518" s="71">
        <f>VLOOKUP(A518,'12.6'!A187:C515,3,)</f>
        <v>20000</v>
      </c>
      <c r="E518" s="72">
        <f>+D518*C518</f>
        <v>400000</v>
      </c>
    </row>
    <row r="519" spans="1:5" ht="18" hidden="1" x14ac:dyDescent="0.3">
      <c r="A519" s="13" t="s">
        <v>187</v>
      </c>
      <c r="B519" s="68" t="s">
        <v>393</v>
      </c>
      <c r="C519" s="8"/>
      <c r="D519" s="71"/>
      <c r="E519" s="72"/>
    </row>
    <row r="520" spans="1:5" ht="18" hidden="1" x14ac:dyDescent="0.3">
      <c r="A520" s="10" t="s">
        <v>188</v>
      </c>
      <c r="B520" s="68" t="s">
        <v>393</v>
      </c>
      <c r="C520" s="8"/>
      <c r="D520" s="71"/>
      <c r="E520" s="72"/>
    </row>
    <row r="521" spans="1:5" ht="18" hidden="1" x14ac:dyDescent="0.3">
      <c r="A521" s="18" t="s">
        <v>189</v>
      </c>
      <c r="B521" s="68" t="s">
        <v>390</v>
      </c>
      <c r="C521" s="8"/>
      <c r="D521" s="71"/>
      <c r="E521" s="72"/>
    </row>
    <row r="522" spans="1:5" ht="18" hidden="1" x14ac:dyDescent="0.3">
      <c r="A522" s="18" t="s">
        <v>190</v>
      </c>
      <c r="B522" s="68" t="s">
        <v>390</v>
      </c>
      <c r="C522" s="8"/>
      <c r="D522" s="71"/>
      <c r="E522" s="72"/>
    </row>
    <row r="523" spans="1:5" ht="18" hidden="1" x14ac:dyDescent="0.3">
      <c r="A523" s="18" t="s">
        <v>191</v>
      </c>
      <c r="B523" s="68" t="s">
        <v>390</v>
      </c>
      <c r="C523" s="8"/>
      <c r="D523" s="71"/>
      <c r="E523" s="72"/>
    </row>
    <row r="524" spans="1:5" ht="18" hidden="1" x14ac:dyDescent="0.3">
      <c r="A524" s="18" t="s">
        <v>192</v>
      </c>
      <c r="B524" s="68" t="s">
        <v>393</v>
      </c>
      <c r="C524" s="8"/>
      <c r="D524" s="71"/>
      <c r="E524" s="72"/>
    </row>
    <row r="525" spans="1:5" ht="18" hidden="1" x14ac:dyDescent="0.3">
      <c r="A525" s="13" t="s">
        <v>193</v>
      </c>
      <c r="B525" s="68" t="s">
        <v>390</v>
      </c>
      <c r="C525" s="8"/>
      <c r="D525" s="71"/>
      <c r="E525" s="72"/>
    </row>
    <row r="526" spans="1:5" ht="18" hidden="1" x14ac:dyDescent="0.3">
      <c r="A526" s="10" t="s">
        <v>194</v>
      </c>
      <c r="B526" s="68" t="s">
        <v>393</v>
      </c>
      <c r="C526" s="8"/>
      <c r="D526" s="71"/>
      <c r="E526" s="72"/>
    </row>
    <row r="527" spans="1:5" ht="18" hidden="1" x14ac:dyDescent="0.3">
      <c r="A527" s="37" t="s">
        <v>195</v>
      </c>
      <c r="B527" s="68" t="s">
        <v>393</v>
      </c>
      <c r="C527" s="8"/>
      <c r="D527" s="71"/>
      <c r="E527" s="72"/>
    </row>
    <row r="528" spans="1:5" ht="18" hidden="1" x14ac:dyDescent="0.3">
      <c r="A528" s="37" t="s">
        <v>196</v>
      </c>
      <c r="B528" s="68" t="s">
        <v>393</v>
      </c>
      <c r="C528" s="8"/>
      <c r="D528" s="71"/>
      <c r="E528" s="72"/>
    </row>
    <row r="529" spans="1:5" ht="18" hidden="1" x14ac:dyDescent="0.3">
      <c r="A529" s="37" t="s">
        <v>197</v>
      </c>
      <c r="B529" s="68" t="s">
        <v>393</v>
      </c>
      <c r="C529" s="8"/>
      <c r="D529" s="71"/>
      <c r="E529" s="72"/>
    </row>
    <row r="530" spans="1:5" ht="18" hidden="1" x14ac:dyDescent="0.3">
      <c r="A530" s="37" t="s">
        <v>198</v>
      </c>
      <c r="B530" s="68" t="s">
        <v>393</v>
      </c>
      <c r="C530" s="8"/>
      <c r="D530" s="71"/>
      <c r="E530" s="72"/>
    </row>
    <row r="531" spans="1:5" ht="18" hidden="1" x14ac:dyDescent="0.3">
      <c r="A531" s="10" t="s">
        <v>199</v>
      </c>
      <c r="B531" s="68" t="s">
        <v>390</v>
      </c>
      <c r="C531" s="8"/>
      <c r="D531" s="71"/>
      <c r="E531" s="72"/>
    </row>
    <row r="532" spans="1:5" ht="18" hidden="1" x14ac:dyDescent="0.3">
      <c r="A532" s="38" t="s">
        <v>200</v>
      </c>
      <c r="B532" s="68" t="s">
        <v>394</v>
      </c>
      <c r="C532" s="8"/>
      <c r="D532" s="71"/>
      <c r="E532" s="72"/>
    </row>
    <row r="533" spans="1:5" ht="19.2" customHeight="1" x14ac:dyDescent="0.3">
      <c r="A533" s="10" t="s">
        <v>201</v>
      </c>
      <c r="B533" s="68" t="s">
        <v>390</v>
      </c>
      <c r="C533" s="8">
        <v>400</v>
      </c>
      <c r="D533" s="71">
        <f>VLOOKUP(A533,'12.6'!A202:C530,3,)</f>
        <v>20000</v>
      </c>
      <c r="E533" s="72">
        <f t="shared" ref="E533:E534" si="1">+D533*C533</f>
        <v>8000000</v>
      </c>
    </row>
    <row r="534" spans="1:5" ht="19.2" customHeight="1" x14ac:dyDescent="0.3">
      <c r="A534" s="13" t="s">
        <v>202</v>
      </c>
      <c r="B534" s="68" t="s">
        <v>390</v>
      </c>
      <c r="C534" s="8">
        <v>210</v>
      </c>
      <c r="D534" s="71">
        <f>VLOOKUP(A534,'12.6'!A203:C531,3,)</f>
        <v>19000</v>
      </c>
      <c r="E534" s="72">
        <f t="shared" si="1"/>
        <v>3990000</v>
      </c>
    </row>
    <row r="535" spans="1:5" ht="18" hidden="1" x14ac:dyDescent="0.3">
      <c r="A535" s="10" t="s">
        <v>203</v>
      </c>
      <c r="B535" s="68" t="s">
        <v>393</v>
      </c>
      <c r="C535" s="8"/>
      <c r="D535" s="88"/>
      <c r="E535" s="72"/>
    </row>
    <row r="536" spans="1:5" ht="18" hidden="1" x14ac:dyDescent="0.3">
      <c r="A536" s="10" t="s">
        <v>204</v>
      </c>
      <c r="B536" s="68" t="s">
        <v>390</v>
      </c>
      <c r="C536" s="8"/>
      <c r="D536" s="71"/>
      <c r="E536" s="85"/>
    </row>
    <row r="537" spans="1:5" ht="18" hidden="1" x14ac:dyDescent="0.3">
      <c r="A537" s="39" t="s">
        <v>205</v>
      </c>
      <c r="B537" s="68" t="s">
        <v>393</v>
      </c>
      <c r="C537" s="8"/>
      <c r="D537" s="88"/>
      <c r="E537" s="72"/>
    </row>
    <row r="538" spans="1:5" ht="18" hidden="1" x14ac:dyDescent="0.3">
      <c r="A538" s="39" t="s">
        <v>206</v>
      </c>
      <c r="B538" s="68" t="s">
        <v>393</v>
      </c>
      <c r="C538" s="8"/>
      <c r="D538" s="88"/>
      <c r="E538" s="72"/>
    </row>
    <row r="539" spans="1:5" ht="18" hidden="1" x14ac:dyDescent="0.3">
      <c r="A539" s="10" t="s">
        <v>207</v>
      </c>
      <c r="B539" s="68" t="s">
        <v>390</v>
      </c>
      <c r="C539" s="8"/>
      <c r="D539" s="71"/>
      <c r="E539" s="72"/>
    </row>
    <row r="540" spans="1:5" ht="19.2" customHeight="1" x14ac:dyDescent="0.3">
      <c r="A540" s="12" t="s">
        <v>208</v>
      </c>
      <c r="B540" s="68" t="s">
        <v>390</v>
      </c>
      <c r="C540" s="8">
        <v>5</v>
      </c>
      <c r="D540" s="71">
        <v>35000</v>
      </c>
      <c r="E540" s="72">
        <f>+D540*C540</f>
        <v>175000</v>
      </c>
    </row>
    <row r="541" spans="1:5" ht="18" hidden="1" x14ac:dyDescent="0.3">
      <c r="A541" s="10" t="s">
        <v>209</v>
      </c>
      <c r="B541" s="68" t="s">
        <v>390</v>
      </c>
      <c r="C541" s="8"/>
      <c r="D541" s="71"/>
      <c r="E541" s="72"/>
    </row>
    <row r="542" spans="1:5" ht="19.2" customHeight="1" x14ac:dyDescent="0.3">
      <c r="A542" s="10" t="s">
        <v>210</v>
      </c>
      <c r="B542" s="68" t="s">
        <v>390</v>
      </c>
      <c r="C542" s="8">
        <v>52</v>
      </c>
      <c r="D542" s="71">
        <f>VLOOKUP(A542,'12.6'!A211:C539,3,)</f>
        <v>10000</v>
      </c>
      <c r="E542" s="72">
        <f>+D542*C542</f>
        <v>520000</v>
      </c>
    </row>
    <row r="543" spans="1:5" ht="18" hidden="1" x14ac:dyDescent="0.3">
      <c r="A543" s="10" t="s">
        <v>211</v>
      </c>
      <c r="B543" s="68" t="s">
        <v>393</v>
      </c>
      <c r="C543" s="8"/>
      <c r="D543" s="71"/>
      <c r="E543" s="72"/>
    </row>
    <row r="544" spans="1:5" ht="18" hidden="1" x14ac:dyDescent="0.3">
      <c r="A544" s="10" t="s">
        <v>212</v>
      </c>
      <c r="B544" s="68" t="s">
        <v>390</v>
      </c>
      <c r="C544" s="8"/>
      <c r="D544" s="71"/>
      <c r="E544" s="72"/>
    </row>
    <row r="545" spans="1:5" ht="18" hidden="1" x14ac:dyDescent="0.3">
      <c r="A545" s="40" t="s">
        <v>213</v>
      </c>
      <c r="B545" s="68" t="s">
        <v>393</v>
      </c>
      <c r="C545" s="8"/>
      <c r="D545" s="71"/>
      <c r="E545" s="72"/>
    </row>
    <row r="546" spans="1:5" ht="18" hidden="1" x14ac:dyDescent="0.3">
      <c r="A546" s="10" t="s">
        <v>214</v>
      </c>
      <c r="B546" s="68" t="s">
        <v>390</v>
      </c>
      <c r="C546" s="8"/>
      <c r="D546" s="71"/>
      <c r="E546" s="72"/>
    </row>
    <row r="547" spans="1:5" ht="19.2" customHeight="1" x14ac:dyDescent="0.3">
      <c r="A547" s="10" t="s">
        <v>215</v>
      </c>
      <c r="B547" s="68" t="s">
        <v>390</v>
      </c>
      <c r="C547" s="8">
        <v>420</v>
      </c>
      <c r="D547" s="71">
        <f>VLOOKUP(A547,'12.6'!A216:C544,3,)</f>
        <v>17000</v>
      </c>
      <c r="E547" s="72">
        <f>+D547*C547</f>
        <v>7140000</v>
      </c>
    </row>
    <row r="548" spans="1:5" ht="18" hidden="1" x14ac:dyDescent="0.3">
      <c r="A548" s="10" t="s">
        <v>216</v>
      </c>
      <c r="B548" s="68" t="s">
        <v>393</v>
      </c>
      <c r="C548" s="8"/>
      <c r="D548" s="71"/>
      <c r="E548" s="72"/>
    </row>
    <row r="549" spans="1:5" ht="18" hidden="1" x14ac:dyDescent="0.3">
      <c r="A549" s="10" t="s">
        <v>217</v>
      </c>
      <c r="B549" s="68" t="s">
        <v>393</v>
      </c>
      <c r="C549" s="8"/>
      <c r="D549" s="71"/>
      <c r="E549" s="72"/>
    </row>
    <row r="550" spans="1:5" ht="18" hidden="1" x14ac:dyDescent="0.3">
      <c r="A550" s="18" t="s">
        <v>218</v>
      </c>
      <c r="B550" s="68" t="s">
        <v>390</v>
      </c>
      <c r="C550" s="8"/>
      <c r="D550" s="71"/>
      <c r="E550" s="72"/>
    </row>
    <row r="551" spans="1:5" ht="18" hidden="1" x14ac:dyDescent="0.3">
      <c r="A551" s="18" t="s">
        <v>219</v>
      </c>
      <c r="B551" s="68" t="s">
        <v>393</v>
      </c>
      <c r="C551" s="8"/>
      <c r="D551" s="71"/>
      <c r="E551" s="72"/>
    </row>
    <row r="552" spans="1:5" ht="19.2" customHeight="1" x14ac:dyDescent="0.3">
      <c r="A552" s="18" t="s">
        <v>220</v>
      </c>
      <c r="B552" s="68" t="s">
        <v>390</v>
      </c>
      <c r="C552" s="8">
        <v>1</v>
      </c>
      <c r="D552" s="71">
        <v>35000</v>
      </c>
      <c r="E552" s="72">
        <f>+D552*C552</f>
        <v>35000</v>
      </c>
    </row>
    <row r="553" spans="1:5" ht="18" hidden="1" x14ac:dyDescent="0.3">
      <c r="A553" s="18" t="s">
        <v>221</v>
      </c>
      <c r="B553" s="68" t="s">
        <v>393</v>
      </c>
      <c r="C553" s="8"/>
      <c r="D553" s="71"/>
      <c r="E553" s="72"/>
    </row>
    <row r="554" spans="1:5" ht="18" hidden="1" x14ac:dyDescent="0.3">
      <c r="A554" s="10" t="s">
        <v>222</v>
      </c>
      <c r="B554" s="68" t="s">
        <v>390</v>
      </c>
      <c r="C554" s="8"/>
      <c r="D554" s="71"/>
      <c r="E554" s="72"/>
    </row>
    <row r="555" spans="1:5" ht="18" hidden="1" x14ac:dyDescent="0.3">
      <c r="A555" s="10" t="s">
        <v>223</v>
      </c>
      <c r="B555" s="68" t="s">
        <v>390</v>
      </c>
      <c r="C555" s="8"/>
      <c r="D555" s="71"/>
      <c r="E555" s="72"/>
    </row>
    <row r="556" spans="1:5" ht="18" hidden="1" x14ac:dyDescent="0.3">
      <c r="A556" s="18" t="s">
        <v>224</v>
      </c>
      <c r="B556" s="68" t="s">
        <v>393</v>
      </c>
      <c r="C556" s="8"/>
      <c r="D556" s="71"/>
      <c r="E556" s="72"/>
    </row>
    <row r="557" spans="1:5" ht="18" hidden="1" x14ac:dyDescent="0.3">
      <c r="A557" s="18" t="s">
        <v>225</v>
      </c>
      <c r="B557" s="68" t="s">
        <v>393</v>
      </c>
      <c r="C557" s="8"/>
      <c r="D557" s="71"/>
      <c r="E557" s="72"/>
    </row>
    <row r="558" spans="1:5" ht="19.2" customHeight="1" x14ac:dyDescent="0.3">
      <c r="A558" s="12" t="s">
        <v>226</v>
      </c>
      <c r="B558" s="68" t="s">
        <v>390</v>
      </c>
      <c r="C558" s="8">
        <v>342</v>
      </c>
      <c r="D558" s="71">
        <f>VLOOKUP(A558,'12.6'!A227:C555,3,)</f>
        <v>40000</v>
      </c>
      <c r="E558" s="72">
        <f>+D558*C558</f>
        <v>13680000</v>
      </c>
    </row>
    <row r="559" spans="1:5" ht="18" hidden="1" x14ac:dyDescent="0.3">
      <c r="A559" s="13" t="s">
        <v>227</v>
      </c>
      <c r="B559" s="68" t="s">
        <v>396</v>
      </c>
      <c r="C559" s="8"/>
      <c r="D559" s="71"/>
      <c r="E559" s="72"/>
    </row>
    <row r="560" spans="1:5" ht="18" hidden="1" x14ac:dyDescent="0.3">
      <c r="A560" s="12" t="s">
        <v>228</v>
      </c>
      <c r="B560" s="68" t="s">
        <v>396</v>
      </c>
      <c r="C560" s="8"/>
      <c r="D560" s="71"/>
      <c r="E560" s="72"/>
    </row>
    <row r="561" spans="1:5" ht="18" hidden="1" x14ac:dyDescent="0.3">
      <c r="A561" s="18" t="s">
        <v>229</v>
      </c>
      <c r="B561" s="68" t="s">
        <v>390</v>
      </c>
      <c r="C561" s="8"/>
      <c r="D561" s="71"/>
      <c r="E561" s="72"/>
    </row>
    <row r="562" spans="1:5" ht="18" hidden="1" x14ac:dyDescent="0.3">
      <c r="A562" s="12" t="s">
        <v>230</v>
      </c>
      <c r="B562" s="68" t="s">
        <v>390</v>
      </c>
      <c r="C562" s="8"/>
      <c r="D562" s="71"/>
      <c r="E562" s="72"/>
    </row>
    <row r="563" spans="1:5" ht="18" hidden="1" x14ac:dyDescent="0.3">
      <c r="A563" s="12" t="s">
        <v>231</v>
      </c>
      <c r="B563" s="68" t="s">
        <v>390</v>
      </c>
      <c r="C563" s="8"/>
      <c r="D563" s="71"/>
      <c r="E563" s="72"/>
    </row>
    <row r="564" spans="1:5" ht="18" hidden="1" x14ac:dyDescent="0.3">
      <c r="A564" s="12" t="s">
        <v>232</v>
      </c>
      <c r="B564" s="68" t="s">
        <v>399</v>
      </c>
      <c r="C564" s="8"/>
      <c r="D564" s="71"/>
      <c r="E564" s="72"/>
    </row>
    <row r="565" spans="1:5" ht="18" hidden="1" x14ac:dyDescent="0.3">
      <c r="A565" s="10" t="s">
        <v>233</v>
      </c>
      <c r="B565" s="68" t="s">
        <v>390</v>
      </c>
      <c r="C565" s="8"/>
      <c r="D565" s="71"/>
      <c r="E565" s="72"/>
    </row>
    <row r="566" spans="1:5" ht="18" hidden="1" x14ac:dyDescent="0.3">
      <c r="A566" s="10" t="s">
        <v>234</v>
      </c>
      <c r="B566" s="68" t="s">
        <v>390</v>
      </c>
      <c r="C566" s="8"/>
      <c r="D566" s="71"/>
      <c r="E566" s="72"/>
    </row>
    <row r="567" spans="1:5" ht="18" hidden="1" x14ac:dyDescent="0.3">
      <c r="A567" s="12" t="s">
        <v>235</v>
      </c>
      <c r="B567" s="68" t="s">
        <v>390</v>
      </c>
      <c r="C567" s="8"/>
      <c r="D567" s="71"/>
      <c r="E567" s="72"/>
    </row>
    <row r="568" spans="1:5" ht="18" hidden="1" x14ac:dyDescent="0.3">
      <c r="A568" s="39" t="s">
        <v>236</v>
      </c>
      <c r="B568" s="68" t="s">
        <v>390</v>
      </c>
      <c r="C568" s="8"/>
      <c r="D568" s="71"/>
      <c r="E568" s="72"/>
    </row>
    <row r="569" spans="1:5" ht="18" hidden="1" x14ac:dyDescent="0.3">
      <c r="A569" s="10" t="s">
        <v>237</v>
      </c>
      <c r="B569" s="68" t="s">
        <v>390</v>
      </c>
      <c r="C569" s="8"/>
      <c r="D569" s="71"/>
      <c r="E569" s="72"/>
    </row>
    <row r="570" spans="1:5" ht="18" hidden="1" x14ac:dyDescent="0.3">
      <c r="A570" s="10" t="s">
        <v>238</v>
      </c>
      <c r="B570" s="68" t="s">
        <v>392</v>
      </c>
      <c r="C570" s="8"/>
      <c r="D570" s="71"/>
      <c r="E570" s="72"/>
    </row>
    <row r="571" spans="1:5" ht="18" hidden="1" x14ac:dyDescent="0.3">
      <c r="A571" s="14" t="s">
        <v>239</v>
      </c>
      <c r="B571" s="68" t="s">
        <v>396</v>
      </c>
      <c r="C571" s="8"/>
      <c r="D571" s="71"/>
      <c r="E571" s="72"/>
    </row>
    <row r="572" spans="1:5" ht="18" hidden="1" x14ac:dyDescent="0.3">
      <c r="A572" s="14" t="s">
        <v>240</v>
      </c>
      <c r="B572" s="68" t="s">
        <v>396</v>
      </c>
      <c r="C572" s="8"/>
      <c r="D572" s="71"/>
      <c r="E572" s="72"/>
    </row>
    <row r="573" spans="1:5" ht="18" hidden="1" x14ac:dyDescent="0.3">
      <c r="A573" s="37" t="s">
        <v>241</v>
      </c>
      <c r="B573" s="68" t="s">
        <v>393</v>
      </c>
      <c r="C573" s="8"/>
      <c r="D573" s="71"/>
      <c r="E573" s="72"/>
    </row>
    <row r="574" spans="1:5" ht="18" hidden="1" x14ac:dyDescent="0.3">
      <c r="A574" s="10" t="s">
        <v>242</v>
      </c>
      <c r="B574" s="68" t="s">
        <v>390</v>
      </c>
      <c r="C574" s="8"/>
      <c r="D574" s="71"/>
      <c r="E574" s="72"/>
    </row>
    <row r="575" spans="1:5" ht="18" hidden="1" x14ac:dyDescent="0.3">
      <c r="A575" s="10" t="s">
        <v>243</v>
      </c>
      <c r="B575" s="68" t="s">
        <v>393</v>
      </c>
      <c r="C575" s="8"/>
      <c r="D575" s="71"/>
      <c r="E575" s="72"/>
    </row>
    <row r="576" spans="1:5" ht="18" hidden="1" x14ac:dyDescent="0.3">
      <c r="A576" s="10" t="s">
        <v>244</v>
      </c>
      <c r="B576" s="68" t="s">
        <v>390</v>
      </c>
      <c r="C576" s="17"/>
      <c r="D576" s="71"/>
      <c r="E576" s="72"/>
    </row>
    <row r="577" spans="1:5" ht="18" hidden="1" x14ac:dyDescent="0.3">
      <c r="A577" s="37" t="s">
        <v>245</v>
      </c>
      <c r="B577" s="68" t="s">
        <v>393</v>
      </c>
      <c r="C577" s="8"/>
      <c r="D577" s="71"/>
      <c r="E577" s="72"/>
    </row>
    <row r="578" spans="1:5" ht="18" hidden="1" x14ac:dyDescent="0.3">
      <c r="A578" s="10" t="s">
        <v>246</v>
      </c>
      <c r="B578" s="68" t="s">
        <v>393</v>
      </c>
      <c r="C578" s="17"/>
      <c r="D578" s="89"/>
      <c r="E578" s="72"/>
    </row>
    <row r="579" spans="1:5" ht="18" hidden="1" x14ac:dyDescent="0.3">
      <c r="A579" s="10" t="s">
        <v>247</v>
      </c>
      <c r="B579" s="68" t="s">
        <v>390</v>
      </c>
      <c r="C579" s="8"/>
      <c r="D579" s="89"/>
      <c r="E579" s="72"/>
    </row>
    <row r="580" spans="1:5" ht="18" hidden="1" x14ac:dyDescent="0.3">
      <c r="A580" s="12" t="s">
        <v>248</v>
      </c>
      <c r="B580" s="68" t="s">
        <v>390</v>
      </c>
      <c r="C580" s="8"/>
      <c r="D580" s="71"/>
      <c r="E580" s="72"/>
    </row>
    <row r="581" spans="1:5" ht="18" hidden="1" x14ac:dyDescent="0.3">
      <c r="A581" s="12" t="s">
        <v>249</v>
      </c>
      <c r="B581" s="68" t="s">
        <v>394</v>
      </c>
      <c r="C581" s="8"/>
      <c r="D581" s="71"/>
      <c r="E581" s="72"/>
    </row>
    <row r="582" spans="1:5" ht="19.2" customHeight="1" x14ac:dyDescent="0.3">
      <c r="A582" s="10" t="s">
        <v>250</v>
      </c>
      <c r="B582" s="68" t="s">
        <v>390</v>
      </c>
      <c r="C582" s="8">
        <v>45</v>
      </c>
      <c r="D582" s="71">
        <f>VLOOKUP(A582,'12.6'!A251:C579,3,)</f>
        <v>24000</v>
      </c>
      <c r="E582" s="72">
        <f>+D582*C582</f>
        <v>1080000</v>
      </c>
    </row>
    <row r="583" spans="1:5" ht="18" hidden="1" x14ac:dyDescent="0.3">
      <c r="A583" s="10" t="s">
        <v>251</v>
      </c>
      <c r="B583" s="68" t="s">
        <v>390</v>
      </c>
      <c r="C583" s="8"/>
      <c r="D583" s="71"/>
      <c r="E583" s="72"/>
    </row>
    <row r="584" spans="1:5" ht="18" hidden="1" x14ac:dyDescent="0.3">
      <c r="A584" s="10" t="s">
        <v>252</v>
      </c>
      <c r="B584" s="68" t="s">
        <v>392</v>
      </c>
      <c r="C584" s="8"/>
      <c r="D584" s="71"/>
      <c r="E584" s="72"/>
    </row>
    <row r="585" spans="1:5" ht="19.2" customHeight="1" x14ac:dyDescent="0.3">
      <c r="A585" s="10" t="s">
        <v>253</v>
      </c>
      <c r="B585" s="68" t="s">
        <v>394</v>
      </c>
      <c r="C585" s="8">
        <v>62</v>
      </c>
      <c r="D585" s="71">
        <f>VLOOKUP(A585,'12.6'!A254:C582,3,)</f>
        <v>11000</v>
      </c>
      <c r="E585" s="72">
        <f>+D585*C585</f>
        <v>682000</v>
      </c>
    </row>
    <row r="586" spans="1:5" ht="18" hidden="1" x14ac:dyDescent="0.3">
      <c r="A586" s="10" t="s">
        <v>254</v>
      </c>
      <c r="B586" s="68" t="s">
        <v>390</v>
      </c>
      <c r="C586" s="8"/>
      <c r="D586" s="71"/>
      <c r="E586" s="72"/>
    </row>
    <row r="587" spans="1:5" ht="18" hidden="1" x14ac:dyDescent="0.3">
      <c r="A587" s="18" t="s">
        <v>255</v>
      </c>
      <c r="B587" s="68" t="s">
        <v>390</v>
      </c>
      <c r="C587" s="8"/>
      <c r="D587" s="71"/>
      <c r="E587" s="72"/>
    </row>
    <row r="588" spans="1:5" ht="18" hidden="1" x14ac:dyDescent="0.3">
      <c r="A588" s="23" t="s">
        <v>256</v>
      </c>
      <c r="B588" s="68" t="s">
        <v>390</v>
      </c>
      <c r="C588" s="8"/>
      <c r="D588" s="71"/>
      <c r="E588" s="72"/>
    </row>
    <row r="589" spans="1:5" ht="18" hidden="1" x14ac:dyDescent="0.3">
      <c r="A589" s="23" t="s">
        <v>257</v>
      </c>
      <c r="B589" s="68" t="s">
        <v>390</v>
      </c>
      <c r="C589" s="8"/>
      <c r="D589" s="71"/>
      <c r="E589" s="72"/>
    </row>
    <row r="590" spans="1:5" ht="19.2" customHeight="1" x14ac:dyDescent="0.3">
      <c r="A590" s="10" t="s">
        <v>258</v>
      </c>
      <c r="B590" s="68" t="s">
        <v>390</v>
      </c>
      <c r="C590" s="8">
        <v>20</v>
      </c>
      <c r="D590" s="71">
        <f>VLOOKUP(A590,'12.6'!A259:C587,3,)</f>
        <v>34000</v>
      </c>
      <c r="E590" s="72">
        <f>+D590*C590</f>
        <v>680000</v>
      </c>
    </row>
    <row r="591" spans="1:5" ht="18" hidden="1" x14ac:dyDescent="0.3">
      <c r="A591" s="10" t="s">
        <v>259</v>
      </c>
      <c r="B591" s="68" t="s">
        <v>390</v>
      </c>
      <c r="C591" s="8"/>
      <c r="D591" s="71"/>
      <c r="E591" s="72"/>
    </row>
    <row r="592" spans="1:5" ht="18" hidden="1" x14ac:dyDescent="0.3">
      <c r="A592" s="10" t="s">
        <v>260</v>
      </c>
      <c r="B592" s="68" t="s">
        <v>392</v>
      </c>
      <c r="C592" s="8"/>
      <c r="D592" s="71"/>
      <c r="E592" s="72"/>
    </row>
    <row r="593" spans="1:5" ht="18" hidden="1" x14ac:dyDescent="0.3">
      <c r="A593" s="10" t="s">
        <v>261</v>
      </c>
      <c r="B593" s="68" t="s">
        <v>394</v>
      </c>
      <c r="C593" s="8"/>
      <c r="D593" s="71"/>
      <c r="E593" s="72"/>
    </row>
    <row r="594" spans="1:5" ht="19.2" customHeight="1" x14ac:dyDescent="0.3">
      <c r="A594" s="10" t="s">
        <v>262</v>
      </c>
      <c r="B594" s="68" t="s">
        <v>390</v>
      </c>
      <c r="C594" s="8">
        <v>39</v>
      </c>
      <c r="D594" s="71">
        <f>VLOOKUP(A594,'12.6'!A263:C591,3,)</f>
        <v>20000</v>
      </c>
      <c r="E594" s="72">
        <f>+D594*C594</f>
        <v>780000</v>
      </c>
    </row>
    <row r="595" spans="1:5" ht="18" hidden="1" x14ac:dyDescent="0.3">
      <c r="A595" s="10" t="s">
        <v>263</v>
      </c>
      <c r="B595" s="68" t="s">
        <v>390</v>
      </c>
      <c r="C595" s="8"/>
      <c r="D595" s="71"/>
      <c r="E595" s="72"/>
    </row>
    <row r="596" spans="1:5" ht="18" hidden="1" x14ac:dyDescent="0.3">
      <c r="A596" s="10" t="s">
        <v>264</v>
      </c>
      <c r="B596" s="68" t="s">
        <v>392</v>
      </c>
      <c r="C596" s="8"/>
      <c r="D596" s="71"/>
      <c r="E596" s="72"/>
    </row>
    <row r="597" spans="1:5" ht="18" hidden="1" x14ac:dyDescent="0.3">
      <c r="A597" s="10" t="s">
        <v>265</v>
      </c>
      <c r="B597" s="68" t="s">
        <v>390</v>
      </c>
      <c r="C597" s="17"/>
      <c r="D597" s="71"/>
      <c r="E597" s="72"/>
    </row>
    <row r="598" spans="1:5" ht="18" hidden="1" x14ac:dyDescent="0.3">
      <c r="A598" s="14" t="s">
        <v>266</v>
      </c>
      <c r="B598" s="68" t="s">
        <v>390</v>
      </c>
      <c r="C598" s="8"/>
      <c r="D598" s="71"/>
      <c r="E598" s="72"/>
    </row>
    <row r="599" spans="1:5" ht="18" hidden="1" x14ac:dyDescent="0.3">
      <c r="A599" s="10" t="s">
        <v>267</v>
      </c>
      <c r="B599" s="68" t="s">
        <v>390</v>
      </c>
      <c r="C599" s="8"/>
      <c r="D599" s="71"/>
      <c r="E599" s="72"/>
    </row>
    <row r="600" spans="1:5" ht="18" hidden="1" x14ac:dyDescent="0.3">
      <c r="A600" s="12" t="s">
        <v>269</v>
      </c>
      <c r="B600" s="68" t="s">
        <v>390</v>
      </c>
      <c r="C600" s="8"/>
      <c r="D600" s="71"/>
      <c r="E600" s="72"/>
    </row>
    <row r="601" spans="1:5" ht="19.2" customHeight="1" x14ac:dyDescent="0.3">
      <c r="A601" s="10" t="s">
        <v>270</v>
      </c>
      <c r="B601" s="68" t="s">
        <v>393</v>
      </c>
      <c r="C601" s="8">
        <v>7</v>
      </c>
      <c r="D601" s="71">
        <f>VLOOKUP(A601,'12.6'!A270:C598,3,)</f>
        <v>14000</v>
      </c>
      <c r="E601" s="72">
        <f>+D601*C601</f>
        <v>98000</v>
      </c>
    </row>
    <row r="602" spans="1:5" ht="18" hidden="1" x14ac:dyDescent="0.3">
      <c r="A602" s="10" t="s">
        <v>271</v>
      </c>
      <c r="B602" s="68" t="s">
        <v>390</v>
      </c>
      <c r="C602" s="8"/>
      <c r="D602" s="71"/>
      <c r="E602" s="72"/>
    </row>
    <row r="603" spans="1:5" ht="18" hidden="1" x14ac:dyDescent="0.3">
      <c r="A603" s="10" t="s">
        <v>272</v>
      </c>
      <c r="B603" s="68" t="s">
        <v>390</v>
      </c>
      <c r="C603" s="8"/>
      <c r="D603" s="71"/>
      <c r="E603" s="72"/>
    </row>
    <row r="604" spans="1:5" ht="18" hidden="1" x14ac:dyDescent="0.3">
      <c r="A604" s="10" t="s">
        <v>273</v>
      </c>
      <c r="B604" s="68" t="s">
        <v>396</v>
      </c>
      <c r="C604" s="8"/>
      <c r="D604" s="71"/>
      <c r="E604" s="72"/>
    </row>
    <row r="605" spans="1:5" ht="19.2" customHeight="1" x14ac:dyDescent="0.3">
      <c r="A605" s="10" t="s">
        <v>274</v>
      </c>
      <c r="B605" s="68" t="s">
        <v>390</v>
      </c>
      <c r="C605" s="8">
        <v>7</v>
      </c>
      <c r="D605" s="71">
        <f>VLOOKUP(A605,'12.6'!A274:C602,3,)</f>
        <v>17000</v>
      </c>
      <c r="E605" s="72">
        <f>+D605*C605</f>
        <v>119000</v>
      </c>
    </row>
    <row r="606" spans="1:5" ht="18" hidden="1" x14ac:dyDescent="0.3">
      <c r="A606" s="10" t="s">
        <v>275</v>
      </c>
      <c r="B606" s="68" t="s">
        <v>395</v>
      </c>
      <c r="C606" s="8"/>
      <c r="D606" s="71"/>
      <c r="E606" s="72"/>
    </row>
    <row r="607" spans="1:5" ht="18" hidden="1" x14ac:dyDescent="0.3">
      <c r="A607" s="10" t="s">
        <v>276</v>
      </c>
      <c r="B607" s="68" t="s">
        <v>390</v>
      </c>
      <c r="C607" s="8"/>
      <c r="D607" s="71"/>
      <c r="E607" s="72"/>
    </row>
    <row r="608" spans="1:5" ht="18" hidden="1" x14ac:dyDescent="0.3">
      <c r="A608" s="37" t="s">
        <v>277</v>
      </c>
      <c r="B608" s="68" t="s">
        <v>393</v>
      </c>
      <c r="C608" s="8"/>
      <c r="D608" s="71"/>
      <c r="E608" s="72"/>
    </row>
    <row r="609" spans="1:5" ht="18" hidden="1" x14ac:dyDescent="0.3">
      <c r="A609" s="10" t="s">
        <v>278</v>
      </c>
      <c r="B609" s="68" t="s">
        <v>393</v>
      </c>
      <c r="C609" s="8"/>
      <c r="D609" s="71"/>
      <c r="E609" s="72"/>
    </row>
    <row r="610" spans="1:5" ht="18" hidden="1" x14ac:dyDescent="0.3">
      <c r="A610" s="37" t="s">
        <v>279</v>
      </c>
      <c r="B610" s="68" t="s">
        <v>393</v>
      </c>
      <c r="C610" s="8"/>
      <c r="D610" s="71"/>
      <c r="E610" s="72"/>
    </row>
    <row r="611" spans="1:5" ht="18" hidden="1" x14ac:dyDescent="0.3">
      <c r="A611" s="37" t="s">
        <v>280</v>
      </c>
      <c r="B611" s="68" t="s">
        <v>393</v>
      </c>
      <c r="C611" s="8"/>
      <c r="D611" s="71"/>
      <c r="E611" s="72"/>
    </row>
    <row r="612" spans="1:5" ht="18" hidden="1" x14ac:dyDescent="0.3">
      <c r="A612" s="13" t="s">
        <v>281</v>
      </c>
      <c r="B612" s="68" t="s">
        <v>390</v>
      </c>
      <c r="C612" s="17"/>
      <c r="D612" s="71"/>
      <c r="E612" s="72"/>
    </row>
    <row r="613" spans="1:5" ht="18" hidden="1" x14ac:dyDescent="0.3">
      <c r="A613" s="13" t="s">
        <v>282</v>
      </c>
      <c r="B613" s="68" t="s">
        <v>393</v>
      </c>
      <c r="C613" s="8"/>
      <c r="D613" s="90"/>
      <c r="E613" s="72"/>
    </row>
    <row r="614" spans="1:5" ht="18" hidden="1" x14ac:dyDescent="0.3">
      <c r="A614" s="12" t="s">
        <v>283</v>
      </c>
      <c r="B614" s="68" t="s">
        <v>390</v>
      </c>
      <c r="C614" s="8"/>
      <c r="D614" s="71"/>
      <c r="E614" s="72"/>
    </row>
    <row r="615" spans="1:5" ht="18" hidden="1" x14ac:dyDescent="0.3">
      <c r="A615" s="12" t="s">
        <v>401</v>
      </c>
      <c r="B615" s="68" t="s">
        <v>396</v>
      </c>
      <c r="C615" s="8"/>
      <c r="D615" s="71"/>
      <c r="E615" s="72"/>
    </row>
    <row r="616" spans="1:5" ht="18" hidden="1" x14ac:dyDescent="0.3">
      <c r="A616" s="18" t="s">
        <v>284</v>
      </c>
      <c r="B616" s="68" t="s">
        <v>396</v>
      </c>
      <c r="C616" s="8"/>
      <c r="D616" s="71"/>
      <c r="E616" s="72"/>
    </row>
    <row r="617" spans="1:5" ht="18" hidden="1" x14ac:dyDescent="0.3">
      <c r="A617" s="18" t="s">
        <v>285</v>
      </c>
      <c r="B617" s="68" t="s">
        <v>394</v>
      </c>
      <c r="C617" s="8"/>
      <c r="D617" s="71"/>
      <c r="E617" s="72"/>
    </row>
    <row r="618" spans="1:5" ht="18" hidden="1" x14ac:dyDescent="0.3">
      <c r="A618" s="18" t="s">
        <v>286</v>
      </c>
      <c r="B618" s="68" t="s">
        <v>394</v>
      </c>
      <c r="C618" s="8"/>
      <c r="D618" s="71"/>
      <c r="E618" s="72"/>
    </row>
    <row r="619" spans="1:5" ht="18" hidden="1" x14ac:dyDescent="0.3">
      <c r="A619" s="10" t="s">
        <v>287</v>
      </c>
      <c r="B619" s="68" t="s">
        <v>390</v>
      </c>
      <c r="C619" s="8"/>
      <c r="D619" s="91"/>
      <c r="E619" s="72"/>
    </row>
    <row r="620" spans="1:5" ht="18" hidden="1" x14ac:dyDescent="0.3">
      <c r="A620" s="18" t="s">
        <v>288</v>
      </c>
      <c r="B620" s="68" t="s">
        <v>393</v>
      </c>
      <c r="C620" s="8"/>
      <c r="D620" s="71"/>
      <c r="E620" s="72"/>
    </row>
    <row r="621" spans="1:5" ht="18" hidden="1" x14ac:dyDescent="0.3">
      <c r="A621" s="10" t="s">
        <v>289</v>
      </c>
      <c r="B621" s="68" t="s">
        <v>390</v>
      </c>
      <c r="C621" s="8"/>
      <c r="D621" s="91"/>
      <c r="E621" s="72"/>
    </row>
    <row r="622" spans="1:5" ht="19.2" customHeight="1" x14ac:dyDescent="0.3">
      <c r="A622" s="10" t="s">
        <v>290</v>
      </c>
      <c r="B622" s="68" t="s">
        <v>390</v>
      </c>
      <c r="C622" s="8">
        <v>4</v>
      </c>
      <c r="D622" s="71">
        <v>8000</v>
      </c>
      <c r="E622" s="72">
        <f>+D622*C622</f>
        <v>32000</v>
      </c>
    </row>
    <row r="623" spans="1:5" ht="18" hidden="1" x14ac:dyDescent="0.3">
      <c r="A623" s="18" t="s">
        <v>291</v>
      </c>
      <c r="B623" s="68" t="s">
        <v>394</v>
      </c>
      <c r="C623" s="8"/>
      <c r="D623" s="71"/>
      <c r="E623" s="72"/>
    </row>
    <row r="624" spans="1:5" ht="18" hidden="1" x14ac:dyDescent="0.3">
      <c r="A624" s="27" t="s">
        <v>292</v>
      </c>
      <c r="B624" s="68" t="s">
        <v>390</v>
      </c>
      <c r="C624" s="8"/>
      <c r="D624" s="71"/>
      <c r="E624" s="72"/>
    </row>
    <row r="625" spans="1:5" ht="19.2" customHeight="1" x14ac:dyDescent="0.3">
      <c r="A625" s="10" t="s">
        <v>293</v>
      </c>
      <c r="B625" s="68" t="s">
        <v>390</v>
      </c>
      <c r="C625" s="8">
        <v>47</v>
      </c>
      <c r="D625" s="71">
        <f>VLOOKUP(A625,'12.6'!A294:C622,3,)</f>
        <v>12000</v>
      </c>
      <c r="E625" s="72">
        <f>+D625*C625</f>
        <v>564000</v>
      </c>
    </row>
    <row r="626" spans="1:5" ht="18" hidden="1" x14ac:dyDescent="0.3">
      <c r="A626" s="14" t="s">
        <v>294</v>
      </c>
      <c r="B626" s="68" t="s">
        <v>391</v>
      </c>
      <c r="C626" s="8"/>
      <c r="D626" s="71"/>
      <c r="E626" s="72"/>
    </row>
    <row r="627" spans="1:5" ht="18" hidden="1" x14ac:dyDescent="0.3">
      <c r="A627" s="14" t="s">
        <v>295</v>
      </c>
      <c r="B627" s="68" t="s">
        <v>396</v>
      </c>
      <c r="C627" s="8"/>
      <c r="D627" s="71"/>
      <c r="E627" s="72"/>
    </row>
    <row r="628" spans="1:5" ht="18" hidden="1" x14ac:dyDescent="0.3">
      <c r="A628" s="13" t="s">
        <v>296</v>
      </c>
      <c r="B628" s="68" t="s">
        <v>390</v>
      </c>
      <c r="C628" s="8"/>
      <c r="D628" s="88"/>
      <c r="E628" s="72"/>
    </row>
    <row r="629" spans="1:5" ht="18" hidden="1" x14ac:dyDescent="0.3">
      <c r="A629" s="18" t="s">
        <v>297</v>
      </c>
      <c r="B629" s="68" t="s">
        <v>393</v>
      </c>
      <c r="C629" s="8"/>
      <c r="D629" s="88"/>
      <c r="E629" s="72"/>
    </row>
    <row r="630" spans="1:5" ht="18" hidden="1" x14ac:dyDescent="0.3">
      <c r="A630" s="14" t="s">
        <v>298</v>
      </c>
      <c r="B630" s="68" t="s">
        <v>393</v>
      </c>
      <c r="C630" s="8"/>
      <c r="D630" s="71"/>
      <c r="E630" s="72"/>
    </row>
    <row r="631" spans="1:5" ht="18" hidden="1" x14ac:dyDescent="0.3">
      <c r="A631" s="10" t="s">
        <v>299</v>
      </c>
      <c r="B631" s="68" t="s">
        <v>390</v>
      </c>
      <c r="C631" s="8"/>
      <c r="D631" s="71"/>
      <c r="E631" s="72"/>
    </row>
    <row r="632" spans="1:5" ht="18" hidden="1" x14ac:dyDescent="0.3">
      <c r="A632" s="18" t="s">
        <v>300</v>
      </c>
      <c r="B632" s="68" t="s">
        <v>396</v>
      </c>
      <c r="C632" s="8"/>
      <c r="D632" s="71"/>
      <c r="E632" s="72"/>
    </row>
    <row r="633" spans="1:5" ht="18" hidden="1" x14ac:dyDescent="0.3">
      <c r="A633" s="10" t="s">
        <v>301</v>
      </c>
      <c r="B633" s="68" t="s">
        <v>390</v>
      </c>
      <c r="C633" s="8"/>
      <c r="D633" s="71"/>
      <c r="E633" s="72"/>
    </row>
    <row r="634" spans="1:5" ht="18" hidden="1" x14ac:dyDescent="0.3">
      <c r="A634" s="10" t="s">
        <v>302</v>
      </c>
      <c r="B634" s="68" t="s">
        <v>390</v>
      </c>
      <c r="C634" s="8"/>
      <c r="D634" s="71"/>
      <c r="E634" s="72"/>
    </row>
    <row r="635" spans="1:5" ht="18" hidden="1" x14ac:dyDescent="0.3">
      <c r="A635" s="12" t="s">
        <v>303</v>
      </c>
      <c r="B635" s="68" t="s">
        <v>390</v>
      </c>
      <c r="C635" s="8"/>
      <c r="D635" s="71"/>
      <c r="E635" s="72"/>
    </row>
    <row r="636" spans="1:5" ht="18" hidden="1" x14ac:dyDescent="0.3">
      <c r="A636" s="13" t="s">
        <v>304</v>
      </c>
      <c r="B636" s="68" t="s">
        <v>390</v>
      </c>
      <c r="C636" s="8"/>
      <c r="D636" s="71"/>
      <c r="E636" s="72"/>
    </row>
    <row r="637" spans="1:5" ht="18" hidden="1" x14ac:dyDescent="0.3">
      <c r="A637" s="13" t="s">
        <v>305</v>
      </c>
      <c r="B637" s="68" t="s">
        <v>390</v>
      </c>
      <c r="C637" s="8"/>
      <c r="D637" s="71"/>
      <c r="E637" s="72"/>
    </row>
    <row r="638" spans="1:5" ht="18" hidden="1" x14ac:dyDescent="0.3">
      <c r="A638" s="10" t="s">
        <v>306</v>
      </c>
      <c r="B638" s="68" t="s">
        <v>390</v>
      </c>
      <c r="C638" s="8"/>
      <c r="D638" s="71"/>
      <c r="E638" s="72"/>
    </row>
    <row r="639" spans="1:5" ht="18" hidden="1" x14ac:dyDescent="0.3">
      <c r="A639" s="10" t="s">
        <v>307</v>
      </c>
      <c r="B639" s="68" t="s">
        <v>397</v>
      </c>
      <c r="C639" s="8"/>
      <c r="D639" s="71"/>
      <c r="E639" s="72"/>
    </row>
    <row r="640" spans="1:5" ht="18" hidden="1" x14ac:dyDescent="0.3">
      <c r="A640" s="10" t="s">
        <v>308</v>
      </c>
      <c r="B640" s="68" t="s">
        <v>393</v>
      </c>
      <c r="C640" s="8"/>
      <c r="D640" s="71"/>
      <c r="E640" s="72"/>
    </row>
    <row r="641" spans="1:5" ht="18" hidden="1" x14ac:dyDescent="0.3">
      <c r="A641" s="14" t="s">
        <v>309</v>
      </c>
      <c r="B641" s="68" t="s">
        <v>390</v>
      </c>
      <c r="C641" s="8"/>
      <c r="D641" s="71"/>
      <c r="E641" s="72"/>
    </row>
    <row r="642" spans="1:5" ht="18" hidden="1" x14ac:dyDescent="0.3">
      <c r="A642" s="14" t="s">
        <v>310</v>
      </c>
      <c r="B642" s="68" t="s">
        <v>390</v>
      </c>
      <c r="C642" s="8"/>
      <c r="D642" s="71"/>
      <c r="E642" s="72"/>
    </row>
    <row r="643" spans="1:5" ht="18" hidden="1" x14ac:dyDescent="0.3">
      <c r="A643" s="23" t="s">
        <v>311</v>
      </c>
      <c r="B643" s="68" t="s">
        <v>390</v>
      </c>
      <c r="C643" s="8"/>
      <c r="D643" s="71"/>
      <c r="E643" s="72"/>
    </row>
    <row r="644" spans="1:5" ht="18" hidden="1" x14ac:dyDescent="0.3">
      <c r="A644" s="14" t="s">
        <v>312</v>
      </c>
      <c r="B644" s="68" t="s">
        <v>393</v>
      </c>
      <c r="C644" s="8"/>
      <c r="D644" s="71"/>
      <c r="E644" s="72"/>
    </row>
    <row r="645" spans="1:5" ht="18" hidden="1" x14ac:dyDescent="0.3">
      <c r="A645" s="10" t="s">
        <v>313</v>
      </c>
      <c r="B645" s="68" t="s">
        <v>395</v>
      </c>
      <c r="C645" s="8"/>
      <c r="D645" s="71"/>
      <c r="E645" s="72"/>
    </row>
    <row r="646" spans="1:5" ht="18" hidden="1" x14ac:dyDescent="0.3">
      <c r="A646" s="10" t="s">
        <v>314</v>
      </c>
      <c r="B646" s="68" t="s">
        <v>395</v>
      </c>
      <c r="C646" s="8"/>
      <c r="D646" s="71"/>
      <c r="E646" s="72"/>
    </row>
    <row r="647" spans="1:5" ht="18" hidden="1" x14ac:dyDescent="0.3">
      <c r="A647" s="10" t="s">
        <v>315</v>
      </c>
      <c r="B647" s="68" t="s">
        <v>397</v>
      </c>
      <c r="C647" s="8"/>
      <c r="D647" s="71"/>
      <c r="E647" s="102"/>
    </row>
    <row r="648" spans="1:5" ht="18" hidden="1" x14ac:dyDescent="0.3">
      <c r="A648" s="10" t="s">
        <v>316</v>
      </c>
      <c r="B648" s="68" t="s">
        <v>390</v>
      </c>
      <c r="C648" s="8"/>
      <c r="D648" s="71"/>
      <c r="E648" s="72"/>
    </row>
    <row r="649" spans="1:5" ht="18" hidden="1" x14ac:dyDescent="0.3">
      <c r="A649" s="23" t="s">
        <v>317</v>
      </c>
      <c r="B649" s="68" t="s">
        <v>390</v>
      </c>
      <c r="C649" s="8"/>
      <c r="D649" s="71"/>
      <c r="E649" s="72"/>
    </row>
    <row r="650" spans="1:5" ht="18" hidden="1" x14ac:dyDescent="0.3">
      <c r="A650" s="10" t="s">
        <v>318</v>
      </c>
      <c r="B650" s="68" t="s">
        <v>395</v>
      </c>
      <c r="C650" s="8"/>
      <c r="D650" s="71"/>
      <c r="E650" s="72"/>
    </row>
    <row r="651" spans="1:5" ht="18" hidden="1" x14ac:dyDescent="0.3">
      <c r="A651" s="10" t="s">
        <v>319</v>
      </c>
      <c r="B651" s="68" t="s">
        <v>390</v>
      </c>
      <c r="C651" s="8"/>
      <c r="D651" s="71"/>
      <c r="E651" s="72"/>
    </row>
    <row r="652" spans="1:5" ht="18" hidden="1" x14ac:dyDescent="0.3">
      <c r="A652" s="13" t="s">
        <v>320</v>
      </c>
      <c r="B652" s="68" t="s">
        <v>390</v>
      </c>
      <c r="C652" s="8"/>
      <c r="D652" s="71"/>
      <c r="E652" s="72"/>
    </row>
    <row r="653" spans="1:5" ht="18" hidden="1" x14ac:dyDescent="0.3">
      <c r="A653" s="10" t="s">
        <v>321</v>
      </c>
      <c r="B653" s="68" t="s">
        <v>390</v>
      </c>
      <c r="C653" s="42"/>
      <c r="D653" s="71"/>
      <c r="E653" s="72"/>
    </row>
    <row r="654" spans="1:5" ht="18" hidden="1" x14ac:dyDescent="0.3">
      <c r="A654" s="10" t="s">
        <v>322</v>
      </c>
      <c r="B654" s="68" t="s">
        <v>395</v>
      </c>
      <c r="C654" s="8"/>
      <c r="D654" s="71"/>
      <c r="E654" s="72"/>
    </row>
    <row r="655" spans="1:5" ht="18" hidden="1" x14ac:dyDescent="0.3">
      <c r="A655" s="10" t="s">
        <v>323</v>
      </c>
      <c r="B655" s="68" t="s">
        <v>393</v>
      </c>
      <c r="C655" s="8"/>
      <c r="D655" s="71"/>
      <c r="E655" s="72"/>
    </row>
    <row r="656" spans="1:5" ht="18" hidden="1" x14ac:dyDescent="0.3">
      <c r="A656" s="23" t="s">
        <v>324</v>
      </c>
      <c r="B656" s="68" t="s">
        <v>390</v>
      </c>
      <c r="C656" s="8"/>
      <c r="D656" s="71"/>
      <c r="E656" s="72"/>
    </row>
    <row r="657" spans="1:5" ht="18" hidden="1" x14ac:dyDescent="0.3">
      <c r="A657" s="23" t="s">
        <v>325</v>
      </c>
      <c r="B657" s="68" t="s">
        <v>390</v>
      </c>
      <c r="C657" s="8"/>
      <c r="D657" s="71"/>
      <c r="E657" s="72"/>
    </row>
    <row r="658" spans="1:5" ht="18" hidden="1" x14ac:dyDescent="0.3">
      <c r="A658" s="10" t="s">
        <v>326</v>
      </c>
      <c r="B658" s="68" t="s">
        <v>390</v>
      </c>
      <c r="C658" s="8"/>
      <c r="D658" s="71"/>
      <c r="E658" s="72"/>
    </row>
    <row r="659" spans="1:5" ht="18" hidden="1" x14ac:dyDescent="0.3">
      <c r="A659" s="10" t="s">
        <v>327</v>
      </c>
      <c r="B659" s="68" t="s">
        <v>390</v>
      </c>
      <c r="C659" s="8"/>
      <c r="D659" s="71"/>
      <c r="E659" s="72"/>
    </row>
    <row r="660" spans="1:5" ht="18" hidden="1" x14ac:dyDescent="0.3">
      <c r="A660" s="23" t="s">
        <v>328</v>
      </c>
      <c r="B660" s="68" t="s">
        <v>390</v>
      </c>
      <c r="C660" s="8"/>
      <c r="D660" s="71"/>
      <c r="E660" s="72"/>
    </row>
    <row r="661" spans="1:5" ht="18" hidden="1" x14ac:dyDescent="0.3">
      <c r="A661" s="10" t="s">
        <v>329</v>
      </c>
      <c r="B661" s="68" t="s">
        <v>395</v>
      </c>
      <c r="C661" s="8"/>
      <c r="D661" s="71"/>
      <c r="E661" s="72"/>
    </row>
    <row r="662" spans="1:5" ht="18" hidden="1" x14ac:dyDescent="0.3">
      <c r="A662" s="10" t="s">
        <v>330</v>
      </c>
      <c r="B662" s="68" t="s">
        <v>395</v>
      </c>
      <c r="C662" s="8"/>
      <c r="D662" s="71"/>
      <c r="E662" s="72"/>
    </row>
    <row r="663" spans="1:5" ht="18" hidden="1" x14ac:dyDescent="0.3">
      <c r="A663" s="10" t="s">
        <v>331</v>
      </c>
      <c r="B663" s="68" t="s">
        <v>395</v>
      </c>
      <c r="C663" s="8"/>
      <c r="D663" s="71"/>
      <c r="E663" s="72"/>
    </row>
    <row r="664" spans="1:5" ht="18" hidden="1" x14ac:dyDescent="0.3">
      <c r="A664" s="10" t="s">
        <v>332</v>
      </c>
      <c r="B664" s="68" t="s">
        <v>395</v>
      </c>
      <c r="C664" s="8"/>
      <c r="D664" s="71"/>
      <c r="E664" s="72"/>
    </row>
    <row r="665" spans="1:5" ht="18" hidden="1" x14ac:dyDescent="0.3">
      <c r="A665" s="10" t="s">
        <v>333</v>
      </c>
      <c r="B665" s="68" t="s">
        <v>395</v>
      </c>
      <c r="C665" s="8"/>
      <c r="D665" s="71"/>
      <c r="E665" s="72"/>
    </row>
    <row r="666" spans="1:5" ht="19.2" customHeight="1" x14ac:dyDescent="0.3">
      <c r="A666" s="10" t="s">
        <v>334</v>
      </c>
      <c r="B666" s="68" t="s">
        <v>397</v>
      </c>
      <c r="C666" s="8">
        <v>3</v>
      </c>
      <c r="D666" s="71">
        <v>28000</v>
      </c>
      <c r="E666" s="72">
        <f>+D666*C666</f>
        <v>84000</v>
      </c>
    </row>
    <row r="667" spans="1:5" ht="18" hidden="1" x14ac:dyDescent="0.3">
      <c r="A667" s="10" t="s">
        <v>335</v>
      </c>
      <c r="B667" s="68" t="s">
        <v>390</v>
      </c>
      <c r="C667" s="8"/>
      <c r="D667" s="71"/>
      <c r="E667" s="72"/>
    </row>
    <row r="668" spans="1:5" ht="18" hidden="1" x14ac:dyDescent="0.3">
      <c r="A668" s="10" t="s">
        <v>336</v>
      </c>
      <c r="B668" s="68" t="s">
        <v>390</v>
      </c>
      <c r="C668" s="8"/>
      <c r="D668" s="71"/>
      <c r="E668" s="72"/>
    </row>
    <row r="669" spans="1:5" ht="18" hidden="1" x14ac:dyDescent="0.3">
      <c r="A669" s="12" t="s">
        <v>337</v>
      </c>
      <c r="B669" s="68" t="s">
        <v>394</v>
      </c>
      <c r="C669" s="8"/>
      <c r="D669" s="71"/>
      <c r="E669" s="72"/>
    </row>
    <row r="670" spans="1:5" ht="18" hidden="1" x14ac:dyDescent="0.3">
      <c r="A670" s="12" t="s">
        <v>338</v>
      </c>
      <c r="B670" s="68" t="s">
        <v>390</v>
      </c>
      <c r="C670" s="8"/>
      <c r="D670" s="71"/>
      <c r="E670" s="72"/>
    </row>
    <row r="671" spans="1:5" ht="19.2" customHeight="1" x14ac:dyDescent="0.3">
      <c r="A671" s="43"/>
      <c r="B671" s="46">
        <v>0</v>
      </c>
      <c r="C671" s="46">
        <v>2981</v>
      </c>
      <c r="D671" s="94"/>
      <c r="E671" s="92">
        <f>SUBTOTAL(9,E334:E666)</f>
        <v>52361000</v>
      </c>
    </row>
    <row r="672" spans="1:5" x14ac:dyDescent="0.3">
      <c r="E672" s="107">
        <f>+E671+E331</f>
        <v>113997000</v>
      </c>
    </row>
  </sheetData>
  <protectedRanges>
    <protectedRange password="CF71" sqref="C1:C330 C672:C65536" name="tho"/>
    <protectedRange password="CF71" sqref="C332:C670" name="tho_2"/>
  </protectedRanges>
  <autoFilter ref="A2:IU671" xr:uid="{00000000-0009-0000-0000-00000C000000}">
    <filterColumn colId="2">
      <customFilters>
        <customFilter operator="notEqual" val=" "/>
      </customFilters>
    </filterColumn>
    <sortState xmlns:xlrd2="http://schemas.microsoft.com/office/spreadsheetml/2017/richdata2" ref="A5:IU331">
      <sortCondition ref="A2"/>
    </sortState>
  </autoFilter>
  <mergeCells count="2">
    <mergeCell ref="A2:A3"/>
    <mergeCell ref="A332:A3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WRU672"/>
  <sheetViews>
    <sheetView workbookViewId="0">
      <pane xSplit="1" ySplit="6" topLeftCell="B582" activePane="bottomRight" state="frozen"/>
      <selection pane="topRight" activeCell="B1" sqref="B1"/>
      <selection pane="bottomLeft" activeCell="A7" sqref="A7"/>
      <selection pane="bottomRight" activeCell="E676" sqref="E676"/>
    </sheetView>
  </sheetViews>
  <sheetFormatPr defaultColWidth="0" defaultRowHeight="16.8" x14ac:dyDescent="0.3"/>
  <cols>
    <col min="1" max="1" width="41.44140625" style="95" customWidth="1"/>
    <col min="2" max="2" width="6.44140625" style="96" customWidth="1"/>
    <col min="3" max="3" width="13" style="95" customWidth="1"/>
    <col min="4" max="4" width="22.88671875" style="97" customWidth="1"/>
    <col min="5" max="5" width="20.33203125" style="98" customWidth="1"/>
    <col min="6" max="8" width="11.44140625" style="95" customWidth="1"/>
    <col min="9" max="9" width="56.88671875" style="95" customWidth="1"/>
    <col min="10" max="10" width="9.109375" style="95" bestFit="1" customWidth="1"/>
    <col min="11" max="11" width="24.5546875" style="95" customWidth="1"/>
    <col min="12" max="12" width="22.88671875" style="95" customWidth="1"/>
    <col min="13" max="13" width="9.109375" style="95" bestFit="1" customWidth="1"/>
    <col min="14" max="14" width="6.44140625" style="95" hidden="1" customWidth="1"/>
    <col min="15" max="15" width="5.88671875" style="95" hidden="1" customWidth="1"/>
    <col min="16" max="16" width="7.109375" style="95" hidden="1" customWidth="1"/>
    <col min="17" max="17" width="6.44140625" style="95" hidden="1" customWidth="1"/>
    <col min="18" max="18" width="5.44140625" style="95" hidden="1" customWidth="1"/>
    <col min="19" max="20" width="6.44140625" style="95" hidden="1" customWidth="1"/>
    <col min="21" max="21" width="5.44140625" style="95" hidden="1" customWidth="1"/>
    <col min="22" max="23" width="6.44140625" style="95" hidden="1" customWidth="1"/>
    <col min="24" max="24" width="6" style="95" hidden="1" customWidth="1"/>
    <col min="25" max="26" width="6.44140625" style="95" hidden="1" customWidth="1"/>
    <col min="27" max="27" width="6.109375" style="95" hidden="1" customWidth="1"/>
    <col min="28" max="28" width="9.109375" style="95" hidden="1" customWidth="1"/>
    <col min="29" max="29" width="6" style="95" hidden="1" customWidth="1"/>
    <col min="30" max="30" width="5" style="95" hidden="1" customWidth="1"/>
    <col min="31" max="32" width="6.44140625" style="95" hidden="1" customWidth="1"/>
    <col min="33" max="33" width="7.44140625" style="95" hidden="1" customWidth="1"/>
    <col min="34" max="34" width="6.44140625" style="95" hidden="1" customWidth="1"/>
    <col min="35" max="35" width="5" style="95" hidden="1" customWidth="1"/>
    <col min="36" max="38" width="6.44140625" style="95" hidden="1" customWidth="1"/>
    <col min="39" max="39" width="5" style="95" hidden="1" customWidth="1"/>
    <col min="40" max="40" width="9.44140625" style="95" hidden="1" customWidth="1"/>
    <col min="41" max="41" width="5" style="95" hidden="1" customWidth="1"/>
    <col min="42" max="42" width="0" style="95" hidden="1" customWidth="1"/>
    <col min="43" max="43" width="6.44140625" style="95" hidden="1" customWidth="1"/>
    <col min="44" max="44" width="0" style="95" hidden="1" customWidth="1"/>
    <col min="45" max="46" width="6.44140625" style="95" hidden="1" customWidth="1"/>
    <col min="47" max="47" width="5" style="95" hidden="1" customWidth="1"/>
    <col min="48" max="49" width="6.44140625" style="95" hidden="1" customWidth="1"/>
    <col min="50" max="50" width="0" style="95" hidden="1" customWidth="1"/>
    <col min="51" max="52" width="6.44140625" style="95" hidden="1" customWidth="1"/>
    <col min="53" max="53" width="0" style="95" hidden="1" customWidth="1"/>
    <col min="54" max="55" width="6.44140625" style="95" hidden="1" customWidth="1"/>
    <col min="56" max="56" width="8.44140625" style="95" customWidth="1"/>
    <col min="57" max="58" width="6.44140625" style="95" hidden="1" customWidth="1"/>
    <col min="59" max="59" width="5" style="95" hidden="1" customWidth="1"/>
    <col min="60" max="60" width="9.44140625" style="95" hidden="1" customWidth="1"/>
    <col min="61" max="61" width="0" style="95" hidden="1" customWidth="1"/>
    <col min="62" max="63" width="6.44140625" style="95" hidden="1" customWidth="1"/>
    <col min="64" max="64" width="6.88671875" style="95" hidden="1" customWidth="1"/>
    <col min="65" max="65" width="9.44140625" style="95" hidden="1" customWidth="1"/>
    <col min="66" max="66" width="6.44140625" style="95" hidden="1" customWidth="1"/>
    <col min="67" max="67" width="6.88671875" style="95" hidden="1" customWidth="1"/>
    <col min="68" max="68" width="9.44140625" style="95" hidden="1" customWidth="1"/>
    <col min="69" max="70" width="6.44140625" style="95" hidden="1" customWidth="1"/>
    <col min="71" max="71" width="9.44140625" style="95" hidden="1" customWidth="1"/>
    <col min="72" max="72" width="6.44140625" style="95" hidden="1" customWidth="1"/>
    <col min="73" max="73" width="7.44140625" style="95" hidden="1" customWidth="1"/>
    <col min="74" max="74" width="9.44140625" style="95" hidden="1" customWidth="1"/>
    <col min="75" max="76" width="6.44140625" style="95" hidden="1" customWidth="1"/>
    <col min="77" max="77" width="9.44140625" style="95" hidden="1" customWidth="1"/>
    <col min="78" max="78" width="6.44140625" style="95" hidden="1" customWidth="1"/>
    <col min="79" max="79" width="7.5546875" style="95" hidden="1" customWidth="1"/>
    <col min="80" max="81" width="9.44140625" style="95" hidden="1" customWidth="1"/>
    <col min="82" max="82" width="5" style="95" hidden="1" customWidth="1"/>
    <col min="83" max="88" width="0" style="95" hidden="1" customWidth="1"/>
    <col min="89" max="89" width="6.44140625" style="95" hidden="1" customWidth="1"/>
    <col min="90" max="90" width="5.88671875" style="95" hidden="1" customWidth="1"/>
    <col min="91" max="91" width="7" style="95" hidden="1" customWidth="1"/>
    <col min="92" max="92" width="9.44140625" style="95" customWidth="1"/>
    <col min="93" max="93" width="6.44140625" style="95" hidden="1" customWidth="1"/>
    <col min="94" max="94" width="5" style="95" customWidth="1"/>
    <col min="95" max="95" width="6.44140625" style="95" hidden="1" customWidth="1"/>
    <col min="96" max="96" width="8.44140625" style="95" hidden="1" customWidth="1"/>
    <col min="97" max="97" width="6.44140625" style="95" hidden="1" customWidth="1"/>
    <col min="98" max="98" width="5" style="95" hidden="1" customWidth="1"/>
    <col min="99" max="99" width="6.44140625" style="95" hidden="1" customWidth="1"/>
    <col min="100" max="100" width="5" style="95" customWidth="1"/>
    <col min="101" max="101" width="6.44140625" style="95" hidden="1" customWidth="1"/>
    <col min="102" max="102" width="7.5546875" style="95" hidden="1" customWidth="1"/>
    <col min="103" max="103" width="5" style="95" customWidth="1"/>
    <col min="104" max="105" width="6.44140625" style="95" hidden="1" customWidth="1"/>
    <col min="106" max="107" width="0" style="95" hidden="1" customWidth="1"/>
    <col min="108" max="108" width="6.44140625" style="95" hidden="1" customWidth="1"/>
    <col min="109" max="109" width="8.44140625" style="95" hidden="1" customWidth="1"/>
    <col min="110" max="110" width="0" style="95" hidden="1" customWidth="1"/>
    <col min="111" max="111" width="6.44140625" style="95" customWidth="1"/>
    <col min="112" max="112" width="8.44140625" style="95" hidden="1" customWidth="1"/>
    <col min="113" max="113" width="0" style="95" hidden="1" customWidth="1"/>
    <col min="114" max="114" width="6.44140625" style="95" hidden="1" customWidth="1"/>
    <col min="115" max="115" width="0" style="95" hidden="1" customWidth="1"/>
    <col min="116" max="117" width="9" style="95" hidden="1" customWidth="1"/>
    <col min="118" max="118" width="11" style="95" hidden="1" customWidth="1"/>
    <col min="119" max="119" width="6.44140625" style="95" hidden="1" customWidth="1"/>
    <col min="120" max="120" width="8.5546875" style="95" hidden="1" customWidth="1"/>
    <col min="121" max="123" width="6.44140625" style="95" hidden="1" customWidth="1"/>
    <col min="124" max="124" width="7" style="95" hidden="1" customWidth="1"/>
    <col min="125" max="125" width="8.88671875" style="95" hidden="1" customWidth="1"/>
    <col min="126" max="127" width="7" style="95" hidden="1" customWidth="1"/>
    <col min="128" max="128" width="8.88671875" style="95" hidden="1" customWidth="1"/>
    <col min="129" max="131" width="7" style="95" hidden="1" customWidth="1"/>
    <col min="132" max="132" width="8.88671875" style="95" hidden="1" customWidth="1"/>
    <col min="133" max="136" width="6.44140625" style="95" customWidth="1"/>
    <col min="137" max="137" width="6.88671875" style="95" customWidth="1"/>
    <col min="138" max="138" width="6.44140625" style="95" customWidth="1"/>
    <col min="139" max="140" width="7" style="95" hidden="1" customWidth="1"/>
    <col min="141" max="141" width="8.88671875" style="95" hidden="1" customWidth="1"/>
    <col min="142" max="143" width="7" style="95" hidden="1" customWidth="1"/>
    <col min="144" max="144" width="6.44140625" style="95" hidden="1" customWidth="1"/>
    <col min="145" max="145" width="8.44140625" style="95" hidden="1" customWidth="1"/>
    <col min="146" max="154" width="11.44140625" style="95" hidden="1" customWidth="1"/>
    <col min="155" max="155" width="7" style="95" hidden="1" customWidth="1"/>
    <col min="156" max="156" width="6.5546875" style="95" customWidth="1"/>
    <col min="157" max="157" width="6.44140625" style="95" customWidth="1"/>
    <col min="158" max="158" width="7.5546875" style="95" hidden="1" customWidth="1"/>
    <col min="159" max="159" width="7" style="95" hidden="1" customWidth="1"/>
    <col min="160" max="160" width="6.44140625" style="95" customWidth="1"/>
    <col min="161" max="162" width="7" style="95" hidden="1" customWidth="1"/>
    <col min="163" max="163" width="7.44140625" style="95" customWidth="1"/>
    <col min="164" max="164" width="7" style="95" hidden="1" customWidth="1"/>
    <col min="165" max="165" width="6.44140625" style="95" customWidth="1"/>
    <col min="166" max="166" width="8.88671875" style="95" hidden="1" customWidth="1"/>
    <col min="167" max="168" width="7" style="95" hidden="1" customWidth="1"/>
    <col min="169" max="169" width="6.44140625" style="95" hidden="1" customWidth="1"/>
    <col min="170" max="170" width="8.44140625" style="95" hidden="1" customWidth="1"/>
    <col min="171" max="186" width="11.44140625" style="95" hidden="1" customWidth="1"/>
    <col min="187" max="188" width="7" style="95" hidden="1" customWidth="1"/>
    <col min="189" max="189" width="8.88671875" style="95" hidden="1" customWidth="1"/>
    <col min="190" max="190" width="7.5546875" style="95" hidden="1" customWidth="1"/>
    <col min="191" max="191" width="7" style="95" hidden="1" customWidth="1"/>
    <col min="192" max="192" width="8.88671875" style="95" hidden="1" customWidth="1"/>
    <col min="193" max="194" width="7" style="95" hidden="1" customWidth="1"/>
    <col min="195" max="195" width="8.88671875" style="95" hidden="1" customWidth="1"/>
    <col min="196" max="197" width="7" style="95" hidden="1" customWidth="1"/>
    <col min="198" max="198" width="8.88671875" style="95" hidden="1" customWidth="1"/>
    <col min="199" max="200" width="7" style="95" hidden="1" customWidth="1"/>
    <col min="201" max="201" width="6.44140625" style="95" hidden="1" customWidth="1"/>
    <col min="202" max="202" width="8.44140625" style="95" hidden="1" customWidth="1"/>
    <col min="203" max="204" width="11.44140625" style="95" hidden="1" customWidth="1"/>
    <col min="205" max="228" width="11.44140625" style="95" hidden="1"/>
    <col min="229" max="230" width="7" style="95" hidden="1"/>
    <col min="231" max="231" width="41.44140625" style="95" customWidth="1"/>
    <col min="232" max="232" width="6.44140625" style="95" customWidth="1"/>
    <col min="233" max="233" width="14.6640625" style="95" customWidth="1"/>
    <col min="234" max="234" width="11.44140625" style="95" customWidth="1"/>
    <col min="235" max="236" width="13" style="95" customWidth="1"/>
    <col min="237" max="237" width="9.44140625" style="95" customWidth="1"/>
    <col min="238" max="239" width="7" style="95" hidden="1" customWidth="1"/>
    <col min="240" max="240" width="8.88671875" style="95" hidden="1" customWidth="1"/>
    <col min="241" max="242" width="7" style="95" hidden="1" customWidth="1"/>
    <col min="243" max="243" width="6.44140625" style="95" hidden="1" customWidth="1"/>
    <col min="244" max="244" width="8.44140625" style="95" hidden="1" customWidth="1"/>
    <col min="245" max="248" width="11.44140625" style="95" hidden="1" customWidth="1"/>
    <col min="249" max="249" width="10.109375" style="95" customWidth="1"/>
    <col min="250" max="255" width="11.44140625" style="95" hidden="1" customWidth="1"/>
    <col min="256" max="262" width="7" style="95" hidden="1" customWidth="1"/>
    <col min="263" max="264" width="11.44140625" style="95" customWidth="1"/>
    <col min="265" max="265" width="56.88671875" style="95" customWidth="1"/>
    <col min="266" max="266" width="9.109375" style="95" bestFit="1" customWidth="1"/>
    <col min="267" max="267" width="24.5546875" style="95" customWidth="1"/>
    <col min="268" max="268" width="22.88671875" style="95" customWidth="1"/>
    <col min="269" max="269" width="9.109375" style="95" bestFit="1" customWidth="1"/>
    <col min="270" max="311" width="7" style="95" hidden="1" customWidth="1"/>
    <col min="312" max="312" width="8.44140625" style="95" customWidth="1"/>
    <col min="313" max="347" width="7" style="95" hidden="1" customWidth="1"/>
    <col min="348" max="348" width="9.44140625" style="95" customWidth="1"/>
    <col min="349" max="349" width="7" style="95" hidden="1" customWidth="1"/>
    <col min="350" max="350" width="5" style="95" customWidth="1"/>
    <col min="351" max="355" width="7" style="95" hidden="1" customWidth="1"/>
    <col min="356" max="356" width="5" style="95" customWidth="1"/>
    <col min="357" max="358" width="7" style="95" hidden="1" customWidth="1"/>
    <col min="359" max="359" width="5" style="95" customWidth="1"/>
    <col min="360" max="366" width="7" style="95" hidden="1" customWidth="1"/>
    <col min="367" max="367" width="6.44140625" style="95" customWidth="1"/>
    <col min="368" max="388" width="7" style="95" hidden="1" customWidth="1"/>
    <col min="389" max="392" width="6.44140625" style="95" customWidth="1"/>
    <col min="393" max="393" width="6.88671875" style="95" customWidth="1"/>
    <col min="394" max="394" width="6.44140625" style="95" customWidth="1"/>
    <col min="395" max="411" width="7" style="95" hidden="1" customWidth="1"/>
    <col min="412" max="412" width="6.5546875" style="95" customWidth="1"/>
    <col min="413" max="413" width="6.44140625" style="95" customWidth="1"/>
    <col min="414" max="415" width="7" style="95" hidden="1" customWidth="1"/>
    <col min="416" max="416" width="6.44140625" style="95" customWidth="1"/>
    <col min="417" max="418" width="7" style="95" hidden="1" customWidth="1"/>
    <col min="419" max="419" width="7.44140625" style="95" customWidth="1"/>
    <col min="420" max="420" width="7" style="95" hidden="1" customWidth="1"/>
    <col min="421" max="421" width="6.44140625" style="95" customWidth="1"/>
    <col min="422" max="460" width="7" style="95" hidden="1" customWidth="1"/>
    <col min="461" max="486" width="7" style="95" hidden="1"/>
    <col min="487" max="487" width="41.44140625" style="95" customWidth="1"/>
    <col min="488" max="488" width="6.44140625" style="95" customWidth="1"/>
    <col min="489" max="489" width="14.6640625" style="95" customWidth="1"/>
    <col min="490" max="490" width="11.44140625" style="95" customWidth="1"/>
    <col min="491" max="492" width="13" style="95" customWidth="1"/>
    <col min="493" max="493" width="9.44140625" style="95" customWidth="1"/>
    <col min="494" max="504" width="7" style="95" hidden="1" customWidth="1"/>
    <col min="505" max="505" width="10.109375" style="95" customWidth="1"/>
    <col min="506" max="518" width="7" style="95" hidden="1" customWidth="1"/>
    <col min="519" max="520" width="11.44140625" style="95" customWidth="1"/>
    <col min="521" max="521" width="56.88671875" style="95" customWidth="1"/>
    <col min="522" max="522" width="9.109375" style="95" bestFit="1" customWidth="1"/>
    <col min="523" max="523" width="24.5546875" style="95" customWidth="1"/>
    <col min="524" max="524" width="22.88671875" style="95" customWidth="1"/>
    <col min="525" max="525" width="9.109375" style="95" bestFit="1" customWidth="1"/>
    <col min="526" max="567" width="7" style="95" hidden="1" customWidth="1"/>
    <col min="568" max="568" width="8.44140625" style="95" customWidth="1"/>
    <col min="569" max="603" width="7" style="95" hidden="1" customWidth="1"/>
    <col min="604" max="604" width="9.44140625" style="95" customWidth="1"/>
    <col min="605" max="605" width="7" style="95" hidden="1" customWidth="1"/>
    <col min="606" max="606" width="5" style="95" customWidth="1"/>
    <col min="607" max="611" width="7" style="95" hidden="1" customWidth="1"/>
    <col min="612" max="612" width="5" style="95" customWidth="1"/>
    <col min="613" max="614" width="7" style="95" hidden="1" customWidth="1"/>
    <col min="615" max="615" width="5" style="95" customWidth="1"/>
    <col min="616" max="622" width="7" style="95" hidden="1" customWidth="1"/>
    <col min="623" max="623" width="6.44140625" style="95" customWidth="1"/>
    <col min="624" max="644" width="7" style="95" hidden="1" customWidth="1"/>
    <col min="645" max="648" width="6.44140625" style="95" customWidth="1"/>
    <col min="649" max="649" width="6.88671875" style="95" customWidth="1"/>
    <col min="650" max="650" width="6.44140625" style="95" customWidth="1"/>
    <col min="651" max="667" width="7" style="95" hidden="1" customWidth="1"/>
    <col min="668" max="668" width="6.5546875" style="95" customWidth="1"/>
    <col min="669" max="669" width="6.44140625" style="95" customWidth="1"/>
    <col min="670" max="671" width="7" style="95" hidden="1" customWidth="1"/>
    <col min="672" max="672" width="6.44140625" style="95" customWidth="1"/>
    <col min="673" max="674" width="7" style="95" hidden="1" customWidth="1"/>
    <col min="675" max="675" width="7.44140625" style="95" customWidth="1"/>
    <col min="676" max="676" width="7" style="95" hidden="1" customWidth="1"/>
    <col min="677" max="677" width="6.44140625" style="95" customWidth="1"/>
    <col min="678" max="716" width="7" style="95" hidden="1" customWidth="1"/>
    <col min="717" max="742" width="7" style="95" hidden="1"/>
    <col min="743" max="743" width="41.44140625" style="95" customWidth="1"/>
    <col min="744" max="744" width="6.44140625" style="95" customWidth="1"/>
    <col min="745" max="745" width="14.6640625" style="95" customWidth="1"/>
    <col min="746" max="746" width="11.44140625" style="95" customWidth="1"/>
    <col min="747" max="748" width="13" style="95" customWidth="1"/>
    <col min="749" max="749" width="9.44140625" style="95" customWidth="1"/>
    <col min="750" max="760" width="7" style="95" hidden="1" customWidth="1"/>
    <col min="761" max="761" width="10.109375" style="95" customWidth="1"/>
    <col min="762" max="774" width="7" style="95" hidden="1" customWidth="1"/>
    <col min="775" max="776" width="11.44140625" style="95" customWidth="1"/>
    <col min="777" max="777" width="56.88671875" style="95" customWidth="1"/>
    <col min="778" max="778" width="9.109375" style="95" bestFit="1" customWidth="1"/>
    <col min="779" max="779" width="24.5546875" style="95" customWidth="1"/>
    <col min="780" max="780" width="22.88671875" style="95" customWidth="1"/>
    <col min="781" max="781" width="9.109375" style="95" bestFit="1" customWidth="1"/>
    <col min="782" max="823" width="7" style="95" hidden="1" customWidth="1"/>
    <col min="824" max="824" width="8.44140625" style="95" customWidth="1"/>
    <col min="825" max="859" width="7" style="95" hidden="1" customWidth="1"/>
    <col min="860" max="860" width="9.44140625" style="95" customWidth="1"/>
    <col min="861" max="861" width="7" style="95" hidden="1" customWidth="1"/>
    <col min="862" max="862" width="5" style="95" customWidth="1"/>
    <col min="863" max="867" width="7" style="95" hidden="1" customWidth="1"/>
    <col min="868" max="868" width="5" style="95" customWidth="1"/>
    <col min="869" max="870" width="7" style="95" hidden="1" customWidth="1"/>
    <col min="871" max="871" width="5" style="95" customWidth="1"/>
    <col min="872" max="878" width="7" style="95" hidden="1" customWidth="1"/>
    <col min="879" max="879" width="6.44140625" style="95" customWidth="1"/>
    <col min="880" max="900" width="7" style="95" hidden="1" customWidth="1"/>
    <col min="901" max="904" width="6.44140625" style="95" customWidth="1"/>
    <col min="905" max="905" width="6.88671875" style="95" customWidth="1"/>
    <col min="906" max="906" width="6.44140625" style="95" customWidth="1"/>
    <col min="907" max="923" width="7" style="95" hidden="1" customWidth="1"/>
    <col min="924" max="924" width="6.5546875" style="95" customWidth="1"/>
    <col min="925" max="925" width="6.44140625" style="95" customWidth="1"/>
    <col min="926" max="927" width="7" style="95" hidden="1" customWidth="1"/>
    <col min="928" max="928" width="6.44140625" style="95" customWidth="1"/>
    <col min="929" max="930" width="7" style="95" hidden="1" customWidth="1"/>
    <col min="931" max="931" width="7.44140625" style="95" customWidth="1"/>
    <col min="932" max="932" width="7" style="95" hidden="1" customWidth="1"/>
    <col min="933" max="933" width="6.44140625" style="95" customWidth="1"/>
    <col min="934" max="972" width="7" style="95" hidden="1" customWidth="1"/>
    <col min="973" max="998" width="7" style="95" hidden="1"/>
    <col min="999" max="999" width="41.44140625" style="95" customWidth="1"/>
    <col min="1000" max="1000" width="6.44140625" style="95" customWidth="1"/>
    <col min="1001" max="1001" width="14.6640625" style="95" customWidth="1"/>
    <col min="1002" max="1002" width="11.44140625" style="95" customWidth="1"/>
    <col min="1003" max="1004" width="13" style="95" customWidth="1"/>
    <col min="1005" max="1005" width="9.44140625" style="95" customWidth="1"/>
    <col min="1006" max="1016" width="7" style="95" hidden="1" customWidth="1"/>
    <col min="1017" max="1017" width="10.109375" style="95" customWidth="1"/>
    <col min="1018" max="1030" width="7" style="95" hidden="1" customWidth="1"/>
    <col min="1031" max="1032" width="11.44140625" style="95" customWidth="1"/>
    <col min="1033" max="1033" width="56.88671875" style="95" customWidth="1"/>
    <col min="1034" max="1034" width="9.109375" style="95" bestFit="1" customWidth="1"/>
    <col min="1035" max="1035" width="24.5546875" style="95" customWidth="1"/>
    <col min="1036" max="1036" width="22.88671875" style="95" customWidth="1"/>
    <col min="1037" max="1037" width="9.109375" style="95" bestFit="1" customWidth="1"/>
    <col min="1038" max="1079" width="7" style="95" hidden="1" customWidth="1"/>
    <col min="1080" max="1080" width="8.44140625" style="95" customWidth="1"/>
    <col min="1081" max="1115" width="7" style="95" hidden="1" customWidth="1"/>
    <col min="1116" max="1116" width="9.44140625" style="95" customWidth="1"/>
    <col min="1117" max="1117" width="7" style="95" hidden="1" customWidth="1"/>
    <col min="1118" max="1118" width="5" style="95" customWidth="1"/>
    <col min="1119" max="1123" width="7" style="95" hidden="1" customWidth="1"/>
    <col min="1124" max="1124" width="5" style="95" customWidth="1"/>
    <col min="1125" max="1126" width="7" style="95" hidden="1" customWidth="1"/>
    <col min="1127" max="1127" width="5" style="95" customWidth="1"/>
    <col min="1128" max="1134" width="7" style="95" hidden="1" customWidth="1"/>
    <col min="1135" max="1135" width="6.44140625" style="95" customWidth="1"/>
    <col min="1136" max="1156" width="7" style="95" hidden="1" customWidth="1"/>
    <col min="1157" max="1160" width="6.44140625" style="95" customWidth="1"/>
    <col min="1161" max="1161" width="6.88671875" style="95" customWidth="1"/>
    <col min="1162" max="1162" width="6.44140625" style="95" customWidth="1"/>
    <col min="1163" max="1179" width="7" style="95" hidden="1" customWidth="1"/>
    <col min="1180" max="1180" width="6.5546875" style="95" customWidth="1"/>
    <col min="1181" max="1181" width="6.44140625" style="95" customWidth="1"/>
    <col min="1182" max="1183" width="7" style="95" hidden="1" customWidth="1"/>
    <col min="1184" max="1184" width="6.44140625" style="95" customWidth="1"/>
    <col min="1185" max="1186" width="7" style="95" hidden="1" customWidth="1"/>
    <col min="1187" max="1187" width="7.44140625" style="95" customWidth="1"/>
    <col min="1188" max="1188" width="7" style="95" hidden="1" customWidth="1"/>
    <col min="1189" max="1189" width="6.44140625" style="95" customWidth="1"/>
    <col min="1190" max="1228" width="7" style="95" hidden="1" customWidth="1"/>
    <col min="1229" max="1254" width="7" style="95" hidden="1"/>
    <col min="1255" max="1255" width="41.44140625" style="95" customWidth="1"/>
    <col min="1256" max="1256" width="6.44140625" style="95" customWidth="1"/>
    <col min="1257" max="1257" width="14.6640625" style="95" customWidth="1"/>
    <col min="1258" max="1258" width="11.44140625" style="95" customWidth="1"/>
    <col min="1259" max="1260" width="13" style="95" customWidth="1"/>
    <col min="1261" max="1261" width="9.44140625" style="95" customWidth="1"/>
    <col min="1262" max="1272" width="7" style="95" hidden="1" customWidth="1"/>
    <col min="1273" max="1273" width="10.109375" style="95" customWidth="1"/>
    <col min="1274" max="1286" width="7" style="95" hidden="1" customWidth="1"/>
    <col min="1287" max="1288" width="11.44140625" style="95" customWidth="1"/>
    <col min="1289" max="1289" width="56.88671875" style="95" customWidth="1"/>
    <col min="1290" max="1290" width="9.109375" style="95" bestFit="1" customWidth="1"/>
    <col min="1291" max="1291" width="24.5546875" style="95" customWidth="1"/>
    <col min="1292" max="1292" width="22.88671875" style="95" customWidth="1"/>
    <col min="1293" max="1293" width="9.109375" style="95" bestFit="1" customWidth="1"/>
    <col min="1294" max="1335" width="7" style="95" hidden="1" customWidth="1"/>
    <col min="1336" max="1336" width="8.44140625" style="95" customWidth="1"/>
    <col min="1337" max="1371" width="7" style="95" hidden="1" customWidth="1"/>
    <col min="1372" max="1372" width="9.44140625" style="95" customWidth="1"/>
    <col min="1373" max="1373" width="7" style="95" hidden="1" customWidth="1"/>
    <col min="1374" max="1374" width="5" style="95" customWidth="1"/>
    <col min="1375" max="1379" width="7" style="95" hidden="1" customWidth="1"/>
    <col min="1380" max="1380" width="5" style="95" customWidth="1"/>
    <col min="1381" max="1382" width="7" style="95" hidden="1" customWidth="1"/>
    <col min="1383" max="1383" width="5" style="95" customWidth="1"/>
    <col min="1384" max="1390" width="7" style="95" hidden="1" customWidth="1"/>
    <col min="1391" max="1391" width="6.44140625" style="95" customWidth="1"/>
    <col min="1392" max="1412" width="7" style="95" hidden="1" customWidth="1"/>
    <col min="1413" max="1416" width="6.44140625" style="95" customWidth="1"/>
    <col min="1417" max="1417" width="6.88671875" style="95" customWidth="1"/>
    <col min="1418" max="1418" width="6.44140625" style="95" customWidth="1"/>
    <col min="1419" max="1435" width="7" style="95" hidden="1" customWidth="1"/>
    <col min="1436" max="1436" width="6.5546875" style="95" customWidth="1"/>
    <col min="1437" max="1437" width="6.44140625" style="95" customWidth="1"/>
    <col min="1438" max="1439" width="7" style="95" hidden="1" customWidth="1"/>
    <col min="1440" max="1440" width="6.44140625" style="95" customWidth="1"/>
    <col min="1441" max="1442" width="7" style="95" hidden="1" customWidth="1"/>
    <col min="1443" max="1443" width="7.44140625" style="95" customWidth="1"/>
    <col min="1444" max="1444" width="7" style="95" hidden="1" customWidth="1"/>
    <col min="1445" max="1445" width="6.44140625" style="95" customWidth="1"/>
    <col min="1446" max="1484" width="7" style="95" hidden="1" customWidth="1"/>
    <col min="1485" max="1510" width="7" style="95" hidden="1"/>
    <col min="1511" max="1511" width="41.44140625" style="95" customWidth="1"/>
    <col min="1512" max="1512" width="6.44140625" style="95" customWidth="1"/>
    <col min="1513" max="1513" width="14.6640625" style="95" customWidth="1"/>
    <col min="1514" max="1514" width="11.44140625" style="95" customWidth="1"/>
    <col min="1515" max="1516" width="13" style="95" customWidth="1"/>
    <col min="1517" max="1517" width="9.44140625" style="95" customWidth="1"/>
    <col min="1518" max="1528" width="7" style="95" hidden="1" customWidth="1"/>
    <col min="1529" max="1529" width="10.109375" style="95" customWidth="1"/>
    <col min="1530" max="1542" width="7" style="95" hidden="1" customWidth="1"/>
    <col min="1543" max="1544" width="11.44140625" style="95" customWidth="1"/>
    <col min="1545" max="1545" width="56.88671875" style="95" customWidth="1"/>
    <col min="1546" max="1546" width="9.109375" style="95" bestFit="1" customWidth="1"/>
    <col min="1547" max="1547" width="24.5546875" style="95" customWidth="1"/>
    <col min="1548" max="1548" width="22.88671875" style="95" customWidth="1"/>
    <col min="1549" max="1549" width="9.109375" style="95" bestFit="1" customWidth="1"/>
    <col min="1550" max="1591" width="7" style="95" hidden="1" customWidth="1"/>
    <col min="1592" max="1592" width="8.44140625" style="95" customWidth="1"/>
    <col min="1593" max="1627" width="7" style="95" hidden="1" customWidth="1"/>
    <col min="1628" max="1628" width="9.44140625" style="95" customWidth="1"/>
    <col min="1629" max="1629" width="7" style="95" hidden="1" customWidth="1"/>
    <col min="1630" max="1630" width="5" style="95" customWidth="1"/>
    <col min="1631" max="1635" width="7" style="95" hidden="1" customWidth="1"/>
    <col min="1636" max="1636" width="5" style="95" customWidth="1"/>
    <col min="1637" max="1638" width="7" style="95" hidden="1" customWidth="1"/>
    <col min="1639" max="1639" width="5" style="95" customWidth="1"/>
    <col min="1640" max="1646" width="7" style="95" hidden="1" customWidth="1"/>
    <col min="1647" max="1647" width="6.44140625" style="95" customWidth="1"/>
    <col min="1648" max="1668" width="7" style="95" hidden="1" customWidth="1"/>
    <col min="1669" max="1672" width="6.44140625" style="95" customWidth="1"/>
    <col min="1673" max="1673" width="6.88671875" style="95" customWidth="1"/>
    <col min="1674" max="1674" width="6.44140625" style="95" customWidth="1"/>
    <col min="1675" max="1691" width="7" style="95" hidden="1" customWidth="1"/>
    <col min="1692" max="1692" width="6.5546875" style="95" customWidth="1"/>
    <col min="1693" max="1693" width="6.44140625" style="95" customWidth="1"/>
    <col min="1694" max="1695" width="7" style="95" hidden="1" customWidth="1"/>
    <col min="1696" max="1696" width="6.44140625" style="95" customWidth="1"/>
    <col min="1697" max="1698" width="7" style="95" hidden="1" customWidth="1"/>
    <col min="1699" max="1699" width="7.44140625" style="95" customWidth="1"/>
    <col min="1700" max="1700" width="7" style="95" hidden="1" customWidth="1"/>
    <col min="1701" max="1701" width="6.44140625" style="95" customWidth="1"/>
    <col min="1702" max="1740" width="7" style="95" hidden="1" customWidth="1"/>
    <col min="1741" max="1766" width="7" style="95" hidden="1"/>
    <col min="1767" max="1767" width="41.44140625" style="95" customWidth="1"/>
    <col min="1768" max="1768" width="6.44140625" style="95" customWidth="1"/>
    <col min="1769" max="1769" width="14.6640625" style="95" customWidth="1"/>
    <col min="1770" max="1770" width="11.44140625" style="95" customWidth="1"/>
    <col min="1771" max="1772" width="13" style="95" customWidth="1"/>
    <col min="1773" max="1773" width="9.44140625" style="95" customWidth="1"/>
    <col min="1774" max="1784" width="7" style="95" hidden="1" customWidth="1"/>
    <col min="1785" max="1785" width="10.109375" style="95" customWidth="1"/>
    <col min="1786" max="1798" width="7" style="95" hidden="1" customWidth="1"/>
    <col min="1799" max="1800" width="11.44140625" style="95" customWidth="1"/>
    <col min="1801" max="1801" width="56.88671875" style="95" customWidth="1"/>
    <col min="1802" max="1802" width="9.109375" style="95" bestFit="1" customWidth="1"/>
    <col min="1803" max="1803" width="24.5546875" style="95" customWidth="1"/>
    <col min="1804" max="1804" width="22.88671875" style="95" customWidth="1"/>
    <col min="1805" max="1805" width="9.109375" style="95" bestFit="1" customWidth="1"/>
    <col min="1806" max="1847" width="7" style="95" hidden="1" customWidth="1"/>
    <col min="1848" max="1848" width="8.44140625" style="95" customWidth="1"/>
    <col min="1849" max="1883" width="7" style="95" hidden="1" customWidth="1"/>
    <col min="1884" max="1884" width="9.44140625" style="95" customWidth="1"/>
    <col min="1885" max="1885" width="7" style="95" hidden="1" customWidth="1"/>
    <col min="1886" max="1886" width="5" style="95" customWidth="1"/>
    <col min="1887" max="1891" width="7" style="95" hidden="1" customWidth="1"/>
    <col min="1892" max="1892" width="5" style="95" customWidth="1"/>
    <col min="1893" max="1894" width="7" style="95" hidden="1" customWidth="1"/>
    <col min="1895" max="1895" width="5" style="95" customWidth="1"/>
    <col min="1896" max="1902" width="7" style="95" hidden="1" customWidth="1"/>
    <col min="1903" max="1903" width="6.44140625" style="95" customWidth="1"/>
    <col min="1904" max="1924" width="7" style="95" hidden="1" customWidth="1"/>
    <col min="1925" max="1928" width="6.44140625" style="95" customWidth="1"/>
    <col min="1929" max="1929" width="6.88671875" style="95" customWidth="1"/>
    <col min="1930" max="1930" width="6.44140625" style="95" customWidth="1"/>
    <col min="1931" max="1947" width="7" style="95" hidden="1" customWidth="1"/>
    <col min="1948" max="1948" width="6.5546875" style="95" customWidth="1"/>
    <col min="1949" max="1949" width="6.44140625" style="95" customWidth="1"/>
    <col min="1950" max="1951" width="7" style="95" hidden="1" customWidth="1"/>
    <col min="1952" max="1952" width="6.44140625" style="95" customWidth="1"/>
    <col min="1953" max="1954" width="7" style="95" hidden="1" customWidth="1"/>
    <col min="1955" max="1955" width="7.44140625" style="95" customWidth="1"/>
    <col min="1956" max="1956" width="7" style="95" hidden="1" customWidth="1"/>
    <col min="1957" max="1957" width="6.44140625" style="95" customWidth="1"/>
    <col min="1958" max="1996" width="7" style="95" hidden="1" customWidth="1"/>
    <col min="1997" max="2022" width="7" style="95" hidden="1"/>
    <col min="2023" max="2023" width="41.44140625" style="95" customWidth="1"/>
    <col min="2024" max="2024" width="6.44140625" style="95" customWidth="1"/>
    <col min="2025" max="2025" width="14.6640625" style="95" customWidth="1"/>
    <col min="2026" max="2026" width="11.44140625" style="95" customWidth="1"/>
    <col min="2027" max="2028" width="13" style="95" customWidth="1"/>
    <col min="2029" max="2029" width="9.44140625" style="95" customWidth="1"/>
    <col min="2030" max="2040" width="7" style="95" hidden="1" customWidth="1"/>
    <col min="2041" max="2041" width="10.109375" style="95" customWidth="1"/>
    <col min="2042" max="2054" width="7" style="95" hidden="1" customWidth="1"/>
    <col min="2055" max="2056" width="11.44140625" style="95" customWidth="1"/>
    <col min="2057" max="2057" width="56.88671875" style="95" customWidth="1"/>
    <col min="2058" max="2058" width="9.109375" style="95" bestFit="1" customWidth="1"/>
    <col min="2059" max="2059" width="24.5546875" style="95" customWidth="1"/>
    <col min="2060" max="2060" width="22.88671875" style="95" customWidth="1"/>
    <col min="2061" max="2061" width="9.109375" style="95" bestFit="1" customWidth="1"/>
    <col min="2062" max="2103" width="7" style="95" hidden="1" customWidth="1"/>
    <col min="2104" max="2104" width="8.44140625" style="95" customWidth="1"/>
    <col min="2105" max="2139" width="7" style="95" hidden="1" customWidth="1"/>
    <col min="2140" max="2140" width="9.44140625" style="95" customWidth="1"/>
    <col min="2141" max="2141" width="7" style="95" hidden="1" customWidth="1"/>
    <col min="2142" max="2142" width="5" style="95" customWidth="1"/>
    <col min="2143" max="2147" width="7" style="95" hidden="1" customWidth="1"/>
    <col min="2148" max="2148" width="5" style="95" customWidth="1"/>
    <col min="2149" max="2150" width="7" style="95" hidden="1" customWidth="1"/>
    <col min="2151" max="2151" width="5" style="95" customWidth="1"/>
    <col min="2152" max="2158" width="7" style="95" hidden="1" customWidth="1"/>
    <col min="2159" max="2159" width="6.44140625" style="95" customWidth="1"/>
    <col min="2160" max="2180" width="7" style="95" hidden="1" customWidth="1"/>
    <col min="2181" max="2184" width="6.44140625" style="95" customWidth="1"/>
    <col min="2185" max="2185" width="6.88671875" style="95" customWidth="1"/>
    <col min="2186" max="2186" width="6.44140625" style="95" customWidth="1"/>
    <col min="2187" max="2203" width="7" style="95" hidden="1" customWidth="1"/>
    <col min="2204" max="2204" width="6.5546875" style="95" customWidth="1"/>
    <col min="2205" max="2205" width="6.44140625" style="95" customWidth="1"/>
    <col min="2206" max="2207" width="7" style="95" hidden="1" customWidth="1"/>
    <col min="2208" max="2208" width="6.44140625" style="95" customWidth="1"/>
    <col min="2209" max="2210" width="7" style="95" hidden="1" customWidth="1"/>
    <col min="2211" max="2211" width="7.44140625" style="95" customWidth="1"/>
    <col min="2212" max="2212" width="7" style="95" hidden="1" customWidth="1"/>
    <col min="2213" max="2213" width="6.44140625" style="95" customWidth="1"/>
    <col min="2214" max="2252" width="7" style="95" hidden="1" customWidth="1"/>
    <col min="2253" max="2278" width="7" style="95" hidden="1"/>
    <col min="2279" max="2279" width="41.44140625" style="95" customWidth="1"/>
    <col min="2280" max="2280" width="6.44140625" style="95" customWidth="1"/>
    <col min="2281" max="2281" width="14.6640625" style="95" customWidth="1"/>
    <col min="2282" max="2282" width="11.44140625" style="95" customWidth="1"/>
    <col min="2283" max="2284" width="13" style="95" customWidth="1"/>
    <col min="2285" max="2285" width="9.44140625" style="95" customWidth="1"/>
    <col min="2286" max="2296" width="7" style="95" hidden="1" customWidth="1"/>
    <col min="2297" max="2297" width="10.109375" style="95" customWidth="1"/>
    <col min="2298" max="2310" width="7" style="95" hidden="1" customWidth="1"/>
    <col min="2311" max="2312" width="11.44140625" style="95" customWidth="1"/>
    <col min="2313" max="2313" width="56.88671875" style="95" customWidth="1"/>
    <col min="2314" max="2314" width="9.109375" style="95" bestFit="1" customWidth="1"/>
    <col min="2315" max="2315" width="24.5546875" style="95" customWidth="1"/>
    <col min="2316" max="2316" width="22.88671875" style="95" customWidth="1"/>
    <col min="2317" max="2317" width="9.109375" style="95" bestFit="1" customWidth="1"/>
    <col min="2318" max="2359" width="7" style="95" hidden="1" customWidth="1"/>
    <col min="2360" max="2360" width="8.44140625" style="95" customWidth="1"/>
    <col min="2361" max="2395" width="7" style="95" hidden="1" customWidth="1"/>
    <col min="2396" max="2396" width="9.44140625" style="95" customWidth="1"/>
    <col min="2397" max="2397" width="7" style="95" hidden="1" customWidth="1"/>
    <col min="2398" max="2398" width="5" style="95" customWidth="1"/>
    <col min="2399" max="2403" width="7" style="95" hidden="1" customWidth="1"/>
    <col min="2404" max="2404" width="5" style="95" customWidth="1"/>
    <col min="2405" max="2406" width="7" style="95" hidden="1" customWidth="1"/>
    <col min="2407" max="2407" width="5" style="95" customWidth="1"/>
    <col min="2408" max="2414" width="7" style="95" hidden="1" customWidth="1"/>
    <col min="2415" max="2415" width="6.44140625" style="95" customWidth="1"/>
    <col min="2416" max="2436" width="7" style="95" hidden="1" customWidth="1"/>
    <col min="2437" max="2440" width="6.44140625" style="95" customWidth="1"/>
    <col min="2441" max="2441" width="6.88671875" style="95" customWidth="1"/>
    <col min="2442" max="2442" width="6.44140625" style="95" customWidth="1"/>
    <col min="2443" max="2459" width="7" style="95" hidden="1" customWidth="1"/>
    <col min="2460" max="2460" width="6.5546875" style="95" customWidth="1"/>
    <col min="2461" max="2461" width="6.44140625" style="95" customWidth="1"/>
    <col min="2462" max="2463" width="7" style="95" hidden="1" customWidth="1"/>
    <col min="2464" max="2464" width="6.44140625" style="95" customWidth="1"/>
    <col min="2465" max="2466" width="7" style="95" hidden="1" customWidth="1"/>
    <col min="2467" max="2467" width="7.44140625" style="95" customWidth="1"/>
    <col min="2468" max="2468" width="7" style="95" hidden="1" customWidth="1"/>
    <col min="2469" max="2469" width="6.44140625" style="95" customWidth="1"/>
    <col min="2470" max="2508" width="7" style="95" hidden="1" customWidth="1"/>
    <col min="2509" max="2534" width="7" style="95" hidden="1"/>
    <col min="2535" max="2535" width="41.44140625" style="95" customWidth="1"/>
    <col min="2536" max="2536" width="6.44140625" style="95" customWidth="1"/>
    <col min="2537" max="2537" width="14.6640625" style="95" customWidth="1"/>
    <col min="2538" max="2538" width="11.44140625" style="95" customWidth="1"/>
    <col min="2539" max="2540" width="13" style="95" customWidth="1"/>
    <col min="2541" max="2541" width="9.44140625" style="95" customWidth="1"/>
    <col min="2542" max="2552" width="7" style="95" hidden="1" customWidth="1"/>
    <col min="2553" max="2553" width="10.109375" style="95" customWidth="1"/>
    <col min="2554" max="2566" width="7" style="95" hidden="1" customWidth="1"/>
    <col min="2567" max="2568" width="11.44140625" style="95" customWidth="1"/>
    <col min="2569" max="2569" width="56.88671875" style="95" customWidth="1"/>
    <col min="2570" max="2570" width="9.109375" style="95" bestFit="1" customWidth="1"/>
    <col min="2571" max="2571" width="24.5546875" style="95" customWidth="1"/>
    <col min="2572" max="2572" width="22.88671875" style="95" customWidth="1"/>
    <col min="2573" max="2573" width="9.109375" style="95" bestFit="1" customWidth="1"/>
    <col min="2574" max="2615" width="7" style="95" hidden="1" customWidth="1"/>
    <col min="2616" max="2616" width="8.44140625" style="95" customWidth="1"/>
    <col min="2617" max="2651" width="7" style="95" hidden="1" customWidth="1"/>
    <col min="2652" max="2652" width="9.44140625" style="95" customWidth="1"/>
    <col min="2653" max="2653" width="7" style="95" hidden="1" customWidth="1"/>
    <col min="2654" max="2654" width="5" style="95" customWidth="1"/>
    <col min="2655" max="2659" width="7" style="95" hidden="1" customWidth="1"/>
    <col min="2660" max="2660" width="5" style="95" customWidth="1"/>
    <col min="2661" max="2662" width="7" style="95" hidden="1" customWidth="1"/>
    <col min="2663" max="2663" width="5" style="95" customWidth="1"/>
    <col min="2664" max="2670" width="7" style="95" hidden="1" customWidth="1"/>
    <col min="2671" max="2671" width="6.44140625" style="95" customWidth="1"/>
    <col min="2672" max="2692" width="7" style="95" hidden="1" customWidth="1"/>
    <col min="2693" max="2696" width="6.44140625" style="95" customWidth="1"/>
    <col min="2697" max="2697" width="6.88671875" style="95" customWidth="1"/>
    <col min="2698" max="2698" width="6.44140625" style="95" customWidth="1"/>
    <col min="2699" max="2715" width="7" style="95" hidden="1" customWidth="1"/>
    <col min="2716" max="2716" width="6.5546875" style="95" customWidth="1"/>
    <col min="2717" max="2717" width="6.44140625" style="95" customWidth="1"/>
    <col min="2718" max="2719" width="7" style="95" hidden="1" customWidth="1"/>
    <col min="2720" max="2720" width="6.44140625" style="95" customWidth="1"/>
    <col min="2721" max="2722" width="7" style="95" hidden="1" customWidth="1"/>
    <col min="2723" max="2723" width="7.44140625" style="95" customWidth="1"/>
    <col min="2724" max="2724" width="7" style="95" hidden="1" customWidth="1"/>
    <col min="2725" max="2725" width="6.44140625" style="95" customWidth="1"/>
    <col min="2726" max="2764" width="7" style="95" hidden="1" customWidth="1"/>
    <col min="2765" max="2790" width="7" style="95" hidden="1"/>
    <col min="2791" max="2791" width="41.44140625" style="95" customWidth="1"/>
    <col min="2792" max="2792" width="6.44140625" style="95" customWidth="1"/>
    <col min="2793" max="2793" width="14.6640625" style="95" customWidth="1"/>
    <col min="2794" max="2794" width="11.44140625" style="95" customWidth="1"/>
    <col min="2795" max="2796" width="13" style="95" customWidth="1"/>
    <col min="2797" max="2797" width="9.44140625" style="95" customWidth="1"/>
    <col min="2798" max="2808" width="7" style="95" hidden="1" customWidth="1"/>
    <col min="2809" max="2809" width="10.109375" style="95" customWidth="1"/>
    <col min="2810" max="2822" width="7" style="95" hidden="1" customWidth="1"/>
    <col min="2823" max="2824" width="11.44140625" style="95" customWidth="1"/>
    <col min="2825" max="2825" width="56.88671875" style="95" customWidth="1"/>
    <col min="2826" max="2826" width="9.109375" style="95" bestFit="1" customWidth="1"/>
    <col min="2827" max="2827" width="24.5546875" style="95" customWidth="1"/>
    <col min="2828" max="2828" width="22.88671875" style="95" customWidth="1"/>
    <col min="2829" max="2829" width="9.109375" style="95" bestFit="1" customWidth="1"/>
    <col min="2830" max="2871" width="7" style="95" hidden="1" customWidth="1"/>
    <col min="2872" max="2872" width="8.44140625" style="95" customWidth="1"/>
    <col min="2873" max="2907" width="7" style="95" hidden="1" customWidth="1"/>
    <col min="2908" max="2908" width="9.44140625" style="95" customWidth="1"/>
    <col min="2909" max="2909" width="7" style="95" hidden="1" customWidth="1"/>
    <col min="2910" max="2910" width="5" style="95" customWidth="1"/>
    <col min="2911" max="2915" width="7" style="95" hidden="1" customWidth="1"/>
    <col min="2916" max="2916" width="5" style="95" customWidth="1"/>
    <col min="2917" max="2918" width="7" style="95" hidden="1" customWidth="1"/>
    <col min="2919" max="2919" width="5" style="95" customWidth="1"/>
    <col min="2920" max="2926" width="7" style="95" hidden="1" customWidth="1"/>
    <col min="2927" max="2927" width="6.44140625" style="95" customWidth="1"/>
    <col min="2928" max="2948" width="7" style="95" hidden="1" customWidth="1"/>
    <col min="2949" max="2952" width="6.44140625" style="95" customWidth="1"/>
    <col min="2953" max="2953" width="6.88671875" style="95" customWidth="1"/>
    <col min="2954" max="2954" width="6.44140625" style="95" customWidth="1"/>
    <col min="2955" max="2971" width="7" style="95" hidden="1" customWidth="1"/>
    <col min="2972" max="2972" width="6.5546875" style="95" customWidth="1"/>
    <col min="2973" max="2973" width="6.44140625" style="95" customWidth="1"/>
    <col min="2974" max="2975" width="7" style="95" hidden="1" customWidth="1"/>
    <col min="2976" max="2976" width="6.44140625" style="95" customWidth="1"/>
    <col min="2977" max="2978" width="7" style="95" hidden="1" customWidth="1"/>
    <col min="2979" max="2979" width="7.44140625" style="95" customWidth="1"/>
    <col min="2980" max="2980" width="7" style="95" hidden="1" customWidth="1"/>
    <col min="2981" max="2981" width="6.44140625" style="95" customWidth="1"/>
    <col min="2982" max="3020" width="7" style="95" hidden="1" customWidth="1"/>
    <col min="3021" max="3046" width="7" style="95" hidden="1"/>
    <col min="3047" max="3047" width="41.44140625" style="95" customWidth="1"/>
    <col min="3048" max="3048" width="6.44140625" style="95" customWidth="1"/>
    <col min="3049" max="3049" width="14.6640625" style="95" customWidth="1"/>
    <col min="3050" max="3050" width="11.44140625" style="95" customWidth="1"/>
    <col min="3051" max="3052" width="13" style="95" customWidth="1"/>
    <col min="3053" max="3053" width="9.44140625" style="95" customWidth="1"/>
    <col min="3054" max="3064" width="7" style="95" hidden="1" customWidth="1"/>
    <col min="3065" max="3065" width="10.109375" style="95" customWidth="1"/>
    <col min="3066" max="3078" width="7" style="95" hidden="1" customWidth="1"/>
    <col min="3079" max="3080" width="11.44140625" style="95" customWidth="1"/>
    <col min="3081" max="3081" width="56.88671875" style="95" customWidth="1"/>
    <col min="3082" max="3082" width="9.109375" style="95" bestFit="1" customWidth="1"/>
    <col min="3083" max="3083" width="24.5546875" style="95" customWidth="1"/>
    <col min="3084" max="3084" width="22.88671875" style="95" customWidth="1"/>
    <col min="3085" max="3085" width="9.109375" style="95" bestFit="1" customWidth="1"/>
    <col min="3086" max="3127" width="7" style="95" hidden="1" customWidth="1"/>
    <col min="3128" max="3128" width="8.44140625" style="95" customWidth="1"/>
    <col min="3129" max="3163" width="7" style="95" hidden="1" customWidth="1"/>
    <col min="3164" max="3164" width="9.44140625" style="95" customWidth="1"/>
    <col min="3165" max="3165" width="7" style="95" hidden="1" customWidth="1"/>
    <col min="3166" max="3166" width="5" style="95" customWidth="1"/>
    <col min="3167" max="3171" width="7" style="95" hidden="1" customWidth="1"/>
    <col min="3172" max="3172" width="5" style="95" customWidth="1"/>
    <col min="3173" max="3174" width="7" style="95" hidden="1" customWidth="1"/>
    <col min="3175" max="3175" width="5" style="95" customWidth="1"/>
    <col min="3176" max="3182" width="7" style="95" hidden="1" customWidth="1"/>
    <col min="3183" max="3183" width="6.44140625" style="95" customWidth="1"/>
    <col min="3184" max="3204" width="7" style="95" hidden="1" customWidth="1"/>
    <col min="3205" max="3208" width="6.44140625" style="95" customWidth="1"/>
    <col min="3209" max="3209" width="6.88671875" style="95" customWidth="1"/>
    <col min="3210" max="3210" width="6.44140625" style="95" customWidth="1"/>
    <col min="3211" max="3227" width="7" style="95" hidden="1" customWidth="1"/>
    <col min="3228" max="3228" width="6.5546875" style="95" customWidth="1"/>
    <col min="3229" max="3229" width="6.44140625" style="95" customWidth="1"/>
    <col min="3230" max="3231" width="7" style="95" hidden="1" customWidth="1"/>
    <col min="3232" max="3232" width="6.44140625" style="95" customWidth="1"/>
    <col min="3233" max="3234" width="7" style="95" hidden="1" customWidth="1"/>
    <col min="3235" max="3235" width="7.44140625" style="95" customWidth="1"/>
    <col min="3236" max="3236" width="7" style="95" hidden="1" customWidth="1"/>
    <col min="3237" max="3237" width="6.44140625" style="95" customWidth="1"/>
    <col min="3238" max="3276" width="7" style="95" hidden="1" customWidth="1"/>
    <col min="3277" max="3302" width="7" style="95" hidden="1"/>
    <col min="3303" max="3303" width="41.44140625" style="95" customWidth="1"/>
    <col min="3304" max="3304" width="6.44140625" style="95" customWidth="1"/>
    <col min="3305" max="3305" width="14.6640625" style="95" customWidth="1"/>
    <col min="3306" max="3306" width="11.44140625" style="95" customWidth="1"/>
    <col min="3307" max="3308" width="13" style="95" customWidth="1"/>
    <col min="3309" max="3309" width="9.44140625" style="95" customWidth="1"/>
    <col min="3310" max="3320" width="7" style="95" hidden="1" customWidth="1"/>
    <col min="3321" max="3321" width="10.109375" style="95" customWidth="1"/>
    <col min="3322" max="3334" width="7" style="95" hidden="1" customWidth="1"/>
    <col min="3335" max="3336" width="11.44140625" style="95" customWidth="1"/>
    <col min="3337" max="3337" width="56.88671875" style="95" customWidth="1"/>
    <col min="3338" max="3338" width="9.109375" style="95" bestFit="1" customWidth="1"/>
    <col min="3339" max="3339" width="24.5546875" style="95" customWidth="1"/>
    <col min="3340" max="3340" width="22.88671875" style="95" customWidth="1"/>
    <col min="3341" max="3341" width="9.109375" style="95" bestFit="1" customWidth="1"/>
    <col min="3342" max="3383" width="7" style="95" hidden="1" customWidth="1"/>
    <col min="3384" max="3384" width="8.44140625" style="95" customWidth="1"/>
    <col min="3385" max="3419" width="7" style="95" hidden="1" customWidth="1"/>
    <col min="3420" max="3420" width="9.44140625" style="95" customWidth="1"/>
    <col min="3421" max="3421" width="7" style="95" hidden="1" customWidth="1"/>
    <col min="3422" max="3422" width="5" style="95" customWidth="1"/>
    <col min="3423" max="3427" width="7" style="95" hidden="1" customWidth="1"/>
    <col min="3428" max="3428" width="5" style="95" customWidth="1"/>
    <col min="3429" max="3430" width="7" style="95" hidden="1" customWidth="1"/>
    <col min="3431" max="3431" width="5" style="95" customWidth="1"/>
    <col min="3432" max="3438" width="7" style="95" hidden="1" customWidth="1"/>
    <col min="3439" max="3439" width="6.44140625" style="95" customWidth="1"/>
    <col min="3440" max="3460" width="7" style="95" hidden="1" customWidth="1"/>
    <col min="3461" max="3464" width="6.44140625" style="95" customWidth="1"/>
    <col min="3465" max="3465" width="6.88671875" style="95" customWidth="1"/>
    <col min="3466" max="3466" width="6.44140625" style="95" customWidth="1"/>
    <col min="3467" max="3483" width="7" style="95" hidden="1" customWidth="1"/>
    <col min="3484" max="3484" width="6.5546875" style="95" customWidth="1"/>
    <col min="3485" max="3485" width="6.44140625" style="95" customWidth="1"/>
    <col min="3486" max="3487" width="7" style="95" hidden="1" customWidth="1"/>
    <col min="3488" max="3488" width="6.44140625" style="95" customWidth="1"/>
    <col min="3489" max="3490" width="7" style="95" hidden="1" customWidth="1"/>
    <col min="3491" max="3491" width="7.44140625" style="95" customWidth="1"/>
    <col min="3492" max="3492" width="7" style="95" hidden="1" customWidth="1"/>
    <col min="3493" max="3493" width="6.44140625" style="95" customWidth="1"/>
    <col min="3494" max="3532" width="7" style="95" hidden="1" customWidth="1"/>
    <col min="3533" max="3558" width="7" style="95" hidden="1"/>
    <col min="3559" max="3559" width="41.44140625" style="95" customWidth="1"/>
    <col min="3560" max="3560" width="6.44140625" style="95" customWidth="1"/>
    <col min="3561" max="3561" width="14.6640625" style="95" customWidth="1"/>
    <col min="3562" max="3562" width="11.44140625" style="95" customWidth="1"/>
    <col min="3563" max="3564" width="13" style="95" customWidth="1"/>
    <col min="3565" max="3565" width="9.44140625" style="95" customWidth="1"/>
    <col min="3566" max="3576" width="7" style="95" hidden="1" customWidth="1"/>
    <col min="3577" max="3577" width="10.109375" style="95" customWidth="1"/>
    <col min="3578" max="3590" width="7" style="95" hidden="1" customWidth="1"/>
    <col min="3591" max="3592" width="11.44140625" style="95" customWidth="1"/>
    <col min="3593" max="3593" width="56.88671875" style="95" customWidth="1"/>
    <col min="3594" max="3594" width="9.109375" style="95" bestFit="1" customWidth="1"/>
    <col min="3595" max="3595" width="24.5546875" style="95" customWidth="1"/>
    <col min="3596" max="3596" width="22.88671875" style="95" customWidth="1"/>
    <col min="3597" max="3597" width="9.109375" style="95" bestFit="1" customWidth="1"/>
    <col min="3598" max="3639" width="7" style="95" hidden="1" customWidth="1"/>
    <col min="3640" max="3640" width="8.44140625" style="95" customWidth="1"/>
    <col min="3641" max="3675" width="7" style="95" hidden="1" customWidth="1"/>
    <col min="3676" max="3676" width="9.44140625" style="95" customWidth="1"/>
    <col min="3677" max="3677" width="7" style="95" hidden="1" customWidth="1"/>
    <col min="3678" max="3678" width="5" style="95" customWidth="1"/>
    <col min="3679" max="3683" width="7" style="95" hidden="1" customWidth="1"/>
    <col min="3684" max="3684" width="5" style="95" customWidth="1"/>
    <col min="3685" max="3686" width="7" style="95" hidden="1" customWidth="1"/>
    <col min="3687" max="3687" width="5" style="95" customWidth="1"/>
    <col min="3688" max="3694" width="7" style="95" hidden="1" customWidth="1"/>
    <col min="3695" max="3695" width="6.44140625" style="95" customWidth="1"/>
    <col min="3696" max="3716" width="7" style="95" hidden="1" customWidth="1"/>
    <col min="3717" max="3720" width="6.44140625" style="95" customWidth="1"/>
    <col min="3721" max="3721" width="6.88671875" style="95" customWidth="1"/>
    <col min="3722" max="3722" width="6.44140625" style="95" customWidth="1"/>
    <col min="3723" max="3739" width="7" style="95" hidden="1" customWidth="1"/>
    <col min="3740" max="3740" width="6.5546875" style="95" customWidth="1"/>
    <col min="3741" max="3741" width="6.44140625" style="95" customWidth="1"/>
    <col min="3742" max="3743" width="7" style="95" hidden="1" customWidth="1"/>
    <col min="3744" max="3744" width="6.44140625" style="95" customWidth="1"/>
    <col min="3745" max="3746" width="7" style="95" hidden="1" customWidth="1"/>
    <col min="3747" max="3747" width="7.44140625" style="95" customWidth="1"/>
    <col min="3748" max="3748" width="7" style="95" hidden="1" customWidth="1"/>
    <col min="3749" max="3749" width="6.44140625" style="95" customWidth="1"/>
    <col min="3750" max="3788" width="7" style="95" hidden="1" customWidth="1"/>
    <col min="3789" max="3814" width="7" style="95" hidden="1"/>
    <col min="3815" max="3815" width="41.44140625" style="95" customWidth="1"/>
    <col min="3816" max="3816" width="6.44140625" style="95" customWidth="1"/>
    <col min="3817" max="3817" width="14.6640625" style="95" customWidth="1"/>
    <col min="3818" max="3818" width="11.44140625" style="95" customWidth="1"/>
    <col min="3819" max="3820" width="13" style="95" customWidth="1"/>
    <col min="3821" max="3821" width="9.44140625" style="95" customWidth="1"/>
    <col min="3822" max="3832" width="7" style="95" hidden="1" customWidth="1"/>
    <col min="3833" max="3833" width="10.109375" style="95" customWidth="1"/>
    <col min="3834" max="3846" width="7" style="95" hidden="1" customWidth="1"/>
    <col min="3847" max="3848" width="11.44140625" style="95" customWidth="1"/>
    <col min="3849" max="3849" width="56.88671875" style="95" customWidth="1"/>
    <col min="3850" max="3850" width="9.109375" style="95" bestFit="1" customWidth="1"/>
    <col min="3851" max="3851" width="24.5546875" style="95" customWidth="1"/>
    <col min="3852" max="3852" width="22.88671875" style="95" customWidth="1"/>
    <col min="3853" max="3853" width="9.109375" style="95" bestFit="1" customWidth="1"/>
    <col min="3854" max="3895" width="7" style="95" hidden="1" customWidth="1"/>
    <col min="3896" max="3896" width="8.44140625" style="95" customWidth="1"/>
    <col min="3897" max="3931" width="7" style="95" hidden="1" customWidth="1"/>
    <col min="3932" max="3932" width="9.44140625" style="95" customWidth="1"/>
    <col min="3933" max="3933" width="7" style="95" hidden="1" customWidth="1"/>
    <col min="3934" max="3934" width="5" style="95" customWidth="1"/>
    <col min="3935" max="3939" width="7" style="95" hidden="1" customWidth="1"/>
    <col min="3940" max="3940" width="5" style="95" customWidth="1"/>
    <col min="3941" max="3942" width="7" style="95" hidden="1" customWidth="1"/>
    <col min="3943" max="3943" width="5" style="95" customWidth="1"/>
    <col min="3944" max="3950" width="7" style="95" hidden="1" customWidth="1"/>
    <col min="3951" max="3951" width="6.44140625" style="95" customWidth="1"/>
    <col min="3952" max="3972" width="7" style="95" hidden="1" customWidth="1"/>
    <col min="3973" max="3976" width="6.44140625" style="95" customWidth="1"/>
    <col min="3977" max="3977" width="6.88671875" style="95" customWidth="1"/>
    <col min="3978" max="3978" width="6.44140625" style="95" customWidth="1"/>
    <col min="3979" max="3995" width="7" style="95" hidden="1" customWidth="1"/>
    <col min="3996" max="3996" width="6.5546875" style="95" customWidth="1"/>
    <col min="3997" max="3997" width="6.44140625" style="95" customWidth="1"/>
    <col min="3998" max="3999" width="7" style="95" hidden="1" customWidth="1"/>
    <col min="4000" max="4000" width="6.44140625" style="95" customWidth="1"/>
    <col min="4001" max="4002" width="7" style="95" hidden="1" customWidth="1"/>
    <col min="4003" max="4003" width="7.44140625" style="95" customWidth="1"/>
    <col min="4004" max="4004" width="7" style="95" hidden="1" customWidth="1"/>
    <col min="4005" max="4005" width="6.44140625" style="95" customWidth="1"/>
    <col min="4006" max="4044" width="7" style="95" hidden="1" customWidth="1"/>
    <col min="4045" max="4070" width="7" style="95" hidden="1"/>
    <col min="4071" max="4071" width="41.44140625" style="95" customWidth="1"/>
    <col min="4072" max="4072" width="6.44140625" style="95" customWidth="1"/>
    <col min="4073" max="4073" width="14.6640625" style="95" customWidth="1"/>
    <col min="4074" max="4074" width="11.44140625" style="95" customWidth="1"/>
    <col min="4075" max="4076" width="13" style="95" customWidth="1"/>
    <col min="4077" max="4077" width="9.44140625" style="95" customWidth="1"/>
    <col min="4078" max="4088" width="7" style="95" hidden="1" customWidth="1"/>
    <col min="4089" max="4089" width="10.109375" style="95" customWidth="1"/>
    <col min="4090" max="4102" width="7" style="95" hidden="1" customWidth="1"/>
    <col min="4103" max="4104" width="11.44140625" style="95" customWidth="1"/>
    <col min="4105" max="4105" width="56.88671875" style="95" customWidth="1"/>
    <col min="4106" max="4106" width="9.109375" style="95" bestFit="1" customWidth="1"/>
    <col min="4107" max="4107" width="24.5546875" style="95" customWidth="1"/>
    <col min="4108" max="4108" width="22.88671875" style="95" customWidth="1"/>
    <col min="4109" max="4109" width="9.109375" style="95" bestFit="1" customWidth="1"/>
    <col min="4110" max="4151" width="7" style="95" hidden="1" customWidth="1"/>
    <col min="4152" max="4152" width="8.44140625" style="95" customWidth="1"/>
    <col min="4153" max="4187" width="7" style="95" hidden="1" customWidth="1"/>
    <col min="4188" max="4188" width="9.44140625" style="95" customWidth="1"/>
    <col min="4189" max="4189" width="7" style="95" hidden="1" customWidth="1"/>
    <col min="4190" max="4190" width="5" style="95" customWidth="1"/>
    <col min="4191" max="4195" width="7" style="95" hidden="1" customWidth="1"/>
    <col min="4196" max="4196" width="5" style="95" customWidth="1"/>
    <col min="4197" max="4198" width="7" style="95" hidden="1" customWidth="1"/>
    <col min="4199" max="4199" width="5" style="95" customWidth="1"/>
    <col min="4200" max="4206" width="7" style="95" hidden="1" customWidth="1"/>
    <col min="4207" max="4207" width="6.44140625" style="95" customWidth="1"/>
    <col min="4208" max="4228" width="7" style="95" hidden="1" customWidth="1"/>
    <col min="4229" max="4232" width="6.44140625" style="95" customWidth="1"/>
    <col min="4233" max="4233" width="6.88671875" style="95" customWidth="1"/>
    <col min="4234" max="4234" width="6.44140625" style="95" customWidth="1"/>
    <col min="4235" max="4251" width="7" style="95" hidden="1" customWidth="1"/>
    <col min="4252" max="4252" width="6.5546875" style="95" customWidth="1"/>
    <col min="4253" max="4253" width="6.44140625" style="95" customWidth="1"/>
    <col min="4254" max="4255" width="7" style="95" hidden="1" customWidth="1"/>
    <col min="4256" max="4256" width="6.44140625" style="95" customWidth="1"/>
    <col min="4257" max="4258" width="7" style="95" hidden="1" customWidth="1"/>
    <col min="4259" max="4259" width="7.44140625" style="95" customWidth="1"/>
    <col min="4260" max="4260" width="7" style="95" hidden="1" customWidth="1"/>
    <col min="4261" max="4261" width="6.44140625" style="95" customWidth="1"/>
    <col min="4262" max="4300" width="7" style="95" hidden="1" customWidth="1"/>
    <col min="4301" max="4326" width="7" style="95" hidden="1"/>
    <col min="4327" max="4327" width="41.44140625" style="95" customWidth="1"/>
    <col min="4328" max="4328" width="6.44140625" style="95" customWidth="1"/>
    <col min="4329" max="4329" width="14.6640625" style="95" customWidth="1"/>
    <col min="4330" max="4330" width="11.44140625" style="95" customWidth="1"/>
    <col min="4331" max="4332" width="13" style="95" customWidth="1"/>
    <col min="4333" max="4333" width="9.44140625" style="95" customWidth="1"/>
    <col min="4334" max="4344" width="7" style="95" hidden="1" customWidth="1"/>
    <col min="4345" max="4345" width="10.109375" style="95" customWidth="1"/>
    <col min="4346" max="4358" width="7" style="95" hidden="1" customWidth="1"/>
    <col min="4359" max="4360" width="11.44140625" style="95" customWidth="1"/>
    <col min="4361" max="4361" width="56.88671875" style="95" customWidth="1"/>
    <col min="4362" max="4362" width="9.109375" style="95" bestFit="1" customWidth="1"/>
    <col min="4363" max="4363" width="24.5546875" style="95" customWidth="1"/>
    <col min="4364" max="4364" width="22.88671875" style="95" customWidth="1"/>
    <col min="4365" max="4365" width="9.109375" style="95" bestFit="1" customWidth="1"/>
    <col min="4366" max="4407" width="7" style="95" hidden="1" customWidth="1"/>
    <col min="4408" max="4408" width="8.44140625" style="95" customWidth="1"/>
    <col min="4409" max="4443" width="7" style="95" hidden="1" customWidth="1"/>
    <col min="4444" max="4444" width="9.44140625" style="95" customWidth="1"/>
    <col min="4445" max="4445" width="7" style="95" hidden="1" customWidth="1"/>
    <col min="4446" max="4446" width="5" style="95" customWidth="1"/>
    <col min="4447" max="4451" width="7" style="95" hidden="1" customWidth="1"/>
    <col min="4452" max="4452" width="5" style="95" customWidth="1"/>
    <col min="4453" max="4454" width="7" style="95" hidden="1" customWidth="1"/>
    <col min="4455" max="4455" width="5" style="95" customWidth="1"/>
    <col min="4456" max="4462" width="7" style="95" hidden="1" customWidth="1"/>
    <col min="4463" max="4463" width="6.44140625" style="95" customWidth="1"/>
    <col min="4464" max="4484" width="7" style="95" hidden="1" customWidth="1"/>
    <col min="4485" max="4488" width="6.44140625" style="95" customWidth="1"/>
    <col min="4489" max="4489" width="6.88671875" style="95" customWidth="1"/>
    <col min="4490" max="4490" width="6.44140625" style="95" customWidth="1"/>
    <col min="4491" max="4507" width="7" style="95" hidden="1" customWidth="1"/>
    <col min="4508" max="4508" width="6.5546875" style="95" customWidth="1"/>
    <col min="4509" max="4509" width="6.44140625" style="95" customWidth="1"/>
    <col min="4510" max="4511" width="7" style="95" hidden="1" customWidth="1"/>
    <col min="4512" max="4512" width="6.44140625" style="95" customWidth="1"/>
    <col min="4513" max="4514" width="7" style="95" hidden="1" customWidth="1"/>
    <col min="4515" max="4515" width="7.44140625" style="95" customWidth="1"/>
    <col min="4516" max="4516" width="7" style="95" hidden="1" customWidth="1"/>
    <col min="4517" max="4517" width="6.44140625" style="95" customWidth="1"/>
    <col min="4518" max="4556" width="7" style="95" hidden="1" customWidth="1"/>
    <col min="4557" max="4582" width="7" style="95" hidden="1"/>
    <col min="4583" max="4583" width="41.44140625" style="95" customWidth="1"/>
    <col min="4584" max="4584" width="6.44140625" style="95" customWidth="1"/>
    <col min="4585" max="4585" width="14.6640625" style="95" customWidth="1"/>
    <col min="4586" max="4586" width="11.44140625" style="95" customWidth="1"/>
    <col min="4587" max="4588" width="13" style="95" customWidth="1"/>
    <col min="4589" max="4589" width="9.44140625" style="95" customWidth="1"/>
    <col min="4590" max="4600" width="7" style="95" hidden="1" customWidth="1"/>
    <col min="4601" max="4601" width="10.109375" style="95" customWidth="1"/>
    <col min="4602" max="4614" width="7" style="95" hidden="1" customWidth="1"/>
    <col min="4615" max="4616" width="11.44140625" style="95" customWidth="1"/>
    <col min="4617" max="4617" width="56.88671875" style="95" customWidth="1"/>
    <col min="4618" max="4618" width="9.109375" style="95" bestFit="1" customWidth="1"/>
    <col min="4619" max="4619" width="24.5546875" style="95" customWidth="1"/>
    <col min="4620" max="4620" width="22.88671875" style="95" customWidth="1"/>
    <col min="4621" max="4621" width="9.109375" style="95" bestFit="1" customWidth="1"/>
    <col min="4622" max="4663" width="7" style="95" hidden="1" customWidth="1"/>
    <col min="4664" max="4664" width="8.44140625" style="95" customWidth="1"/>
    <col min="4665" max="4699" width="7" style="95" hidden="1" customWidth="1"/>
    <col min="4700" max="4700" width="9.44140625" style="95" customWidth="1"/>
    <col min="4701" max="4701" width="7" style="95" hidden="1" customWidth="1"/>
    <col min="4702" max="4702" width="5" style="95" customWidth="1"/>
    <col min="4703" max="4707" width="7" style="95" hidden="1" customWidth="1"/>
    <col min="4708" max="4708" width="5" style="95" customWidth="1"/>
    <col min="4709" max="4710" width="7" style="95" hidden="1" customWidth="1"/>
    <col min="4711" max="4711" width="5" style="95" customWidth="1"/>
    <col min="4712" max="4718" width="7" style="95" hidden="1" customWidth="1"/>
    <col min="4719" max="4719" width="6.44140625" style="95" customWidth="1"/>
    <col min="4720" max="4740" width="7" style="95" hidden="1" customWidth="1"/>
    <col min="4741" max="4744" width="6.44140625" style="95" customWidth="1"/>
    <col min="4745" max="4745" width="6.88671875" style="95" customWidth="1"/>
    <col min="4746" max="4746" width="6.44140625" style="95" customWidth="1"/>
    <col min="4747" max="4763" width="7" style="95" hidden="1" customWidth="1"/>
    <col min="4764" max="4764" width="6.5546875" style="95" customWidth="1"/>
    <col min="4765" max="4765" width="6.44140625" style="95" customWidth="1"/>
    <col min="4766" max="4767" width="7" style="95" hidden="1" customWidth="1"/>
    <col min="4768" max="4768" width="6.44140625" style="95" customWidth="1"/>
    <col min="4769" max="4770" width="7" style="95" hidden="1" customWidth="1"/>
    <col min="4771" max="4771" width="7.44140625" style="95" customWidth="1"/>
    <col min="4772" max="4772" width="7" style="95" hidden="1" customWidth="1"/>
    <col min="4773" max="4773" width="6.44140625" style="95" customWidth="1"/>
    <col min="4774" max="4812" width="7" style="95" hidden="1" customWidth="1"/>
    <col min="4813" max="4838" width="7" style="95" hidden="1"/>
    <col min="4839" max="4839" width="41.44140625" style="95" customWidth="1"/>
    <col min="4840" max="4840" width="6.44140625" style="95" customWidth="1"/>
    <col min="4841" max="4841" width="14.6640625" style="95" customWidth="1"/>
    <col min="4842" max="4842" width="11.44140625" style="95" customWidth="1"/>
    <col min="4843" max="4844" width="13" style="95" customWidth="1"/>
    <col min="4845" max="4845" width="9.44140625" style="95" customWidth="1"/>
    <col min="4846" max="4856" width="7" style="95" hidden="1" customWidth="1"/>
    <col min="4857" max="4857" width="10.109375" style="95" customWidth="1"/>
    <col min="4858" max="4870" width="7" style="95" hidden="1" customWidth="1"/>
    <col min="4871" max="4872" width="11.44140625" style="95" customWidth="1"/>
    <col min="4873" max="4873" width="56.88671875" style="95" customWidth="1"/>
    <col min="4874" max="4874" width="9.109375" style="95" bestFit="1" customWidth="1"/>
    <col min="4875" max="4875" width="24.5546875" style="95" customWidth="1"/>
    <col min="4876" max="4876" width="22.88671875" style="95" customWidth="1"/>
    <col min="4877" max="4877" width="9.109375" style="95" bestFit="1" customWidth="1"/>
    <col min="4878" max="4919" width="7" style="95" hidden="1" customWidth="1"/>
    <col min="4920" max="4920" width="8.44140625" style="95" customWidth="1"/>
    <col min="4921" max="4955" width="7" style="95" hidden="1" customWidth="1"/>
    <col min="4956" max="4956" width="9.44140625" style="95" customWidth="1"/>
    <col min="4957" max="4957" width="7" style="95" hidden="1" customWidth="1"/>
    <col min="4958" max="4958" width="5" style="95" customWidth="1"/>
    <col min="4959" max="4963" width="7" style="95" hidden="1" customWidth="1"/>
    <col min="4964" max="4964" width="5" style="95" customWidth="1"/>
    <col min="4965" max="4966" width="7" style="95" hidden="1" customWidth="1"/>
    <col min="4967" max="4967" width="5" style="95" customWidth="1"/>
    <col min="4968" max="4974" width="7" style="95" hidden="1" customWidth="1"/>
    <col min="4975" max="4975" width="6.44140625" style="95" customWidth="1"/>
    <col min="4976" max="4996" width="7" style="95" hidden="1" customWidth="1"/>
    <col min="4997" max="5000" width="6.44140625" style="95" customWidth="1"/>
    <col min="5001" max="5001" width="6.88671875" style="95" customWidth="1"/>
    <col min="5002" max="5002" width="6.44140625" style="95" customWidth="1"/>
    <col min="5003" max="5019" width="7" style="95" hidden="1" customWidth="1"/>
    <col min="5020" max="5020" width="6.5546875" style="95" customWidth="1"/>
    <col min="5021" max="5021" width="6.44140625" style="95" customWidth="1"/>
    <col min="5022" max="5023" width="7" style="95" hidden="1" customWidth="1"/>
    <col min="5024" max="5024" width="6.44140625" style="95" customWidth="1"/>
    <col min="5025" max="5026" width="7" style="95" hidden="1" customWidth="1"/>
    <col min="5027" max="5027" width="7.44140625" style="95" customWidth="1"/>
    <col min="5028" max="5028" width="7" style="95" hidden="1" customWidth="1"/>
    <col min="5029" max="5029" width="6.44140625" style="95" customWidth="1"/>
    <col min="5030" max="5068" width="7" style="95" hidden="1" customWidth="1"/>
    <col min="5069" max="5094" width="7" style="95" hidden="1"/>
    <col min="5095" max="5095" width="41.44140625" style="95" customWidth="1"/>
    <col min="5096" max="5096" width="6.44140625" style="95" customWidth="1"/>
    <col min="5097" max="5097" width="14.6640625" style="95" customWidth="1"/>
    <col min="5098" max="5098" width="11.44140625" style="95" customWidth="1"/>
    <col min="5099" max="5100" width="13" style="95" customWidth="1"/>
    <col min="5101" max="5101" width="9.44140625" style="95" customWidth="1"/>
    <col min="5102" max="5112" width="7" style="95" hidden="1" customWidth="1"/>
    <col min="5113" max="5113" width="10.109375" style="95" customWidth="1"/>
    <col min="5114" max="5126" width="7" style="95" hidden="1" customWidth="1"/>
    <col min="5127" max="5128" width="11.44140625" style="95" customWidth="1"/>
    <col min="5129" max="5129" width="56.88671875" style="95" customWidth="1"/>
    <col min="5130" max="5130" width="9.109375" style="95" bestFit="1" customWidth="1"/>
    <col min="5131" max="5131" width="24.5546875" style="95" customWidth="1"/>
    <col min="5132" max="5132" width="22.88671875" style="95" customWidth="1"/>
    <col min="5133" max="5133" width="9.109375" style="95" bestFit="1" customWidth="1"/>
    <col min="5134" max="5175" width="7" style="95" hidden="1" customWidth="1"/>
    <col min="5176" max="5176" width="8.44140625" style="95" customWidth="1"/>
    <col min="5177" max="5211" width="7" style="95" hidden="1" customWidth="1"/>
    <col min="5212" max="5212" width="9.44140625" style="95" customWidth="1"/>
    <col min="5213" max="5213" width="7" style="95" hidden="1" customWidth="1"/>
    <col min="5214" max="5214" width="5" style="95" customWidth="1"/>
    <col min="5215" max="5219" width="7" style="95" hidden="1" customWidth="1"/>
    <col min="5220" max="5220" width="5" style="95" customWidth="1"/>
    <col min="5221" max="5222" width="7" style="95" hidden="1" customWidth="1"/>
    <col min="5223" max="5223" width="5" style="95" customWidth="1"/>
    <col min="5224" max="5230" width="7" style="95" hidden="1" customWidth="1"/>
    <col min="5231" max="5231" width="6.44140625" style="95" customWidth="1"/>
    <col min="5232" max="5252" width="7" style="95" hidden="1" customWidth="1"/>
    <col min="5253" max="5256" width="6.44140625" style="95" customWidth="1"/>
    <col min="5257" max="5257" width="6.88671875" style="95" customWidth="1"/>
    <col min="5258" max="5258" width="6.44140625" style="95" customWidth="1"/>
    <col min="5259" max="5275" width="7" style="95" hidden="1" customWidth="1"/>
    <col min="5276" max="5276" width="6.5546875" style="95" customWidth="1"/>
    <col min="5277" max="5277" width="6.44140625" style="95" customWidth="1"/>
    <col min="5278" max="5279" width="7" style="95" hidden="1" customWidth="1"/>
    <col min="5280" max="5280" width="6.44140625" style="95" customWidth="1"/>
    <col min="5281" max="5282" width="7" style="95" hidden="1" customWidth="1"/>
    <col min="5283" max="5283" width="7.44140625" style="95" customWidth="1"/>
    <col min="5284" max="5284" width="7" style="95" hidden="1" customWidth="1"/>
    <col min="5285" max="5285" width="6.44140625" style="95" customWidth="1"/>
    <col min="5286" max="5324" width="7" style="95" hidden="1" customWidth="1"/>
    <col min="5325" max="5350" width="7" style="95" hidden="1"/>
    <col min="5351" max="5351" width="41.44140625" style="95" customWidth="1"/>
    <col min="5352" max="5352" width="6.44140625" style="95" customWidth="1"/>
    <col min="5353" max="5353" width="14.6640625" style="95" customWidth="1"/>
    <col min="5354" max="5354" width="11.44140625" style="95" customWidth="1"/>
    <col min="5355" max="5356" width="13" style="95" customWidth="1"/>
    <col min="5357" max="5357" width="9.44140625" style="95" customWidth="1"/>
    <col min="5358" max="5368" width="7" style="95" hidden="1" customWidth="1"/>
    <col min="5369" max="5369" width="10.109375" style="95" customWidth="1"/>
    <col min="5370" max="5382" width="7" style="95" hidden="1" customWidth="1"/>
    <col min="5383" max="5384" width="11.44140625" style="95" customWidth="1"/>
    <col min="5385" max="5385" width="56.88671875" style="95" customWidth="1"/>
    <col min="5386" max="5386" width="9.109375" style="95" bestFit="1" customWidth="1"/>
    <col min="5387" max="5387" width="24.5546875" style="95" customWidth="1"/>
    <col min="5388" max="5388" width="22.88671875" style="95" customWidth="1"/>
    <col min="5389" max="5389" width="9.109375" style="95" bestFit="1" customWidth="1"/>
    <col min="5390" max="5431" width="7" style="95" hidden="1" customWidth="1"/>
    <col min="5432" max="5432" width="8.44140625" style="95" customWidth="1"/>
    <col min="5433" max="5467" width="7" style="95" hidden="1" customWidth="1"/>
    <col min="5468" max="5468" width="9.44140625" style="95" customWidth="1"/>
    <col min="5469" max="5469" width="7" style="95" hidden="1" customWidth="1"/>
    <col min="5470" max="5470" width="5" style="95" customWidth="1"/>
    <col min="5471" max="5475" width="7" style="95" hidden="1" customWidth="1"/>
    <col min="5476" max="5476" width="5" style="95" customWidth="1"/>
    <col min="5477" max="5478" width="7" style="95" hidden="1" customWidth="1"/>
    <col min="5479" max="5479" width="5" style="95" customWidth="1"/>
    <col min="5480" max="5486" width="7" style="95" hidden="1" customWidth="1"/>
    <col min="5487" max="5487" width="6.44140625" style="95" customWidth="1"/>
    <col min="5488" max="5508" width="7" style="95" hidden="1" customWidth="1"/>
    <col min="5509" max="5512" width="6.44140625" style="95" customWidth="1"/>
    <col min="5513" max="5513" width="6.88671875" style="95" customWidth="1"/>
    <col min="5514" max="5514" width="6.44140625" style="95" customWidth="1"/>
    <col min="5515" max="5531" width="7" style="95" hidden="1" customWidth="1"/>
    <col min="5532" max="5532" width="6.5546875" style="95" customWidth="1"/>
    <col min="5533" max="5533" width="6.44140625" style="95" customWidth="1"/>
    <col min="5534" max="5535" width="7" style="95" hidden="1" customWidth="1"/>
    <col min="5536" max="5536" width="6.44140625" style="95" customWidth="1"/>
    <col min="5537" max="5538" width="7" style="95" hidden="1" customWidth="1"/>
    <col min="5539" max="5539" width="7.44140625" style="95" customWidth="1"/>
    <col min="5540" max="5540" width="7" style="95" hidden="1" customWidth="1"/>
    <col min="5541" max="5541" width="6.44140625" style="95" customWidth="1"/>
    <col min="5542" max="5580" width="7" style="95" hidden="1" customWidth="1"/>
    <col min="5581" max="5606" width="7" style="95" hidden="1"/>
    <col min="5607" max="5607" width="41.44140625" style="95" customWidth="1"/>
    <col min="5608" max="5608" width="6.44140625" style="95" customWidth="1"/>
    <col min="5609" max="5609" width="14.6640625" style="95" customWidth="1"/>
    <col min="5610" max="5610" width="11.44140625" style="95" customWidth="1"/>
    <col min="5611" max="5612" width="13" style="95" customWidth="1"/>
    <col min="5613" max="5613" width="9.44140625" style="95" customWidth="1"/>
    <col min="5614" max="5624" width="7" style="95" hidden="1" customWidth="1"/>
    <col min="5625" max="5625" width="10.109375" style="95" customWidth="1"/>
    <col min="5626" max="5638" width="7" style="95" hidden="1" customWidth="1"/>
    <col min="5639" max="5640" width="11.44140625" style="95" customWidth="1"/>
    <col min="5641" max="5641" width="56.88671875" style="95" customWidth="1"/>
    <col min="5642" max="5642" width="9.109375" style="95" bestFit="1" customWidth="1"/>
    <col min="5643" max="5643" width="24.5546875" style="95" customWidth="1"/>
    <col min="5644" max="5644" width="22.88671875" style="95" customWidth="1"/>
    <col min="5645" max="5645" width="9.109375" style="95" bestFit="1" customWidth="1"/>
    <col min="5646" max="5687" width="7" style="95" hidden="1" customWidth="1"/>
    <col min="5688" max="5688" width="8.44140625" style="95" customWidth="1"/>
    <col min="5689" max="5723" width="7" style="95" hidden="1" customWidth="1"/>
    <col min="5724" max="5724" width="9.44140625" style="95" customWidth="1"/>
    <col min="5725" max="5725" width="7" style="95" hidden="1" customWidth="1"/>
    <col min="5726" max="5726" width="5" style="95" customWidth="1"/>
    <col min="5727" max="5731" width="7" style="95" hidden="1" customWidth="1"/>
    <col min="5732" max="5732" width="5" style="95" customWidth="1"/>
    <col min="5733" max="5734" width="7" style="95" hidden="1" customWidth="1"/>
    <col min="5735" max="5735" width="5" style="95" customWidth="1"/>
    <col min="5736" max="5742" width="7" style="95" hidden="1" customWidth="1"/>
    <col min="5743" max="5743" width="6.44140625" style="95" customWidth="1"/>
    <col min="5744" max="5764" width="7" style="95" hidden="1" customWidth="1"/>
    <col min="5765" max="5768" width="6.44140625" style="95" customWidth="1"/>
    <col min="5769" max="5769" width="6.88671875" style="95" customWidth="1"/>
    <col min="5770" max="5770" width="6.44140625" style="95" customWidth="1"/>
    <col min="5771" max="5787" width="7" style="95" hidden="1" customWidth="1"/>
    <col min="5788" max="5788" width="6.5546875" style="95" customWidth="1"/>
    <col min="5789" max="5789" width="6.44140625" style="95" customWidth="1"/>
    <col min="5790" max="5791" width="7" style="95" hidden="1" customWidth="1"/>
    <col min="5792" max="5792" width="6.44140625" style="95" customWidth="1"/>
    <col min="5793" max="5794" width="7" style="95" hidden="1" customWidth="1"/>
    <col min="5795" max="5795" width="7.44140625" style="95" customWidth="1"/>
    <col min="5796" max="5796" width="7" style="95" hidden="1" customWidth="1"/>
    <col min="5797" max="5797" width="6.44140625" style="95" customWidth="1"/>
    <col min="5798" max="5836" width="7" style="95" hidden="1" customWidth="1"/>
    <col min="5837" max="5862" width="7" style="95" hidden="1"/>
    <col min="5863" max="5863" width="41.44140625" style="95" customWidth="1"/>
    <col min="5864" max="5864" width="6.44140625" style="95" customWidth="1"/>
    <col min="5865" max="5865" width="14.6640625" style="95" customWidth="1"/>
    <col min="5866" max="5866" width="11.44140625" style="95" customWidth="1"/>
    <col min="5867" max="5868" width="13" style="95" customWidth="1"/>
    <col min="5869" max="5869" width="9.44140625" style="95" customWidth="1"/>
    <col min="5870" max="5880" width="7" style="95" hidden="1" customWidth="1"/>
    <col min="5881" max="5881" width="10.109375" style="95" customWidth="1"/>
    <col min="5882" max="5894" width="7" style="95" hidden="1" customWidth="1"/>
    <col min="5895" max="5896" width="11.44140625" style="95" customWidth="1"/>
    <col min="5897" max="5897" width="56.88671875" style="95" customWidth="1"/>
    <col min="5898" max="5898" width="9.109375" style="95" bestFit="1" customWidth="1"/>
    <col min="5899" max="5899" width="24.5546875" style="95" customWidth="1"/>
    <col min="5900" max="5900" width="22.88671875" style="95" customWidth="1"/>
    <col min="5901" max="5901" width="9.109375" style="95" bestFit="1" customWidth="1"/>
    <col min="5902" max="5943" width="7" style="95" hidden="1" customWidth="1"/>
    <col min="5944" max="5944" width="8.44140625" style="95" customWidth="1"/>
    <col min="5945" max="5979" width="7" style="95" hidden="1" customWidth="1"/>
    <col min="5980" max="5980" width="9.44140625" style="95" customWidth="1"/>
    <col min="5981" max="5981" width="7" style="95" hidden="1" customWidth="1"/>
    <col min="5982" max="5982" width="5" style="95" customWidth="1"/>
    <col min="5983" max="5987" width="7" style="95" hidden="1" customWidth="1"/>
    <col min="5988" max="5988" width="5" style="95" customWidth="1"/>
    <col min="5989" max="5990" width="7" style="95" hidden="1" customWidth="1"/>
    <col min="5991" max="5991" width="5" style="95" customWidth="1"/>
    <col min="5992" max="5998" width="7" style="95" hidden="1" customWidth="1"/>
    <col min="5999" max="5999" width="6.44140625" style="95" customWidth="1"/>
    <col min="6000" max="6020" width="7" style="95" hidden="1" customWidth="1"/>
    <col min="6021" max="6024" width="6.44140625" style="95" customWidth="1"/>
    <col min="6025" max="6025" width="6.88671875" style="95" customWidth="1"/>
    <col min="6026" max="6026" width="6.44140625" style="95" customWidth="1"/>
    <col min="6027" max="6043" width="7" style="95" hidden="1" customWidth="1"/>
    <col min="6044" max="6044" width="6.5546875" style="95" customWidth="1"/>
    <col min="6045" max="6045" width="6.44140625" style="95" customWidth="1"/>
    <col min="6046" max="6047" width="7" style="95" hidden="1" customWidth="1"/>
    <col min="6048" max="6048" width="6.44140625" style="95" customWidth="1"/>
    <col min="6049" max="6050" width="7" style="95" hidden="1" customWidth="1"/>
    <col min="6051" max="6051" width="7.44140625" style="95" customWidth="1"/>
    <col min="6052" max="6052" width="7" style="95" hidden="1" customWidth="1"/>
    <col min="6053" max="6053" width="6.44140625" style="95" customWidth="1"/>
    <col min="6054" max="6092" width="7" style="95" hidden="1" customWidth="1"/>
    <col min="6093" max="6118" width="7" style="95" hidden="1"/>
    <col min="6119" max="6119" width="41.44140625" style="95" customWidth="1"/>
    <col min="6120" max="6120" width="6.44140625" style="95" customWidth="1"/>
    <col min="6121" max="6121" width="14.6640625" style="95" customWidth="1"/>
    <col min="6122" max="6122" width="11.44140625" style="95" customWidth="1"/>
    <col min="6123" max="6124" width="13" style="95" customWidth="1"/>
    <col min="6125" max="6125" width="9.44140625" style="95" customWidth="1"/>
    <col min="6126" max="6136" width="7" style="95" hidden="1" customWidth="1"/>
    <col min="6137" max="6137" width="10.109375" style="95" customWidth="1"/>
    <col min="6138" max="6150" width="7" style="95" hidden="1" customWidth="1"/>
    <col min="6151" max="6152" width="11.44140625" style="95" customWidth="1"/>
    <col min="6153" max="6153" width="56.88671875" style="95" customWidth="1"/>
    <col min="6154" max="6154" width="9.109375" style="95" bestFit="1" customWidth="1"/>
    <col min="6155" max="6155" width="24.5546875" style="95" customWidth="1"/>
    <col min="6156" max="6156" width="22.88671875" style="95" customWidth="1"/>
    <col min="6157" max="6157" width="9.109375" style="95" bestFit="1" customWidth="1"/>
    <col min="6158" max="6199" width="7" style="95" hidden="1" customWidth="1"/>
    <col min="6200" max="6200" width="8.44140625" style="95" customWidth="1"/>
    <col min="6201" max="6235" width="7" style="95" hidden="1" customWidth="1"/>
    <col min="6236" max="6236" width="9.44140625" style="95" customWidth="1"/>
    <col min="6237" max="6237" width="7" style="95" hidden="1" customWidth="1"/>
    <col min="6238" max="6238" width="5" style="95" customWidth="1"/>
    <col min="6239" max="6243" width="7" style="95" hidden="1" customWidth="1"/>
    <col min="6244" max="6244" width="5" style="95" customWidth="1"/>
    <col min="6245" max="6246" width="7" style="95" hidden="1" customWidth="1"/>
    <col min="6247" max="6247" width="5" style="95" customWidth="1"/>
    <col min="6248" max="6254" width="7" style="95" hidden="1" customWidth="1"/>
    <col min="6255" max="6255" width="6.44140625" style="95" customWidth="1"/>
    <col min="6256" max="6276" width="7" style="95" hidden="1" customWidth="1"/>
    <col min="6277" max="6280" width="6.44140625" style="95" customWidth="1"/>
    <col min="6281" max="6281" width="6.88671875" style="95" customWidth="1"/>
    <col min="6282" max="6282" width="6.44140625" style="95" customWidth="1"/>
    <col min="6283" max="6299" width="7" style="95" hidden="1" customWidth="1"/>
    <col min="6300" max="6300" width="6.5546875" style="95" customWidth="1"/>
    <col min="6301" max="6301" width="6.44140625" style="95" customWidth="1"/>
    <col min="6302" max="6303" width="7" style="95" hidden="1" customWidth="1"/>
    <col min="6304" max="6304" width="6.44140625" style="95" customWidth="1"/>
    <col min="6305" max="6306" width="7" style="95" hidden="1" customWidth="1"/>
    <col min="6307" max="6307" width="7.44140625" style="95" customWidth="1"/>
    <col min="6308" max="6308" width="7" style="95" hidden="1" customWidth="1"/>
    <col min="6309" max="6309" width="6.44140625" style="95" customWidth="1"/>
    <col min="6310" max="6348" width="7" style="95" hidden="1" customWidth="1"/>
    <col min="6349" max="6374" width="7" style="95" hidden="1"/>
    <col min="6375" max="6375" width="41.44140625" style="95" customWidth="1"/>
    <col min="6376" max="6376" width="6.44140625" style="95" customWidth="1"/>
    <col min="6377" max="6377" width="14.6640625" style="95" customWidth="1"/>
    <col min="6378" max="6378" width="11.44140625" style="95" customWidth="1"/>
    <col min="6379" max="6380" width="13" style="95" customWidth="1"/>
    <col min="6381" max="6381" width="9.44140625" style="95" customWidth="1"/>
    <col min="6382" max="6392" width="7" style="95" hidden="1" customWidth="1"/>
    <col min="6393" max="6393" width="10.109375" style="95" customWidth="1"/>
    <col min="6394" max="6406" width="7" style="95" hidden="1" customWidth="1"/>
    <col min="6407" max="6408" width="11.44140625" style="95" customWidth="1"/>
    <col min="6409" max="6409" width="56.88671875" style="95" customWidth="1"/>
    <col min="6410" max="6410" width="9.109375" style="95" bestFit="1" customWidth="1"/>
    <col min="6411" max="6411" width="24.5546875" style="95" customWidth="1"/>
    <col min="6412" max="6412" width="22.88671875" style="95" customWidth="1"/>
    <col min="6413" max="6413" width="9.109375" style="95" bestFit="1" customWidth="1"/>
    <col min="6414" max="6455" width="7" style="95" hidden="1" customWidth="1"/>
    <col min="6456" max="6456" width="8.44140625" style="95" customWidth="1"/>
    <col min="6457" max="6491" width="7" style="95" hidden="1" customWidth="1"/>
    <col min="6492" max="6492" width="9.44140625" style="95" customWidth="1"/>
    <col min="6493" max="6493" width="7" style="95" hidden="1" customWidth="1"/>
    <col min="6494" max="6494" width="5" style="95" customWidth="1"/>
    <col min="6495" max="6499" width="7" style="95" hidden="1" customWidth="1"/>
    <col min="6500" max="6500" width="5" style="95" customWidth="1"/>
    <col min="6501" max="6502" width="7" style="95" hidden="1" customWidth="1"/>
    <col min="6503" max="6503" width="5" style="95" customWidth="1"/>
    <col min="6504" max="6510" width="7" style="95" hidden="1" customWidth="1"/>
    <col min="6511" max="6511" width="6.44140625" style="95" customWidth="1"/>
    <col min="6512" max="6532" width="7" style="95" hidden="1" customWidth="1"/>
    <col min="6533" max="6536" width="6.44140625" style="95" customWidth="1"/>
    <col min="6537" max="6537" width="6.88671875" style="95" customWidth="1"/>
    <col min="6538" max="6538" width="6.44140625" style="95" customWidth="1"/>
    <col min="6539" max="6555" width="7" style="95" hidden="1" customWidth="1"/>
    <col min="6556" max="6556" width="6.5546875" style="95" customWidth="1"/>
    <col min="6557" max="6557" width="6.44140625" style="95" customWidth="1"/>
    <col min="6558" max="6559" width="7" style="95" hidden="1" customWidth="1"/>
    <col min="6560" max="6560" width="6.44140625" style="95" customWidth="1"/>
    <col min="6561" max="6562" width="7" style="95" hidden="1" customWidth="1"/>
    <col min="6563" max="6563" width="7.44140625" style="95" customWidth="1"/>
    <col min="6564" max="6564" width="7" style="95" hidden="1" customWidth="1"/>
    <col min="6565" max="6565" width="6.44140625" style="95" customWidth="1"/>
    <col min="6566" max="6604" width="7" style="95" hidden="1" customWidth="1"/>
    <col min="6605" max="6630" width="7" style="95" hidden="1"/>
    <col min="6631" max="6631" width="41.44140625" style="95" customWidth="1"/>
    <col min="6632" max="6632" width="6.44140625" style="95" customWidth="1"/>
    <col min="6633" max="6633" width="14.6640625" style="95" customWidth="1"/>
    <col min="6634" max="6634" width="11.44140625" style="95" customWidth="1"/>
    <col min="6635" max="6636" width="13" style="95" customWidth="1"/>
    <col min="6637" max="6637" width="9.44140625" style="95" customWidth="1"/>
    <col min="6638" max="6648" width="7" style="95" hidden="1" customWidth="1"/>
    <col min="6649" max="6649" width="10.109375" style="95" customWidth="1"/>
    <col min="6650" max="6662" width="7" style="95" hidden="1" customWidth="1"/>
    <col min="6663" max="6664" width="11.44140625" style="95" customWidth="1"/>
    <col min="6665" max="6665" width="56.88671875" style="95" customWidth="1"/>
    <col min="6666" max="6666" width="9.109375" style="95" bestFit="1" customWidth="1"/>
    <col min="6667" max="6667" width="24.5546875" style="95" customWidth="1"/>
    <col min="6668" max="6668" width="22.88671875" style="95" customWidth="1"/>
    <col min="6669" max="6669" width="9.109375" style="95" bestFit="1" customWidth="1"/>
    <col min="6670" max="6711" width="7" style="95" hidden="1" customWidth="1"/>
    <col min="6712" max="6712" width="8.44140625" style="95" customWidth="1"/>
    <col min="6713" max="6747" width="7" style="95" hidden="1" customWidth="1"/>
    <col min="6748" max="6748" width="9.44140625" style="95" customWidth="1"/>
    <col min="6749" max="6749" width="7" style="95" hidden="1" customWidth="1"/>
    <col min="6750" max="6750" width="5" style="95" customWidth="1"/>
    <col min="6751" max="6755" width="7" style="95" hidden="1" customWidth="1"/>
    <col min="6756" max="6756" width="5" style="95" customWidth="1"/>
    <col min="6757" max="6758" width="7" style="95" hidden="1" customWidth="1"/>
    <col min="6759" max="6759" width="5" style="95" customWidth="1"/>
    <col min="6760" max="6766" width="7" style="95" hidden="1" customWidth="1"/>
    <col min="6767" max="6767" width="6.44140625" style="95" customWidth="1"/>
    <col min="6768" max="6788" width="7" style="95" hidden="1" customWidth="1"/>
    <col min="6789" max="6792" width="6.44140625" style="95" customWidth="1"/>
    <col min="6793" max="6793" width="6.88671875" style="95" customWidth="1"/>
    <col min="6794" max="6794" width="6.44140625" style="95" customWidth="1"/>
    <col min="6795" max="6811" width="7" style="95" hidden="1" customWidth="1"/>
    <col min="6812" max="6812" width="6.5546875" style="95" customWidth="1"/>
    <col min="6813" max="6813" width="6.44140625" style="95" customWidth="1"/>
    <col min="6814" max="6815" width="7" style="95" hidden="1" customWidth="1"/>
    <col min="6816" max="6816" width="6.44140625" style="95" customWidth="1"/>
    <col min="6817" max="6818" width="7" style="95" hidden="1" customWidth="1"/>
    <col min="6819" max="6819" width="7.44140625" style="95" customWidth="1"/>
    <col min="6820" max="6820" width="7" style="95" hidden="1" customWidth="1"/>
    <col min="6821" max="6821" width="6.44140625" style="95" customWidth="1"/>
    <col min="6822" max="6860" width="7" style="95" hidden="1" customWidth="1"/>
    <col min="6861" max="6886" width="7" style="95" hidden="1"/>
    <col min="6887" max="6887" width="41.44140625" style="95" customWidth="1"/>
    <col min="6888" max="6888" width="6.44140625" style="95" customWidth="1"/>
    <col min="6889" max="6889" width="14.6640625" style="95" customWidth="1"/>
    <col min="6890" max="6890" width="11.44140625" style="95" customWidth="1"/>
    <col min="6891" max="6892" width="13" style="95" customWidth="1"/>
    <col min="6893" max="6893" width="9.44140625" style="95" customWidth="1"/>
    <col min="6894" max="6904" width="7" style="95" hidden="1" customWidth="1"/>
    <col min="6905" max="6905" width="10.109375" style="95" customWidth="1"/>
    <col min="6906" max="6918" width="7" style="95" hidden="1" customWidth="1"/>
    <col min="6919" max="6920" width="11.44140625" style="95" customWidth="1"/>
    <col min="6921" max="6921" width="56.88671875" style="95" customWidth="1"/>
    <col min="6922" max="6922" width="9.109375" style="95" bestFit="1" customWidth="1"/>
    <col min="6923" max="6923" width="24.5546875" style="95" customWidth="1"/>
    <col min="6924" max="6924" width="22.88671875" style="95" customWidth="1"/>
    <col min="6925" max="6925" width="9.109375" style="95" bestFit="1" customWidth="1"/>
    <col min="6926" max="6967" width="7" style="95" hidden="1" customWidth="1"/>
    <col min="6968" max="6968" width="8.44140625" style="95" customWidth="1"/>
    <col min="6969" max="7003" width="7" style="95" hidden="1" customWidth="1"/>
    <col min="7004" max="7004" width="9.44140625" style="95" customWidth="1"/>
    <col min="7005" max="7005" width="7" style="95" hidden="1" customWidth="1"/>
    <col min="7006" max="7006" width="5" style="95" customWidth="1"/>
    <col min="7007" max="7011" width="7" style="95" hidden="1" customWidth="1"/>
    <col min="7012" max="7012" width="5" style="95" customWidth="1"/>
    <col min="7013" max="7014" width="7" style="95" hidden="1" customWidth="1"/>
    <col min="7015" max="7015" width="5" style="95" customWidth="1"/>
    <col min="7016" max="7022" width="7" style="95" hidden="1" customWidth="1"/>
    <col min="7023" max="7023" width="6.44140625" style="95" customWidth="1"/>
    <col min="7024" max="7044" width="7" style="95" hidden="1" customWidth="1"/>
    <col min="7045" max="7048" width="6.44140625" style="95" customWidth="1"/>
    <col min="7049" max="7049" width="6.88671875" style="95" customWidth="1"/>
    <col min="7050" max="7050" width="6.44140625" style="95" customWidth="1"/>
    <col min="7051" max="7067" width="7" style="95" hidden="1" customWidth="1"/>
    <col min="7068" max="7068" width="6.5546875" style="95" customWidth="1"/>
    <col min="7069" max="7069" width="6.44140625" style="95" customWidth="1"/>
    <col min="7070" max="7071" width="7" style="95" hidden="1" customWidth="1"/>
    <col min="7072" max="7072" width="6.44140625" style="95" customWidth="1"/>
    <col min="7073" max="7074" width="7" style="95" hidden="1" customWidth="1"/>
    <col min="7075" max="7075" width="7.44140625" style="95" customWidth="1"/>
    <col min="7076" max="7076" width="7" style="95" hidden="1" customWidth="1"/>
    <col min="7077" max="7077" width="6.44140625" style="95" customWidth="1"/>
    <col min="7078" max="7116" width="7" style="95" hidden="1" customWidth="1"/>
    <col min="7117" max="7142" width="7" style="95" hidden="1"/>
    <col min="7143" max="7143" width="41.44140625" style="95" customWidth="1"/>
    <col min="7144" max="7144" width="6.44140625" style="95" customWidth="1"/>
    <col min="7145" max="7145" width="14.6640625" style="95" customWidth="1"/>
    <col min="7146" max="7146" width="11.44140625" style="95" customWidth="1"/>
    <col min="7147" max="7148" width="13" style="95" customWidth="1"/>
    <col min="7149" max="7149" width="9.44140625" style="95" customWidth="1"/>
    <col min="7150" max="7160" width="7" style="95" hidden="1" customWidth="1"/>
    <col min="7161" max="7161" width="10.109375" style="95" customWidth="1"/>
    <col min="7162" max="7174" width="7" style="95" hidden="1" customWidth="1"/>
    <col min="7175" max="7176" width="11.44140625" style="95" customWidth="1"/>
    <col min="7177" max="7177" width="56.88671875" style="95" customWidth="1"/>
    <col min="7178" max="7178" width="9.109375" style="95" bestFit="1" customWidth="1"/>
    <col min="7179" max="7179" width="24.5546875" style="95" customWidth="1"/>
    <col min="7180" max="7180" width="22.88671875" style="95" customWidth="1"/>
    <col min="7181" max="7181" width="9.109375" style="95" bestFit="1" customWidth="1"/>
    <col min="7182" max="7223" width="7" style="95" hidden="1" customWidth="1"/>
    <col min="7224" max="7224" width="8.44140625" style="95" customWidth="1"/>
    <col min="7225" max="7259" width="7" style="95" hidden="1" customWidth="1"/>
    <col min="7260" max="7260" width="9.44140625" style="95" customWidth="1"/>
    <col min="7261" max="7261" width="7" style="95" hidden="1" customWidth="1"/>
    <col min="7262" max="7262" width="5" style="95" customWidth="1"/>
    <col min="7263" max="7267" width="7" style="95" hidden="1" customWidth="1"/>
    <col min="7268" max="7268" width="5" style="95" customWidth="1"/>
    <col min="7269" max="7270" width="7" style="95" hidden="1" customWidth="1"/>
    <col min="7271" max="7271" width="5" style="95" customWidth="1"/>
    <col min="7272" max="7278" width="7" style="95" hidden="1" customWidth="1"/>
    <col min="7279" max="7279" width="6.44140625" style="95" customWidth="1"/>
    <col min="7280" max="7300" width="7" style="95" hidden="1" customWidth="1"/>
    <col min="7301" max="7304" width="6.44140625" style="95" customWidth="1"/>
    <col min="7305" max="7305" width="6.88671875" style="95" customWidth="1"/>
    <col min="7306" max="7306" width="6.44140625" style="95" customWidth="1"/>
    <col min="7307" max="7323" width="7" style="95" hidden="1" customWidth="1"/>
    <col min="7324" max="7324" width="6.5546875" style="95" customWidth="1"/>
    <col min="7325" max="7325" width="6.44140625" style="95" customWidth="1"/>
    <col min="7326" max="7327" width="7" style="95" hidden="1" customWidth="1"/>
    <col min="7328" max="7328" width="6.44140625" style="95" customWidth="1"/>
    <col min="7329" max="7330" width="7" style="95" hidden="1" customWidth="1"/>
    <col min="7331" max="7331" width="7.44140625" style="95" customWidth="1"/>
    <col min="7332" max="7332" width="7" style="95" hidden="1" customWidth="1"/>
    <col min="7333" max="7333" width="6.44140625" style="95" customWidth="1"/>
    <col min="7334" max="7372" width="7" style="95" hidden="1" customWidth="1"/>
    <col min="7373" max="7398" width="7" style="95" hidden="1"/>
    <col min="7399" max="7399" width="41.44140625" style="95" customWidth="1"/>
    <col min="7400" max="7400" width="6.44140625" style="95" customWidth="1"/>
    <col min="7401" max="7401" width="14.6640625" style="95" customWidth="1"/>
    <col min="7402" max="7402" width="11.44140625" style="95" customWidth="1"/>
    <col min="7403" max="7404" width="13" style="95" customWidth="1"/>
    <col min="7405" max="7405" width="9.44140625" style="95" customWidth="1"/>
    <col min="7406" max="7416" width="7" style="95" hidden="1" customWidth="1"/>
    <col min="7417" max="7417" width="10.109375" style="95" customWidth="1"/>
    <col min="7418" max="7430" width="7" style="95" hidden="1" customWidth="1"/>
    <col min="7431" max="7432" width="11.44140625" style="95" customWidth="1"/>
    <col min="7433" max="7433" width="56.88671875" style="95" customWidth="1"/>
    <col min="7434" max="7434" width="9.109375" style="95" bestFit="1" customWidth="1"/>
    <col min="7435" max="7435" width="24.5546875" style="95" customWidth="1"/>
    <col min="7436" max="7436" width="22.88671875" style="95" customWidth="1"/>
    <col min="7437" max="7437" width="9.109375" style="95" bestFit="1" customWidth="1"/>
    <col min="7438" max="7479" width="7" style="95" hidden="1" customWidth="1"/>
    <col min="7480" max="7480" width="8.44140625" style="95" customWidth="1"/>
    <col min="7481" max="7515" width="7" style="95" hidden="1" customWidth="1"/>
    <col min="7516" max="7516" width="9.44140625" style="95" customWidth="1"/>
    <col min="7517" max="7517" width="7" style="95" hidden="1" customWidth="1"/>
    <col min="7518" max="7518" width="5" style="95" customWidth="1"/>
    <col min="7519" max="7523" width="7" style="95" hidden="1" customWidth="1"/>
    <col min="7524" max="7524" width="5" style="95" customWidth="1"/>
    <col min="7525" max="7526" width="7" style="95" hidden="1" customWidth="1"/>
    <col min="7527" max="7527" width="5" style="95" customWidth="1"/>
    <col min="7528" max="7534" width="7" style="95" hidden="1" customWidth="1"/>
    <col min="7535" max="7535" width="6.44140625" style="95" customWidth="1"/>
    <col min="7536" max="7556" width="7" style="95" hidden="1" customWidth="1"/>
    <col min="7557" max="7560" width="6.44140625" style="95" customWidth="1"/>
    <col min="7561" max="7561" width="6.88671875" style="95" customWidth="1"/>
    <col min="7562" max="7562" width="6.44140625" style="95" customWidth="1"/>
    <col min="7563" max="7579" width="7" style="95" hidden="1" customWidth="1"/>
    <col min="7580" max="7580" width="6.5546875" style="95" customWidth="1"/>
    <col min="7581" max="7581" width="6.44140625" style="95" customWidth="1"/>
    <col min="7582" max="7583" width="7" style="95" hidden="1" customWidth="1"/>
    <col min="7584" max="7584" width="6.44140625" style="95" customWidth="1"/>
    <col min="7585" max="7586" width="7" style="95" hidden="1" customWidth="1"/>
    <col min="7587" max="7587" width="7.44140625" style="95" customWidth="1"/>
    <col min="7588" max="7588" width="7" style="95" hidden="1" customWidth="1"/>
    <col min="7589" max="7589" width="6.44140625" style="95" customWidth="1"/>
    <col min="7590" max="7628" width="7" style="95" hidden="1" customWidth="1"/>
    <col min="7629" max="7654" width="7" style="95" hidden="1"/>
    <col min="7655" max="7655" width="41.44140625" style="95" customWidth="1"/>
    <col min="7656" max="7656" width="6.44140625" style="95" customWidth="1"/>
    <col min="7657" max="7657" width="14.6640625" style="95" customWidth="1"/>
    <col min="7658" max="7658" width="11.44140625" style="95" customWidth="1"/>
    <col min="7659" max="7660" width="13" style="95" customWidth="1"/>
    <col min="7661" max="7661" width="9.44140625" style="95" customWidth="1"/>
    <col min="7662" max="7672" width="7" style="95" hidden="1" customWidth="1"/>
    <col min="7673" max="7673" width="10.109375" style="95" customWidth="1"/>
    <col min="7674" max="7686" width="7" style="95" hidden="1" customWidth="1"/>
    <col min="7687" max="7688" width="11.44140625" style="95" customWidth="1"/>
    <col min="7689" max="7689" width="56.88671875" style="95" customWidth="1"/>
    <col min="7690" max="7690" width="9.109375" style="95" bestFit="1" customWidth="1"/>
    <col min="7691" max="7691" width="24.5546875" style="95" customWidth="1"/>
    <col min="7692" max="7692" width="22.88671875" style="95" customWidth="1"/>
    <col min="7693" max="7693" width="9.109375" style="95" bestFit="1" customWidth="1"/>
    <col min="7694" max="7735" width="7" style="95" hidden="1" customWidth="1"/>
    <col min="7736" max="7736" width="8.44140625" style="95" customWidth="1"/>
    <col min="7737" max="7771" width="7" style="95" hidden="1" customWidth="1"/>
    <col min="7772" max="7772" width="9.44140625" style="95" customWidth="1"/>
    <col min="7773" max="7773" width="7" style="95" hidden="1" customWidth="1"/>
    <col min="7774" max="7774" width="5" style="95" customWidth="1"/>
    <col min="7775" max="7779" width="7" style="95" hidden="1" customWidth="1"/>
    <col min="7780" max="7780" width="5" style="95" customWidth="1"/>
    <col min="7781" max="7782" width="7" style="95" hidden="1" customWidth="1"/>
    <col min="7783" max="7783" width="5" style="95" customWidth="1"/>
    <col min="7784" max="7790" width="7" style="95" hidden="1" customWidth="1"/>
    <col min="7791" max="7791" width="6.44140625" style="95" customWidth="1"/>
    <col min="7792" max="7812" width="7" style="95" hidden="1" customWidth="1"/>
    <col min="7813" max="7816" width="6.44140625" style="95" customWidth="1"/>
    <col min="7817" max="7817" width="6.88671875" style="95" customWidth="1"/>
    <col min="7818" max="7818" width="6.44140625" style="95" customWidth="1"/>
    <col min="7819" max="7835" width="7" style="95" hidden="1" customWidth="1"/>
    <col min="7836" max="7836" width="6.5546875" style="95" customWidth="1"/>
    <col min="7837" max="7837" width="6.44140625" style="95" customWidth="1"/>
    <col min="7838" max="7839" width="7" style="95" hidden="1" customWidth="1"/>
    <col min="7840" max="7840" width="6.44140625" style="95" customWidth="1"/>
    <col min="7841" max="7842" width="7" style="95" hidden="1" customWidth="1"/>
    <col min="7843" max="7843" width="7.44140625" style="95" customWidth="1"/>
    <col min="7844" max="7844" width="7" style="95" hidden="1" customWidth="1"/>
    <col min="7845" max="7845" width="6.44140625" style="95" customWidth="1"/>
    <col min="7846" max="7884" width="7" style="95" hidden="1" customWidth="1"/>
    <col min="7885" max="7910" width="7" style="95" hidden="1"/>
    <col min="7911" max="7911" width="41.44140625" style="95" customWidth="1"/>
    <col min="7912" max="7912" width="6.44140625" style="95" customWidth="1"/>
    <col min="7913" max="7913" width="14.6640625" style="95" customWidth="1"/>
    <col min="7914" max="7914" width="11.44140625" style="95" customWidth="1"/>
    <col min="7915" max="7916" width="13" style="95" customWidth="1"/>
    <col min="7917" max="7917" width="9.44140625" style="95" customWidth="1"/>
    <col min="7918" max="7928" width="7" style="95" hidden="1" customWidth="1"/>
    <col min="7929" max="7929" width="10.109375" style="95" customWidth="1"/>
    <col min="7930" max="7942" width="7" style="95" hidden="1" customWidth="1"/>
    <col min="7943" max="7944" width="11.44140625" style="95" customWidth="1"/>
    <col min="7945" max="7945" width="56.88671875" style="95" customWidth="1"/>
    <col min="7946" max="7946" width="9.109375" style="95" bestFit="1" customWidth="1"/>
    <col min="7947" max="7947" width="24.5546875" style="95" customWidth="1"/>
    <col min="7948" max="7948" width="22.88671875" style="95" customWidth="1"/>
    <col min="7949" max="7949" width="9.109375" style="95" bestFit="1" customWidth="1"/>
    <col min="7950" max="7991" width="7" style="95" hidden="1" customWidth="1"/>
    <col min="7992" max="7992" width="8.44140625" style="95" customWidth="1"/>
    <col min="7993" max="8027" width="7" style="95" hidden="1" customWidth="1"/>
    <col min="8028" max="8028" width="9.44140625" style="95" customWidth="1"/>
    <col min="8029" max="8029" width="7" style="95" hidden="1" customWidth="1"/>
    <col min="8030" max="8030" width="5" style="95" customWidth="1"/>
    <col min="8031" max="8035" width="7" style="95" hidden="1" customWidth="1"/>
    <col min="8036" max="8036" width="5" style="95" customWidth="1"/>
    <col min="8037" max="8038" width="7" style="95" hidden="1" customWidth="1"/>
    <col min="8039" max="8039" width="5" style="95" customWidth="1"/>
    <col min="8040" max="8046" width="7" style="95" hidden="1" customWidth="1"/>
    <col min="8047" max="8047" width="6.44140625" style="95" customWidth="1"/>
    <col min="8048" max="8068" width="7" style="95" hidden="1" customWidth="1"/>
    <col min="8069" max="8072" width="6.44140625" style="95" customWidth="1"/>
    <col min="8073" max="8073" width="6.88671875" style="95" customWidth="1"/>
    <col min="8074" max="8074" width="6.44140625" style="95" customWidth="1"/>
    <col min="8075" max="8091" width="7" style="95" hidden="1" customWidth="1"/>
    <col min="8092" max="8092" width="6.5546875" style="95" customWidth="1"/>
    <col min="8093" max="8093" width="6.44140625" style="95" customWidth="1"/>
    <col min="8094" max="8095" width="7" style="95" hidden="1" customWidth="1"/>
    <col min="8096" max="8096" width="6.44140625" style="95" customWidth="1"/>
    <col min="8097" max="8098" width="7" style="95" hidden="1" customWidth="1"/>
    <col min="8099" max="8099" width="7.44140625" style="95" customWidth="1"/>
    <col min="8100" max="8100" width="7" style="95" hidden="1" customWidth="1"/>
    <col min="8101" max="8101" width="6.44140625" style="95" customWidth="1"/>
    <col min="8102" max="8140" width="7" style="95" hidden="1" customWidth="1"/>
    <col min="8141" max="8166" width="7" style="95" hidden="1"/>
    <col min="8167" max="8167" width="41.44140625" style="95" customWidth="1"/>
    <col min="8168" max="8168" width="6.44140625" style="95" customWidth="1"/>
    <col min="8169" max="8169" width="14.6640625" style="95" customWidth="1"/>
    <col min="8170" max="8170" width="11.44140625" style="95" customWidth="1"/>
    <col min="8171" max="8172" width="13" style="95" customWidth="1"/>
    <col min="8173" max="8173" width="9.44140625" style="95" customWidth="1"/>
    <col min="8174" max="8184" width="7" style="95" hidden="1" customWidth="1"/>
    <col min="8185" max="8185" width="10.109375" style="95" customWidth="1"/>
    <col min="8186" max="8198" width="7" style="95" hidden="1" customWidth="1"/>
    <col min="8199" max="8200" width="11.44140625" style="95" customWidth="1"/>
    <col min="8201" max="8201" width="56.88671875" style="95" customWidth="1"/>
    <col min="8202" max="8202" width="9.109375" style="95" bestFit="1" customWidth="1"/>
    <col min="8203" max="8203" width="24.5546875" style="95" customWidth="1"/>
    <col min="8204" max="8204" width="22.88671875" style="95" customWidth="1"/>
    <col min="8205" max="8205" width="9.109375" style="95" bestFit="1" customWidth="1"/>
    <col min="8206" max="8247" width="7" style="95" hidden="1" customWidth="1"/>
    <col min="8248" max="8248" width="8.44140625" style="95" customWidth="1"/>
    <col min="8249" max="8283" width="7" style="95" hidden="1" customWidth="1"/>
    <col min="8284" max="8284" width="9.44140625" style="95" customWidth="1"/>
    <col min="8285" max="8285" width="7" style="95" hidden="1" customWidth="1"/>
    <col min="8286" max="8286" width="5" style="95" customWidth="1"/>
    <col min="8287" max="8291" width="7" style="95" hidden="1" customWidth="1"/>
    <col min="8292" max="8292" width="5" style="95" customWidth="1"/>
    <col min="8293" max="8294" width="7" style="95" hidden="1" customWidth="1"/>
    <col min="8295" max="8295" width="5" style="95" customWidth="1"/>
    <col min="8296" max="8302" width="7" style="95" hidden="1" customWidth="1"/>
    <col min="8303" max="8303" width="6.44140625" style="95" customWidth="1"/>
    <col min="8304" max="8324" width="7" style="95" hidden="1" customWidth="1"/>
    <col min="8325" max="8328" width="6.44140625" style="95" customWidth="1"/>
    <col min="8329" max="8329" width="6.88671875" style="95" customWidth="1"/>
    <col min="8330" max="8330" width="6.44140625" style="95" customWidth="1"/>
    <col min="8331" max="8347" width="7" style="95" hidden="1" customWidth="1"/>
    <col min="8348" max="8348" width="6.5546875" style="95" customWidth="1"/>
    <col min="8349" max="8349" width="6.44140625" style="95" customWidth="1"/>
    <col min="8350" max="8351" width="7" style="95" hidden="1" customWidth="1"/>
    <col min="8352" max="8352" width="6.44140625" style="95" customWidth="1"/>
    <col min="8353" max="8354" width="7" style="95" hidden="1" customWidth="1"/>
    <col min="8355" max="8355" width="7.44140625" style="95" customWidth="1"/>
    <col min="8356" max="8356" width="7" style="95" hidden="1" customWidth="1"/>
    <col min="8357" max="8357" width="6.44140625" style="95" customWidth="1"/>
    <col min="8358" max="8396" width="7" style="95" hidden="1" customWidth="1"/>
    <col min="8397" max="8422" width="7" style="95" hidden="1"/>
    <col min="8423" max="8423" width="41.44140625" style="95" customWidth="1"/>
    <col min="8424" max="8424" width="6.44140625" style="95" customWidth="1"/>
    <col min="8425" max="8425" width="14.6640625" style="95" customWidth="1"/>
    <col min="8426" max="8426" width="11.44140625" style="95" customWidth="1"/>
    <col min="8427" max="8428" width="13" style="95" customWidth="1"/>
    <col min="8429" max="8429" width="9.44140625" style="95" customWidth="1"/>
    <col min="8430" max="8440" width="7" style="95" hidden="1" customWidth="1"/>
    <col min="8441" max="8441" width="10.109375" style="95" customWidth="1"/>
    <col min="8442" max="8454" width="7" style="95" hidden="1" customWidth="1"/>
    <col min="8455" max="8456" width="11.44140625" style="95" customWidth="1"/>
    <col min="8457" max="8457" width="56.88671875" style="95" customWidth="1"/>
    <col min="8458" max="8458" width="9.109375" style="95" bestFit="1" customWidth="1"/>
    <col min="8459" max="8459" width="24.5546875" style="95" customWidth="1"/>
    <col min="8460" max="8460" width="22.88671875" style="95" customWidth="1"/>
    <col min="8461" max="8461" width="9.109375" style="95" bestFit="1" customWidth="1"/>
    <col min="8462" max="8503" width="7" style="95" hidden="1" customWidth="1"/>
    <col min="8504" max="8504" width="8.44140625" style="95" customWidth="1"/>
    <col min="8505" max="8539" width="7" style="95" hidden="1" customWidth="1"/>
    <col min="8540" max="8540" width="9.44140625" style="95" customWidth="1"/>
    <col min="8541" max="8541" width="7" style="95" hidden="1" customWidth="1"/>
    <col min="8542" max="8542" width="5" style="95" customWidth="1"/>
    <col min="8543" max="8547" width="7" style="95" hidden="1" customWidth="1"/>
    <col min="8548" max="8548" width="5" style="95" customWidth="1"/>
    <col min="8549" max="8550" width="7" style="95" hidden="1" customWidth="1"/>
    <col min="8551" max="8551" width="5" style="95" customWidth="1"/>
    <col min="8552" max="8558" width="7" style="95" hidden="1" customWidth="1"/>
    <col min="8559" max="8559" width="6.44140625" style="95" customWidth="1"/>
    <col min="8560" max="8580" width="7" style="95" hidden="1" customWidth="1"/>
    <col min="8581" max="8584" width="6.44140625" style="95" customWidth="1"/>
    <col min="8585" max="8585" width="6.88671875" style="95" customWidth="1"/>
    <col min="8586" max="8586" width="6.44140625" style="95" customWidth="1"/>
    <col min="8587" max="8603" width="7" style="95" hidden="1" customWidth="1"/>
    <col min="8604" max="8604" width="6.5546875" style="95" customWidth="1"/>
    <col min="8605" max="8605" width="6.44140625" style="95" customWidth="1"/>
    <col min="8606" max="8607" width="7" style="95" hidden="1" customWidth="1"/>
    <col min="8608" max="8608" width="6.44140625" style="95" customWidth="1"/>
    <col min="8609" max="8610" width="7" style="95" hidden="1" customWidth="1"/>
    <col min="8611" max="8611" width="7.44140625" style="95" customWidth="1"/>
    <col min="8612" max="8612" width="7" style="95" hidden="1" customWidth="1"/>
    <col min="8613" max="8613" width="6.44140625" style="95" customWidth="1"/>
    <col min="8614" max="8652" width="7" style="95" hidden="1" customWidth="1"/>
    <col min="8653" max="8678" width="7" style="95" hidden="1"/>
    <col min="8679" max="8679" width="41.44140625" style="95" customWidth="1"/>
    <col min="8680" max="8680" width="6.44140625" style="95" customWidth="1"/>
    <col min="8681" max="8681" width="14.6640625" style="95" customWidth="1"/>
    <col min="8682" max="8682" width="11.44140625" style="95" customWidth="1"/>
    <col min="8683" max="8684" width="13" style="95" customWidth="1"/>
    <col min="8685" max="8685" width="9.44140625" style="95" customWidth="1"/>
    <col min="8686" max="8696" width="7" style="95" hidden="1" customWidth="1"/>
    <col min="8697" max="8697" width="10.109375" style="95" customWidth="1"/>
    <col min="8698" max="8710" width="7" style="95" hidden="1" customWidth="1"/>
    <col min="8711" max="8712" width="11.44140625" style="95" customWidth="1"/>
    <col min="8713" max="8713" width="56.88671875" style="95" customWidth="1"/>
    <col min="8714" max="8714" width="9.109375" style="95" bestFit="1" customWidth="1"/>
    <col min="8715" max="8715" width="24.5546875" style="95" customWidth="1"/>
    <col min="8716" max="8716" width="22.88671875" style="95" customWidth="1"/>
    <col min="8717" max="8717" width="9.109375" style="95" bestFit="1" customWidth="1"/>
    <col min="8718" max="8759" width="7" style="95" hidden="1" customWidth="1"/>
    <col min="8760" max="8760" width="8.44140625" style="95" customWidth="1"/>
    <col min="8761" max="8795" width="7" style="95" hidden="1" customWidth="1"/>
    <col min="8796" max="8796" width="9.44140625" style="95" customWidth="1"/>
    <col min="8797" max="8797" width="7" style="95" hidden="1" customWidth="1"/>
    <col min="8798" max="8798" width="5" style="95" customWidth="1"/>
    <col min="8799" max="8803" width="7" style="95" hidden="1" customWidth="1"/>
    <col min="8804" max="8804" width="5" style="95" customWidth="1"/>
    <col min="8805" max="8806" width="7" style="95" hidden="1" customWidth="1"/>
    <col min="8807" max="8807" width="5" style="95" customWidth="1"/>
    <col min="8808" max="8814" width="7" style="95" hidden="1" customWidth="1"/>
    <col min="8815" max="8815" width="6.44140625" style="95" customWidth="1"/>
    <col min="8816" max="8836" width="7" style="95" hidden="1" customWidth="1"/>
    <col min="8837" max="8840" width="6.44140625" style="95" customWidth="1"/>
    <col min="8841" max="8841" width="6.88671875" style="95" customWidth="1"/>
    <col min="8842" max="8842" width="6.44140625" style="95" customWidth="1"/>
    <col min="8843" max="8859" width="7" style="95" hidden="1" customWidth="1"/>
    <col min="8860" max="8860" width="6.5546875" style="95" customWidth="1"/>
    <col min="8861" max="8861" width="6.44140625" style="95" customWidth="1"/>
    <col min="8862" max="8863" width="7" style="95" hidden="1" customWidth="1"/>
    <col min="8864" max="8864" width="6.44140625" style="95" customWidth="1"/>
    <col min="8865" max="8866" width="7" style="95" hidden="1" customWidth="1"/>
    <col min="8867" max="8867" width="7.44140625" style="95" customWidth="1"/>
    <col min="8868" max="8868" width="7" style="95" hidden="1" customWidth="1"/>
    <col min="8869" max="8869" width="6.44140625" style="95" customWidth="1"/>
    <col min="8870" max="8908" width="7" style="95" hidden="1" customWidth="1"/>
    <col min="8909" max="8934" width="7" style="95" hidden="1"/>
    <col min="8935" max="8935" width="41.44140625" style="95" customWidth="1"/>
    <col min="8936" max="8936" width="6.44140625" style="95" customWidth="1"/>
    <col min="8937" max="8937" width="14.6640625" style="95" customWidth="1"/>
    <col min="8938" max="8938" width="11.44140625" style="95" customWidth="1"/>
    <col min="8939" max="8940" width="13" style="95" customWidth="1"/>
    <col min="8941" max="8941" width="9.44140625" style="95" customWidth="1"/>
    <col min="8942" max="8952" width="7" style="95" hidden="1" customWidth="1"/>
    <col min="8953" max="8953" width="10.109375" style="95" customWidth="1"/>
    <col min="8954" max="8966" width="7" style="95" hidden="1" customWidth="1"/>
    <col min="8967" max="8968" width="11.44140625" style="95" customWidth="1"/>
    <col min="8969" max="8969" width="56.88671875" style="95" customWidth="1"/>
    <col min="8970" max="8970" width="9.109375" style="95" bestFit="1" customWidth="1"/>
    <col min="8971" max="8971" width="24.5546875" style="95" customWidth="1"/>
    <col min="8972" max="8972" width="22.88671875" style="95" customWidth="1"/>
    <col min="8973" max="8973" width="9.109375" style="95" bestFit="1" customWidth="1"/>
    <col min="8974" max="9015" width="7" style="95" hidden="1" customWidth="1"/>
    <col min="9016" max="9016" width="8.44140625" style="95" customWidth="1"/>
    <col min="9017" max="9051" width="7" style="95" hidden="1" customWidth="1"/>
    <col min="9052" max="9052" width="9.44140625" style="95" customWidth="1"/>
    <col min="9053" max="9053" width="7" style="95" hidden="1" customWidth="1"/>
    <col min="9054" max="9054" width="5" style="95" customWidth="1"/>
    <col min="9055" max="9059" width="7" style="95" hidden="1" customWidth="1"/>
    <col min="9060" max="9060" width="5" style="95" customWidth="1"/>
    <col min="9061" max="9062" width="7" style="95" hidden="1" customWidth="1"/>
    <col min="9063" max="9063" width="5" style="95" customWidth="1"/>
    <col min="9064" max="9070" width="7" style="95" hidden="1" customWidth="1"/>
    <col min="9071" max="9071" width="6.44140625" style="95" customWidth="1"/>
    <col min="9072" max="9092" width="7" style="95" hidden="1" customWidth="1"/>
    <col min="9093" max="9096" width="6.44140625" style="95" customWidth="1"/>
    <col min="9097" max="9097" width="6.88671875" style="95" customWidth="1"/>
    <col min="9098" max="9098" width="6.44140625" style="95" customWidth="1"/>
    <col min="9099" max="9115" width="7" style="95" hidden="1" customWidth="1"/>
    <col min="9116" max="9116" width="6.5546875" style="95" customWidth="1"/>
    <col min="9117" max="9117" width="6.44140625" style="95" customWidth="1"/>
    <col min="9118" max="9119" width="7" style="95" hidden="1" customWidth="1"/>
    <col min="9120" max="9120" width="6.44140625" style="95" customWidth="1"/>
    <col min="9121" max="9122" width="7" style="95" hidden="1" customWidth="1"/>
    <col min="9123" max="9123" width="7.44140625" style="95" customWidth="1"/>
    <col min="9124" max="9124" width="7" style="95" hidden="1" customWidth="1"/>
    <col min="9125" max="9125" width="6.44140625" style="95" customWidth="1"/>
    <col min="9126" max="9164" width="7" style="95" hidden="1" customWidth="1"/>
    <col min="9165" max="9190" width="7" style="95" hidden="1"/>
    <col min="9191" max="9191" width="41.44140625" style="95" customWidth="1"/>
    <col min="9192" max="9192" width="6.44140625" style="95" customWidth="1"/>
    <col min="9193" max="9193" width="14.6640625" style="95" customWidth="1"/>
    <col min="9194" max="9194" width="11.44140625" style="95" customWidth="1"/>
    <col min="9195" max="9196" width="13" style="95" customWidth="1"/>
    <col min="9197" max="9197" width="9.44140625" style="95" customWidth="1"/>
    <col min="9198" max="9208" width="7" style="95" hidden="1" customWidth="1"/>
    <col min="9209" max="9209" width="10.109375" style="95" customWidth="1"/>
    <col min="9210" max="9222" width="7" style="95" hidden="1" customWidth="1"/>
    <col min="9223" max="9224" width="11.44140625" style="95" customWidth="1"/>
    <col min="9225" max="9225" width="56.88671875" style="95" customWidth="1"/>
    <col min="9226" max="9226" width="9.109375" style="95" bestFit="1" customWidth="1"/>
    <col min="9227" max="9227" width="24.5546875" style="95" customWidth="1"/>
    <col min="9228" max="9228" width="22.88671875" style="95" customWidth="1"/>
    <col min="9229" max="9229" width="9.109375" style="95" bestFit="1" customWidth="1"/>
    <col min="9230" max="9271" width="7" style="95" hidden="1" customWidth="1"/>
    <col min="9272" max="9272" width="8.44140625" style="95" customWidth="1"/>
    <col min="9273" max="9307" width="7" style="95" hidden="1" customWidth="1"/>
    <col min="9308" max="9308" width="9.44140625" style="95" customWidth="1"/>
    <col min="9309" max="9309" width="7" style="95" hidden="1" customWidth="1"/>
    <col min="9310" max="9310" width="5" style="95" customWidth="1"/>
    <col min="9311" max="9315" width="7" style="95" hidden="1" customWidth="1"/>
    <col min="9316" max="9316" width="5" style="95" customWidth="1"/>
    <col min="9317" max="9318" width="7" style="95" hidden="1" customWidth="1"/>
    <col min="9319" max="9319" width="5" style="95" customWidth="1"/>
    <col min="9320" max="9326" width="7" style="95" hidden="1" customWidth="1"/>
    <col min="9327" max="9327" width="6.44140625" style="95" customWidth="1"/>
    <col min="9328" max="9348" width="7" style="95" hidden="1" customWidth="1"/>
    <col min="9349" max="9352" width="6.44140625" style="95" customWidth="1"/>
    <col min="9353" max="9353" width="6.88671875" style="95" customWidth="1"/>
    <col min="9354" max="9354" width="6.44140625" style="95" customWidth="1"/>
    <col min="9355" max="9371" width="7" style="95" hidden="1" customWidth="1"/>
    <col min="9372" max="9372" width="6.5546875" style="95" customWidth="1"/>
    <col min="9373" max="9373" width="6.44140625" style="95" customWidth="1"/>
    <col min="9374" max="9375" width="7" style="95" hidden="1" customWidth="1"/>
    <col min="9376" max="9376" width="6.44140625" style="95" customWidth="1"/>
    <col min="9377" max="9378" width="7" style="95" hidden="1" customWidth="1"/>
    <col min="9379" max="9379" width="7.44140625" style="95" customWidth="1"/>
    <col min="9380" max="9380" width="7" style="95" hidden="1" customWidth="1"/>
    <col min="9381" max="9381" width="6.44140625" style="95" customWidth="1"/>
    <col min="9382" max="9420" width="7" style="95" hidden="1" customWidth="1"/>
    <col min="9421" max="9446" width="7" style="95" hidden="1"/>
    <col min="9447" max="9447" width="41.44140625" style="95" customWidth="1"/>
    <col min="9448" max="9448" width="6.44140625" style="95" customWidth="1"/>
    <col min="9449" max="9449" width="14.6640625" style="95" customWidth="1"/>
    <col min="9450" max="9450" width="11.44140625" style="95" customWidth="1"/>
    <col min="9451" max="9452" width="13" style="95" customWidth="1"/>
    <col min="9453" max="9453" width="9.44140625" style="95" customWidth="1"/>
    <col min="9454" max="9464" width="7" style="95" hidden="1" customWidth="1"/>
    <col min="9465" max="9465" width="10.109375" style="95" customWidth="1"/>
    <col min="9466" max="9478" width="7" style="95" hidden="1" customWidth="1"/>
    <col min="9479" max="9480" width="11.44140625" style="95" customWidth="1"/>
    <col min="9481" max="9481" width="56.88671875" style="95" customWidth="1"/>
    <col min="9482" max="9482" width="9.109375" style="95" bestFit="1" customWidth="1"/>
    <col min="9483" max="9483" width="24.5546875" style="95" customWidth="1"/>
    <col min="9484" max="9484" width="22.88671875" style="95" customWidth="1"/>
    <col min="9485" max="9485" width="9.109375" style="95" bestFit="1" customWidth="1"/>
    <col min="9486" max="9527" width="7" style="95" hidden="1" customWidth="1"/>
    <col min="9528" max="9528" width="8.44140625" style="95" customWidth="1"/>
    <col min="9529" max="9563" width="7" style="95" hidden="1" customWidth="1"/>
    <col min="9564" max="9564" width="9.44140625" style="95" customWidth="1"/>
    <col min="9565" max="9565" width="7" style="95" hidden="1" customWidth="1"/>
    <col min="9566" max="9566" width="5" style="95" customWidth="1"/>
    <col min="9567" max="9571" width="7" style="95" hidden="1" customWidth="1"/>
    <col min="9572" max="9572" width="5" style="95" customWidth="1"/>
    <col min="9573" max="9574" width="7" style="95" hidden="1" customWidth="1"/>
    <col min="9575" max="9575" width="5" style="95" customWidth="1"/>
    <col min="9576" max="9582" width="7" style="95" hidden="1" customWidth="1"/>
    <col min="9583" max="9583" width="6.44140625" style="95" customWidth="1"/>
    <col min="9584" max="9604" width="7" style="95" hidden="1" customWidth="1"/>
    <col min="9605" max="9608" width="6.44140625" style="95" customWidth="1"/>
    <col min="9609" max="9609" width="6.88671875" style="95" customWidth="1"/>
    <col min="9610" max="9610" width="6.44140625" style="95" customWidth="1"/>
    <col min="9611" max="9627" width="7" style="95" hidden="1" customWidth="1"/>
    <col min="9628" max="9628" width="6.5546875" style="95" customWidth="1"/>
    <col min="9629" max="9629" width="6.44140625" style="95" customWidth="1"/>
    <col min="9630" max="9631" width="7" style="95" hidden="1" customWidth="1"/>
    <col min="9632" max="9632" width="6.44140625" style="95" customWidth="1"/>
    <col min="9633" max="9634" width="7" style="95" hidden="1" customWidth="1"/>
    <col min="9635" max="9635" width="7.44140625" style="95" customWidth="1"/>
    <col min="9636" max="9636" width="7" style="95" hidden="1" customWidth="1"/>
    <col min="9637" max="9637" width="6.44140625" style="95" customWidth="1"/>
    <col min="9638" max="9676" width="7" style="95" hidden="1" customWidth="1"/>
    <col min="9677" max="9702" width="7" style="95" hidden="1"/>
    <col min="9703" max="9703" width="41.44140625" style="95" customWidth="1"/>
    <col min="9704" max="9704" width="6.44140625" style="95" customWidth="1"/>
    <col min="9705" max="9705" width="14.6640625" style="95" customWidth="1"/>
    <col min="9706" max="9706" width="11.44140625" style="95" customWidth="1"/>
    <col min="9707" max="9708" width="13" style="95" customWidth="1"/>
    <col min="9709" max="9709" width="9.44140625" style="95" customWidth="1"/>
    <col min="9710" max="9720" width="7" style="95" hidden="1" customWidth="1"/>
    <col min="9721" max="9721" width="10.109375" style="95" customWidth="1"/>
    <col min="9722" max="9734" width="7" style="95" hidden="1" customWidth="1"/>
    <col min="9735" max="9736" width="11.44140625" style="95" customWidth="1"/>
    <col min="9737" max="9737" width="56.88671875" style="95" customWidth="1"/>
    <col min="9738" max="9738" width="9.109375" style="95" bestFit="1" customWidth="1"/>
    <col min="9739" max="9739" width="24.5546875" style="95" customWidth="1"/>
    <col min="9740" max="9740" width="22.88671875" style="95" customWidth="1"/>
    <col min="9741" max="9741" width="9.109375" style="95" bestFit="1" customWidth="1"/>
    <col min="9742" max="9783" width="7" style="95" hidden="1" customWidth="1"/>
    <col min="9784" max="9784" width="8.44140625" style="95" customWidth="1"/>
    <col min="9785" max="9819" width="7" style="95" hidden="1" customWidth="1"/>
    <col min="9820" max="9820" width="9.44140625" style="95" customWidth="1"/>
    <col min="9821" max="9821" width="7" style="95" hidden="1" customWidth="1"/>
    <col min="9822" max="9822" width="5" style="95" customWidth="1"/>
    <col min="9823" max="9827" width="7" style="95" hidden="1" customWidth="1"/>
    <col min="9828" max="9828" width="5" style="95" customWidth="1"/>
    <col min="9829" max="9830" width="7" style="95" hidden="1" customWidth="1"/>
    <col min="9831" max="9831" width="5" style="95" customWidth="1"/>
    <col min="9832" max="9838" width="7" style="95" hidden="1" customWidth="1"/>
    <col min="9839" max="9839" width="6.44140625" style="95" customWidth="1"/>
    <col min="9840" max="9860" width="7" style="95" hidden="1" customWidth="1"/>
    <col min="9861" max="9864" width="6.44140625" style="95" customWidth="1"/>
    <col min="9865" max="9865" width="6.88671875" style="95" customWidth="1"/>
    <col min="9866" max="9866" width="6.44140625" style="95" customWidth="1"/>
    <col min="9867" max="9883" width="7" style="95" hidden="1" customWidth="1"/>
    <col min="9884" max="9884" width="6.5546875" style="95" customWidth="1"/>
    <col min="9885" max="9885" width="6.44140625" style="95" customWidth="1"/>
    <col min="9886" max="9887" width="7" style="95" hidden="1" customWidth="1"/>
    <col min="9888" max="9888" width="6.44140625" style="95" customWidth="1"/>
    <col min="9889" max="9890" width="7" style="95" hidden="1" customWidth="1"/>
    <col min="9891" max="9891" width="7.44140625" style="95" customWidth="1"/>
    <col min="9892" max="9892" width="7" style="95" hidden="1" customWidth="1"/>
    <col min="9893" max="9893" width="6.44140625" style="95" customWidth="1"/>
    <col min="9894" max="9932" width="7" style="95" hidden="1" customWidth="1"/>
    <col min="9933" max="9958" width="7" style="95" hidden="1"/>
    <col min="9959" max="9959" width="41.44140625" style="95" customWidth="1"/>
    <col min="9960" max="9960" width="6.44140625" style="95" customWidth="1"/>
    <col min="9961" max="9961" width="14.6640625" style="95" customWidth="1"/>
    <col min="9962" max="9962" width="11.44140625" style="95" customWidth="1"/>
    <col min="9963" max="9964" width="13" style="95" customWidth="1"/>
    <col min="9965" max="9965" width="9.44140625" style="95" customWidth="1"/>
    <col min="9966" max="9976" width="7" style="95" hidden="1" customWidth="1"/>
    <col min="9977" max="9977" width="10.109375" style="95" customWidth="1"/>
    <col min="9978" max="9990" width="7" style="95" hidden="1" customWidth="1"/>
    <col min="9991" max="9992" width="11.44140625" style="95" customWidth="1"/>
    <col min="9993" max="9993" width="56.88671875" style="95" customWidth="1"/>
    <col min="9994" max="9994" width="9.109375" style="95" bestFit="1" customWidth="1"/>
    <col min="9995" max="9995" width="24.5546875" style="95" customWidth="1"/>
    <col min="9996" max="9996" width="22.88671875" style="95" customWidth="1"/>
    <col min="9997" max="9997" width="9.109375" style="95" bestFit="1" customWidth="1"/>
    <col min="9998" max="10039" width="7" style="95" hidden="1" customWidth="1"/>
    <col min="10040" max="10040" width="8.44140625" style="95" customWidth="1"/>
    <col min="10041" max="10075" width="7" style="95" hidden="1" customWidth="1"/>
    <col min="10076" max="10076" width="9.44140625" style="95" customWidth="1"/>
    <col min="10077" max="10077" width="7" style="95" hidden="1" customWidth="1"/>
    <col min="10078" max="10078" width="5" style="95" customWidth="1"/>
    <col min="10079" max="10083" width="7" style="95" hidden="1" customWidth="1"/>
    <col min="10084" max="10084" width="5" style="95" customWidth="1"/>
    <col min="10085" max="10086" width="7" style="95" hidden="1" customWidth="1"/>
    <col min="10087" max="10087" width="5" style="95" customWidth="1"/>
    <col min="10088" max="10094" width="7" style="95" hidden="1" customWidth="1"/>
    <col min="10095" max="10095" width="6.44140625" style="95" customWidth="1"/>
    <col min="10096" max="10116" width="7" style="95" hidden="1" customWidth="1"/>
    <col min="10117" max="10120" width="6.44140625" style="95" customWidth="1"/>
    <col min="10121" max="10121" width="6.88671875" style="95" customWidth="1"/>
    <col min="10122" max="10122" width="6.44140625" style="95" customWidth="1"/>
    <col min="10123" max="10139" width="7" style="95" hidden="1" customWidth="1"/>
    <col min="10140" max="10140" width="6.5546875" style="95" customWidth="1"/>
    <col min="10141" max="10141" width="6.44140625" style="95" customWidth="1"/>
    <col min="10142" max="10143" width="7" style="95" hidden="1" customWidth="1"/>
    <col min="10144" max="10144" width="6.44140625" style="95" customWidth="1"/>
    <col min="10145" max="10146" width="7" style="95" hidden="1" customWidth="1"/>
    <col min="10147" max="10147" width="7.44140625" style="95" customWidth="1"/>
    <col min="10148" max="10148" width="7" style="95" hidden="1" customWidth="1"/>
    <col min="10149" max="10149" width="6.44140625" style="95" customWidth="1"/>
    <col min="10150" max="10188" width="7" style="95" hidden="1" customWidth="1"/>
    <col min="10189" max="10214" width="7" style="95" hidden="1"/>
    <col min="10215" max="10215" width="41.44140625" style="95" customWidth="1"/>
    <col min="10216" max="10216" width="6.44140625" style="95" customWidth="1"/>
    <col min="10217" max="10217" width="14.6640625" style="95" customWidth="1"/>
    <col min="10218" max="10218" width="11.44140625" style="95" customWidth="1"/>
    <col min="10219" max="10220" width="13" style="95" customWidth="1"/>
    <col min="10221" max="10221" width="9.44140625" style="95" customWidth="1"/>
    <col min="10222" max="10232" width="7" style="95" hidden="1" customWidth="1"/>
    <col min="10233" max="10233" width="10.109375" style="95" customWidth="1"/>
    <col min="10234" max="10246" width="7" style="95" hidden="1" customWidth="1"/>
    <col min="10247" max="10248" width="11.44140625" style="95" customWidth="1"/>
    <col min="10249" max="10249" width="56.88671875" style="95" customWidth="1"/>
    <col min="10250" max="10250" width="9.109375" style="95" bestFit="1" customWidth="1"/>
    <col min="10251" max="10251" width="24.5546875" style="95" customWidth="1"/>
    <col min="10252" max="10252" width="22.88671875" style="95" customWidth="1"/>
    <col min="10253" max="10253" width="9.109375" style="95" bestFit="1" customWidth="1"/>
    <col min="10254" max="10295" width="7" style="95" hidden="1" customWidth="1"/>
    <col min="10296" max="10296" width="8.44140625" style="95" customWidth="1"/>
    <col min="10297" max="10331" width="7" style="95" hidden="1" customWidth="1"/>
    <col min="10332" max="10332" width="9.44140625" style="95" customWidth="1"/>
    <col min="10333" max="10333" width="7" style="95" hidden="1" customWidth="1"/>
    <col min="10334" max="10334" width="5" style="95" customWidth="1"/>
    <col min="10335" max="10339" width="7" style="95" hidden="1" customWidth="1"/>
    <col min="10340" max="10340" width="5" style="95" customWidth="1"/>
    <col min="10341" max="10342" width="7" style="95" hidden="1" customWidth="1"/>
    <col min="10343" max="10343" width="5" style="95" customWidth="1"/>
    <col min="10344" max="10350" width="7" style="95" hidden="1" customWidth="1"/>
    <col min="10351" max="10351" width="6.44140625" style="95" customWidth="1"/>
    <col min="10352" max="10372" width="7" style="95" hidden="1" customWidth="1"/>
    <col min="10373" max="10376" width="6.44140625" style="95" customWidth="1"/>
    <col min="10377" max="10377" width="6.88671875" style="95" customWidth="1"/>
    <col min="10378" max="10378" width="6.44140625" style="95" customWidth="1"/>
    <col min="10379" max="10395" width="7" style="95" hidden="1" customWidth="1"/>
    <col min="10396" max="10396" width="6.5546875" style="95" customWidth="1"/>
    <col min="10397" max="10397" width="6.44140625" style="95" customWidth="1"/>
    <col min="10398" max="10399" width="7" style="95" hidden="1" customWidth="1"/>
    <col min="10400" max="10400" width="6.44140625" style="95" customWidth="1"/>
    <col min="10401" max="10402" width="7" style="95" hidden="1" customWidth="1"/>
    <col min="10403" max="10403" width="7.44140625" style="95" customWidth="1"/>
    <col min="10404" max="10404" width="7" style="95" hidden="1" customWidth="1"/>
    <col min="10405" max="10405" width="6.44140625" style="95" customWidth="1"/>
    <col min="10406" max="10444" width="7" style="95" hidden="1" customWidth="1"/>
    <col min="10445" max="10470" width="7" style="95" hidden="1"/>
    <col min="10471" max="10471" width="41.44140625" style="95" customWidth="1"/>
    <col min="10472" max="10472" width="6.44140625" style="95" customWidth="1"/>
    <col min="10473" max="10473" width="14.6640625" style="95" customWidth="1"/>
    <col min="10474" max="10474" width="11.44140625" style="95" customWidth="1"/>
    <col min="10475" max="10476" width="13" style="95" customWidth="1"/>
    <col min="10477" max="10477" width="9.44140625" style="95" customWidth="1"/>
    <col min="10478" max="10488" width="7" style="95" hidden="1" customWidth="1"/>
    <col min="10489" max="10489" width="10.109375" style="95" customWidth="1"/>
    <col min="10490" max="10502" width="7" style="95" hidden="1" customWidth="1"/>
    <col min="10503" max="10504" width="11.44140625" style="95" customWidth="1"/>
    <col min="10505" max="10505" width="56.88671875" style="95" customWidth="1"/>
    <col min="10506" max="10506" width="9.109375" style="95" bestFit="1" customWidth="1"/>
    <col min="10507" max="10507" width="24.5546875" style="95" customWidth="1"/>
    <col min="10508" max="10508" width="22.88671875" style="95" customWidth="1"/>
    <col min="10509" max="10509" width="9.109375" style="95" bestFit="1" customWidth="1"/>
    <col min="10510" max="10551" width="7" style="95" hidden="1" customWidth="1"/>
    <col min="10552" max="10552" width="8.44140625" style="95" customWidth="1"/>
    <col min="10553" max="10587" width="7" style="95" hidden="1" customWidth="1"/>
    <col min="10588" max="10588" width="9.44140625" style="95" customWidth="1"/>
    <col min="10589" max="10589" width="7" style="95" hidden="1" customWidth="1"/>
    <col min="10590" max="10590" width="5" style="95" customWidth="1"/>
    <col min="10591" max="10595" width="7" style="95" hidden="1" customWidth="1"/>
    <col min="10596" max="10596" width="5" style="95" customWidth="1"/>
    <col min="10597" max="10598" width="7" style="95" hidden="1" customWidth="1"/>
    <col min="10599" max="10599" width="5" style="95" customWidth="1"/>
    <col min="10600" max="10606" width="7" style="95" hidden="1" customWidth="1"/>
    <col min="10607" max="10607" width="6.44140625" style="95" customWidth="1"/>
    <col min="10608" max="10628" width="7" style="95" hidden="1" customWidth="1"/>
    <col min="10629" max="10632" width="6.44140625" style="95" customWidth="1"/>
    <col min="10633" max="10633" width="6.88671875" style="95" customWidth="1"/>
    <col min="10634" max="10634" width="6.44140625" style="95" customWidth="1"/>
    <col min="10635" max="10651" width="7" style="95" hidden="1" customWidth="1"/>
    <col min="10652" max="10652" width="6.5546875" style="95" customWidth="1"/>
    <col min="10653" max="10653" width="6.44140625" style="95" customWidth="1"/>
    <col min="10654" max="10655" width="7" style="95" hidden="1" customWidth="1"/>
    <col min="10656" max="10656" width="6.44140625" style="95" customWidth="1"/>
    <col min="10657" max="10658" width="7" style="95" hidden="1" customWidth="1"/>
    <col min="10659" max="10659" width="7.44140625" style="95" customWidth="1"/>
    <col min="10660" max="10660" width="7" style="95" hidden="1" customWidth="1"/>
    <col min="10661" max="10661" width="6.44140625" style="95" customWidth="1"/>
    <col min="10662" max="10700" width="7" style="95" hidden="1" customWidth="1"/>
    <col min="10701" max="10726" width="7" style="95" hidden="1"/>
    <col min="10727" max="10727" width="41.44140625" style="95" customWidth="1"/>
    <col min="10728" max="10728" width="6.44140625" style="95" customWidth="1"/>
    <col min="10729" max="10729" width="14.6640625" style="95" customWidth="1"/>
    <col min="10730" max="10730" width="11.44140625" style="95" customWidth="1"/>
    <col min="10731" max="10732" width="13" style="95" customWidth="1"/>
    <col min="10733" max="10733" width="9.44140625" style="95" customWidth="1"/>
    <col min="10734" max="10744" width="7" style="95" hidden="1" customWidth="1"/>
    <col min="10745" max="10745" width="10.109375" style="95" customWidth="1"/>
    <col min="10746" max="10758" width="7" style="95" hidden="1" customWidth="1"/>
    <col min="10759" max="10760" width="11.44140625" style="95" customWidth="1"/>
    <col min="10761" max="10761" width="56.88671875" style="95" customWidth="1"/>
    <col min="10762" max="10762" width="9.109375" style="95" bestFit="1" customWidth="1"/>
    <col min="10763" max="10763" width="24.5546875" style="95" customWidth="1"/>
    <col min="10764" max="10764" width="22.88671875" style="95" customWidth="1"/>
    <col min="10765" max="10765" width="9.109375" style="95" bestFit="1" customWidth="1"/>
    <col min="10766" max="10807" width="7" style="95" hidden="1" customWidth="1"/>
    <col min="10808" max="10808" width="8.44140625" style="95" customWidth="1"/>
    <col min="10809" max="10843" width="7" style="95" hidden="1" customWidth="1"/>
    <col min="10844" max="10844" width="9.44140625" style="95" customWidth="1"/>
    <col min="10845" max="10845" width="7" style="95" hidden="1" customWidth="1"/>
    <col min="10846" max="10846" width="5" style="95" customWidth="1"/>
    <col min="10847" max="10851" width="7" style="95" hidden="1" customWidth="1"/>
    <col min="10852" max="10852" width="5" style="95" customWidth="1"/>
    <col min="10853" max="10854" width="7" style="95" hidden="1" customWidth="1"/>
    <col min="10855" max="10855" width="5" style="95" customWidth="1"/>
    <col min="10856" max="10862" width="7" style="95" hidden="1" customWidth="1"/>
    <col min="10863" max="10863" width="6.44140625" style="95" customWidth="1"/>
    <col min="10864" max="10884" width="7" style="95" hidden="1" customWidth="1"/>
    <col min="10885" max="10888" width="6.44140625" style="95" customWidth="1"/>
    <col min="10889" max="10889" width="6.88671875" style="95" customWidth="1"/>
    <col min="10890" max="10890" width="6.44140625" style="95" customWidth="1"/>
    <col min="10891" max="10907" width="7" style="95" hidden="1" customWidth="1"/>
    <col min="10908" max="10908" width="6.5546875" style="95" customWidth="1"/>
    <col min="10909" max="10909" width="6.44140625" style="95" customWidth="1"/>
    <col min="10910" max="10911" width="7" style="95" hidden="1" customWidth="1"/>
    <col min="10912" max="10912" width="6.44140625" style="95" customWidth="1"/>
    <col min="10913" max="10914" width="7" style="95" hidden="1" customWidth="1"/>
    <col min="10915" max="10915" width="7.44140625" style="95" customWidth="1"/>
    <col min="10916" max="10916" width="7" style="95" hidden="1" customWidth="1"/>
    <col min="10917" max="10917" width="6.44140625" style="95" customWidth="1"/>
    <col min="10918" max="10956" width="7" style="95" hidden="1" customWidth="1"/>
    <col min="10957" max="10982" width="7" style="95" hidden="1"/>
    <col min="10983" max="10983" width="41.44140625" style="95" customWidth="1"/>
    <col min="10984" max="10984" width="6.44140625" style="95" customWidth="1"/>
    <col min="10985" max="10985" width="14.6640625" style="95" customWidth="1"/>
    <col min="10986" max="10986" width="11.44140625" style="95" customWidth="1"/>
    <col min="10987" max="10988" width="13" style="95" customWidth="1"/>
    <col min="10989" max="10989" width="9.44140625" style="95" customWidth="1"/>
    <col min="10990" max="11000" width="7" style="95" hidden="1" customWidth="1"/>
    <col min="11001" max="11001" width="10.109375" style="95" customWidth="1"/>
    <col min="11002" max="11014" width="7" style="95" hidden="1" customWidth="1"/>
    <col min="11015" max="11016" width="11.44140625" style="95" customWidth="1"/>
    <col min="11017" max="11017" width="56.88671875" style="95" customWidth="1"/>
    <col min="11018" max="11018" width="9.109375" style="95" bestFit="1" customWidth="1"/>
    <col min="11019" max="11019" width="24.5546875" style="95" customWidth="1"/>
    <col min="11020" max="11020" width="22.88671875" style="95" customWidth="1"/>
    <col min="11021" max="11021" width="9.109375" style="95" bestFit="1" customWidth="1"/>
    <col min="11022" max="11063" width="7" style="95" hidden="1" customWidth="1"/>
    <col min="11064" max="11064" width="8.44140625" style="95" customWidth="1"/>
    <col min="11065" max="11099" width="7" style="95" hidden="1" customWidth="1"/>
    <col min="11100" max="11100" width="9.44140625" style="95" customWidth="1"/>
    <col min="11101" max="11101" width="7" style="95" hidden="1" customWidth="1"/>
    <col min="11102" max="11102" width="5" style="95" customWidth="1"/>
    <col min="11103" max="11107" width="7" style="95" hidden="1" customWidth="1"/>
    <col min="11108" max="11108" width="5" style="95" customWidth="1"/>
    <col min="11109" max="11110" width="7" style="95" hidden="1" customWidth="1"/>
    <col min="11111" max="11111" width="5" style="95" customWidth="1"/>
    <col min="11112" max="11118" width="7" style="95" hidden="1" customWidth="1"/>
    <col min="11119" max="11119" width="6.44140625" style="95" customWidth="1"/>
    <col min="11120" max="11140" width="7" style="95" hidden="1" customWidth="1"/>
    <col min="11141" max="11144" width="6.44140625" style="95" customWidth="1"/>
    <col min="11145" max="11145" width="6.88671875" style="95" customWidth="1"/>
    <col min="11146" max="11146" width="6.44140625" style="95" customWidth="1"/>
    <col min="11147" max="11163" width="7" style="95" hidden="1" customWidth="1"/>
    <col min="11164" max="11164" width="6.5546875" style="95" customWidth="1"/>
    <col min="11165" max="11165" width="6.44140625" style="95" customWidth="1"/>
    <col min="11166" max="11167" width="7" style="95" hidden="1" customWidth="1"/>
    <col min="11168" max="11168" width="6.44140625" style="95" customWidth="1"/>
    <col min="11169" max="11170" width="7" style="95" hidden="1" customWidth="1"/>
    <col min="11171" max="11171" width="7.44140625" style="95" customWidth="1"/>
    <col min="11172" max="11172" width="7" style="95" hidden="1" customWidth="1"/>
    <col min="11173" max="11173" width="6.44140625" style="95" customWidth="1"/>
    <col min="11174" max="11212" width="7" style="95" hidden="1" customWidth="1"/>
    <col min="11213" max="11238" width="7" style="95" hidden="1"/>
    <col min="11239" max="11239" width="41.44140625" style="95" customWidth="1"/>
    <col min="11240" max="11240" width="6.44140625" style="95" customWidth="1"/>
    <col min="11241" max="11241" width="14.6640625" style="95" customWidth="1"/>
    <col min="11242" max="11242" width="11.44140625" style="95" customWidth="1"/>
    <col min="11243" max="11244" width="13" style="95" customWidth="1"/>
    <col min="11245" max="11245" width="9.44140625" style="95" customWidth="1"/>
    <col min="11246" max="11256" width="7" style="95" hidden="1" customWidth="1"/>
    <col min="11257" max="11257" width="10.109375" style="95" customWidth="1"/>
    <col min="11258" max="11270" width="7" style="95" hidden="1" customWidth="1"/>
    <col min="11271" max="11272" width="11.44140625" style="95" customWidth="1"/>
    <col min="11273" max="11273" width="56.88671875" style="95" customWidth="1"/>
    <col min="11274" max="11274" width="9.109375" style="95" bestFit="1" customWidth="1"/>
    <col min="11275" max="11275" width="24.5546875" style="95" customWidth="1"/>
    <col min="11276" max="11276" width="22.88671875" style="95" customWidth="1"/>
    <col min="11277" max="11277" width="9.109375" style="95" bestFit="1" customWidth="1"/>
    <col min="11278" max="11319" width="7" style="95" hidden="1" customWidth="1"/>
    <col min="11320" max="11320" width="8.44140625" style="95" customWidth="1"/>
    <col min="11321" max="11355" width="7" style="95" hidden="1" customWidth="1"/>
    <col min="11356" max="11356" width="9.44140625" style="95" customWidth="1"/>
    <col min="11357" max="11357" width="7" style="95" hidden="1" customWidth="1"/>
    <col min="11358" max="11358" width="5" style="95" customWidth="1"/>
    <col min="11359" max="11363" width="7" style="95" hidden="1" customWidth="1"/>
    <col min="11364" max="11364" width="5" style="95" customWidth="1"/>
    <col min="11365" max="11366" width="7" style="95" hidden="1" customWidth="1"/>
    <col min="11367" max="11367" width="5" style="95" customWidth="1"/>
    <col min="11368" max="11374" width="7" style="95" hidden="1" customWidth="1"/>
    <col min="11375" max="11375" width="6.44140625" style="95" customWidth="1"/>
    <col min="11376" max="11396" width="7" style="95" hidden="1" customWidth="1"/>
    <col min="11397" max="11400" width="6.44140625" style="95" customWidth="1"/>
    <col min="11401" max="11401" width="6.88671875" style="95" customWidth="1"/>
    <col min="11402" max="11402" width="6.44140625" style="95" customWidth="1"/>
    <col min="11403" max="11419" width="7" style="95" hidden="1" customWidth="1"/>
    <col min="11420" max="11420" width="6.5546875" style="95" customWidth="1"/>
    <col min="11421" max="11421" width="6.44140625" style="95" customWidth="1"/>
    <col min="11422" max="11423" width="7" style="95" hidden="1" customWidth="1"/>
    <col min="11424" max="11424" width="6.44140625" style="95" customWidth="1"/>
    <col min="11425" max="11426" width="7" style="95" hidden="1" customWidth="1"/>
    <col min="11427" max="11427" width="7.44140625" style="95" customWidth="1"/>
    <col min="11428" max="11428" width="7" style="95" hidden="1" customWidth="1"/>
    <col min="11429" max="11429" width="6.44140625" style="95" customWidth="1"/>
    <col min="11430" max="11468" width="7" style="95" hidden="1" customWidth="1"/>
    <col min="11469" max="11494" width="7" style="95" hidden="1"/>
    <col min="11495" max="11495" width="41.44140625" style="95" customWidth="1"/>
    <col min="11496" max="11496" width="6.44140625" style="95" customWidth="1"/>
    <col min="11497" max="11497" width="14.6640625" style="95" customWidth="1"/>
    <col min="11498" max="11498" width="11.44140625" style="95" customWidth="1"/>
    <col min="11499" max="11500" width="13" style="95" customWidth="1"/>
    <col min="11501" max="11501" width="9.44140625" style="95" customWidth="1"/>
    <col min="11502" max="11512" width="7" style="95" hidden="1" customWidth="1"/>
    <col min="11513" max="11513" width="10.109375" style="95" customWidth="1"/>
    <col min="11514" max="11526" width="7" style="95" hidden="1" customWidth="1"/>
    <col min="11527" max="11528" width="11.44140625" style="95" customWidth="1"/>
    <col min="11529" max="11529" width="56.88671875" style="95" customWidth="1"/>
    <col min="11530" max="11530" width="9.109375" style="95" bestFit="1" customWidth="1"/>
    <col min="11531" max="11531" width="24.5546875" style="95" customWidth="1"/>
    <col min="11532" max="11532" width="22.88671875" style="95" customWidth="1"/>
    <col min="11533" max="11533" width="9.109375" style="95" bestFit="1" customWidth="1"/>
    <col min="11534" max="11575" width="7" style="95" hidden="1" customWidth="1"/>
    <col min="11576" max="11576" width="8.44140625" style="95" customWidth="1"/>
    <col min="11577" max="11611" width="7" style="95" hidden="1" customWidth="1"/>
    <col min="11612" max="11612" width="9.44140625" style="95" customWidth="1"/>
    <col min="11613" max="11613" width="7" style="95" hidden="1" customWidth="1"/>
    <col min="11614" max="11614" width="5" style="95" customWidth="1"/>
    <col min="11615" max="11619" width="7" style="95" hidden="1" customWidth="1"/>
    <col min="11620" max="11620" width="5" style="95" customWidth="1"/>
    <col min="11621" max="11622" width="7" style="95" hidden="1" customWidth="1"/>
    <col min="11623" max="11623" width="5" style="95" customWidth="1"/>
    <col min="11624" max="11630" width="7" style="95" hidden="1" customWidth="1"/>
    <col min="11631" max="11631" width="6.44140625" style="95" customWidth="1"/>
    <col min="11632" max="11652" width="7" style="95" hidden="1" customWidth="1"/>
    <col min="11653" max="11656" width="6.44140625" style="95" customWidth="1"/>
    <col min="11657" max="11657" width="6.88671875" style="95" customWidth="1"/>
    <col min="11658" max="11658" width="6.44140625" style="95" customWidth="1"/>
    <col min="11659" max="11675" width="7" style="95" hidden="1" customWidth="1"/>
    <col min="11676" max="11676" width="6.5546875" style="95" customWidth="1"/>
    <col min="11677" max="11677" width="6.44140625" style="95" customWidth="1"/>
    <col min="11678" max="11679" width="7" style="95" hidden="1" customWidth="1"/>
    <col min="11680" max="11680" width="6.44140625" style="95" customWidth="1"/>
    <col min="11681" max="11682" width="7" style="95" hidden="1" customWidth="1"/>
    <col min="11683" max="11683" width="7.44140625" style="95" customWidth="1"/>
    <col min="11684" max="11684" width="7" style="95" hidden="1" customWidth="1"/>
    <col min="11685" max="11685" width="6.44140625" style="95" customWidth="1"/>
    <col min="11686" max="11724" width="7" style="95" hidden="1" customWidth="1"/>
    <col min="11725" max="11750" width="7" style="95" hidden="1"/>
    <col min="11751" max="11751" width="41.44140625" style="95" customWidth="1"/>
    <col min="11752" max="11752" width="6.44140625" style="95" customWidth="1"/>
    <col min="11753" max="11753" width="14.6640625" style="95" customWidth="1"/>
    <col min="11754" max="11754" width="11.44140625" style="95" customWidth="1"/>
    <col min="11755" max="11756" width="13" style="95" customWidth="1"/>
    <col min="11757" max="11757" width="9.44140625" style="95" customWidth="1"/>
    <col min="11758" max="11768" width="7" style="95" hidden="1" customWidth="1"/>
    <col min="11769" max="11769" width="10.109375" style="95" customWidth="1"/>
    <col min="11770" max="11782" width="7" style="95" hidden="1" customWidth="1"/>
    <col min="11783" max="11784" width="11.44140625" style="95" customWidth="1"/>
    <col min="11785" max="11785" width="56.88671875" style="95" customWidth="1"/>
    <col min="11786" max="11786" width="9.109375" style="95" bestFit="1" customWidth="1"/>
    <col min="11787" max="11787" width="24.5546875" style="95" customWidth="1"/>
    <col min="11788" max="11788" width="22.88671875" style="95" customWidth="1"/>
    <col min="11789" max="11789" width="9.109375" style="95" bestFit="1" customWidth="1"/>
    <col min="11790" max="11831" width="7" style="95" hidden="1" customWidth="1"/>
    <col min="11832" max="11832" width="8.44140625" style="95" customWidth="1"/>
    <col min="11833" max="11867" width="7" style="95" hidden="1" customWidth="1"/>
    <col min="11868" max="11868" width="9.44140625" style="95" customWidth="1"/>
    <col min="11869" max="11869" width="7" style="95" hidden="1" customWidth="1"/>
    <col min="11870" max="11870" width="5" style="95" customWidth="1"/>
    <col min="11871" max="11875" width="7" style="95" hidden="1" customWidth="1"/>
    <col min="11876" max="11876" width="5" style="95" customWidth="1"/>
    <col min="11877" max="11878" width="7" style="95" hidden="1" customWidth="1"/>
    <col min="11879" max="11879" width="5" style="95" customWidth="1"/>
    <col min="11880" max="11886" width="7" style="95" hidden="1" customWidth="1"/>
    <col min="11887" max="11887" width="6.44140625" style="95" customWidth="1"/>
    <col min="11888" max="11908" width="7" style="95" hidden="1" customWidth="1"/>
    <col min="11909" max="11912" width="6.44140625" style="95" customWidth="1"/>
    <col min="11913" max="11913" width="6.88671875" style="95" customWidth="1"/>
    <col min="11914" max="11914" width="6.44140625" style="95" customWidth="1"/>
    <col min="11915" max="11931" width="7" style="95" hidden="1" customWidth="1"/>
    <col min="11932" max="11932" width="6.5546875" style="95" customWidth="1"/>
    <col min="11933" max="11933" width="6.44140625" style="95" customWidth="1"/>
    <col min="11934" max="11935" width="7" style="95" hidden="1" customWidth="1"/>
    <col min="11936" max="11936" width="6.44140625" style="95" customWidth="1"/>
    <col min="11937" max="11938" width="7" style="95" hidden="1" customWidth="1"/>
    <col min="11939" max="11939" width="7.44140625" style="95" customWidth="1"/>
    <col min="11940" max="11940" width="7" style="95" hidden="1" customWidth="1"/>
    <col min="11941" max="11941" width="6.44140625" style="95" customWidth="1"/>
    <col min="11942" max="11980" width="7" style="95" hidden="1" customWidth="1"/>
    <col min="11981" max="12006" width="7" style="95" hidden="1"/>
    <col min="12007" max="12007" width="41.44140625" style="95" customWidth="1"/>
    <col min="12008" max="12008" width="6.44140625" style="95" customWidth="1"/>
    <col min="12009" max="12009" width="14.6640625" style="95" customWidth="1"/>
    <col min="12010" max="12010" width="11.44140625" style="95" customWidth="1"/>
    <col min="12011" max="12012" width="13" style="95" customWidth="1"/>
    <col min="12013" max="12013" width="9.44140625" style="95" customWidth="1"/>
    <col min="12014" max="12024" width="7" style="95" hidden="1" customWidth="1"/>
    <col min="12025" max="12025" width="10.109375" style="95" customWidth="1"/>
    <col min="12026" max="12038" width="7" style="95" hidden="1" customWidth="1"/>
    <col min="12039" max="12040" width="11.44140625" style="95" customWidth="1"/>
    <col min="12041" max="12041" width="56.88671875" style="95" customWidth="1"/>
    <col min="12042" max="12042" width="9.109375" style="95" bestFit="1" customWidth="1"/>
    <col min="12043" max="12043" width="24.5546875" style="95" customWidth="1"/>
    <col min="12044" max="12044" width="22.88671875" style="95" customWidth="1"/>
    <col min="12045" max="12045" width="9.109375" style="95" bestFit="1" customWidth="1"/>
    <col min="12046" max="12087" width="7" style="95" hidden="1" customWidth="1"/>
    <col min="12088" max="12088" width="8.44140625" style="95" customWidth="1"/>
    <col min="12089" max="12123" width="7" style="95" hidden="1" customWidth="1"/>
    <col min="12124" max="12124" width="9.44140625" style="95" customWidth="1"/>
    <col min="12125" max="12125" width="7" style="95" hidden="1" customWidth="1"/>
    <col min="12126" max="12126" width="5" style="95" customWidth="1"/>
    <col min="12127" max="12131" width="7" style="95" hidden="1" customWidth="1"/>
    <col min="12132" max="12132" width="5" style="95" customWidth="1"/>
    <col min="12133" max="12134" width="7" style="95" hidden="1" customWidth="1"/>
    <col min="12135" max="12135" width="5" style="95" customWidth="1"/>
    <col min="12136" max="12142" width="7" style="95" hidden="1" customWidth="1"/>
    <col min="12143" max="12143" width="6.44140625" style="95" customWidth="1"/>
    <col min="12144" max="12164" width="7" style="95" hidden="1" customWidth="1"/>
    <col min="12165" max="12168" width="6.44140625" style="95" customWidth="1"/>
    <col min="12169" max="12169" width="6.88671875" style="95" customWidth="1"/>
    <col min="12170" max="12170" width="6.44140625" style="95" customWidth="1"/>
    <col min="12171" max="12187" width="7" style="95" hidden="1" customWidth="1"/>
    <col min="12188" max="12188" width="6.5546875" style="95" customWidth="1"/>
    <col min="12189" max="12189" width="6.44140625" style="95" customWidth="1"/>
    <col min="12190" max="12191" width="7" style="95" hidden="1" customWidth="1"/>
    <col min="12192" max="12192" width="6.44140625" style="95" customWidth="1"/>
    <col min="12193" max="12194" width="7" style="95" hidden="1" customWidth="1"/>
    <col min="12195" max="12195" width="7.44140625" style="95" customWidth="1"/>
    <col min="12196" max="12196" width="7" style="95" hidden="1" customWidth="1"/>
    <col min="12197" max="12197" width="6.44140625" style="95" customWidth="1"/>
    <col min="12198" max="12236" width="7" style="95" hidden="1" customWidth="1"/>
    <col min="12237" max="12262" width="7" style="95" hidden="1"/>
    <col min="12263" max="12263" width="41.44140625" style="95" customWidth="1"/>
    <col min="12264" max="12264" width="6.44140625" style="95" customWidth="1"/>
    <col min="12265" max="12265" width="14.6640625" style="95" customWidth="1"/>
    <col min="12266" max="12266" width="11.44140625" style="95" customWidth="1"/>
    <col min="12267" max="12268" width="13" style="95" customWidth="1"/>
    <col min="12269" max="12269" width="9.44140625" style="95" customWidth="1"/>
    <col min="12270" max="12280" width="7" style="95" hidden="1" customWidth="1"/>
    <col min="12281" max="12281" width="10.109375" style="95" customWidth="1"/>
    <col min="12282" max="12294" width="7" style="95" hidden="1" customWidth="1"/>
    <col min="12295" max="12296" width="11.44140625" style="95" customWidth="1"/>
    <col min="12297" max="12297" width="56.88671875" style="95" customWidth="1"/>
    <col min="12298" max="12298" width="9.109375" style="95" bestFit="1" customWidth="1"/>
    <col min="12299" max="12299" width="24.5546875" style="95" customWidth="1"/>
    <col min="12300" max="12300" width="22.88671875" style="95" customWidth="1"/>
    <col min="12301" max="12301" width="9.109375" style="95" bestFit="1" customWidth="1"/>
    <col min="12302" max="12343" width="7" style="95" hidden="1" customWidth="1"/>
    <col min="12344" max="12344" width="8.44140625" style="95" customWidth="1"/>
    <col min="12345" max="12379" width="7" style="95" hidden="1" customWidth="1"/>
    <col min="12380" max="12380" width="9.44140625" style="95" customWidth="1"/>
    <col min="12381" max="12381" width="7" style="95" hidden="1" customWidth="1"/>
    <col min="12382" max="12382" width="5" style="95" customWidth="1"/>
    <col min="12383" max="12387" width="7" style="95" hidden="1" customWidth="1"/>
    <col min="12388" max="12388" width="5" style="95" customWidth="1"/>
    <col min="12389" max="12390" width="7" style="95" hidden="1" customWidth="1"/>
    <col min="12391" max="12391" width="5" style="95" customWidth="1"/>
    <col min="12392" max="12398" width="7" style="95" hidden="1" customWidth="1"/>
    <col min="12399" max="12399" width="6.44140625" style="95" customWidth="1"/>
    <col min="12400" max="12420" width="7" style="95" hidden="1" customWidth="1"/>
    <col min="12421" max="12424" width="6.44140625" style="95" customWidth="1"/>
    <col min="12425" max="12425" width="6.88671875" style="95" customWidth="1"/>
    <col min="12426" max="12426" width="6.44140625" style="95" customWidth="1"/>
    <col min="12427" max="12443" width="7" style="95" hidden="1" customWidth="1"/>
    <col min="12444" max="12444" width="6.5546875" style="95" customWidth="1"/>
    <col min="12445" max="12445" width="6.44140625" style="95" customWidth="1"/>
    <col min="12446" max="12447" width="7" style="95" hidden="1" customWidth="1"/>
    <col min="12448" max="12448" width="6.44140625" style="95" customWidth="1"/>
    <col min="12449" max="12450" width="7" style="95" hidden="1" customWidth="1"/>
    <col min="12451" max="12451" width="7.44140625" style="95" customWidth="1"/>
    <col min="12452" max="12452" width="7" style="95" hidden="1" customWidth="1"/>
    <col min="12453" max="12453" width="6.44140625" style="95" customWidth="1"/>
    <col min="12454" max="12492" width="7" style="95" hidden="1" customWidth="1"/>
    <col min="12493" max="12518" width="7" style="95" hidden="1"/>
    <col min="12519" max="12519" width="41.44140625" style="95" customWidth="1"/>
    <col min="12520" max="12520" width="6.44140625" style="95" customWidth="1"/>
    <col min="12521" max="12521" width="14.6640625" style="95" customWidth="1"/>
    <col min="12522" max="12522" width="11.44140625" style="95" customWidth="1"/>
    <col min="12523" max="12524" width="13" style="95" customWidth="1"/>
    <col min="12525" max="12525" width="9.44140625" style="95" customWidth="1"/>
    <col min="12526" max="12536" width="7" style="95" hidden="1" customWidth="1"/>
    <col min="12537" max="12537" width="10.109375" style="95" customWidth="1"/>
    <col min="12538" max="12550" width="7" style="95" hidden="1" customWidth="1"/>
    <col min="12551" max="12552" width="11.44140625" style="95" customWidth="1"/>
    <col min="12553" max="12553" width="56.88671875" style="95" customWidth="1"/>
    <col min="12554" max="12554" width="9.109375" style="95" bestFit="1" customWidth="1"/>
    <col min="12555" max="12555" width="24.5546875" style="95" customWidth="1"/>
    <col min="12556" max="12556" width="22.88671875" style="95" customWidth="1"/>
    <col min="12557" max="12557" width="9.109375" style="95" bestFit="1" customWidth="1"/>
    <col min="12558" max="12599" width="7" style="95" hidden="1" customWidth="1"/>
    <col min="12600" max="12600" width="8.44140625" style="95" customWidth="1"/>
    <col min="12601" max="12635" width="7" style="95" hidden="1" customWidth="1"/>
    <col min="12636" max="12636" width="9.44140625" style="95" customWidth="1"/>
    <col min="12637" max="12637" width="7" style="95" hidden="1" customWidth="1"/>
    <col min="12638" max="12638" width="5" style="95" customWidth="1"/>
    <col min="12639" max="12643" width="7" style="95" hidden="1" customWidth="1"/>
    <col min="12644" max="12644" width="5" style="95" customWidth="1"/>
    <col min="12645" max="12646" width="7" style="95" hidden="1" customWidth="1"/>
    <col min="12647" max="12647" width="5" style="95" customWidth="1"/>
    <col min="12648" max="12654" width="7" style="95" hidden="1" customWidth="1"/>
    <col min="12655" max="12655" width="6.44140625" style="95" customWidth="1"/>
    <col min="12656" max="12676" width="7" style="95" hidden="1" customWidth="1"/>
    <col min="12677" max="12680" width="6.44140625" style="95" customWidth="1"/>
    <col min="12681" max="12681" width="6.88671875" style="95" customWidth="1"/>
    <col min="12682" max="12682" width="6.44140625" style="95" customWidth="1"/>
    <col min="12683" max="12699" width="7" style="95" hidden="1" customWidth="1"/>
    <col min="12700" max="12700" width="6.5546875" style="95" customWidth="1"/>
    <col min="12701" max="12701" width="6.44140625" style="95" customWidth="1"/>
    <col min="12702" max="12703" width="7" style="95" hidden="1" customWidth="1"/>
    <col min="12704" max="12704" width="6.44140625" style="95" customWidth="1"/>
    <col min="12705" max="12706" width="7" style="95" hidden="1" customWidth="1"/>
    <col min="12707" max="12707" width="7.44140625" style="95" customWidth="1"/>
    <col min="12708" max="12708" width="7" style="95" hidden="1" customWidth="1"/>
    <col min="12709" max="12709" width="6.44140625" style="95" customWidth="1"/>
    <col min="12710" max="12748" width="7" style="95" hidden="1" customWidth="1"/>
    <col min="12749" max="12774" width="7" style="95" hidden="1"/>
    <col min="12775" max="12775" width="41.44140625" style="95" customWidth="1"/>
    <col min="12776" max="12776" width="6.44140625" style="95" customWidth="1"/>
    <col min="12777" max="12777" width="14.6640625" style="95" customWidth="1"/>
    <col min="12778" max="12778" width="11.44140625" style="95" customWidth="1"/>
    <col min="12779" max="12780" width="13" style="95" customWidth="1"/>
    <col min="12781" max="12781" width="9.44140625" style="95" customWidth="1"/>
    <col min="12782" max="12792" width="7" style="95" hidden="1" customWidth="1"/>
    <col min="12793" max="12793" width="10.109375" style="95" customWidth="1"/>
    <col min="12794" max="12806" width="7" style="95" hidden="1" customWidth="1"/>
    <col min="12807" max="12808" width="11.44140625" style="95" customWidth="1"/>
    <col min="12809" max="12809" width="56.88671875" style="95" customWidth="1"/>
    <col min="12810" max="12810" width="9.109375" style="95" bestFit="1" customWidth="1"/>
    <col min="12811" max="12811" width="24.5546875" style="95" customWidth="1"/>
    <col min="12812" max="12812" width="22.88671875" style="95" customWidth="1"/>
    <col min="12813" max="12813" width="9.109375" style="95" bestFit="1" customWidth="1"/>
    <col min="12814" max="12855" width="7" style="95" hidden="1" customWidth="1"/>
    <col min="12856" max="12856" width="8.44140625" style="95" customWidth="1"/>
    <col min="12857" max="12891" width="7" style="95" hidden="1" customWidth="1"/>
    <col min="12892" max="12892" width="9.44140625" style="95" customWidth="1"/>
    <col min="12893" max="12893" width="7" style="95" hidden="1" customWidth="1"/>
    <col min="12894" max="12894" width="5" style="95" customWidth="1"/>
    <col min="12895" max="12899" width="7" style="95" hidden="1" customWidth="1"/>
    <col min="12900" max="12900" width="5" style="95" customWidth="1"/>
    <col min="12901" max="12902" width="7" style="95" hidden="1" customWidth="1"/>
    <col min="12903" max="12903" width="5" style="95" customWidth="1"/>
    <col min="12904" max="12910" width="7" style="95" hidden="1" customWidth="1"/>
    <col min="12911" max="12911" width="6.44140625" style="95" customWidth="1"/>
    <col min="12912" max="12932" width="7" style="95" hidden="1" customWidth="1"/>
    <col min="12933" max="12936" width="6.44140625" style="95" customWidth="1"/>
    <col min="12937" max="12937" width="6.88671875" style="95" customWidth="1"/>
    <col min="12938" max="12938" width="6.44140625" style="95" customWidth="1"/>
    <col min="12939" max="12955" width="7" style="95" hidden="1" customWidth="1"/>
    <col min="12956" max="12956" width="6.5546875" style="95" customWidth="1"/>
    <col min="12957" max="12957" width="6.44140625" style="95" customWidth="1"/>
    <col min="12958" max="12959" width="7" style="95" hidden="1" customWidth="1"/>
    <col min="12960" max="12960" width="6.44140625" style="95" customWidth="1"/>
    <col min="12961" max="12962" width="7" style="95" hidden="1" customWidth="1"/>
    <col min="12963" max="12963" width="7.44140625" style="95" customWidth="1"/>
    <col min="12964" max="12964" width="7" style="95" hidden="1" customWidth="1"/>
    <col min="12965" max="12965" width="6.44140625" style="95" customWidth="1"/>
    <col min="12966" max="13004" width="7" style="95" hidden="1" customWidth="1"/>
    <col min="13005" max="13030" width="7" style="95" hidden="1"/>
    <col min="13031" max="13031" width="41.44140625" style="95" customWidth="1"/>
    <col min="13032" max="13032" width="6.44140625" style="95" customWidth="1"/>
    <col min="13033" max="13033" width="14.6640625" style="95" customWidth="1"/>
    <col min="13034" max="13034" width="11.44140625" style="95" customWidth="1"/>
    <col min="13035" max="13036" width="13" style="95" customWidth="1"/>
    <col min="13037" max="13037" width="9.44140625" style="95" customWidth="1"/>
    <col min="13038" max="13048" width="7" style="95" hidden="1" customWidth="1"/>
    <col min="13049" max="13049" width="10.109375" style="95" customWidth="1"/>
    <col min="13050" max="13062" width="7" style="95" hidden="1" customWidth="1"/>
    <col min="13063" max="13064" width="11.44140625" style="95" customWidth="1"/>
    <col min="13065" max="13065" width="56.88671875" style="95" customWidth="1"/>
    <col min="13066" max="13066" width="9.109375" style="95" bestFit="1" customWidth="1"/>
    <col min="13067" max="13067" width="24.5546875" style="95" customWidth="1"/>
    <col min="13068" max="13068" width="22.88671875" style="95" customWidth="1"/>
    <col min="13069" max="13069" width="9.109375" style="95" bestFit="1" customWidth="1"/>
    <col min="13070" max="13111" width="7" style="95" hidden="1" customWidth="1"/>
    <col min="13112" max="13112" width="8.44140625" style="95" customWidth="1"/>
    <col min="13113" max="13147" width="7" style="95" hidden="1" customWidth="1"/>
    <col min="13148" max="13148" width="9.44140625" style="95" customWidth="1"/>
    <col min="13149" max="13149" width="7" style="95" hidden="1" customWidth="1"/>
    <col min="13150" max="13150" width="5" style="95" customWidth="1"/>
    <col min="13151" max="13155" width="7" style="95" hidden="1" customWidth="1"/>
    <col min="13156" max="13156" width="5" style="95" customWidth="1"/>
    <col min="13157" max="13158" width="7" style="95" hidden="1" customWidth="1"/>
    <col min="13159" max="13159" width="5" style="95" customWidth="1"/>
    <col min="13160" max="13166" width="7" style="95" hidden="1" customWidth="1"/>
    <col min="13167" max="13167" width="6.44140625" style="95" customWidth="1"/>
    <col min="13168" max="13188" width="7" style="95" hidden="1" customWidth="1"/>
    <col min="13189" max="13192" width="6.44140625" style="95" customWidth="1"/>
    <col min="13193" max="13193" width="6.88671875" style="95" customWidth="1"/>
    <col min="13194" max="13194" width="6.44140625" style="95" customWidth="1"/>
    <col min="13195" max="13211" width="7" style="95" hidden="1" customWidth="1"/>
    <col min="13212" max="13212" width="6.5546875" style="95" customWidth="1"/>
    <col min="13213" max="13213" width="6.44140625" style="95" customWidth="1"/>
    <col min="13214" max="13215" width="7" style="95" hidden="1" customWidth="1"/>
    <col min="13216" max="13216" width="6.44140625" style="95" customWidth="1"/>
    <col min="13217" max="13218" width="7" style="95" hidden="1" customWidth="1"/>
    <col min="13219" max="13219" width="7.44140625" style="95" customWidth="1"/>
    <col min="13220" max="13220" width="7" style="95" hidden="1" customWidth="1"/>
    <col min="13221" max="13221" width="6.44140625" style="95" customWidth="1"/>
    <col min="13222" max="13260" width="7" style="95" hidden="1" customWidth="1"/>
    <col min="13261" max="13286" width="7" style="95" hidden="1"/>
    <col min="13287" max="13287" width="41.44140625" style="95" customWidth="1"/>
    <col min="13288" max="13288" width="6.44140625" style="95" customWidth="1"/>
    <col min="13289" max="13289" width="14.6640625" style="95" customWidth="1"/>
    <col min="13290" max="13290" width="11.44140625" style="95" customWidth="1"/>
    <col min="13291" max="13292" width="13" style="95" customWidth="1"/>
    <col min="13293" max="13293" width="9.44140625" style="95" customWidth="1"/>
    <col min="13294" max="13304" width="7" style="95" hidden="1" customWidth="1"/>
    <col min="13305" max="13305" width="10.109375" style="95" customWidth="1"/>
    <col min="13306" max="13318" width="7" style="95" hidden="1" customWidth="1"/>
    <col min="13319" max="13320" width="11.44140625" style="95" customWidth="1"/>
    <col min="13321" max="13321" width="56.88671875" style="95" customWidth="1"/>
    <col min="13322" max="13322" width="9.109375" style="95" bestFit="1" customWidth="1"/>
    <col min="13323" max="13323" width="24.5546875" style="95" customWidth="1"/>
    <col min="13324" max="13324" width="22.88671875" style="95" customWidth="1"/>
    <col min="13325" max="13325" width="9.109375" style="95" bestFit="1" customWidth="1"/>
    <col min="13326" max="13367" width="7" style="95" hidden="1" customWidth="1"/>
    <col min="13368" max="13368" width="8.44140625" style="95" customWidth="1"/>
    <col min="13369" max="13403" width="7" style="95" hidden="1" customWidth="1"/>
    <col min="13404" max="13404" width="9.44140625" style="95" customWidth="1"/>
    <col min="13405" max="13405" width="7" style="95" hidden="1" customWidth="1"/>
    <col min="13406" max="13406" width="5" style="95" customWidth="1"/>
    <col min="13407" max="13411" width="7" style="95" hidden="1" customWidth="1"/>
    <col min="13412" max="13412" width="5" style="95" customWidth="1"/>
    <col min="13413" max="13414" width="7" style="95" hidden="1" customWidth="1"/>
    <col min="13415" max="13415" width="5" style="95" customWidth="1"/>
    <col min="13416" max="13422" width="7" style="95" hidden="1" customWidth="1"/>
    <col min="13423" max="13423" width="6.44140625" style="95" customWidth="1"/>
    <col min="13424" max="13444" width="7" style="95" hidden="1" customWidth="1"/>
    <col min="13445" max="13448" width="6.44140625" style="95" customWidth="1"/>
    <col min="13449" max="13449" width="6.88671875" style="95" customWidth="1"/>
    <col min="13450" max="13450" width="6.44140625" style="95" customWidth="1"/>
    <col min="13451" max="13467" width="7" style="95" hidden="1" customWidth="1"/>
    <col min="13468" max="13468" width="6.5546875" style="95" customWidth="1"/>
    <col min="13469" max="13469" width="6.44140625" style="95" customWidth="1"/>
    <col min="13470" max="13471" width="7" style="95" hidden="1" customWidth="1"/>
    <col min="13472" max="13472" width="6.44140625" style="95" customWidth="1"/>
    <col min="13473" max="13474" width="7" style="95" hidden="1" customWidth="1"/>
    <col min="13475" max="13475" width="7.44140625" style="95" customWidth="1"/>
    <col min="13476" max="13476" width="7" style="95" hidden="1" customWidth="1"/>
    <col min="13477" max="13477" width="6.44140625" style="95" customWidth="1"/>
    <col min="13478" max="13516" width="7" style="95" hidden="1" customWidth="1"/>
    <col min="13517" max="13542" width="7" style="95" hidden="1"/>
    <col min="13543" max="13543" width="41.44140625" style="95" customWidth="1"/>
    <col min="13544" max="13544" width="6.44140625" style="95" customWidth="1"/>
    <col min="13545" max="13545" width="14.6640625" style="95" customWidth="1"/>
    <col min="13546" max="13546" width="11.44140625" style="95" customWidth="1"/>
    <col min="13547" max="13548" width="13" style="95" customWidth="1"/>
    <col min="13549" max="13549" width="9.44140625" style="95" customWidth="1"/>
    <col min="13550" max="13560" width="7" style="95" hidden="1" customWidth="1"/>
    <col min="13561" max="13561" width="10.109375" style="95" customWidth="1"/>
    <col min="13562" max="13574" width="7" style="95" hidden="1" customWidth="1"/>
    <col min="13575" max="13576" width="11.44140625" style="95" customWidth="1"/>
    <col min="13577" max="13577" width="56.88671875" style="95" customWidth="1"/>
    <col min="13578" max="13578" width="9.109375" style="95" bestFit="1" customWidth="1"/>
    <col min="13579" max="13579" width="24.5546875" style="95" customWidth="1"/>
    <col min="13580" max="13580" width="22.88671875" style="95" customWidth="1"/>
    <col min="13581" max="13581" width="9.109375" style="95" bestFit="1" customWidth="1"/>
    <col min="13582" max="13623" width="7" style="95" hidden="1" customWidth="1"/>
    <col min="13624" max="13624" width="8.44140625" style="95" customWidth="1"/>
    <col min="13625" max="13659" width="7" style="95" hidden="1" customWidth="1"/>
    <col min="13660" max="13660" width="9.44140625" style="95" customWidth="1"/>
    <col min="13661" max="13661" width="7" style="95" hidden="1" customWidth="1"/>
    <col min="13662" max="13662" width="5" style="95" customWidth="1"/>
    <col min="13663" max="13667" width="7" style="95" hidden="1" customWidth="1"/>
    <col min="13668" max="13668" width="5" style="95" customWidth="1"/>
    <col min="13669" max="13670" width="7" style="95" hidden="1" customWidth="1"/>
    <col min="13671" max="13671" width="5" style="95" customWidth="1"/>
    <col min="13672" max="13678" width="7" style="95" hidden="1" customWidth="1"/>
    <col min="13679" max="13679" width="6.44140625" style="95" customWidth="1"/>
    <col min="13680" max="13700" width="7" style="95" hidden="1" customWidth="1"/>
    <col min="13701" max="13704" width="6.44140625" style="95" customWidth="1"/>
    <col min="13705" max="13705" width="6.88671875" style="95" customWidth="1"/>
    <col min="13706" max="13706" width="6.44140625" style="95" customWidth="1"/>
    <col min="13707" max="13723" width="7" style="95" hidden="1" customWidth="1"/>
    <col min="13724" max="13724" width="6.5546875" style="95" customWidth="1"/>
    <col min="13725" max="13725" width="6.44140625" style="95" customWidth="1"/>
    <col min="13726" max="13727" width="7" style="95" hidden="1" customWidth="1"/>
    <col min="13728" max="13728" width="6.44140625" style="95" customWidth="1"/>
    <col min="13729" max="13730" width="7" style="95" hidden="1" customWidth="1"/>
    <col min="13731" max="13731" width="7.44140625" style="95" customWidth="1"/>
    <col min="13732" max="13732" width="7" style="95" hidden="1" customWidth="1"/>
    <col min="13733" max="13733" width="6.44140625" style="95" customWidth="1"/>
    <col min="13734" max="13772" width="7" style="95" hidden="1" customWidth="1"/>
    <col min="13773" max="13798" width="7" style="95" hidden="1"/>
    <col min="13799" max="13799" width="41.44140625" style="95" customWidth="1"/>
    <col min="13800" max="13800" width="6.44140625" style="95" customWidth="1"/>
    <col min="13801" max="13801" width="14.6640625" style="95" customWidth="1"/>
    <col min="13802" max="13802" width="11.44140625" style="95" customWidth="1"/>
    <col min="13803" max="13804" width="13" style="95" customWidth="1"/>
    <col min="13805" max="13805" width="9.44140625" style="95" customWidth="1"/>
    <col min="13806" max="13816" width="7" style="95" hidden="1" customWidth="1"/>
    <col min="13817" max="13817" width="10.109375" style="95" customWidth="1"/>
    <col min="13818" max="13830" width="7" style="95" hidden="1" customWidth="1"/>
    <col min="13831" max="13832" width="11.44140625" style="95" customWidth="1"/>
    <col min="13833" max="13833" width="56.88671875" style="95" customWidth="1"/>
    <col min="13834" max="13834" width="9.109375" style="95" bestFit="1" customWidth="1"/>
    <col min="13835" max="13835" width="24.5546875" style="95" customWidth="1"/>
    <col min="13836" max="13836" width="22.88671875" style="95" customWidth="1"/>
    <col min="13837" max="13837" width="9.109375" style="95" bestFit="1" customWidth="1"/>
    <col min="13838" max="13879" width="7" style="95" hidden="1" customWidth="1"/>
    <col min="13880" max="13880" width="8.44140625" style="95" customWidth="1"/>
    <col min="13881" max="13915" width="7" style="95" hidden="1" customWidth="1"/>
    <col min="13916" max="13916" width="9.44140625" style="95" customWidth="1"/>
    <col min="13917" max="13917" width="7" style="95" hidden="1" customWidth="1"/>
    <col min="13918" max="13918" width="5" style="95" customWidth="1"/>
    <col min="13919" max="13923" width="7" style="95" hidden="1" customWidth="1"/>
    <col min="13924" max="13924" width="5" style="95" customWidth="1"/>
    <col min="13925" max="13926" width="7" style="95" hidden="1" customWidth="1"/>
    <col min="13927" max="13927" width="5" style="95" customWidth="1"/>
    <col min="13928" max="13934" width="7" style="95" hidden="1" customWidth="1"/>
    <col min="13935" max="13935" width="6.44140625" style="95" customWidth="1"/>
    <col min="13936" max="13956" width="7" style="95" hidden="1" customWidth="1"/>
    <col min="13957" max="13960" width="6.44140625" style="95" customWidth="1"/>
    <col min="13961" max="13961" width="6.88671875" style="95" customWidth="1"/>
    <col min="13962" max="13962" width="6.44140625" style="95" customWidth="1"/>
    <col min="13963" max="13979" width="7" style="95" hidden="1" customWidth="1"/>
    <col min="13980" max="13980" width="6.5546875" style="95" customWidth="1"/>
    <col min="13981" max="13981" width="6.44140625" style="95" customWidth="1"/>
    <col min="13982" max="13983" width="7" style="95" hidden="1" customWidth="1"/>
    <col min="13984" max="13984" width="6.44140625" style="95" customWidth="1"/>
    <col min="13985" max="13986" width="7" style="95" hidden="1" customWidth="1"/>
    <col min="13987" max="13987" width="7.44140625" style="95" customWidth="1"/>
    <col min="13988" max="13988" width="7" style="95" hidden="1" customWidth="1"/>
    <col min="13989" max="13989" width="6.44140625" style="95" customWidth="1"/>
    <col min="13990" max="14028" width="7" style="95" hidden="1" customWidth="1"/>
    <col min="14029" max="14054" width="7" style="95" hidden="1"/>
    <col min="14055" max="14055" width="41.44140625" style="95" customWidth="1"/>
    <col min="14056" max="14056" width="6.44140625" style="95" customWidth="1"/>
    <col min="14057" max="14057" width="14.6640625" style="95" customWidth="1"/>
    <col min="14058" max="14058" width="11.44140625" style="95" customWidth="1"/>
    <col min="14059" max="14060" width="13" style="95" customWidth="1"/>
    <col min="14061" max="14061" width="9.44140625" style="95" customWidth="1"/>
    <col min="14062" max="14072" width="7" style="95" hidden="1" customWidth="1"/>
    <col min="14073" max="14073" width="10.109375" style="95" customWidth="1"/>
    <col min="14074" max="14086" width="7" style="95" hidden="1" customWidth="1"/>
    <col min="14087" max="14088" width="11.44140625" style="95" customWidth="1"/>
    <col min="14089" max="14089" width="56.88671875" style="95" customWidth="1"/>
    <col min="14090" max="14090" width="9.109375" style="95" bestFit="1" customWidth="1"/>
    <col min="14091" max="14091" width="24.5546875" style="95" customWidth="1"/>
    <col min="14092" max="14092" width="22.88671875" style="95" customWidth="1"/>
    <col min="14093" max="14093" width="9.109375" style="95" bestFit="1" customWidth="1"/>
    <col min="14094" max="14135" width="7" style="95" hidden="1" customWidth="1"/>
    <col min="14136" max="14136" width="8.44140625" style="95" customWidth="1"/>
    <col min="14137" max="14171" width="7" style="95" hidden="1" customWidth="1"/>
    <col min="14172" max="14172" width="9.44140625" style="95" customWidth="1"/>
    <col min="14173" max="14173" width="7" style="95" hidden="1" customWidth="1"/>
    <col min="14174" max="14174" width="5" style="95" customWidth="1"/>
    <col min="14175" max="14179" width="7" style="95" hidden="1" customWidth="1"/>
    <col min="14180" max="14180" width="5" style="95" customWidth="1"/>
    <col min="14181" max="14182" width="7" style="95" hidden="1" customWidth="1"/>
    <col min="14183" max="14183" width="5" style="95" customWidth="1"/>
    <col min="14184" max="14190" width="7" style="95" hidden="1" customWidth="1"/>
    <col min="14191" max="14191" width="6.44140625" style="95" customWidth="1"/>
    <col min="14192" max="14212" width="7" style="95" hidden="1" customWidth="1"/>
    <col min="14213" max="14216" width="6.44140625" style="95" customWidth="1"/>
    <col min="14217" max="14217" width="6.88671875" style="95" customWidth="1"/>
    <col min="14218" max="14218" width="6.44140625" style="95" customWidth="1"/>
    <col min="14219" max="14235" width="7" style="95" hidden="1" customWidth="1"/>
    <col min="14236" max="14236" width="6.5546875" style="95" customWidth="1"/>
    <col min="14237" max="14237" width="6.44140625" style="95" customWidth="1"/>
    <col min="14238" max="14239" width="7" style="95" hidden="1" customWidth="1"/>
    <col min="14240" max="14240" width="6.44140625" style="95" customWidth="1"/>
    <col min="14241" max="14242" width="7" style="95" hidden="1" customWidth="1"/>
    <col min="14243" max="14243" width="7.44140625" style="95" customWidth="1"/>
    <col min="14244" max="14244" width="7" style="95" hidden="1" customWidth="1"/>
    <col min="14245" max="14245" width="6.44140625" style="95" customWidth="1"/>
    <col min="14246" max="14284" width="7" style="95" hidden="1" customWidth="1"/>
    <col min="14285" max="14310" width="7" style="95" hidden="1"/>
    <col min="14311" max="14311" width="41.44140625" style="95" customWidth="1"/>
    <col min="14312" max="14312" width="6.44140625" style="95" customWidth="1"/>
    <col min="14313" max="14313" width="14.6640625" style="95" customWidth="1"/>
    <col min="14314" max="14314" width="11.44140625" style="95" customWidth="1"/>
    <col min="14315" max="14316" width="13" style="95" customWidth="1"/>
    <col min="14317" max="14317" width="9.44140625" style="95" customWidth="1"/>
    <col min="14318" max="14328" width="7" style="95" hidden="1" customWidth="1"/>
    <col min="14329" max="14329" width="10.109375" style="95" customWidth="1"/>
    <col min="14330" max="14342" width="7" style="95" hidden="1" customWidth="1"/>
    <col min="14343" max="14344" width="11.44140625" style="95" customWidth="1"/>
    <col min="14345" max="14345" width="56.88671875" style="95" customWidth="1"/>
    <col min="14346" max="14346" width="9.109375" style="95" bestFit="1" customWidth="1"/>
    <col min="14347" max="14347" width="24.5546875" style="95" customWidth="1"/>
    <col min="14348" max="14348" width="22.88671875" style="95" customWidth="1"/>
    <col min="14349" max="14349" width="9.109375" style="95" bestFit="1" customWidth="1"/>
    <col min="14350" max="14391" width="7" style="95" hidden="1" customWidth="1"/>
    <col min="14392" max="14392" width="8.44140625" style="95" customWidth="1"/>
    <col min="14393" max="14427" width="7" style="95" hidden="1" customWidth="1"/>
    <col min="14428" max="14428" width="9.44140625" style="95" customWidth="1"/>
    <col min="14429" max="14429" width="7" style="95" hidden="1" customWidth="1"/>
    <col min="14430" max="14430" width="5" style="95" customWidth="1"/>
    <col min="14431" max="14435" width="7" style="95" hidden="1" customWidth="1"/>
    <col min="14436" max="14436" width="5" style="95" customWidth="1"/>
    <col min="14437" max="14438" width="7" style="95" hidden="1" customWidth="1"/>
    <col min="14439" max="14439" width="5" style="95" customWidth="1"/>
    <col min="14440" max="14446" width="7" style="95" hidden="1" customWidth="1"/>
    <col min="14447" max="14447" width="6.44140625" style="95" customWidth="1"/>
    <col min="14448" max="14468" width="7" style="95" hidden="1" customWidth="1"/>
    <col min="14469" max="14472" width="6.44140625" style="95" customWidth="1"/>
    <col min="14473" max="14473" width="6.88671875" style="95" customWidth="1"/>
    <col min="14474" max="14474" width="6.44140625" style="95" customWidth="1"/>
    <col min="14475" max="14491" width="7" style="95" hidden="1" customWidth="1"/>
    <col min="14492" max="14492" width="6.5546875" style="95" customWidth="1"/>
    <col min="14493" max="14493" width="6.44140625" style="95" customWidth="1"/>
    <col min="14494" max="14495" width="7" style="95" hidden="1" customWidth="1"/>
    <col min="14496" max="14496" width="6.44140625" style="95" customWidth="1"/>
    <col min="14497" max="14498" width="7" style="95" hidden="1" customWidth="1"/>
    <col min="14499" max="14499" width="7.44140625" style="95" customWidth="1"/>
    <col min="14500" max="14500" width="7" style="95" hidden="1" customWidth="1"/>
    <col min="14501" max="14501" width="6.44140625" style="95" customWidth="1"/>
    <col min="14502" max="14540" width="7" style="95" hidden="1" customWidth="1"/>
    <col min="14541" max="14566" width="7" style="95" hidden="1"/>
    <col min="14567" max="14567" width="41.44140625" style="95" customWidth="1"/>
    <col min="14568" max="14568" width="6.44140625" style="95" customWidth="1"/>
    <col min="14569" max="14569" width="14.6640625" style="95" customWidth="1"/>
    <col min="14570" max="14570" width="11.44140625" style="95" customWidth="1"/>
    <col min="14571" max="14572" width="13" style="95" customWidth="1"/>
    <col min="14573" max="14573" width="9.44140625" style="95" customWidth="1"/>
    <col min="14574" max="14584" width="7" style="95" hidden="1" customWidth="1"/>
    <col min="14585" max="14585" width="10.109375" style="95" customWidth="1"/>
    <col min="14586" max="14598" width="7" style="95" hidden="1" customWidth="1"/>
    <col min="14599" max="14600" width="11.44140625" style="95" customWidth="1"/>
    <col min="14601" max="14601" width="56.88671875" style="95" customWidth="1"/>
    <col min="14602" max="14602" width="9.109375" style="95" bestFit="1" customWidth="1"/>
    <col min="14603" max="14603" width="24.5546875" style="95" customWidth="1"/>
    <col min="14604" max="14604" width="22.88671875" style="95" customWidth="1"/>
    <col min="14605" max="14605" width="9.109375" style="95" bestFit="1" customWidth="1"/>
    <col min="14606" max="14647" width="7" style="95" hidden="1" customWidth="1"/>
    <col min="14648" max="14648" width="8.44140625" style="95" customWidth="1"/>
    <col min="14649" max="14683" width="7" style="95" hidden="1" customWidth="1"/>
    <col min="14684" max="14684" width="9.44140625" style="95" customWidth="1"/>
    <col min="14685" max="14685" width="7" style="95" hidden="1" customWidth="1"/>
    <col min="14686" max="14686" width="5" style="95" customWidth="1"/>
    <col min="14687" max="14691" width="7" style="95" hidden="1" customWidth="1"/>
    <col min="14692" max="14692" width="5" style="95" customWidth="1"/>
    <col min="14693" max="14694" width="7" style="95" hidden="1" customWidth="1"/>
    <col min="14695" max="14695" width="5" style="95" customWidth="1"/>
    <col min="14696" max="14702" width="7" style="95" hidden="1" customWidth="1"/>
    <col min="14703" max="14703" width="6.44140625" style="95" customWidth="1"/>
    <col min="14704" max="14724" width="7" style="95" hidden="1" customWidth="1"/>
    <col min="14725" max="14728" width="6.44140625" style="95" customWidth="1"/>
    <col min="14729" max="14729" width="6.88671875" style="95" customWidth="1"/>
    <col min="14730" max="14730" width="6.44140625" style="95" customWidth="1"/>
    <col min="14731" max="14747" width="7" style="95" hidden="1" customWidth="1"/>
    <col min="14748" max="14748" width="6.5546875" style="95" customWidth="1"/>
    <col min="14749" max="14749" width="6.44140625" style="95" customWidth="1"/>
    <col min="14750" max="14751" width="7" style="95" hidden="1" customWidth="1"/>
    <col min="14752" max="14752" width="6.44140625" style="95" customWidth="1"/>
    <col min="14753" max="14754" width="7" style="95" hidden="1" customWidth="1"/>
    <col min="14755" max="14755" width="7.44140625" style="95" customWidth="1"/>
    <col min="14756" max="14756" width="7" style="95" hidden="1" customWidth="1"/>
    <col min="14757" max="14757" width="6.44140625" style="95" customWidth="1"/>
    <col min="14758" max="14796" width="7" style="95" hidden="1" customWidth="1"/>
    <col min="14797" max="14822" width="7" style="95" hidden="1"/>
    <col min="14823" max="14823" width="41.44140625" style="95" customWidth="1"/>
    <col min="14824" max="14824" width="6.44140625" style="95" customWidth="1"/>
    <col min="14825" max="14825" width="14.6640625" style="95" customWidth="1"/>
    <col min="14826" max="14826" width="11.44140625" style="95" customWidth="1"/>
    <col min="14827" max="14828" width="13" style="95" customWidth="1"/>
    <col min="14829" max="14829" width="9.44140625" style="95" customWidth="1"/>
    <col min="14830" max="14840" width="7" style="95" hidden="1" customWidth="1"/>
    <col min="14841" max="14841" width="10.109375" style="95" customWidth="1"/>
    <col min="14842" max="14854" width="7" style="95" hidden="1" customWidth="1"/>
    <col min="14855" max="14856" width="11.44140625" style="95" customWidth="1"/>
    <col min="14857" max="14857" width="56.88671875" style="95" customWidth="1"/>
    <col min="14858" max="14858" width="9.109375" style="95" bestFit="1" customWidth="1"/>
    <col min="14859" max="14859" width="24.5546875" style="95" customWidth="1"/>
    <col min="14860" max="14860" width="22.88671875" style="95" customWidth="1"/>
    <col min="14861" max="14861" width="9.109375" style="95" bestFit="1" customWidth="1"/>
    <col min="14862" max="14903" width="7" style="95" hidden="1" customWidth="1"/>
    <col min="14904" max="14904" width="8.44140625" style="95" customWidth="1"/>
    <col min="14905" max="14939" width="7" style="95" hidden="1" customWidth="1"/>
    <col min="14940" max="14940" width="9.44140625" style="95" customWidth="1"/>
    <col min="14941" max="14941" width="7" style="95" hidden="1" customWidth="1"/>
    <col min="14942" max="14942" width="5" style="95" customWidth="1"/>
    <col min="14943" max="14947" width="7" style="95" hidden="1" customWidth="1"/>
    <col min="14948" max="14948" width="5" style="95" customWidth="1"/>
    <col min="14949" max="14950" width="7" style="95" hidden="1" customWidth="1"/>
    <col min="14951" max="14951" width="5" style="95" customWidth="1"/>
    <col min="14952" max="14958" width="7" style="95" hidden="1" customWidth="1"/>
    <col min="14959" max="14959" width="6.44140625" style="95" customWidth="1"/>
    <col min="14960" max="14980" width="7" style="95" hidden="1" customWidth="1"/>
    <col min="14981" max="14984" width="6.44140625" style="95" customWidth="1"/>
    <col min="14985" max="14985" width="6.88671875" style="95" customWidth="1"/>
    <col min="14986" max="14986" width="6.44140625" style="95" customWidth="1"/>
    <col min="14987" max="15003" width="7" style="95" hidden="1" customWidth="1"/>
    <col min="15004" max="15004" width="6.5546875" style="95" customWidth="1"/>
    <col min="15005" max="15005" width="6.44140625" style="95" customWidth="1"/>
    <col min="15006" max="15007" width="7" style="95" hidden="1" customWidth="1"/>
    <col min="15008" max="15008" width="6.44140625" style="95" customWidth="1"/>
    <col min="15009" max="15010" width="7" style="95" hidden="1" customWidth="1"/>
    <col min="15011" max="15011" width="7.44140625" style="95" customWidth="1"/>
    <col min="15012" max="15012" width="7" style="95" hidden="1" customWidth="1"/>
    <col min="15013" max="15013" width="6.44140625" style="95" customWidth="1"/>
    <col min="15014" max="15052" width="7" style="95" hidden="1" customWidth="1"/>
    <col min="15053" max="15078" width="7" style="95" hidden="1"/>
    <col min="15079" max="15079" width="41.44140625" style="95" customWidth="1"/>
    <col min="15080" max="15080" width="6.44140625" style="95" customWidth="1"/>
    <col min="15081" max="15081" width="14.6640625" style="95" customWidth="1"/>
    <col min="15082" max="15082" width="11.44140625" style="95" customWidth="1"/>
    <col min="15083" max="15084" width="13" style="95" customWidth="1"/>
    <col min="15085" max="15085" width="9.44140625" style="95" customWidth="1"/>
    <col min="15086" max="15096" width="7" style="95" hidden="1" customWidth="1"/>
    <col min="15097" max="15097" width="10.109375" style="95" customWidth="1"/>
    <col min="15098" max="15110" width="7" style="95" hidden="1" customWidth="1"/>
    <col min="15111" max="15112" width="11.44140625" style="95" customWidth="1"/>
    <col min="15113" max="15113" width="56.88671875" style="95" customWidth="1"/>
    <col min="15114" max="15114" width="9.109375" style="95" bestFit="1" customWidth="1"/>
    <col min="15115" max="15115" width="24.5546875" style="95" customWidth="1"/>
    <col min="15116" max="15116" width="22.88671875" style="95" customWidth="1"/>
    <col min="15117" max="15117" width="9.109375" style="95" bestFit="1" customWidth="1"/>
    <col min="15118" max="15159" width="7" style="95" hidden="1" customWidth="1"/>
    <col min="15160" max="15160" width="8.44140625" style="95" customWidth="1"/>
    <col min="15161" max="15195" width="7" style="95" hidden="1" customWidth="1"/>
    <col min="15196" max="15196" width="9.44140625" style="95" customWidth="1"/>
    <col min="15197" max="15197" width="7" style="95" hidden="1" customWidth="1"/>
    <col min="15198" max="15198" width="5" style="95" customWidth="1"/>
    <col min="15199" max="15203" width="7" style="95" hidden="1" customWidth="1"/>
    <col min="15204" max="15204" width="5" style="95" customWidth="1"/>
    <col min="15205" max="15206" width="7" style="95" hidden="1" customWidth="1"/>
    <col min="15207" max="15207" width="5" style="95" customWidth="1"/>
    <col min="15208" max="15214" width="7" style="95" hidden="1" customWidth="1"/>
    <col min="15215" max="15215" width="6.44140625" style="95" customWidth="1"/>
    <col min="15216" max="15236" width="7" style="95" hidden="1" customWidth="1"/>
    <col min="15237" max="15240" width="6.44140625" style="95" customWidth="1"/>
    <col min="15241" max="15241" width="6.88671875" style="95" customWidth="1"/>
    <col min="15242" max="15242" width="6.44140625" style="95" customWidth="1"/>
    <col min="15243" max="15259" width="7" style="95" hidden="1" customWidth="1"/>
    <col min="15260" max="15260" width="6.5546875" style="95" customWidth="1"/>
    <col min="15261" max="15261" width="6.44140625" style="95" customWidth="1"/>
    <col min="15262" max="15263" width="7" style="95" hidden="1" customWidth="1"/>
    <col min="15264" max="15264" width="6.44140625" style="95" customWidth="1"/>
    <col min="15265" max="15266" width="7" style="95" hidden="1" customWidth="1"/>
    <col min="15267" max="15267" width="7.44140625" style="95" customWidth="1"/>
    <col min="15268" max="15268" width="7" style="95" hidden="1" customWidth="1"/>
    <col min="15269" max="15269" width="6.44140625" style="95" customWidth="1"/>
    <col min="15270" max="15308" width="7" style="95" hidden="1" customWidth="1"/>
    <col min="15309" max="15334" width="7" style="95" hidden="1"/>
    <col min="15335" max="15335" width="41.44140625" style="95" customWidth="1"/>
    <col min="15336" max="15336" width="6.44140625" style="95" customWidth="1"/>
    <col min="15337" max="15337" width="14.6640625" style="95" customWidth="1"/>
    <col min="15338" max="15338" width="11.44140625" style="95" customWidth="1"/>
    <col min="15339" max="15340" width="13" style="95" customWidth="1"/>
    <col min="15341" max="15341" width="9.44140625" style="95" customWidth="1"/>
    <col min="15342" max="15352" width="7" style="95" hidden="1" customWidth="1"/>
    <col min="15353" max="15353" width="10.109375" style="95" customWidth="1"/>
    <col min="15354" max="15366" width="7" style="95" hidden="1" customWidth="1"/>
    <col min="15367" max="15368" width="11.44140625" style="95" customWidth="1"/>
    <col min="15369" max="15369" width="56.88671875" style="95" customWidth="1"/>
    <col min="15370" max="15370" width="9.109375" style="95" bestFit="1" customWidth="1"/>
    <col min="15371" max="15371" width="24.5546875" style="95" customWidth="1"/>
    <col min="15372" max="15372" width="22.88671875" style="95" customWidth="1"/>
    <col min="15373" max="15373" width="9.109375" style="95" bestFit="1" customWidth="1"/>
    <col min="15374" max="15415" width="7" style="95" hidden="1" customWidth="1"/>
    <col min="15416" max="15416" width="8.44140625" style="95" customWidth="1"/>
    <col min="15417" max="15451" width="7" style="95" hidden="1" customWidth="1"/>
    <col min="15452" max="15452" width="9.44140625" style="95" customWidth="1"/>
    <col min="15453" max="15453" width="7" style="95" hidden="1" customWidth="1"/>
    <col min="15454" max="15454" width="5" style="95" customWidth="1"/>
    <col min="15455" max="15459" width="7" style="95" hidden="1" customWidth="1"/>
    <col min="15460" max="15460" width="5" style="95" customWidth="1"/>
    <col min="15461" max="15462" width="7" style="95" hidden="1" customWidth="1"/>
    <col min="15463" max="15463" width="5" style="95" customWidth="1"/>
    <col min="15464" max="15470" width="7" style="95" hidden="1" customWidth="1"/>
    <col min="15471" max="15471" width="6.44140625" style="95" customWidth="1"/>
    <col min="15472" max="15492" width="7" style="95" hidden="1" customWidth="1"/>
    <col min="15493" max="15496" width="6.44140625" style="95" customWidth="1"/>
    <col min="15497" max="15497" width="6.88671875" style="95" customWidth="1"/>
    <col min="15498" max="15498" width="6.44140625" style="95" customWidth="1"/>
    <col min="15499" max="15515" width="7" style="95" hidden="1" customWidth="1"/>
    <col min="15516" max="15516" width="6.5546875" style="95" customWidth="1"/>
    <col min="15517" max="15517" width="6.44140625" style="95" customWidth="1"/>
    <col min="15518" max="15519" width="7" style="95" hidden="1" customWidth="1"/>
    <col min="15520" max="15520" width="6.44140625" style="95" customWidth="1"/>
    <col min="15521" max="15522" width="7" style="95" hidden="1" customWidth="1"/>
    <col min="15523" max="15523" width="7.44140625" style="95" customWidth="1"/>
    <col min="15524" max="15524" width="7" style="95" hidden="1" customWidth="1"/>
    <col min="15525" max="15525" width="6.44140625" style="95" customWidth="1"/>
    <col min="15526" max="15564" width="7" style="95" hidden="1" customWidth="1"/>
    <col min="15565" max="15590" width="7" style="95" hidden="1"/>
    <col min="15591" max="15591" width="41.44140625" style="95" customWidth="1"/>
    <col min="15592" max="15592" width="6.44140625" style="95" customWidth="1"/>
    <col min="15593" max="15593" width="14.6640625" style="95" customWidth="1"/>
    <col min="15594" max="15594" width="11.44140625" style="95" customWidth="1"/>
    <col min="15595" max="15596" width="13" style="95" customWidth="1"/>
    <col min="15597" max="15597" width="9.44140625" style="95" customWidth="1"/>
    <col min="15598" max="15608" width="7" style="95" hidden="1" customWidth="1"/>
    <col min="15609" max="15609" width="10.109375" style="95" customWidth="1"/>
    <col min="15610" max="15622" width="7" style="95" hidden="1" customWidth="1"/>
    <col min="15623" max="15624" width="11.44140625" style="95" customWidth="1"/>
    <col min="15625" max="15625" width="56.88671875" style="95" customWidth="1"/>
    <col min="15626" max="15626" width="9.109375" style="95" bestFit="1" customWidth="1"/>
    <col min="15627" max="15627" width="24.5546875" style="95" customWidth="1"/>
    <col min="15628" max="15628" width="22.88671875" style="95" customWidth="1"/>
    <col min="15629" max="15629" width="9.109375" style="95" bestFit="1" customWidth="1"/>
    <col min="15630" max="15671" width="7" style="95" hidden="1" customWidth="1"/>
    <col min="15672" max="15672" width="8.44140625" style="95" customWidth="1"/>
    <col min="15673" max="15707" width="7" style="95" hidden="1" customWidth="1"/>
    <col min="15708" max="15708" width="9.44140625" style="95" customWidth="1"/>
    <col min="15709" max="15709" width="7" style="95" hidden="1" customWidth="1"/>
    <col min="15710" max="15710" width="5" style="95" customWidth="1"/>
    <col min="15711" max="15715" width="7" style="95" hidden="1" customWidth="1"/>
    <col min="15716" max="15716" width="5" style="95" customWidth="1"/>
    <col min="15717" max="15718" width="7" style="95" hidden="1" customWidth="1"/>
    <col min="15719" max="15719" width="5" style="95" customWidth="1"/>
    <col min="15720" max="15726" width="7" style="95" hidden="1" customWidth="1"/>
    <col min="15727" max="15727" width="6.44140625" style="95" customWidth="1"/>
    <col min="15728" max="15748" width="7" style="95" hidden="1" customWidth="1"/>
    <col min="15749" max="15752" width="6.44140625" style="95" customWidth="1"/>
    <col min="15753" max="15753" width="6.88671875" style="95" customWidth="1"/>
    <col min="15754" max="15754" width="6.44140625" style="95" customWidth="1"/>
    <col min="15755" max="15771" width="7" style="95" hidden="1" customWidth="1"/>
    <col min="15772" max="15772" width="6.5546875" style="95" customWidth="1"/>
    <col min="15773" max="15773" width="6.44140625" style="95" customWidth="1"/>
    <col min="15774" max="15775" width="7" style="95" hidden="1" customWidth="1"/>
    <col min="15776" max="15776" width="6.44140625" style="95" customWidth="1"/>
    <col min="15777" max="15778" width="7" style="95" hidden="1" customWidth="1"/>
    <col min="15779" max="15779" width="7.44140625" style="95" customWidth="1"/>
    <col min="15780" max="15780" width="7" style="95" hidden="1" customWidth="1"/>
    <col min="15781" max="15781" width="6.44140625" style="95" customWidth="1"/>
    <col min="15782" max="15820" width="7" style="95" hidden="1" customWidth="1"/>
    <col min="15821" max="15846" width="7" style="95" hidden="1"/>
    <col min="15847" max="15847" width="41.44140625" style="95" customWidth="1"/>
    <col min="15848" max="15848" width="6.44140625" style="95" customWidth="1"/>
    <col min="15849" max="15849" width="14.6640625" style="95" customWidth="1"/>
    <col min="15850" max="15850" width="11.44140625" style="95" customWidth="1"/>
    <col min="15851" max="15852" width="13" style="95" customWidth="1"/>
    <col min="15853" max="15853" width="9.44140625" style="95" customWidth="1"/>
    <col min="15854" max="15864" width="7" style="95" hidden="1" customWidth="1"/>
    <col min="15865" max="15865" width="10.109375" style="95" customWidth="1"/>
    <col min="15866" max="15878" width="7" style="95" hidden="1" customWidth="1"/>
    <col min="15879" max="15880" width="11.44140625" style="95" customWidth="1"/>
    <col min="15881" max="15881" width="56.88671875" style="95" customWidth="1"/>
    <col min="15882" max="15882" width="9.109375" style="95" bestFit="1" customWidth="1"/>
    <col min="15883" max="15883" width="24.5546875" style="95" customWidth="1"/>
    <col min="15884" max="15884" width="22.88671875" style="95" customWidth="1"/>
    <col min="15885" max="15885" width="9.109375" style="95" bestFit="1" customWidth="1"/>
    <col min="15886" max="15927" width="7" style="95" hidden="1" customWidth="1"/>
    <col min="15928" max="15928" width="8.44140625" style="95" customWidth="1"/>
    <col min="15929" max="15963" width="7" style="95" hidden="1" customWidth="1"/>
    <col min="15964" max="15964" width="9.44140625" style="95" customWidth="1"/>
    <col min="15965" max="15965" width="7" style="95" hidden="1" customWidth="1"/>
    <col min="15966" max="15966" width="5" style="95" customWidth="1"/>
    <col min="15967" max="15971" width="7" style="95" hidden="1" customWidth="1"/>
    <col min="15972" max="15972" width="5" style="95" customWidth="1"/>
    <col min="15973" max="15974" width="7" style="95" hidden="1" customWidth="1"/>
    <col min="15975" max="15975" width="5" style="95" customWidth="1"/>
    <col min="15976" max="15982" width="7" style="95" hidden="1" customWidth="1"/>
    <col min="15983" max="15983" width="6.44140625" style="95" customWidth="1"/>
    <col min="15984" max="16004" width="7" style="95" hidden="1" customWidth="1"/>
    <col min="16005" max="16008" width="6.44140625" style="95" customWidth="1"/>
    <col min="16009" max="16009" width="6.88671875" style="95" customWidth="1"/>
    <col min="16010" max="16010" width="6.44140625" style="95" customWidth="1"/>
    <col min="16011" max="16027" width="7" style="95" hidden="1" customWidth="1"/>
    <col min="16028" max="16028" width="6.5546875" style="95" customWidth="1"/>
    <col min="16029" max="16029" width="6.44140625" style="95" customWidth="1"/>
    <col min="16030" max="16031" width="7" style="95" hidden="1" customWidth="1"/>
    <col min="16032" max="16032" width="6.44140625" style="95" customWidth="1"/>
    <col min="16033" max="16034" width="7" style="95" hidden="1" customWidth="1"/>
    <col min="16035" max="16035" width="7.44140625" style="95" customWidth="1"/>
    <col min="16036" max="16036" width="7" style="95" hidden="1" customWidth="1"/>
    <col min="16037" max="16037" width="6.44140625" style="95" customWidth="1"/>
    <col min="16038" max="16076" width="7" style="95" hidden="1" customWidth="1"/>
    <col min="16077" max="16384" width="7" style="95" hidden="1"/>
  </cols>
  <sheetData>
    <row r="1" spans="1:5" s="60" customFormat="1" ht="18.75" customHeight="1" x14ac:dyDescent="0.25">
      <c r="A1" s="1" t="s">
        <v>402</v>
      </c>
      <c r="B1" s="58"/>
      <c r="C1" s="2" t="s">
        <v>388</v>
      </c>
      <c r="D1" s="59"/>
      <c r="E1" s="59"/>
    </row>
    <row r="2" spans="1:5" s="64" customFormat="1" ht="42" customHeight="1" x14ac:dyDescent="0.3">
      <c r="A2" s="154" t="s">
        <v>404</v>
      </c>
      <c r="B2" s="103" t="s">
        <v>389</v>
      </c>
      <c r="C2" s="104" t="s">
        <v>1</v>
      </c>
      <c r="D2" s="109" t="s">
        <v>340</v>
      </c>
      <c r="E2" s="110" t="s">
        <v>341</v>
      </c>
    </row>
    <row r="3" spans="1:5" s="67" customFormat="1" hidden="1" x14ac:dyDescent="0.3">
      <c r="A3" s="153"/>
      <c r="B3" s="61"/>
      <c r="C3" s="5"/>
      <c r="D3" s="63"/>
      <c r="E3" s="66"/>
    </row>
    <row r="4" spans="1:5" s="73" customFormat="1" ht="36" hidden="1" customHeight="1" x14ac:dyDescent="0.3">
      <c r="A4" s="6" t="s">
        <v>2</v>
      </c>
      <c r="B4" s="68" t="s">
        <v>390</v>
      </c>
      <c r="C4" s="8"/>
      <c r="D4" s="71"/>
      <c r="E4" s="72"/>
    </row>
    <row r="5" spans="1:5" s="73" customFormat="1" ht="36" hidden="1" customHeight="1" x14ac:dyDescent="0.3">
      <c r="A5" s="9" t="s">
        <v>3</v>
      </c>
      <c r="B5" s="68" t="s">
        <v>391</v>
      </c>
      <c r="C5" s="8"/>
      <c r="D5" s="71"/>
      <c r="E5" s="72"/>
    </row>
    <row r="6" spans="1:5" s="73" customFormat="1" ht="21.75" hidden="1" customHeight="1" x14ac:dyDescent="0.3">
      <c r="A6" s="6" t="s">
        <v>4</v>
      </c>
      <c r="B6" s="68" t="s">
        <v>390</v>
      </c>
      <c r="C6" s="8"/>
      <c r="D6" s="71"/>
      <c r="E6" s="72"/>
    </row>
    <row r="7" spans="1:5" s="73" customFormat="1" ht="18.600000000000001" customHeight="1" x14ac:dyDescent="0.3">
      <c r="A7" s="6" t="s">
        <v>5</v>
      </c>
      <c r="B7" s="68" t="s">
        <v>390</v>
      </c>
      <c r="C7" s="8">
        <v>148</v>
      </c>
      <c r="D7" s="71">
        <v>5000</v>
      </c>
      <c r="E7" s="72">
        <f>+D7*C7</f>
        <v>740000</v>
      </c>
    </row>
    <row r="8" spans="1:5" s="73" customFormat="1" ht="20.25" hidden="1" customHeight="1" x14ac:dyDescent="0.3">
      <c r="A8" s="10" t="s">
        <v>6</v>
      </c>
      <c r="B8" s="68" t="s">
        <v>391</v>
      </c>
      <c r="C8" s="8"/>
      <c r="D8" s="71"/>
      <c r="E8" s="72"/>
    </row>
    <row r="9" spans="1:5" s="73" customFormat="1" ht="21.75" hidden="1" customHeight="1" x14ac:dyDescent="0.3">
      <c r="A9" s="11" t="s">
        <v>7</v>
      </c>
      <c r="B9" s="68" t="s">
        <v>390</v>
      </c>
      <c r="C9" s="8"/>
      <c r="D9" s="71"/>
      <c r="E9" s="72"/>
    </row>
    <row r="10" spans="1:5" s="73" customFormat="1" ht="21.75" hidden="1" customHeight="1" x14ac:dyDescent="0.3">
      <c r="A10" s="6" t="s">
        <v>8</v>
      </c>
      <c r="B10" s="68" t="s">
        <v>390</v>
      </c>
      <c r="C10" s="8"/>
      <c r="D10" s="71"/>
      <c r="E10" s="72"/>
    </row>
    <row r="11" spans="1:5" s="73" customFormat="1" ht="21.75" hidden="1" customHeight="1" x14ac:dyDescent="0.3">
      <c r="A11" s="6" t="s">
        <v>9</v>
      </c>
      <c r="B11" s="68" t="s">
        <v>390</v>
      </c>
      <c r="C11" s="8"/>
      <c r="D11" s="71"/>
      <c r="E11" s="72"/>
    </row>
    <row r="12" spans="1:5" s="73" customFormat="1" ht="20.25" hidden="1" customHeight="1" x14ac:dyDescent="0.3">
      <c r="A12" s="12" t="s">
        <v>342</v>
      </c>
      <c r="B12" s="68" t="s">
        <v>390</v>
      </c>
      <c r="C12" s="8"/>
      <c r="D12" s="71"/>
      <c r="E12" s="72"/>
    </row>
    <row r="13" spans="1:5" s="73" customFormat="1" ht="21.75" hidden="1" customHeight="1" x14ac:dyDescent="0.3">
      <c r="A13" s="10" t="s">
        <v>11</v>
      </c>
      <c r="B13" s="68" t="s">
        <v>390</v>
      </c>
      <c r="C13" s="8"/>
      <c r="D13" s="71"/>
      <c r="E13" s="72"/>
    </row>
    <row r="14" spans="1:5" s="73" customFormat="1" ht="18.600000000000001" customHeight="1" x14ac:dyDescent="0.3">
      <c r="A14" s="10" t="s">
        <v>12</v>
      </c>
      <c r="B14" s="68" t="s">
        <v>390</v>
      </c>
      <c r="C14" s="8">
        <v>30</v>
      </c>
      <c r="D14" s="71">
        <v>7000</v>
      </c>
      <c r="E14" s="72">
        <f>+D14*C14</f>
        <v>210000</v>
      </c>
    </row>
    <row r="15" spans="1:5" s="73" customFormat="1" ht="39.9" hidden="1" customHeight="1" x14ac:dyDescent="0.3">
      <c r="A15" s="13" t="s">
        <v>13</v>
      </c>
      <c r="B15" s="68" t="s">
        <v>392</v>
      </c>
      <c r="C15" s="8"/>
      <c r="D15" s="71"/>
      <c r="E15" s="72"/>
    </row>
    <row r="16" spans="1:5" s="73" customFormat="1" ht="21.75" hidden="1" customHeight="1" x14ac:dyDescent="0.3">
      <c r="A16" s="13" t="s">
        <v>14</v>
      </c>
      <c r="B16" s="68" t="s">
        <v>390</v>
      </c>
      <c r="C16" s="8"/>
      <c r="D16" s="71"/>
      <c r="E16" s="72"/>
    </row>
    <row r="17" spans="1:5" s="73" customFormat="1" ht="21.75" hidden="1" customHeight="1" x14ac:dyDescent="0.3">
      <c r="A17" s="10" t="s">
        <v>15</v>
      </c>
      <c r="B17" s="68" t="s">
        <v>390</v>
      </c>
      <c r="C17" s="8"/>
      <c r="D17" s="71"/>
      <c r="E17" s="72"/>
    </row>
    <row r="18" spans="1:5" s="73" customFormat="1" ht="21.75" hidden="1" customHeight="1" x14ac:dyDescent="0.3">
      <c r="A18" s="10" t="s">
        <v>16</v>
      </c>
      <c r="B18" s="68" t="s">
        <v>390</v>
      </c>
      <c r="C18" s="8"/>
      <c r="D18" s="77"/>
      <c r="E18" s="72"/>
    </row>
    <row r="19" spans="1:5" s="73" customFormat="1" ht="20.25" hidden="1" customHeight="1" x14ac:dyDescent="0.3">
      <c r="A19" s="14" t="s">
        <v>17</v>
      </c>
      <c r="B19" s="68" t="s">
        <v>392</v>
      </c>
      <c r="C19" s="8"/>
      <c r="D19" s="71"/>
      <c r="E19" s="72"/>
    </row>
    <row r="20" spans="1:5" s="73" customFormat="1" ht="21.75" hidden="1" customHeight="1" x14ac:dyDescent="0.3">
      <c r="A20" s="12" t="s">
        <v>18</v>
      </c>
      <c r="B20" s="68" t="s">
        <v>390</v>
      </c>
      <c r="C20" s="8"/>
      <c r="D20" s="71"/>
      <c r="E20" s="72"/>
    </row>
    <row r="21" spans="1:5" s="73" customFormat="1" ht="18.600000000000001" customHeight="1" x14ac:dyDescent="0.3">
      <c r="A21" s="10" t="s">
        <v>19</v>
      </c>
      <c r="B21" s="68" t="s">
        <v>390</v>
      </c>
      <c r="C21" s="8">
        <v>1065</v>
      </c>
      <c r="D21" s="71">
        <v>17000</v>
      </c>
      <c r="E21" s="72">
        <f>+D21*C21</f>
        <v>18105000</v>
      </c>
    </row>
    <row r="22" spans="1:5" s="73" customFormat="1" ht="21.75" hidden="1" customHeight="1" x14ac:dyDescent="0.3">
      <c r="A22" s="13" t="s">
        <v>20</v>
      </c>
      <c r="B22" s="68" t="s">
        <v>392</v>
      </c>
      <c r="C22" s="8"/>
      <c r="D22" s="71"/>
      <c r="E22" s="72"/>
    </row>
    <row r="23" spans="1:5" s="73" customFormat="1" ht="20.25" hidden="1" customHeight="1" x14ac:dyDescent="0.3">
      <c r="A23" s="13" t="s">
        <v>21</v>
      </c>
      <c r="B23" s="68" t="s">
        <v>390</v>
      </c>
      <c r="C23" s="8"/>
      <c r="D23" s="71"/>
      <c r="E23" s="72"/>
    </row>
    <row r="24" spans="1:5" s="73" customFormat="1" ht="18.600000000000001" customHeight="1" x14ac:dyDescent="0.3">
      <c r="A24" s="10" t="s">
        <v>22</v>
      </c>
      <c r="B24" s="68" t="s">
        <v>390</v>
      </c>
      <c r="C24" s="8">
        <v>2</v>
      </c>
      <c r="D24" s="71">
        <v>10000</v>
      </c>
      <c r="E24" s="72">
        <f>+D24*C24</f>
        <v>20000</v>
      </c>
    </row>
    <row r="25" spans="1:5" s="73" customFormat="1" ht="21.75" hidden="1" customHeight="1" x14ac:dyDescent="0.3">
      <c r="A25" s="10" t="s">
        <v>23</v>
      </c>
      <c r="B25" s="68" t="s">
        <v>392</v>
      </c>
      <c r="C25" s="8"/>
      <c r="D25" s="71"/>
      <c r="E25" s="72"/>
    </row>
    <row r="26" spans="1:5" s="73" customFormat="1" ht="20.25" hidden="1" customHeight="1" x14ac:dyDescent="0.3">
      <c r="A26" s="10" t="s">
        <v>24</v>
      </c>
      <c r="B26" s="68" t="s">
        <v>390</v>
      </c>
      <c r="C26" s="8"/>
      <c r="D26" s="71"/>
      <c r="E26" s="72"/>
    </row>
    <row r="27" spans="1:5" s="73" customFormat="1" ht="21.75" hidden="1" customHeight="1" x14ac:dyDescent="0.3">
      <c r="A27" s="10" t="s">
        <v>25</v>
      </c>
      <c r="B27" s="68" t="s">
        <v>392</v>
      </c>
      <c r="C27" s="8"/>
      <c r="D27" s="71"/>
      <c r="E27" s="72"/>
    </row>
    <row r="28" spans="1:5" s="73" customFormat="1" ht="21.75" hidden="1" customHeight="1" x14ac:dyDescent="0.3">
      <c r="A28" s="10" t="s">
        <v>26</v>
      </c>
      <c r="B28" s="68" t="s">
        <v>390</v>
      </c>
      <c r="C28" s="8"/>
      <c r="D28" s="71"/>
      <c r="E28" s="72"/>
    </row>
    <row r="29" spans="1:5" s="73" customFormat="1" ht="20.25" hidden="1" customHeight="1" x14ac:dyDescent="0.3">
      <c r="A29" s="10" t="s">
        <v>27</v>
      </c>
      <c r="B29" s="68" t="s">
        <v>390</v>
      </c>
      <c r="C29" s="8"/>
      <c r="D29" s="71"/>
      <c r="E29" s="72"/>
    </row>
    <row r="30" spans="1:5" s="73" customFormat="1" ht="20.25" hidden="1" customHeight="1" x14ac:dyDescent="0.3">
      <c r="A30" s="13" t="s">
        <v>28</v>
      </c>
      <c r="B30" s="68" t="s">
        <v>390</v>
      </c>
      <c r="C30" s="8"/>
      <c r="D30" s="71"/>
      <c r="E30" s="72"/>
    </row>
    <row r="31" spans="1:5" s="73" customFormat="1" ht="21.75" hidden="1" customHeight="1" x14ac:dyDescent="0.3">
      <c r="A31" s="13" t="s">
        <v>35</v>
      </c>
      <c r="B31" s="68" t="s">
        <v>390</v>
      </c>
      <c r="C31" s="8"/>
      <c r="D31" s="71"/>
      <c r="E31" s="72"/>
    </row>
    <row r="32" spans="1:5" s="73" customFormat="1" ht="21.75" hidden="1" customHeight="1" x14ac:dyDescent="0.3">
      <c r="A32" s="10" t="s">
        <v>36</v>
      </c>
      <c r="B32" s="68" t="s">
        <v>390</v>
      </c>
      <c r="C32" s="8"/>
      <c r="D32" s="71"/>
      <c r="E32" s="72"/>
    </row>
    <row r="33" spans="1:5" s="73" customFormat="1" ht="21.75" hidden="1" customHeight="1" x14ac:dyDescent="0.3">
      <c r="A33" s="10" t="s">
        <v>37</v>
      </c>
      <c r="B33" s="68" t="s">
        <v>393</v>
      </c>
      <c r="C33" s="8"/>
      <c r="D33" s="71"/>
      <c r="E33" s="72"/>
    </row>
    <row r="34" spans="1:5" s="73" customFormat="1" ht="21.75" hidden="1" customHeight="1" x14ac:dyDescent="0.3">
      <c r="A34" s="12" t="s">
        <v>38</v>
      </c>
      <c r="B34" s="68" t="s">
        <v>390</v>
      </c>
      <c r="C34" s="17"/>
      <c r="D34" s="71"/>
      <c r="E34" s="72"/>
    </row>
    <row r="35" spans="1:5" s="73" customFormat="1" ht="21.75" hidden="1" customHeight="1" x14ac:dyDescent="0.3">
      <c r="A35" s="12" t="s">
        <v>39</v>
      </c>
      <c r="B35" s="68" t="s">
        <v>390</v>
      </c>
      <c r="C35" s="17"/>
      <c r="D35" s="71"/>
      <c r="E35" s="72"/>
    </row>
    <row r="36" spans="1:5" s="73" customFormat="1" ht="20.25" hidden="1" customHeight="1" x14ac:dyDescent="0.3">
      <c r="A36" s="10" t="s">
        <v>40</v>
      </c>
      <c r="B36" s="68" t="s">
        <v>390</v>
      </c>
      <c r="C36" s="8"/>
      <c r="D36" s="71"/>
      <c r="E36" s="72"/>
    </row>
    <row r="37" spans="1:5" s="73" customFormat="1" ht="21.75" hidden="1" customHeight="1" x14ac:dyDescent="0.3">
      <c r="A37" s="10" t="s">
        <v>41</v>
      </c>
      <c r="B37" s="68" t="s">
        <v>390</v>
      </c>
      <c r="C37" s="8"/>
      <c r="D37" s="71"/>
      <c r="E37" s="72"/>
    </row>
    <row r="38" spans="1:5" s="73" customFormat="1" ht="20.25" hidden="1" customHeight="1" x14ac:dyDescent="0.3">
      <c r="A38" s="18" t="s">
        <v>42</v>
      </c>
      <c r="B38" s="68" t="s">
        <v>394</v>
      </c>
      <c r="C38" s="8"/>
      <c r="D38" s="71"/>
      <c r="E38" s="72"/>
    </row>
    <row r="39" spans="1:5" s="73" customFormat="1" ht="20.25" hidden="1" customHeight="1" x14ac:dyDescent="0.3">
      <c r="A39" s="10" t="s">
        <v>43</v>
      </c>
      <c r="B39" s="68" t="s">
        <v>390</v>
      </c>
      <c r="C39" s="8"/>
      <c r="D39" s="71"/>
      <c r="E39" s="72"/>
    </row>
    <row r="40" spans="1:5" s="73" customFormat="1" ht="21.75" hidden="1" customHeight="1" x14ac:dyDescent="0.3">
      <c r="A40" s="10" t="s">
        <v>44</v>
      </c>
      <c r="B40" s="68" t="s">
        <v>395</v>
      </c>
      <c r="C40" s="8"/>
      <c r="D40" s="71"/>
      <c r="E40" s="72"/>
    </row>
    <row r="41" spans="1:5" s="73" customFormat="1" ht="21.75" hidden="1" customHeight="1" x14ac:dyDescent="0.3">
      <c r="A41" s="10" t="s">
        <v>45</v>
      </c>
      <c r="B41" s="68" t="s">
        <v>390</v>
      </c>
      <c r="C41" s="8"/>
      <c r="D41" s="71"/>
      <c r="E41" s="72"/>
    </row>
    <row r="42" spans="1:5" s="73" customFormat="1" ht="21.75" hidden="1" customHeight="1" x14ac:dyDescent="0.3">
      <c r="A42" s="10" t="s">
        <v>46</v>
      </c>
      <c r="B42" s="68" t="s">
        <v>390</v>
      </c>
      <c r="C42" s="8"/>
      <c r="D42" s="100"/>
      <c r="E42" s="72"/>
    </row>
    <row r="43" spans="1:5" s="73" customFormat="1" ht="20.25" hidden="1" customHeight="1" x14ac:dyDescent="0.3">
      <c r="A43" s="14" t="s">
        <v>47</v>
      </c>
      <c r="B43" s="68" t="s">
        <v>395</v>
      </c>
      <c r="C43" s="8"/>
      <c r="D43" s="71"/>
      <c r="E43" s="72"/>
    </row>
    <row r="44" spans="1:5" s="73" customFormat="1" ht="20.25" hidden="1" customHeight="1" x14ac:dyDescent="0.3">
      <c r="A44" s="12" t="s">
        <v>48</v>
      </c>
      <c r="B44" s="68" t="s">
        <v>390</v>
      </c>
      <c r="C44" s="8"/>
      <c r="D44" s="71"/>
      <c r="E44" s="72"/>
    </row>
    <row r="45" spans="1:5" s="73" customFormat="1" ht="20.25" hidden="1" customHeight="1" x14ac:dyDescent="0.3">
      <c r="A45" s="14" t="s">
        <v>49</v>
      </c>
      <c r="B45" s="68" t="s">
        <v>394</v>
      </c>
      <c r="C45" s="8"/>
      <c r="D45" s="71"/>
      <c r="E45" s="72"/>
    </row>
    <row r="46" spans="1:5" s="73" customFormat="1" ht="20.25" hidden="1" customHeight="1" x14ac:dyDescent="0.3">
      <c r="A46" s="10" t="s">
        <v>50</v>
      </c>
      <c r="B46" s="68" t="s">
        <v>390</v>
      </c>
      <c r="C46" s="8"/>
      <c r="D46" s="71"/>
      <c r="E46" s="72"/>
    </row>
    <row r="47" spans="1:5" s="73" customFormat="1" ht="21.75" hidden="1" customHeight="1" x14ac:dyDescent="0.3">
      <c r="A47" s="10" t="s">
        <v>51</v>
      </c>
      <c r="B47" s="68" t="s">
        <v>390</v>
      </c>
      <c r="C47" s="8"/>
      <c r="D47" s="71"/>
      <c r="E47" s="72"/>
    </row>
    <row r="48" spans="1:5" s="73" customFormat="1" ht="18.600000000000001" customHeight="1" x14ac:dyDescent="0.3">
      <c r="A48" s="13" t="s">
        <v>52</v>
      </c>
      <c r="B48" s="68" t="s">
        <v>390</v>
      </c>
      <c r="C48" s="8">
        <v>316</v>
      </c>
      <c r="D48" s="71">
        <v>18000</v>
      </c>
      <c r="E48" s="72">
        <f>+D48*C48</f>
        <v>5688000</v>
      </c>
    </row>
    <row r="49" spans="1:5" s="73" customFormat="1" ht="21.75" hidden="1" customHeight="1" x14ac:dyDescent="0.3">
      <c r="A49" s="31" t="s">
        <v>53</v>
      </c>
      <c r="B49" s="68" t="s">
        <v>390</v>
      </c>
      <c r="C49" s="8"/>
      <c r="D49" s="71"/>
      <c r="E49" s="79"/>
    </row>
    <row r="50" spans="1:5" s="73" customFormat="1" ht="21.75" hidden="1" customHeight="1" x14ac:dyDescent="0.3">
      <c r="A50" s="18" t="s">
        <v>54</v>
      </c>
      <c r="B50" s="68" t="s">
        <v>396</v>
      </c>
      <c r="C50" s="8"/>
      <c r="D50" s="71"/>
      <c r="E50" s="72"/>
    </row>
    <row r="51" spans="1:5" s="73" customFormat="1" ht="21.75" hidden="1" customHeight="1" x14ac:dyDescent="0.3">
      <c r="A51" s="18" t="s">
        <v>55</v>
      </c>
      <c r="B51" s="68" t="s">
        <v>396</v>
      </c>
      <c r="C51" s="8"/>
      <c r="D51" s="71"/>
      <c r="E51" s="72"/>
    </row>
    <row r="52" spans="1:5" s="73" customFormat="1" ht="21.75" hidden="1" customHeight="1" x14ac:dyDescent="0.3">
      <c r="A52" s="18" t="s">
        <v>56</v>
      </c>
      <c r="B52" s="68" t="s">
        <v>390</v>
      </c>
      <c r="C52" s="8"/>
      <c r="D52" s="71"/>
      <c r="E52" s="79"/>
    </row>
    <row r="53" spans="1:5" s="73" customFormat="1" ht="20.25" hidden="1" customHeight="1" x14ac:dyDescent="0.3">
      <c r="A53" s="10" t="s">
        <v>57</v>
      </c>
      <c r="B53" s="68" t="s">
        <v>390</v>
      </c>
      <c r="C53" s="8"/>
      <c r="D53" s="71"/>
      <c r="E53" s="79"/>
    </row>
    <row r="54" spans="1:5" s="73" customFormat="1" ht="20.25" hidden="1" customHeight="1" x14ac:dyDescent="0.3">
      <c r="A54" s="12" t="s">
        <v>58</v>
      </c>
      <c r="B54" s="68" t="s">
        <v>390</v>
      </c>
      <c r="C54" s="8"/>
      <c r="D54" s="71"/>
      <c r="E54" s="72"/>
    </row>
    <row r="55" spans="1:5" s="73" customFormat="1" ht="20.25" hidden="1" customHeight="1" x14ac:dyDescent="0.3">
      <c r="A55" s="10" t="s">
        <v>59</v>
      </c>
      <c r="B55" s="68" t="s">
        <v>390</v>
      </c>
      <c r="C55" s="8"/>
      <c r="D55" s="71"/>
      <c r="E55" s="79"/>
    </row>
    <row r="56" spans="1:5" s="73" customFormat="1" ht="20.25" hidden="1" customHeight="1" x14ac:dyDescent="0.3">
      <c r="A56" s="10" t="s">
        <v>60</v>
      </c>
      <c r="B56" s="68" t="s">
        <v>390</v>
      </c>
      <c r="C56" s="8"/>
      <c r="D56" s="71"/>
      <c r="E56" s="72"/>
    </row>
    <row r="57" spans="1:5" s="73" customFormat="1" ht="20.25" hidden="1" customHeight="1" x14ac:dyDescent="0.3">
      <c r="A57" s="18" t="s">
        <v>61</v>
      </c>
      <c r="B57" s="68" t="s">
        <v>396</v>
      </c>
      <c r="C57" s="8"/>
      <c r="D57" s="71"/>
      <c r="E57" s="72"/>
    </row>
    <row r="58" spans="1:5" s="73" customFormat="1" ht="20.25" hidden="1" customHeight="1" x14ac:dyDescent="0.3">
      <c r="A58" s="10" t="s">
        <v>62</v>
      </c>
      <c r="B58" s="68" t="s">
        <v>393</v>
      </c>
      <c r="C58" s="8"/>
      <c r="D58" s="71"/>
      <c r="E58" s="79"/>
    </row>
    <row r="59" spans="1:5" s="73" customFormat="1" ht="20.25" hidden="1" customHeight="1" x14ac:dyDescent="0.3">
      <c r="A59" s="21" t="s">
        <v>63</v>
      </c>
      <c r="B59" s="68" t="s">
        <v>390</v>
      </c>
      <c r="C59" s="8"/>
      <c r="D59" s="71"/>
      <c r="E59" s="72"/>
    </row>
    <row r="60" spans="1:5" s="73" customFormat="1" ht="21.75" hidden="1" customHeight="1" x14ac:dyDescent="0.3">
      <c r="A60" s="10" t="s">
        <v>64</v>
      </c>
      <c r="B60" s="68" t="s">
        <v>390</v>
      </c>
      <c r="C60" s="8"/>
      <c r="D60" s="71"/>
      <c r="E60" s="79"/>
    </row>
    <row r="61" spans="1:5" s="73" customFormat="1" ht="21.75" hidden="1" customHeight="1" x14ac:dyDescent="0.3">
      <c r="A61" s="10" t="s">
        <v>65</v>
      </c>
      <c r="B61" s="68" t="s">
        <v>390</v>
      </c>
      <c r="C61" s="8"/>
      <c r="D61" s="71"/>
      <c r="E61" s="79"/>
    </row>
    <row r="62" spans="1:5" s="73" customFormat="1" ht="21.75" hidden="1" customHeight="1" x14ac:dyDescent="0.3">
      <c r="A62" s="22" t="s">
        <v>66</v>
      </c>
      <c r="B62" s="68" t="s">
        <v>390</v>
      </c>
      <c r="C62" s="8"/>
      <c r="D62" s="71"/>
      <c r="E62" s="79"/>
    </row>
    <row r="63" spans="1:5" s="73" customFormat="1" ht="21.75" hidden="1" customHeight="1" x14ac:dyDescent="0.3">
      <c r="A63" s="45" t="s">
        <v>67</v>
      </c>
      <c r="B63" s="68" t="s">
        <v>390</v>
      </c>
      <c r="C63" s="8"/>
      <c r="D63" s="71"/>
      <c r="E63" s="72"/>
    </row>
    <row r="64" spans="1:5" s="73" customFormat="1" ht="21.75" hidden="1" customHeight="1" x14ac:dyDescent="0.3">
      <c r="A64" s="13" t="s">
        <v>68</v>
      </c>
      <c r="B64" s="68" t="s">
        <v>396</v>
      </c>
      <c r="C64" s="8"/>
      <c r="D64" s="71"/>
      <c r="E64" s="72"/>
    </row>
    <row r="65" spans="1:5" s="73" customFormat="1" ht="20.25" hidden="1" customHeight="1" x14ac:dyDescent="0.3">
      <c r="A65" s="12" t="s">
        <v>69</v>
      </c>
      <c r="B65" s="68" t="s">
        <v>390</v>
      </c>
      <c r="C65" s="8"/>
      <c r="D65" s="71"/>
      <c r="E65" s="72"/>
    </row>
    <row r="66" spans="1:5" s="73" customFormat="1" ht="21.75" hidden="1" customHeight="1" x14ac:dyDescent="0.3">
      <c r="A66" s="13" t="s">
        <v>70</v>
      </c>
      <c r="B66" s="68" t="s">
        <v>390</v>
      </c>
      <c r="C66" s="8"/>
      <c r="D66" s="71"/>
      <c r="E66" s="72"/>
    </row>
    <row r="67" spans="1:5" s="73" customFormat="1" ht="20.25" hidden="1" customHeight="1" x14ac:dyDescent="0.3">
      <c r="A67" s="13" t="s">
        <v>71</v>
      </c>
      <c r="B67" s="68" t="s">
        <v>390</v>
      </c>
      <c r="C67" s="8"/>
      <c r="D67" s="71"/>
      <c r="E67" s="72"/>
    </row>
    <row r="68" spans="1:5" s="73" customFormat="1" ht="21.75" hidden="1" customHeight="1" x14ac:dyDescent="0.3">
      <c r="A68" s="13" t="s">
        <v>72</v>
      </c>
      <c r="B68" s="68" t="s">
        <v>396</v>
      </c>
      <c r="C68" s="8"/>
      <c r="D68" s="71"/>
      <c r="E68" s="72"/>
    </row>
    <row r="69" spans="1:5" s="73" customFormat="1" ht="20.25" hidden="1" customHeight="1" x14ac:dyDescent="0.3">
      <c r="A69" s="22" t="s">
        <v>73</v>
      </c>
      <c r="B69" s="68" t="s">
        <v>390</v>
      </c>
      <c r="C69" s="8"/>
      <c r="D69" s="71"/>
      <c r="E69" s="72"/>
    </row>
    <row r="70" spans="1:5" s="73" customFormat="1" ht="20.25" hidden="1" customHeight="1" x14ac:dyDescent="0.3">
      <c r="A70" s="10" t="s">
        <v>74</v>
      </c>
      <c r="B70" s="68" t="s">
        <v>396</v>
      </c>
      <c r="C70" s="8"/>
      <c r="D70" s="71"/>
      <c r="E70" s="72"/>
    </row>
    <row r="71" spans="1:5" s="73" customFormat="1" ht="21.75" hidden="1" customHeight="1" x14ac:dyDescent="0.3">
      <c r="A71" s="10" t="s">
        <v>75</v>
      </c>
      <c r="B71" s="68" t="s">
        <v>394</v>
      </c>
      <c r="C71" s="8"/>
      <c r="D71" s="71"/>
      <c r="E71" s="72"/>
    </row>
    <row r="72" spans="1:5" s="73" customFormat="1" ht="20.25" hidden="1" customHeight="1" x14ac:dyDescent="0.3">
      <c r="A72" s="13" t="s">
        <v>76</v>
      </c>
      <c r="B72" s="68" t="s">
        <v>390</v>
      </c>
      <c r="C72" s="8"/>
      <c r="D72" s="71"/>
      <c r="E72" s="72"/>
    </row>
    <row r="73" spans="1:5" s="73" customFormat="1" ht="18.600000000000001" customHeight="1" x14ac:dyDescent="0.3">
      <c r="A73" s="10" t="s">
        <v>77</v>
      </c>
      <c r="B73" s="68" t="s">
        <v>390</v>
      </c>
      <c r="C73" s="8">
        <v>10</v>
      </c>
      <c r="D73" s="71">
        <v>28000</v>
      </c>
      <c r="E73" s="72">
        <f>+D73*C73</f>
        <v>280000</v>
      </c>
    </row>
    <row r="74" spans="1:5" s="73" customFormat="1" ht="21.75" hidden="1" customHeight="1" x14ac:dyDescent="0.3">
      <c r="A74" s="14" t="s">
        <v>78</v>
      </c>
      <c r="B74" s="68" t="s">
        <v>394</v>
      </c>
      <c r="C74" s="8"/>
      <c r="D74" s="71"/>
      <c r="E74" s="72"/>
    </row>
    <row r="75" spans="1:5" s="73" customFormat="1" ht="43.5" hidden="1" customHeight="1" x14ac:dyDescent="0.3">
      <c r="A75" s="10" t="s">
        <v>79</v>
      </c>
      <c r="B75" s="68" t="s">
        <v>397</v>
      </c>
      <c r="C75" s="8"/>
      <c r="D75" s="71"/>
      <c r="E75" s="72"/>
    </row>
    <row r="76" spans="1:5" s="73" customFormat="1" ht="20.25" hidden="1" customHeight="1" x14ac:dyDescent="0.3">
      <c r="A76" s="10" t="s">
        <v>80</v>
      </c>
      <c r="B76" s="68" t="s">
        <v>390</v>
      </c>
      <c r="C76" s="8"/>
      <c r="D76" s="71"/>
      <c r="E76" s="72"/>
    </row>
    <row r="77" spans="1:5" s="73" customFormat="1" ht="20.25" hidden="1" customHeight="1" x14ac:dyDescent="0.3">
      <c r="A77" s="10" t="s">
        <v>81</v>
      </c>
      <c r="B77" s="68" t="s">
        <v>390</v>
      </c>
      <c r="C77" s="8"/>
      <c r="D77" s="71"/>
      <c r="E77" s="72"/>
    </row>
    <row r="78" spans="1:5" s="73" customFormat="1" ht="21.75" hidden="1" customHeight="1" x14ac:dyDescent="0.3">
      <c r="A78" s="13" t="s">
        <v>82</v>
      </c>
      <c r="B78" s="68" t="s">
        <v>390</v>
      </c>
      <c r="C78" s="17"/>
      <c r="D78" s="71"/>
      <c r="E78" s="72"/>
    </row>
    <row r="79" spans="1:5" s="73" customFormat="1" ht="21.75" hidden="1" customHeight="1" x14ac:dyDescent="0.3">
      <c r="A79" s="13" t="s">
        <v>83</v>
      </c>
      <c r="B79" s="68" t="s">
        <v>390</v>
      </c>
      <c r="C79" s="17"/>
      <c r="D79" s="71"/>
      <c r="E79" s="72"/>
    </row>
    <row r="80" spans="1:5" s="73" customFormat="1" ht="21.75" hidden="1" customHeight="1" x14ac:dyDescent="0.3">
      <c r="A80" s="13" t="s">
        <v>84</v>
      </c>
      <c r="B80" s="68" t="s">
        <v>394</v>
      </c>
      <c r="C80" s="17"/>
      <c r="D80" s="71"/>
      <c r="E80" s="72"/>
    </row>
    <row r="81" spans="1:5" s="73" customFormat="1" ht="21.75" hidden="1" customHeight="1" x14ac:dyDescent="0.3">
      <c r="A81" s="10" t="s">
        <v>85</v>
      </c>
      <c r="B81" s="68" t="s">
        <v>390</v>
      </c>
      <c r="C81" s="8"/>
      <c r="D81" s="71"/>
      <c r="E81" s="72"/>
    </row>
    <row r="82" spans="1:5" s="73" customFormat="1" ht="20.25" hidden="1" customHeight="1" x14ac:dyDescent="0.3">
      <c r="A82" s="10" t="s">
        <v>86</v>
      </c>
      <c r="B82" s="68" t="s">
        <v>390</v>
      </c>
      <c r="C82" s="8"/>
      <c r="D82" s="71"/>
      <c r="E82" s="72"/>
    </row>
    <row r="83" spans="1:5" s="73" customFormat="1" ht="20.25" hidden="1" customHeight="1" x14ac:dyDescent="0.3">
      <c r="A83" s="10" t="s">
        <v>87</v>
      </c>
      <c r="B83" s="68" t="s">
        <v>393</v>
      </c>
      <c r="C83" s="8"/>
      <c r="D83" s="71"/>
      <c r="E83" s="72"/>
    </row>
    <row r="84" spans="1:5" s="73" customFormat="1" ht="20.25" hidden="1" customHeight="1" x14ac:dyDescent="0.3">
      <c r="A84" s="10" t="s">
        <v>88</v>
      </c>
      <c r="B84" s="68" t="s">
        <v>390</v>
      </c>
      <c r="C84" s="8"/>
      <c r="D84" s="71"/>
      <c r="E84" s="72"/>
    </row>
    <row r="85" spans="1:5" s="73" customFormat="1" ht="20.25" hidden="1" customHeight="1" x14ac:dyDescent="0.3">
      <c r="A85" s="10" t="s">
        <v>89</v>
      </c>
      <c r="B85" s="68" t="s">
        <v>393</v>
      </c>
      <c r="C85" s="8"/>
      <c r="D85" s="71"/>
      <c r="E85" s="72"/>
    </row>
    <row r="86" spans="1:5" s="73" customFormat="1" ht="18.600000000000001" customHeight="1" x14ac:dyDescent="0.3">
      <c r="A86" s="10" t="s">
        <v>90</v>
      </c>
      <c r="B86" s="68" t="s">
        <v>390</v>
      </c>
      <c r="C86" s="8">
        <v>60</v>
      </c>
      <c r="D86" s="71">
        <v>7000</v>
      </c>
      <c r="E86" s="72">
        <f>+D86*C86</f>
        <v>420000</v>
      </c>
    </row>
    <row r="87" spans="1:5" s="73" customFormat="1" ht="20.25" hidden="1" customHeight="1" x14ac:dyDescent="0.3">
      <c r="A87" s="23" t="s">
        <v>91</v>
      </c>
      <c r="B87" s="68" t="s">
        <v>398</v>
      </c>
      <c r="C87" s="8"/>
      <c r="D87" s="71"/>
      <c r="E87" s="72"/>
    </row>
    <row r="88" spans="1:5" s="73" customFormat="1" ht="21.75" hidden="1" customHeight="1" x14ac:dyDescent="0.3">
      <c r="A88" s="23" t="s">
        <v>92</v>
      </c>
      <c r="B88" s="68" t="s">
        <v>396</v>
      </c>
      <c r="C88" s="8"/>
      <c r="D88" s="71"/>
      <c r="E88" s="72"/>
    </row>
    <row r="89" spans="1:5" s="80" customFormat="1" ht="20.25" hidden="1" customHeight="1" x14ac:dyDescent="0.3">
      <c r="A89" s="23" t="s">
        <v>93</v>
      </c>
      <c r="B89" s="68" t="s">
        <v>396</v>
      </c>
      <c r="C89" s="8"/>
      <c r="D89" s="71"/>
      <c r="E89" s="72"/>
    </row>
    <row r="90" spans="1:5" s="80" customFormat="1" ht="20.25" hidden="1" customHeight="1" x14ac:dyDescent="0.3">
      <c r="A90" s="12" t="s">
        <v>94</v>
      </c>
      <c r="B90" s="68" t="s">
        <v>390</v>
      </c>
      <c r="C90" s="8"/>
      <c r="D90" s="71"/>
      <c r="E90" s="72"/>
    </row>
    <row r="91" spans="1:5" s="73" customFormat="1" ht="21.75" hidden="1" customHeight="1" x14ac:dyDescent="0.3">
      <c r="A91" s="14" t="s">
        <v>95</v>
      </c>
      <c r="B91" s="68" t="s">
        <v>394</v>
      </c>
      <c r="C91" s="8"/>
      <c r="D91" s="71"/>
      <c r="E91" s="72"/>
    </row>
    <row r="92" spans="1:5" s="73" customFormat="1" ht="21.75" hidden="1" customHeight="1" x14ac:dyDescent="0.3">
      <c r="A92" s="12" t="s">
        <v>343</v>
      </c>
      <c r="B92" s="68" t="s">
        <v>390</v>
      </c>
      <c r="C92" s="8"/>
      <c r="D92" s="71"/>
      <c r="E92" s="72"/>
    </row>
    <row r="93" spans="1:5" s="73" customFormat="1" ht="21.75" hidden="1" customHeight="1" x14ac:dyDescent="0.3">
      <c r="A93" s="10" t="s">
        <v>96</v>
      </c>
      <c r="B93" s="68" t="s">
        <v>390</v>
      </c>
      <c r="C93" s="8"/>
      <c r="D93" s="71"/>
      <c r="E93" s="72"/>
    </row>
    <row r="94" spans="1:5" s="73" customFormat="1" ht="21.75" hidden="1" customHeight="1" x14ac:dyDescent="0.3">
      <c r="A94" s="10" t="s">
        <v>97</v>
      </c>
      <c r="B94" s="68" t="s">
        <v>393</v>
      </c>
      <c r="C94" s="8"/>
      <c r="D94" s="71"/>
      <c r="E94" s="72"/>
    </row>
    <row r="95" spans="1:5" s="73" customFormat="1" ht="21.75" hidden="1" customHeight="1" x14ac:dyDescent="0.3">
      <c r="A95" s="12" t="s">
        <v>344</v>
      </c>
      <c r="B95" s="68" t="s">
        <v>390</v>
      </c>
      <c r="C95" s="8"/>
      <c r="D95" s="71"/>
      <c r="E95" s="72"/>
    </row>
    <row r="96" spans="1:5" s="73" customFormat="1" ht="21.75" hidden="1" customHeight="1" x14ac:dyDescent="0.3">
      <c r="A96" s="12" t="s">
        <v>345</v>
      </c>
      <c r="B96" s="68" t="s">
        <v>393</v>
      </c>
      <c r="C96" s="8"/>
      <c r="D96" s="71"/>
      <c r="E96" s="72"/>
    </row>
    <row r="97" spans="1:5" s="73" customFormat="1" ht="21.75" hidden="1" customHeight="1" x14ac:dyDescent="0.3">
      <c r="A97" s="10" t="s">
        <v>99</v>
      </c>
      <c r="B97" s="68" t="s">
        <v>390</v>
      </c>
      <c r="C97" s="17"/>
      <c r="D97" s="71"/>
      <c r="E97" s="72"/>
    </row>
    <row r="98" spans="1:5" s="73" customFormat="1" ht="21.75" hidden="1" customHeight="1" x14ac:dyDescent="0.3">
      <c r="A98" s="23" t="s">
        <v>101</v>
      </c>
      <c r="B98" s="68" t="s">
        <v>393</v>
      </c>
      <c r="C98" s="8"/>
      <c r="D98" s="71"/>
      <c r="E98" s="72"/>
    </row>
    <row r="99" spans="1:5" s="73" customFormat="1" ht="20.25" hidden="1" customHeight="1" x14ac:dyDescent="0.3">
      <c r="A99" s="12" t="s">
        <v>102</v>
      </c>
      <c r="B99" s="68" t="s">
        <v>390</v>
      </c>
      <c r="C99" s="8"/>
      <c r="D99" s="71"/>
      <c r="E99" s="72"/>
    </row>
    <row r="100" spans="1:5" s="73" customFormat="1" ht="20.25" hidden="1" customHeight="1" x14ac:dyDescent="0.3">
      <c r="A100" s="12" t="s">
        <v>346</v>
      </c>
      <c r="B100" s="68" t="s">
        <v>390</v>
      </c>
      <c r="C100" s="8"/>
      <c r="D100" s="71"/>
      <c r="E100" s="72"/>
    </row>
    <row r="101" spans="1:5" s="73" customFormat="1" ht="20.25" hidden="1" customHeight="1" x14ac:dyDescent="0.3">
      <c r="A101" s="10" t="s">
        <v>103</v>
      </c>
      <c r="B101" s="68" t="s">
        <v>390</v>
      </c>
      <c r="C101" s="8"/>
      <c r="D101" s="71"/>
      <c r="E101" s="72"/>
    </row>
    <row r="102" spans="1:5" s="73" customFormat="1" ht="20.25" hidden="1" customHeight="1" x14ac:dyDescent="0.3">
      <c r="A102" s="18" t="s">
        <v>104</v>
      </c>
      <c r="B102" s="68" t="s">
        <v>391</v>
      </c>
      <c r="C102" s="8"/>
      <c r="D102" s="71"/>
      <c r="E102" s="72"/>
    </row>
    <row r="103" spans="1:5" s="73" customFormat="1" ht="21.75" hidden="1" customHeight="1" x14ac:dyDescent="0.3">
      <c r="A103" s="26" t="s">
        <v>105</v>
      </c>
      <c r="B103" s="68" t="s">
        <v>390</v>
      </c>
      <c r="C103" s="8"/>
      <c r="D103" s="71"/>
      <c r="E103" s="72"/>
    </row>
    <row r="104" spans="1:5" s="73" customFormat="1" ht="20.25" hidden="1" customHeight="1" x14ac:dyDescent="0.3">
      <c r="A104" s="26" t="s">
        <v>106</v>
      </c>
      <c r="B104" s="68" t="s">
        <v>391</v>
      </c>
      <c r="C104" s="8"/>
      <c r="D104" s="71"/>
      <c r="E104" s="72"/>
    </row>
    <row r="105" spans="1:5" s="73" customFormat="1" ht="20.25" hidden="1" customHeight="1" x14ac:dyDescent="0.3">
      <c r="A105" s="25" t="s">
        <v>107</v>
      </c>
      <c r="B105" s="68" t="s">
        <v>390</v>
      </c>
      <c r="C105" s="8"/>
      <c r="D105" s="71"/>
      <c r="E105" s="72"/>
    </row>
    <row r="106" spans="1:5" s="73" customFormat="1" ht="20.25" hidden="1" customHeight="1" x14ac:dyDescent="0.3">
      <c r="A106" s="27" t="s">
        <v>108</v>
      </c>
      <c r="B106" s="68" t="s">
        <v>399</v>
      </c>
      <c r="C106" s="8"/>
      <c r="D106" s="71"/>
      <c r="E106" s="72"/>
    </row>
    <row r="107" spans="1:5" s="73" customFormat="1" ht="20.25" hidden="1" customHeight="1" x14ac:dyDescent="0.3">
      <c r="A107" s="10" t="s">
        <v>109</v>
      </c>
      <c r="B107" s="68" t="s">
        <v>390</v>
      </c>
      <c r="C107" s="8"/>
      <c r="D107" s="71"/>
      <c r="E107" s="72"/>
    </row>
    <row r="108" spans="1:5" s="73" customFormat="1" ht="20.25" hidden="1" customHeight="1" x14ac:dyDescent="0.3">
      <c r="A108" s="10" t="s">
        <v>110</v>
      </c>
      <c r="B108" s="68" t="s">
        <v>390</v>
      </c>
      <c r="C108" s="8"/>
      <c r="D108" s="71"/>
      <c r="E108" s="72"/>
    </row>
    <row r="109" spans="1:5" s="73" customFormat="1" ht="21.75" hidden="1" customHeight="1" x14ac:dyDescent="0.3">
      <c r="A109" s="10" t="s">
        <v>111</v>
      </c>
      <c r="B109" s="68" t="s">
        <v>390</v>
      </c>
      <c r="C109" s="8"/>
      <c r="D109" s="71"/>
      <c r="E109" s="72"/>
    </row>
    <row r="110" spans="1:5" s="73" customFormat="1" ht="21.75" hidden="1" customHeight="1" x14ac:dyDescent="0.3">
      <c r="A110" s="10" t="s">
        <v>112</v>
      </c>
      <c r="B110" s="68" t="s">
        <v>395</v>
      </c>
      <c r="C110" s="8"/>
      <c r="D110" s="71"/>
      <c r="E110" s="72"/>
    </row>
    <row r="111" spans="1:5" s="73" customFormat="1" ht="21.75" hidden="1" customHeight="1" x14ac:dyDescent="0.3">
      <c r="A111" s="10" t="s">
        <v>114</v>
      </c>
      <c r="B111" s="68" t="s">
        <v>390</v>
      </c>
      <c r="C111" s="8"/>
      <c r="D111" s="71"/>
      <c r="E111" s="72"/>
    </row>
    <row r="112" spans="1:5" s="73" customFormat="1" ht="21.75" hidden="1" customHeight="1" x14ac:dyDescent="0.3">
      <c r="A112" s="10" t="s">
        <v>115</v>
      </c>
      <c r="B112" s="68" t="s">
        <v>394</v>
      </c>
      <c r="C112" s="8"/>
      <c r="D112" s="71"/>
      <c r="E112" s="72"/>
    </row>
    <row r="113" spans="1:5" s="73" customFormat="1" ht="21.75" hidden="1" customHeight="1" x14ac:dyDescent="0.3">
      <c r="A113" s="10" t="s">
        <v>347</v>
      </c>
      <c r="B113" s="68" t="s">
        <v>390</v>
      </c>
      <c r="C113" s="8"/>
      <c r="D113" s="71"/>
      <c r="E113" s="72"/>
    </row>
    <row r="114" spans="1:5" s="73" customFormat="1" ht="21.75" hidden="1" customHeight="1" x14ac:dyDescent="0.3">
      <c r="A114" s="10" t="s">
        <v>116</v>
      </c>
      <c r="B114" s="68" t="s">
        <v>390</v>
      </c>
      <c r="C114" s="8"/>
      <c r="D114" s="71"/>
      <c r="E114" s="72"/>
    </row>
    <row r="115" spans="1:5" s="73" customFormat="1" ht="21.75" hidden="1" customHeight="1" x14ac:dyDescent="0.3">
      <c r="A115" s="12" t="s">
        <v>117</v>
      </c>
      <c r="B115" s="68" t="s">
        <v>390</v>
      </c>
      <c r="C115" s="8"/>
      <c r="D115" s="71"/>
      <c r="E115" s="72"/>
    </row>
    <row r="116" spans="1:5" s="73" customFormat="1" ht="21.75" hidden="1" customHeight="1" x14ac:dyDescent="0.3">
      <c r="A116" s="23" t="s">
        <v>118</v>
      </c>
      <c r="B116" s="68" t="s">
        <v>392</v>
      </c>
      <c r="C116" s="8"/>
      <c r="D116" s="71"/>
      <c r="E116" s="72"/>
    </row>
    <row r="117" spans="1:5" s="73" customFormat="1" ht="21.75" hidden="1" customHeight="1" x14ac:dyDescent="0.3">
      <c r="A117" s="10" t="s">
        <v>119</v>
      </c>
      <c r="B117" s="68" t="s">
        <v>400</v>
      </c>
      <c r="C117" s="8"/>
      <c r="D117" s="71"/>
      <c r="E117" s="72"/>
    </row>
    <row r="118" spans="1:5" s="73" customFormat="1" ht="21.75" hidden="1" customHeight="1" x14ac:dyDescent="0.3">
      <c r="A118" s="12" t="s">
        <v>120</v>
      </c>
      <c r="B118" s="68" t="s">
        <v>400</v>
      </c>
      <c r="C118" s="8"/>
      <c r="D118" s="71"/>
      <c r="E118" s="72"/>
    </row>
    <row r="119" spans="1:5" s="73" customFormat="1" ht="21.75" hidden="1" customHeight="1" x14ac:dyDescent="0.3">
      <c r="A119" s="12" t="s">
        <v>121</v>
      </c>
      <c r="B119" s="68" t="s">
        <v>400</v>
      </c>
      <c r="C119" s="8"/>
      <c r="D119" s="71"/>
      <c r="E119" s="72"/>
    </row>
    <row r="120" spans="1:5" s="73" customFormat="1" ht="18.600000000000001" customHeight="1" x14ac:dyDescent="0.3">
      <c r="A120" s="10" t="s">
        <v>122</v>
      </c>
      <c r="B120" s="68" t="s">
        <v>390</v>
      </c>
      <c r="C120" s="8">
        <v>16</v>
      </c>
      <c r="D120" s="71">
        <v>10000</v>
      </c>
      <c r="E120" s="72">
        <f>+D120*C120</f>
        <v>160000</v>
      </c>
    </row>
    <row r="121" spans="1:5" s="73" customFormat="1" ht="20.25" hidden="1" customHeight="1" x14ac:dyDescent="0.3">
      <c r="A121" s="11" t="s">
        <v>124</v>
      </c>
      <c r="B121" s="68" t="s">
        <v>390</v>
      </c>
      <c r="C121" s="8"/>
      <c r="D121" s="71"/>
      <c r="E121" s="72"/>
    </row>
    <row r="122" spans="1:5" s="73" customFormat="1" ht="21.75" hidden="1" customHeight="1" x14ac:dyDescent="0.3">
      <c r="A122" s="14" t="s">
        <v>125</v>
      </c>
      <c r="B122" s="68" t="s">
        <v>396</v>
      </c>
      <c r="C122" s="8"/>
      <c r="D122" s="71"/>
      <c r="E122" s="72"/>
    </row>
    <row r="123" spans="1:5" s="73" customFormat="1" ht="21.75" hidden="1" customHeight="1" x14ac:dyDescent="0.3">
      <c r="A123" s="13" t="s">
        <v>126</v>
      </c>
      <c r="B123" s="68" t="s">
        <v>396</v>
      </c>
      <c r="C123" s="17"/>
      <c r="D123" s="71"/>
      <c r="E123" s="72"/>
    </row>
    <row r="124" spans="1:5" s="73" customFormat="1" ht="20.25" hidden="1" customHeight="1" x14ac:dyDescent="0.3">
      <c r="A124" s="13" t="s">
        <v>127</v>
      </c>
      <c r="B124" s="68" t="s">
        <v>390</v>
      </c>
      <c r="C124" s="17"/>
      <c r="D124" s="71"/>
      <c r="E124" s="72"/>
    </row>
    <row r="125" spans="1:5" s="73" customFormat="1" ht="21.75" hidden="1" customHeight="1" x14ac:dyDescent="0.3">
      <c r="A125" s="13" t="s">
        <v>128</v>
      </c>
      <c r="B125" s="68" t="s">
        <v>390</v>
      </c>
      <c r="C125" s="17"/>
      <c r="D125" s="71"/>
      <c r="E125" s="72"/>
    </row>
    <row r="126" spans="1:5" s="73" customFormat="1" ht="21.75" hidden="1" customHeight="1" x14ac:dyDescent="0.3">
      <c r="A126" s="13" t="s">
        <v>129</v>
      </c>
      <c r="B126" s="68" t="s">
        <v>390</v>
      </c>
      <c r="C126" s="29"/>
      <c r="D126" s="71"/>
      <c r="E126" s="72"/>
    </row>
    <row r="127" spans="1:5" s="73" customFormat="1" ht="20.25" hidden="1" customHeight="1" x14ac:dyDescent="0.3">
      <c r="A127" s="30" t="s">
        <v>130</v>
      </c>
      <c r="B127" s="68" t="s">
        <v>394</v>
      </c>
      <c r="C127" s="8"/>
      <c r="D127" s="71"/>
      <c r="E127" s="72"/>
    </row>
    <row r="128" spans="1:5" s="73" customFormat="1" ht="21.75" hidden="1" customHeight="1" x14ac:dyDescent="0.3">
      <c r="A128" s="13" t="s">
        <v>131</v>
      </c>
      <c r="B128" s="68" t="s">
        <v>390</v>
      </c>
      <c r="C128" s="17"/>
      <c r="D128" s="71"/>
      <c r="E128" s="72"/>
    </row>
    <row r="129" spans="1:5" s="73" customFormat="1" ht="21.75" hidden="1" customHeight="1" x14ac:dyDescent="0.3">
      <c r="A129" s="10" t="s">
        <v>132</v>
      </c>
      <c r="B129" s="68" t="s">
        <v>390</v>
      </c>
      <c r="C129" s="8"/>
      <c r="D129" s="71"/>
      <c r="E129" s="72"/>
    </row>
    <row r="130" spans="1:5" s="73" customFormat="1" ht="20.25" hidden="1" customHeight="1" x14ac:dyDescent="0.3">
      <c r="A130" s="10" t="s">
        <v>133</v>
      </c>
      <c r="B130" s="68" t="s">
        <v>398</v>
      </c>
      <c r="C130" s="8"/>
      <c r="D130" s="71"/>
      <c r="E130" s="72"/>
    </row>
    <row r="131" spans="1:5" s="73" customFormat="1" ht="18.600000000000001" customHeight="1" x14ac:dyDescent="0.3">
      <c r="A131" s="10" t="s">
        <v>135</v>
      </c>
      <c r="B131" s="68" t="s">
        <v>390</v>
      </c>
      <c r="C131" s="8">
        <v>145</v>
      </c>
      <c r="D131" s="71">
        <v>5500</v>
      </c>
      <c r="E131" s="72">
        <f>+D131*C131</f>
        <v>797500</v>
      </c>
    </row>
    <row r="132" spans="1:5" s="73" customFormat="1" ht="21.75" hidden="1" customHeight="1" x14ac:dyDescent="0.3">
      <c r="A132" s="18" t="s">
        <v>136</v>
      </c>
      <c r="B132" s="68" t="s">
        <v>393</v>
      </c>
      <c r="C132" s="8"/>
      <c r="D132" s="71"/>
      <c r="E132" s="72"/>
    </row>
    <row r="133" spans="1:5" s="73" customFormat="1" ht="20.25" hidden="1" customHeight="1" x14ac:dyDescent="0.3">
      <c r="A133" s="13" t="s">
        <v>137</v>
      </c>
      <c r="B133" s="68" t="s">
        <v>390</v>
      </c>
      <c r="C133" s="8"/>
      <c r="D133" s="71"/>
      <c r="E133" s="72"/>
    </row>
    <row r="134" spans="1:5" s="73" customFormat="1" ht="20.25" hidden="1" customHeight="1" x14ac:dyDescent="0.3">
      <c r="A134" s="13" t="s">
        <v>138</v>
      </c>
      <c r="B134" s="68" t="s">
        <v>393</v>
      </c>
      <c r="C134" s="8"/>
      <c r="D134" s="71"/>
      <c r="E134" s="72"/>
    </row>
    <row r="135" spans="1:5" s="73" customFormat="1" ht="21.75" hidden="1" customHeight="1" x14ac:dyDescent="0.3">
      <c r="A135" s="10" t="s">
        <v>139</v>
      </c>
      <c r="B135" s="68" t="s">
        <v>390</v>
      </c>
      <c r="C135" s="8"/>
      <c r="D135" s="71"/>
      <c r="E135" s="72"/>
    </row>
    <row r="136" spans="1:5" s="73" customFormat="1" ht="20.25" hidden="1" customHeight="1" x14ac:dyDescent="0.3">
      <c r="A136" s="10" t="s">
        <v>348</v>
      </c>
      <c r="B136" s="68" t="s">
        <v>390</v>
      </c>
      <c r="C136" s="8"/>
      <c r="D136" s="71"/>
      <c r="E136" s="72"/>
    </row>
    <row r="137" spans="1:5" s="73" customFormat="1" ht="20.25" hidden="1" customHeight="1" x14ac:dyDescent="0.3">
      <c r="A137" s="10" t="s">
        <v>141</v>
      </c>
      <c r="B137" s="68" t="s">
        <v>390</v>
      </c>
      <c r="C137" s="17"/>
      <c r="D137" s="71"/>
      <c r="E137" s="72"/>
    </row>
    <row r="138" spans="1:5" s="73" customFormat="1" ht="21.75" hidden="1" customHeight="1" x14ac:dyDescent="0.3">
      <c r="A138" s="10" t="s">
        <v>142</v>
      </c>
      <c r="B138" s="68" t="s">
        <v>394</v>
      </c>
      <c r="C138" s="17"/>
      <c r="D138" s="71"/>
      <c r="E138" s="72"/>
    </row>
    <row r="139" spans="1:5" s="73" customFormat="1" ht="21.75" hidden="1" customHeight="1" x14ac:dyDescent="0.3">
      <c r="A139" s="10" t="s">
        <v>143</v>
      </c>
      <c r="B139" s="68"/>
      <c r="C139" s="8"/>
      <c r="D139" s="71"/>
      <c r="E139" s="72"/>
    </row>
    <row r="140" spans="1:5" s="73" customFormat="1" ht="20.25" hidden="1" customHeight="1" x14ac:dyDescent="0.3">
      <c r="A140" s="10" t="s">
        <v>144</v>
      </c>
      <c r="B140" s="68" t="s">
        <v>390</v>
      </c>
      <c r="C140" s="17"/>
      <c r="D140" s="71"/>
      <c r="E140" s="72"/>
    </row>
    <row r="141" spans="1:5" s="73" customFormat="1" ht="20.25" hidden="1" customHeight="1" x14ac:dyDescent="0.3">
      <c r="A141" s="10" t="s">
        <v>145</v>
      </c>
      <c r="B141" s="68" t="s">
        <v>394</v>
      </c>
      <c r="C141" s="17"/>
      <c r="D141" s="71"/>
      <c r="E141" s="72"/>
    </row>
    <row r="142" spans="1:5" s="73" customFormat="1" ht="20.25" hidden="1" customHeight="1" x14ac:dyDescent="0.3">
      <c r="A142" s="10" t="s">
        <v>146</v>
      </c>
      <c r="B142" s="68" t="s">
        <v>390</v>
      </c>
      <c r="C142" s="17"/>
      <c r="D142" s="71"/>
      <c r="E142" s="72"/>
    </row>
    <row r="143" spans="1:5" s="73" customFormat="1" ht="20.25" hidden="1" customHeight="1" x14ac:dyDescent="0.3">
      <c r="A143" s="10" t="s">
        <v>147</v>
      </c>
      <c r="B143" s="68" t="s">
        <v>394</v>
      </c>
      <c r="C143" s="17"/>
      <c r="D143" s="71"/>
      <c r="E143" s="72"/>
    </row>
    <row r="144" spans="1:5" s="73" customFormat="1" ht="41.4" hidden="1" customHeight="1" x14ac:dyDescent="0.3">
      <c r="A144" s="10" t="s">
        <v>148</v>
      </c>
      <c r="B144" s="68" t="s">
        <v>390</v>
      </c>
      <c r="C144" s="17"/>
      <c r="D144" s="71"/>
      <c r="E144" s="72"/>
    </row>
    <row r="145" spans="1:5" s="73" customFormat="1" ht="41.4" hidden="1" customHeight="1" x14ac:dyDescent="0.3">
      <c r="A145" s="10" t="s">
        <v>149</v>
      </c>
      <c r="B145" s="68" t="s">
        <v>390</v>
      </c>
      <c r="C145" s="17"/>
      <c r="D145" s="71"/>
      <c r="E145" s="72"/>
    </row>
    <row r="146" spans="1:5" s="73" customFormat="1" ht="21.75" hidden="1" customHeight="1" x14ac:dyDescent="0.3">
      <c r="A146" s="10" t="s">
        <v>150</v>
      </c>
      <c r="B146" s="68" t="s">
        <v>390</v>
      </c>
      <c r="C146" s="17"/>
      <c r="D146" s="71"/>
      <c r="E146" s="72"/>
    </row>
    <row r="147" spans="1:5" s="73" customFormat="1" ht="21.75" hidden="1" customHeight="1" x14ac:dyDescent="0.3">
      <c r="A147" s="10" t="s">
        <v>151</v>
      </c>
      <c r="B147" s="68" t="s">
        <v>394</v>
      </c>
      <c r="C147" s="17"/>
      <c r="D147" s="71"/>
      <c r="E147" s="72"/>
    </row>
    <row r="148" spans="1:5" s="73" customFormat="1" ht="21.75" hidden="1" customHeight="1" x14ac:dyDescent="0.3">
      <c r="A148" s="10" t="s">
        <v>152</v>
      </c>
      <c r="B148" s="68" t="s">
        <v>390</v>
      </c>
      <c r="C148" s="8"/>
      <c r="D148" s="71"/>
      <c r="E148" s="72"/>
    </row>
    <row r="149" spans="1:5" s="73" customFormat="1" ht="21.75" hidden="1" customHeight="1" x14ac:dyDescent="0.3">
      <c r="A149" s="10" t="s">
        <v>349</v>
      </c>
      <c r="B149" s="68" t="s">
        <v>390</v>
      </c>
      <c r="C149" s="8"/>
      <c r="D149" s="71"/>
      <c r="E149" s="72"/>
    </row>
    <row r="150" spans="1:5" s="73" customFormat="1" ht="20.25" hidden="1" customHeight="1" x14ac:dyDescent="0.3">
      <c r="A150" s="10" t="s">
        <v>153</v>
      </c>
      <c r="B150" s="68" t="s">
        <v>390</v>
      </c>
      <c r="C150" s="8"/>
      <c r="D150" s="71"/>
      <c r="E150" s="72"/>
    </row>
    <row r="151" spans="1:5" s="73" customFormat="1" ht="20.25" hidden="1" customHeight="1" x14ac:dyDescent="0.3">
      <c r="A151" s="10" t="s">
        <v>154</v>
      </c>
      <c r="B151" s="68" t="s">
        <v>393</v>
      </c>
      <c r="C151" s="8"/>
      <c r="D151" s="71"/>
      <c r="E151" s="72"/>
    </row>
    <row r="152" spans="1:5" s="73" customFormat="1" ht="21.75" hidden="1" customHeight="1" x14ac:dyDescent="0.3">
      <c r="A152" s="10" t="s">
        <v>155</v>
      </c>
      <c r="B152" s="68" t="s">
        <v>393</v>
      </c>
      <c r="C152" s="8"/>
      <c r="D152" s="71"/>
      <c r="E152" s="72"/>
    </row>
    <row r="153" spans="1:5" s="73" customFormat="1" ht="20.25" hidden="1" customHeight="1" x14ac:dyDescent="0.3">
      <c r="A153" s="18" t="s">
        <v>156</v>
      </c>
      <c r="B153" s="68" t="s">
        <v>393</v>
      </c>
      <c r="C153" s="8"/>
      <c r="D153" s="71"/>
      <c r="E153" s="72"/>
    </row>
    <row r="154" spans="1:5" s="73" customFormat="1" ht="21.75" hidden="1" customHeight="1" x14ac:dyDescent="0.3">
      <c r="A154" s="10" t="s">
        <v>157</v>
      </c>
      <c r="B154" s="68" t="s">
        <v>390</v>
      </c>
      <c r="C154" s="8"/>
      <c r="D154" s="71"/>
      <c r="E154" s="72"/>
    </row>
    <row r="155" spans="1:5" s="73" customFormat="1" ht="21.75" hidden="1" customHeight="1" x14ac:dyDescent="0.3">
      <c r="A155" s="10" t="s">
        <v>158</v>
      </c>
      <c r="B155" s="68" t="s">
        <v>390</v>
      </c>
      <c r="C155" s="8"/>
      <c r="D155" s="71"/>
      <c r="E155" s="72"/>
    </row>
    <row r="156" spans="1:5" s="73" customFormat="1" ht="18.600000000000001" customHeight="1" x14ac:dyDescent="0.3">
      <c r="A156" s="10" t="s">
        <v>159</v>
      </c>
      <c r="B156" s="68" t="s">
        <v>393</v>
      </c>
      <c r="C156" s="8">
        <v>7</v>
      </c>
      <c r="D156" s="71">
        <v>11000</v>
      </c>
      <c r="E156" s="72">
        <f>+D156*C156</f>
        <v>77000</v>
      </c>
    </row>
    <row r="157" spans="1:5" s="73" customFormat="1" ht="57" hidden="1" customHeight="1" x14ac:dyDescent="0.3">
      <c r="A157" s="10" t="s">
        <v>160</v>
      </c>
      <c r="B157" s="68" t="s">
        <v>393</v>
      </c>
      <c r="C157" s="8"/>
      <c r="D157" s="71"/>
      <c r="E157" s="72"/>
    </row>
    <row r="158" spans="1:5" s="73" customFormat="1" ht="21.75" hidden="1" customHeight="1" x14ac:dyDescent="0.3">
      <c r="A158" s="10" t="s">
        <v>161</v>
      </c>
      <c r="B158" s="68" t="s">
        <v>393</v>
      </c>
      <c r="C158" s="17"/>
      <c r="D158" s="71"/>
      <c r="E158" s="72"/>
    </row>
    <row r="159" spans="1:5" s="73" customFormat="1" ht="21.75" hidden="1" customHeight="1" x14ac:dyDescent="0.3">
      <c r="A159" s="31" t="s">
        <v>162</v>
      </c>
      <c r="B159" s="68" t="s">
        <v>390</v>
      </c>
      <c r="C159" s="17"/>
      <c r="D159" s="71"/>
      <c r="E159" s="72"/>
    </row>
    <row r="160" spans="1:5" s="73" customFormat="1" ht="20.25" hidden="1" customHeight="1" x14ac:dyDescent="0.3">
      <c r="A160" s="10" t="s">
        <v>163</v>
      </c>
      <c r="B160" s="68" t="s">
        <v>394</v>
      </c>
      <c r="C160" s="17"/>
      <c r="D160" s="71"/>
      <c r="E160" s="72"/>
    </row>
    <row r="161" spans="1:5" s="73" customFormat="1" ht="21.75" hidden="1" customHeight="1" x14ac:dyDescent="0.3">
      <c r="A161" s="10" t="s">
        <v>165</v>
      </c>
      <c r="B161" s="68" t="s">
        <v>390</v>
      </c>
      <c r="C161" s="8"/>
      <c r="D161" s="71"/>
      <c r="E161" s="72"/>
    </row>
    <row r="162" spans="1:5" s="73" customFormat="1" ht="21.75" hidden="1" customHeight="1" x14ac:dyDescent="0.3">
      <c r="A162" s="18" t="s">
        <v>166</v>
      </c>
      <c r="B162" s="68" t="s">
        <v>394</v>
      </c>
      <c r="C162" s="8"/>
      <c r="D162" s="71"/>
      <c r="E162" s="72"/>
    </row>
    <row r="163" spans="1:5" s="73" customFormat="1" ht="18.600000000000001" customHeight="1" x14ac:dyDescent="0.3">
      <c r="A163" s="10" t="s">
        <v>350</v>
      </c>
      <c r="B163" s="68" t="s">
        <v>394</v>
      </c>
      <c r="C163" s="8">
        <v>14</v>
      </c>
      <c r="D163" s="71">
        <v>7000</v>
      </c>
      <c r="E163" s="72">
        <f>+D163*C163</f>
        <v>98000</v>
      </c>
    </row>
    <row r="164" spans="1:5" s="73" customFormat="1" ht="20.25" hidden="1" customHeight="1" x14ac:dyDescent="0.3">
      <c r="A164" s="13" t="s">
        <v>167</v>
      </c>
      <c r="B164" s="68" t="s">
        <v>390</v>
      </c>
      <c r="C164" s="8"/>
      <c r="D164" s="71"/>
      <c r="E164" s="72"/>
    </row>
    <row r="165" spans="1:5" s="81" customFormat="1" ht="20.25" hidden="1" customHeight="1" x14ac:dyDescent="0.3">
      <c r="A165" s="10" t="s">
        <v>168</v>
      </c>
      <c r="B165" s="68" t="s">
        <v>394</v>
      </c>
      <c r="C165" s="8"/>
      <c r="D165" s="101"/>
      <c r="E165" s="72"/>
    </row>
    <row r="166" spans="1:5" s="73" customFormat="1" ht="21.75" hidden="1" customHeight="1" x14ac:dyDescent="0.3">
      <c r="A166" s="10" t="s">
        <v>170</v>
      </c>
      <c r="B166" s="68" t="s">
        <v>390</v>
      </c>
      <c r="C166" s="8"/>
      <c r="D166" s="77"/>
      <c r="E166" s="72"/>
    </row>
    <row r="167" spans="1:5" s="73" customFormat="1" ht="20.25" hidden="1" customHeight="1" x14ac:dyDescent="0.3">
      <c r="A167" s="10" t="s">
        <v>171</v>
      </c>
      <c r="B167" s="68" t="s">
        <v>390</v>
      </c>
      <c r="C167" s="8"/>
      <c r="D167" s="71"/>
      <c r="E167" s="72"/>
    </row>
    <row r="168" spans="1:5" s="73" customFormat="1" ht="20.25" hidden="1" customHeight="1" x14ac:dyDescent="0.3">
      <c r="A168" s="22" t="s">
        <v>172</v>
      </c>
      <c r="B168" s="68" t="s">
        <v>390</v>
      </c>
      <c r="C168" s="8"/>
      <c r="D168" s="71"/>
      <c r="E168" s="72"/>
    </row>
    <row r="169" spans="1:5" s="73" customFormat="1" ht="20.25" hidden="1" customHeight="1" x14ac:dyDescent="0.3">
      <c r="A169" s="10" t="s">
        <v>173</v>
      </c>
      <c r="B169" s="68" t="s">
        <v>393</v>
      </c>
      <c r="C169" s="8"/>
      <c r="D169" s="71"/>
      <c r="E169" s="72"/>
    </row>
    <row r="170" spans="1:5" s="73" customFormat="1" ht="21.75" hidden="1" customHeight="1" x14ac:dyDescent="0.3">
      <c r="A170" s="34" t="s">
        <v>174</v>
      </c>
      <c r="B170" s="82" t="s">
        <v>390</v>
      </c>
      <c r="C170" s="36"/>
      <c r="D170" s="83"/>
      <c r="E170" s="84"/>
    </row>
    <row r="171" spans="1:5" s="73" customFormat="1" ht="21.75" hidden="1" customHeight="1" x14ac:dyDescent="0.3">
      <c r="A171" s="12" t="s">
        <v>175</v>
      </c>
      <c r="B171" s="68" t="s">
        <v>390</v>
      </c>
      <c r="C171" s="8"/>
      <c r="D171" s="71"/>
      <c r="E171" s="72"/>
    </row>
    <row r="172" spans="1:5" s="73" customFormat="1" ht="21.75" hidden="1" customHeight="1" x14ac:dyDescent="0.3">
      <c r="A172" s="10" t="s">
        <v>176</v>
      </c>
      <c r="B172" s="68" t="s">
        <v>390</v>
      </c>
      <c r="C172" s="8"/>
      <c r="D172" s="71"/>
      <c r="E172" s="72"/>
    </row>
    <row r="173" spans="1:5" s="73" customFormat="1" ht="21.75" hidden="1" customHeight="1" x14ac:dyDescent="0.3">
      <c r="A173" s="10" t="s">
        <v>177</v>
      </c>
      <c r="B173" s="68" t="s">
        <v>390</v>
      </c>
      <c r="C173" s="8"/>
      <c r="D173" s="71"/>
      <c r="E173" s="72"/>
    </row>
    <row r="174" spans="1:5" s="73" customFormat="1" ht="20.25" hidden="1" customHeight="1" x14ac:dyDescent="0.3">
      <c r="A174" s="13" t="s">
        <v>178</v>
      </c>
      <c r="B174" s="68" t="s">
        <v>390</v>
      </c>
      <c r="C174" s="8"/>
      <c r="D174" s="71"/>
      <c r="E174" s="72"/>
    </row>
    <row r="175" spans="1:5" s="73" customFormat="1" ht="21.75" hidden="1" customHeight="1" x14ac:dyDescent="0.3">
      <c r="A175" s="10" t="s">
        <v>179</v>
      </c>
      <c r="B175" s="68" t="s">
        <v>390</v>
      </c>
      <c r="C175" s="8"/>
      <c r="D175" s="71"/>
      <c r="E175" s="72"/>
    </row>
    <row r="176" spans="1:5" s="73" customFormat="1" ht="20.25" hidden="1" customHeight="1" x14ac:dyDescent="0.3">
      <c r="A176" s="10" t="s">
        <v>180</v>
      </c>
      <c r="B176" s="68" t="s">
        <v>390</v>
      </c>
      <c r="C176" s="8"/>
      <c r="D176" s="71"/>
      <c r="E176" s="72"/>
    </row>
    <row r="177" spans="1:5" s="73" customFormat="1" ht="21.75" hidden="1" customHeight="1" x14ac:dyDescent="0.3">
      <c r="A177" s="13" t="s">
        <v>181</v>
      </c>
      <c r="B177" s="68" t="s">
        <v>390</v>
      </c>
      <c r="C177" s="8"/>
      <c r="D177" s="71"/>
      <c r="E177" s="72"/>
    </row>
    <row r="178" spans="1:5" s="73" customFormat="1" ht="21.75" hidden="1" customHeight="1" x14ac:dyDescent="0.3">
      <c r="A178" s="13" t="s">
        <v>182</v>
      </c>
      <c r="B178" s="68" t="s">
        <v>390</v>
      </c>
      <c r="C178" s="8"/>
      <c r="D178" s="71"/>
      <c r="E178" s="72"/>
    </row>
    <row r="179" spans="1:5" s="73" customFormat="1" ht="18.600000000000001" customHeight="1" x14ac:dyDescent="0.3">
      <c r="A179" s="13" t="s">
        <v>183</v>
      </c>
      <c r="B179" s="68" t="s">
        <v>390</v>
      </c>
      <c r="C179" s="8">
        <v>3080</v>
      </c>
      <c r="D179" s="71">
        <f>VLOOKUP(A179,'12.6'!A175:C728,3,)</f>
        <v>7700</v>
      </c>
      <c r="E179" s="72">
        <f>+D179*C179</f>
        <v>23716000</v>
      </c>
    </row>
    <row r="180" spans="1:5" s="73" customFormat="1" ht="20.25" hidden="1" customHeight="1" x14ac:dyDescent="0.3">
      <c r="A180" s="10" t="s">
        <v>184</v>
      </c>
      <c r="B180" s="68" t="s">
        <v>393</v>
      </c>
      <c r="C180" s="8"/>
      <c r="D180" s="71"/>
      <c r="E180" s="72"/>
    </row>
    <row r="181" spans="1:5" s="73" customFormat="1" ht="21.75" hidden="1" customHeight="1" x14ac:dyDescent="0.3">
      <c r="A181" s="13" t="s">
        <v>185</v>
      </c>
      <c r="B181" s="68" t="s">
        <v>390</v>
      </c>
      <c r="C181" s="8"/>
      <c r="D181" s="71"/>
      <c r="E181" s="72"/>
    </row>
    <row r="182" spans="1:5" s="73" customFormat="1" ht="21.75" hidden="1" customHeight="1" x14ac:dyDescent="0.3">
      <c r="A182" s="13" t="s">
        <v>186</v>
      </c>
      <c r="B182" s="68" t="s">
        <v>390</v>
      </c>
      <c r="C182" s="8"/>
      <c r="D182" s="71"/>
      <c r="E182" s="72"/>
    </row>
    <row r="183" spans="1:5" s="73" customFormat="1" ht="20.25" hidden="1" customHeight="1" x14ac:dyDescent="0.3">
      <c r="A183" s="13" t="s">
        <v>187</v>
      </c>
      <c r="B183" s="68" t="s">
        <v>393</v>
      </c>
      <c r="C183" s="8"/>
      <c r="D183" s="71"/>
      <c r="E183" s="72"/>
    </row>
    <row r="184" spans="1:5" s="73" customFormat="1" ht="20.25" hidden="1" customHeight="1" x14ac:dyDescent="0.3">
      <c r="A184" s="10" t="s">
        <v>188</v>
      </c>
      <c r="B184" s="68" t="s">
        <v>393</v>
      </c>
      <c r="C184" s="8"/>
      <c r="D184" s="71"/>
      <c r="E184" s="72"/>
    </row>
    <row r="185" spans="1:5" s="73" customFormat="1" ht="20.25" hidden="1" customHeight="1" x14ac:dyDescent="0.3">
      <c r="A185" s="18" t="s">
        <v>189</v>
      </c>
      <c r="B185" s="68" t="s">
        <v>390</v>
      </c>
      <c r="C185" s="8"/>
      <c r="D185" s="71"/>
      <c r="E185" s="72"/>
    </row>
    <row r="186" spans="1:5" s="73" customFormat="1" ht="20.25" hidden="1" customHeight="1" x14ac:dyDescent="0.3">
      <c r="A186" s="18" t="s">
        <v>190</v>
      </c>
      <c r="B186" s="68" t="s">
        <v>390</v>
      </c>
      <c r="C186" s="8"/>
      <c r="D186" s="71"/>
      <c r="E186" s="72"/>
    </row>
    <row r="187" spans="1:5" s="73" customFormat="1" ht="20.25" hidden="1" customHeight="1" x14ac:dyDescent="0.3">
      <c r="A187" s="18" t="s">
        <v>191</v>
      </c>
      <c r="B187" s="68" t="s">
        <v>390</v>
      </c>
      <c r="C187" s="8"/>
      <c r="D187" s="71"/>
      <c r="E187" s="72"/>
    </row>
    <row r="188" spans="1:5" s="73" customFormat="1" ht="20.25" hidden="1" customHeight="1" x14ac:dyDescent="0.3">
      <c r="A188" s="18" t="s">
        <v>192</v>
      </c>
      <c r="B188" s="68" t="s">
        <v>393</v>
      </c>
      <c r="C188" s="8"/>
      <c r="D188" s="71"/>
      <c r="E188" s="72"/>
    </row>
    <row r="189" spans="1:5" s="73" customFormat="1" ht="21.75" hidden="1" customHeight="1" x14ac:dyDescent="0.3">
      <c r="A189" s="13" t="s">
        <v>193</v>
      </c>
      <c r="B189" s="68" t="s">
        <v>390</v>
      </c>
      <c r="C189" s="8"/>
      <c r="D189" s="71"/>
      <c r="E189" s="72"/>
    </row>
    <row r="190" spans="1:5" s="73" customFormat="1" ht="21.75" hidden="1" customHeight="1" x14ac:dyDescent="0.3">
      <c r="A190" s="10" t="s">
        <v>194</v>
      </c>
      <c r="B190" s="68" t="s">
        <v>393</v>
      </c>
      <c r="C190" s="8"/>
      <c r="D190" s="71"/>
      <c r="E190" s="72"/>
    </row>
    <row r="191" spans="1:5" s="73" customFormat="1" ht="21.75" hidden="1" customHeight="1" x14ac:dyDescent="0.3">
      <c r="A191" s="37" t="s">
        <v>195</v>
      </c>
      <c r="B191" s="68" t="s">
        <v>393</v>
      </c>
      <c r="C191" s="8"/>
      <c r="D191" s="71"/>
      <c r="E191" s="72"/>
    </row>
    <row r="192" spans="1:5" s="73" customFormat="1" ht="20.25" hidden="1" customHeight="1" x14ac:dyDescent="0.3">
      <c r="A192" s="37" t="s">
        <v>196</v>
      </c>
      <c r="B192" s="68" t="s">
        <v>393</v>
      </c>
      <c r="C192" s="8"/>
      <c r="D192" s="71"/>
      <c r="E192" s="72"/>
    </row>
    <row r="193" spans="1:5" s="73" customFormat="1" ht="20.25" hidden="1" customHeight="1" x14ac:dyDescent="0.3">
      <c r="A193" s="37" t="s">
        <v>197</v>
      </c>
      <c r="B193" s="68" t="s">
        <v>393</v>
      </c>
      <c r="C193" s="8"/>
      <c r="D193" s="71"/>
      <c r="E193" s="72"/>
    </row>
    <row r="194" spans="1:5" s="73" customFormat="1" ht="20.25" hidden="1" customHeight="1" x14ac:dyDescent="0.3">
      <c r="A194" s="37" t="s">
        <v>198</v>
      </c>
      <c r="B194" s="68" t="s">
        <v>393</v>
      </c>
      <c r="C194" s="8"/>
      <c r="D194" s="71"/>
      <c r="E194" s="72"/>
    </row>
    <row r="195" spans="1:5" s="73" customFormat="1" ht="20.25" hidden="1" customHeight="1" x14ac:dyDescent="0.3">
      <c r="A195" s="10" t="s">
        <v>199</v>
      </c>
      <c r="B195" s="68" t="s">
        <v>390</v>
      </c>
      <c r="C195" s="8"/>
      <c r="D195" s="71"/>
      <c r="E195" s="72"/>
    </row>
    <row r="196" spans="1:5" s="73" customFormat="1" ht="21.75" hidden="1" customHeight="1" x14ac:dyDescent="0.3">
      <c r="A196" s="38" t="s">
        <v>200</v>
      </c>
      <c r="B196" s="68" t="s">
        <v>394</v>
      </c>
      <c r="C196" s="8"/>
      <c r="D196" s="71"/>
      <c r="E196" s="72"/>
    </row>
    <row r="197" spans="1:5" s="73" customFormat="1" ht="21.75" hidden="1" customHeight="1" x14ac:dyDescent="0.3">
      <c r="A197" s="10" t="s">
        <v>201</v>
      </c>
      <c r="B197" s="68" t="s">
        <v>390</v>
      </c>
      <c r="C197" s="8"/>
      <c r="D197" s="71"/>
      <c r="E197" s="72"/>
    </row>
    <row r="198" spans="1:5" s="73" customFormat="1" ht="21.75" hidden="1" customHeight="1" x14ac:dyDescent="0.3">
      <c r="A198" s="13" t="s">
        <v>202</v>
      </c>
      <c r="B198" s="68" t="s">
        <v>390</v>
      </c>
      <c r="C198" s="8"/>
      <c r="D198" s="71"/>
      <c r="E198" s="85"/>
    </row>
    <row r="199" spans="1:5" s="73" customFormat="1" ht="20.25" hidden="1" customHeight="1" x14ac:dyDescent="0.3">
      <c r="A199" s="10" t="s">
        <v>351</v>
      </c>
      <c r="B199" s="68" t="s">
        <v>393</v>
      </c>
      <c r="C199" s="8"/>
      <c r="D199" s="71"/>
      <c r="E199" s="72"/>
    </row>
    <row r="200" spans="1:5" s="73" customFormat="1" ht="21.75" hidden="1" customHeight="1" x14ac:dyDescent="0.3">
      <c r="A200" s="10" t="s">
        <v>203</v>
      </c>
      <c r="B200" s="68" t="s">
        <v>393</v>
      </c>
      <c r="C200" s="8"/>
      <c r="D200" s="71"/>
      <c r="E200" s="72"/>
    </row>
    <row r="201" spans="1:5" s="73" customFormat="1" ht="18.600000000000001" customHeight="1" x14ac:dyDescent="0.3">
      <c r="A201" s="10" t="s">
        <v>204</v>
      </c>
      <c r="B201" s="68" t="s">
        <v>390</v>
      </c>
      <c r="C201" s="8">
        <v>650</v>
      </c>
      <c r="D201" s="71">
        <v>12000</v>
      </c>
      <c r="E201" s="72">
        <f>+D201*C201</f>
        <v>7800000</v>
      </c>
    </row>
    <row r="202" spans="1:5" s="73" customFormat="1" ht="20.25" hidden="1" customHeight="1" x14ac:dyDescent="0.3">
      <c r="A202" s="39" t="s">
        <v>205</v>
      </c>
      <c r="B202" s="68" t="s">
        <v>393</v>
      </c>
      <c r="C202" s="8"/>
      <c r="D202" s="71"/>
      <c r="E202" s="72"/>
    </row>
    <row r="203" spans="1:5" s="73" customFormat="1" ht="21.75" hidden="1" customHeight="1" x14ac:dyDescent="0.3">
      <c r="A203" s="39" t="s">
        <v>206</v>
      </c>
      <c r="B203" s="68" t="s">
        <v>393</v>
      </c>
      <c r="C203" s="8"/>
      <c r="D203" s="71"/>
      <c r="E203" s="72"/>
    </row>
    <row r="204" spans="1:5" s="73" customFormat="1" ht="20.25" hidden="1" customHeight="1" x14ac:dyDescent="0.3">
      <c r="A204" s="10" t="s">
        <v>207</v>
      </c>
      <c r="B204" s="68" t="s">
        <v>390</v>
      </c>
      <c r="C204" s="8"/>
      <c r="D204" s="71"/>
      <c r="E204" s="72"/>
    </row>
    <row r="205" spans="1:5" s="73" customFormat="1" ht="21.75" hidden="1" customHeight="1" x14ac:dyDescent="0.3">
      <c r="A205" s="12" t="s">
        <v>208</v>
      </c>
      <c r="B205" s="68" t="s">
        <v>390</v>
      </c>
      <c r="C205" s="8"/>
      <c r="D205" s="88"/>
      <c r="E205" s="72"/>
    </row>
    <row r="206" spans="1:5" s="73" customFormat="1" ht="21.75" hidden="1" customHeight="1" x14ac:dyDescent="0.3">
      <c r="A206" s="10" t="s">
        <v>209</v>
      </c>
      <c r="B206" s="68" t="s">
        <v>390</v>
      </c>
      <c r="C206" s="8"/>
      <c r="D206" s="71"/>
      <c r="E206" s="72"/>
    </row>
    <row r="207" spans="1:5" s="73" customFormat="1" ht="21.6" hidden="1" customHeight="1" x14ac:dyDescent="0.3">
      <c r="A207" s="12" t="s">
        <v>352</v>
      </c>
      <c r="B207" s="68" t="s">
        <v>390</v>
      </c>
      <c r="C207" s="8"/>
      <c r="D207" s="88"/>
      <c r="E207" s="72"/>
    </row>
    <row r="208" spans="1:5" s="73" customFormat="1" ht="36" hidden="1" customHeight="1" x14ac:dyDescent="0.3">
      <c r="A208" s="10" t="s">
        <v>210</v>
      </c>
      <c r="B208" s="68" t="s">
        <v>390</v>
      </c>
      <c r="C208" s="8"/>
      <c r="D208" s="88"/>
      <c r="E208" s="72"/>
    </row>
    <row r="209" spans="1:5" s="73" customFormat="1" ht="20.25" hidden="1" customHeight="1" x14ac:dyDescent="0.3">
      <c r="A209" s="10" t="s">
        <v>211</v>
      </c>
      <c r="B209" s="68" t="s">
        <v>393</v>
      </c>
      <c r="C209" s="8"/>
      <c r="D209" s="71"/>
      <c r="E209" s="72"/>
    </row>
    <row r="210" spans="1:5" s="73" customFormat="1" ht="21.75" hidden="1" customHeight="1" x14ac:dyDescent="0.3">
      <c r="A210" s="10" t="s">
        <v>353</v>
      </c>
      <c r="B210" s="68" t="s">
        <v>393</v>
      </c>
      <c r="C210" s="8"/>
      <c r="D210" s="71"/>
      <c r="E210" s="72"/>
    </row>
    <row r="211" spans="1:5" s="73" customFormat="1" ht="21.75" hidden="1" customHeight="1" x14ac:dyDescent="0.3">
      <c r="A211" s="10" t="s">
        <v>354</v>
      </c>
      <c r="B211" s="68" t="s">
        <v>393</v>
      </c>
      <c r="C211" s="8"/>
      <c r="D211" s="71"/>
      <c r="E211" s="72"/>
    </row>
    <row r="212" spans="1:5" s="73" customFormat="1" ht="18.600000000000001" customHeight="1" x14ac:dyDescent="0.3">
      <c r="A212" s="10" t="s">
        <v>212</v>
      </c>
      <c r="B212" s="68" t="s">
        <v>390</v>
      </c>
      <c r="C212" s="8">
        <v>17</v>
      </c>
      <c r="D212" s="71">
        <v>18000</v>
      </c>
      <c r="E212" s="72">
        <f>+D212*C212</f>
        <v>306000</v>
      </c>
    </row>
    <row r="213" spans="1:5" s="73" customFormat="1" ht="21.75" hidden="1" customHeight="1" x14ac:dyDescent="0.3">
      <c r="A213" s="40" t="s">
        <v>213</v>
      </c>
      <c r="B213" s="68" t="s">
        <v>393</v>
      </c>
      <c r="C213" s="8"/>
      <c r="D213" s="71"/>
      <c r="E213" s="72"/>
    </row>
    <row r="214" spans="1:5" s="73" customFormat="1" ht="21.75" hidden="1" customHeight="1" x14ac:dyDescent="0.3">
      <c r="A214" s="10" t="s">
        <v>214</v>
      </c>
      <c r="B214" s="68" t="s">
        <v>390</v>
      </c>
      <c r="C214" s="8"/>
      <c r="D214" s="71"/>
      <c r="E214" s="72"/>
    </row>
    <row r="215" spans="1:5" s="73" customFormat="1" ht="18.600000000000001" customHeight="1" x14ac:dyDescent="0.3">
      <c r="A215" s="10" t="s">
        <v>215</v>
      </c>
      <c r="B215" s="68" t="s">
        <v>390</v>
      </c>
      <c r="C215" s="8">
        <v>160</v>
      </c>
      <c r="D215" s="71">
        <f>VLOOKUP(A215,'12.6'!A211:C764,3,)</f>
        <v>17000</v>
      </c>
      <c r="E215" s="72">
        <f>+D215*C215</f>
        <v>2720000</v>
      </c>
    </row>
    <row r="216" spans="1:5" s="73" customFormat="1" ht="21.75" hidden="1" customHeight="1" x14ac:dyDescent="0.3">
      <c r="A216" s="10" t="s">
        <v>216</v>
      </c>
      <c r="B216" s="68" t="s">
        <v>393</v>
      </c>
      <c r="C216" s="8"/>
      <c r="D216" s="71"/>
      <c r="E216" s="72"/>
    </row>
    <row r="217" spans="1:5" s="73" customFormat="1" ht="21.75" hidden="1" customHeight="1" x14ac:dyDescent="0.3">
      <c r="A217" s="10" t="s">
        <v>355</v>
      </c>
      <c r="B217" s="68" t="s">
        <v>390</v>
      </c>
      <c r="C217" s="8"/>
      <c r="D217" s="71"/>
      <c r="E217" s="72"/>
    </row>
    <row r="218" spans="1:5" s="73" customFormat="1" ht="21.75" hidden="1" customHeight="1" x14ac:dyDescent="0.3">
      <c r="A218" s="10" t="s">
        <v>217</v>
      </c>
      <c r="B218" s="68" t="s">
        <v>393</v>
      </c>
      <c r="C218" s="8"/>
      <c r="D218" s="71"/>
      <c r="E218" s="72"/>
    </row>
    <row r="219" spans="1:5" s="73" customFormat="1" ht="21.75" hidden="1" customHeight="1" x14ac:dyDescent="0.3">
      <c r="A219" s="18" t="s">
        <v>218</v>
      </c>
      <c r="B219" s="68" t="s">
        <v>390</v>
      </c>
      <c r="C219" s="8"/>
      <c r="D219" s="71"/>
      <c r="E219" s="72"/>
    </row>
    <row r="220" spans="1:5" s="73" customFormat="1" ht="21.75" hidden="1" customHeight="1" x14ac:dyDescent="0.3">
      <c r="A220" s="18" t="s">
        <v>219</v>
      </c>
      <c r="B220" s="68" t="s">
        <v>393</v>
      </c>
      <c r="C220" s="8"/>
      <c r="D220" s="71"/>
      <c r="E220" s="72"/>
    </row>
    <row r="221" spans="1:5" s="73" customFormat="1" ht="20.25" hidden="1" customHeight="1" x14ac:dyDescent="0.3">
      <c r="A221" s="18" t="s">
        <v>220</v>
      </c>
      <c r="B221" s="68" t="s">
        <v>390</v>
      </c>
      <c r="C221" s="8"/>
      <c r="D221" s="71"/>
      <c r="E221" s="72"/>
    </row>
    <row r="222" spans="1:5" s="73" customFormat="1" ht="20.25" hidden="1" customHeight="1" x14ac:dyDescent="0.3">
      <c r="A222" s="18" t="s">
        <v>221</v>
      </c>
      <c r="B222" s="68" t="s">
        <v>393</v>
      </c>
      <c r="C222" s="8"/>
      <c r="D222" s="71"/>
      <c r="E222" s="72"/>
    </row>
    <row r="223" spans="1:5" s="73" customFormat="1" ht="21.75" hidden="1" customHeight="1" x14ac:dyDescent="0.3">
      <c r="A223" s="10" t="s">
        <v>222</v>
      </c>
      <c r="B223" s="68" t="s">
        <v>390</v>
      </c>
      <c r="C223" s="8"/>
      <c r="D223" s="71"/>
      <c r="E223" s="72"/>
    </row>
    <row r="224" spans="1:5" s="73" customFormat="1" ht="20.25" hidden="1" customHeight="1" x14ac:dyDescent="0.3">
      <c r="A224" s="10" t="s">
        <v>223</v>
      </c>
      <c r="B224" s="68" t="s">
        <v>390</v>
      </c>
      <c r="C224" s="8"/>
      <c r="D224" s="71"/>
      <c r="E224" s="72"/>
    </row>
    <row r="225" spans="1:5" s="73" customFormat="1" ht="21.75" hidden="1" customHeight="1" x14ac:dyDescent="0.3">
      <c r="A225" s="18" t="s">
        <v>224</v>
      </c>
      <c r="B225" s="68" t="s">
        <v>393</v>
      </c>
      <c r="C225" s="8"/>
      <c r="D225" s="71"/>
      <c r="E225" s="72"/>
    </row>
    <row r="226" spans="1:5" s="73" customFormat="1" ht="21.75" hidden="1" customHeight="1" x14ac:dyDescent="0.3">
      <c r="A226" s="18" t="s">
        <v>225</v>
      </c>
      <c r="B226" s="68" t="s">
        <v>393</v>
      </c>
      <c r="C226" s="8"/>
      <c r="D226" s="71"/>
      <c r="E226" s="72"/>
    </row>
    <row r="227" spans="1:5" s="73" customFormat="1" ht="20.25" hidden="1" customHeight="1" x14ac:dyDescent="0.3">
      <c r="A227" s="12" t="s">
        <v>226</v>
      </c>
      <c r="B227" s="68" t="s">
        <v>390</v>
      </c>
      <c r="C227" s="8"/>
      <c r="D227" s="71"/>
      <c r="E227" s="72"/>
    </row>
    <row r="228" spans="1:5" s="73" customFormat="1" ht="21.75" hidden="1" customHeight="1" x14ac:dyDescent="0.3">
      <c r="A228" s="13" t="s">
        <v>227</v>
      </c>
      <c r="B228" s="68" t="s">
        <v>396</v>
      </c>
      <c r="C228" s="8"/>
      <c r="D228" s="71"/>
      <c r="E228" s="72"/>
    </row>
    <row r="229" spans="1:5" s="73" customFormat="1" ht="21.75" hidden="1" customHeight="1" x14ac:dyDescent="0.3">
      <c r="A229" s="23" t="s">
        <v>356</v>
      </c>
      <c r="B229" s="68" t="s">
        <v>390</v>
      </c>
      <c r="C229" s="8"/>
      <c r="D229" s="71"/>
      <c r="E229" s="72"/>
    </row>
    <row r="230" spans="1:5" s="73" customFormat="1" ht="21.75" hidden="1" customHeight="1" x14ac:dyDescent="0.3">
      <c r="A230" s="23" t="s">
        <v>357</v>
      </c>
      <c r="B230" s="68" t="s">
        <v>396</v>
      </c>
      <c r="C230" s="8"/>
      <c r="D230" s="71"/>
      <c r="E230" s="72"/>
    </row>
    <row r="231" spans="1:5" s="73" customFormat="1" ht="20.25" hidden="1" customHeight="1" x14ac:dyDescent="0.3">
      <c r="A231" s="12" t="s">
        <v>232</v>
      </c>
      <c r="B231" s="68" t="s">
        <v>399</v>
      </c>
      <c r="C231" s="8"/>
      <c r="D231" s="71"/>
      <c r="E231" s="72"/>
    </row>
    <row r="232" spans="1:5" s="73" customFormat="1" ht="20.25" hidden="1" customHeight="1" x14ac:dyDescent="0.3">
      <c r="A232" s="10" t="s">
        <v>237</v>
      </c>
      <c r="B232" s="68" t="s">
        <v>390</v>
      </c>
      <c r="C232" s="8"/>
      <c r="D232" s="71"/>
      <c r="E232" s="72"/>
    </row>
    <row r="233" spans="1:5" s="73" customFormat="1" ht="20.25" hidden="1" customHeight="1" x14ac:dyDescent="0.3">
      <c r="A233" s="10" t="s">
        <v>238</v>
      </c>
      <c r="B233" s="68" t="s">
        <v>392</v>
      </c>
      <c r="C233" s="8"/>
      <c r="D233" s="71"/>
      <c r="E233" s="72"/>
    </row>
    <row r="234" spans="1:5" s="73" customFormat="1" ht="21.75" hidden="1" customHeight="1" x14ac:dyDescent="0.3">
      <c r="A234" s="14" t="s">
        <v>239</v>
      </c>
      <c r="B234" s="68" t="s">
        <v>396</v>
      </c>
      <c r="C234" s="8"/>
      <c r="D234" s="71"/>
      <c r="E234" s="72"/>
    </row>
    <row r="235" spans="1:5" s="73" customFormat="1" ht="20.25" hidden="1" customHeight="1" x14ac:dyDescent="0.3">
      <c r="A235" s="14" t="s">
        <v>240</v>
      </c>
      <c r="B235" s="68" t="s">
        <v>396</v>
      </c>
      <c r="C235" s="8"/>
      <c r="D235" s="71"/>
      <c r="E235" s="72"/>
    </row>
    <row r="236" spans="1:5" s="73" customFormat="1" ht="21.75" hidden="1" customHeight="1" x14ac:dyDescent="0.3">
      <c r="A236" s="37" t="s">
        <v>241</v>
      </c>
      <c r="B236" s="68" t="s">
        <v>393</v>
      </c>
      <c r="C236" s="8"/>
      <c r="D236" s="71"/>
      <c r="E236" s="72"/>
    </row>
    <row r="237" spans="1:5" s="73" customFormat="1" ht="21.75" hidden="1" customHeight="1" x14ac:dyDescent="0.3">
      <c r="A237" s="10" t="s">
        <v>242</v>
      </c>
      <c r="B237" s="68" t="s">
        <v>390</v>
      </c>
      <c r="C237" s="8"/>
      <c r="D237" s="71"/>
      <c r="E237" s="72"/>
    </row>
    <row r="238" spans="1:5" s="73" customFormat="1" ht="20.25" hidden="1" customHeight="1" x14ac:dyDescent="0.3">
      <c r="A238" s="10" t="s">
        <v>243</v>
      </c>
      <c r="B238" s="68" t="s">
        <v>393</v>
      </c>
      <c r="C238" s="8"/>
      <c r="D238" s="71"/>
      <c r="E238" s="72"/>
    </row>
    <row r="239" spans="1:5" s="73" customFormat="1" ht="20.25" hidden="1" customHeight="1" x14ac:dyDescent="0.3">
      <c r="A239" s="10" t="s">
        <v>244</v>
      </c>
      <c r="B239" s="68" t="s">
        <v>390</v>
      </c>
      <c r="C239" s="17"/>
      <c r="D239" s="71"/>
      <c r="E239" s="72"/>
    </row>
    <row r="240" spans="1:5" s="73" customFormat="1" ht="20.25" hidden="1" customHeight="1" x14ac:dyDescent="0.3">
      <c r="A240" s="37" t="s">
        <v>245</v>
      </c>
      <c r="B240" s="68" t="s">
        <v>393</v>
      </c>
      <c r="C240" s="8"/>
      <c r="D240" s="71"/>
      <c r="E240" s="72"/>
    </row>
    <row r="241" spans="1:5" s="73" customFormat="1" ht="20.25" hidden="1" customHeight="1" x14ac:dyDescent="0.3">
      <c r="A241" s="10" t="s">
        <v>246</v>
      </c>
      <c r="B241" s="68" t="s">
        <v>393</v>
      </c>
      <c r="C241" s="17"/>
      <c r="D241" s="71"/>
      <c r="E241" s="72"/>
    </row>
    <row r="242" spans="1:5" s="73" customFormat="1" ht="21.75" hidden="1" customHeight="1" x14ac:dyDescent="0.3">
      <c r="A242" s="10" t="s">
        <v>247</v>
      </c>
      <c r="B242" s="68" t="s">
        <v>390</v>
      </c>
      <c r="C242" s="8"/>
      <c r="D242" s="71"/>
      <c r="E242" s="72"/>
    </row>
    <row r="243" spans="1:5" s="73" customFormat="1" ht="20.25" hidden="1" customHeight="1" x14ac:dyDescent="0.3">
      <c r="A243" s="12" t="s">
        <v>249</v>
      </c>
      <c r="B243" s="68" t="s">
        <v>394</v>
      </c>
      <c r="C243" s="8"/>
      <c r="D243" s="71"/>
      <c r="E243" s="72"/>
    </row>
    <row r="244" spans="1:5" s="73" customFormat="1" ht="21.75" hidden="1" customHeight="1" x14ac:dyDescent="0.3">
      <c r="A244" s="10" t="s">
        <v>250</v>
      </c>
      <c r="B244" s="68" t="s">
        <v>390</v>
      </c>
      <c r="C244" s="8"/>
      <c r="D244" s="71"/>
      <c r="E244" s="72"/>
    </row>
    <row r="245" spans="1:5" s="73" customFormat="1" ht="20.25" hidden="1" customHeight="1" x14ac:dyDescent="0.3">
      <c r="A245" s="10" t="s">
        <v>251</v>
      </c>
      <c r="B245" s="68" t="s">
        <v>390</v>
      </c>
      <c r="C245" s="8"/>
      <c r="D245" s="71"/>
      <c r="E245" s="72"/>
    </row>
    <row r="246" spans="1:5" s="73" customFormat="1" ht="21.75" hidden="1" customHeight="1" x14ac:dyDescent="0.3">
      <c r="A246" s="10" t="s">
        <v>252</v>
      </c>
      <c r="B246" s="68" t="s">
        <v>392</v>
      </c>
      <c r="C246" s="8"/>
      <c r="D246" s="71"/>
      <c r="E246" s="72"/>
    </row>
    <row r="247" spans="1:5" s="73" customFormat="1" ht="21.75" hidden="1" customHeight="1" x14ac:dyDescent="0.3">
      <c r="A247" s="10" t="s">
        <v>253</v>
      </c>
      <c r="B247" s="68" t="s">
        <v>394</v>
      </c>
      <c r="C247" s="8"/>
      <c r="D247" s="71"/>
      <c r="E247" s="72"/>
    </row>
    <row r="248" spans="1:5" s="73" customFormat="1" ht="21.75" hidden="1" customHeight="1" x14ac:dyDescent="0.3">
      <c r="A248" s="10" t="s">
        <v>254</v>
      </c>
      <c r="B248" s="68" t="s">
        <v>390</v>
      </c>
      <c r="C248" s="8"/>
      <c r="D248" s="89"/>
      <c r="E248" s="72"/>
    </row>
    <row r="249" spans="1:5" s="73" customFormat="1" ht="21.75" hidden="1" customHeight="1" x14ac:dyDescent="0.3">
      <c r="A249" s="18" t="s">
        <v>255</v>
      </c>
      <c r="B249" s="68" t="s">
        <v>390</v>
      </c>
      <c r="C249" s="8"/>
      <c r="D249" s="89"/>
      <c r="E249" s="72"/>
    </row>
    <row r="250" spans="1:5" s="73" customFormat="1" ht="57" hidden="1" customHeight="1" x14ac:dyDescent="0.3">
      <c r="A250" s="23" t="s">
        <v>256</v>
      </c>
      <c r="B250" s="68" t="s">
        <v>390</v>
      </c>
      <c r="C250" s="8"/>
      <c r="D250" s="71"/>
      <c r="E250" s="72"/>
    </row>
    <row r="251" spans="1:5" s="73" customFormat="1" ht="39.9" hidden="1" customHeight="1" x14ac:dyDescent="0.3">
      <c r="A251" s="23" t="s">
        <v>257</v>
      </c>
      <c r="B251" s="68" t="s">
        <v>390</v>
      </c>
      <c r="C251" s="8"/>
      <c r="D251" s="71"/>
      <c r="E251" s="72"/>
    </row>
    <row r="252" spans="1:5" s="73" customFormat="1" ht="39.9" hidden="1" customHeight="1" x14ac:dyDescent="0.3">
      <c r="A252" s="10" t="s">
        <v>258</v>
      </c>
      <c r="B252" s="68" t="s">
        <v>390</v>
      </c>
      <c r="C252" s="8"/>
      <c r="D252" s="71"/>
      <c r="E252" s="72"/>
    </row>
    <row r="253" spans="1:5" s="73" customFormat="1" ht="20.25" hidden="1" customHeight="1" x14ac:dyDescent="0.3">
      <c r="A253" s="10" t="s">
        <v>259</v>
      </c>
      <c r="B253" s="68" t="s">
        <v>390</v>
      </c>
      <c r="C253" s="8"/>
      <c r="D253" s="71"/>
      <c r="E253" s="72"/>
    </row>
    <row r="254" spans="1:5" s="73" customFormat="1" ht="20.25" hidden="1" customHeight="1" x14ac:dyDescent="0.3">
      <c r="A254" s="10" t="s">
        <v>260</v>
      </c>
      <c r="B254" s="68" t="s">
        <v>392</v>
      </c>
      <c r="C254" s="8"/>
      <c r="D254" s="71"/>
      <c r="E254" s="72"/>
    </row>
    <row r="255" spans="1:5" s="73" customFormat="1" ht="21.75" hidden="1" customHeight="1" x14ac:dyDescent="0.3">
      <c r="A255" s="10" t="s">
        <v>261</v>
      </c>
      <c r="B255" s="68" t="s">
        <v>394</v>
      </c>
      <c r="C255" s="8"/>
      <c r="D255" s="71"/>
      <c r="E255" s="72"/>
    </row>
    <row r="256" spans="1:5" s="73" customFormat="1" ht="20.25" hidden="1" customHeight="1" x14ac:dyDescent="0.3">
      <c r="A256" s="10" t="s">
        <v>262</v>
      </c>
      <c r="B256" s="68" t="s">
        <v>390</v>
      </c>
      <c r="C256" s="8"/>
      <c r="D256" s="71"/>
      <c r="E256" s="72"/>
    </row>
    <row r="257" spans="1:5" s="73" customFormat="1" ht="20.25" hidden="1" customHeight="1" x14ac:dyDescent="0.3">
      <c r="A257" s="10" t="s">
        <v>263</v>
      </c>
      <c r="B257" s="68" t="s">
        <v>390</v>
      </c>
      <c r="C257" s="8"/>
      <c r="D257" s="71"/>
      <c r="E257" s="72"/>
    </row>
    <row r="258" spans="1:5" s="73" customFormat="1" ht="20.25" hidden="1" customHeight="1" x14ac:dyDescent="0.3">
      <c r="A258" s="10" t="s">
        <v>264</v>
      </c>
      <c r="B258" s="68" t="s">
        <v>392</v>
      </c>
      <c r="C258" s="8"/>
      <c r="D258" s="71"/>
      <c r="E258" s="72"/>
    </row>
    <row r="259" spans="1:5" s="73" customFormat="1" ht="20.25" hidden="1" customHeight="1" x14ac:dyDescent="0.3">
      <c r="A259" s="10" t="s">
        <v>265</v>
      </c>
      <c r="B259" s="68" t="s">
        <v>390</v>
      </c>
      <c r="C259" s="17"/>
      <c r="D259" s="71"/>
      <c r="E259" s="72"/>
    </row>
    <row r="260" spans="1:5" s="73" customFormat="1" ht="20.25" hidden="1" customHeight="1" x14ac:dyDescent="0.3">
      <c r="A260" s="14" t="s">
        <v>266</v>
      </c>
      <c r="B260" s="68" t="s">
        <v>390</v>
      </c>
      <c r="C260" s="8"/>
      <c r="D260" s="71"/>
      <c r="E260" s="72"/>
    </row>
    <row r="261" spans="1:5" s="73" customFormat="1" ht="21.75" hidden="1" customHeight="1" x14ac:dyDescent="0.3">
      <c r="A261" s="10" t="s">
        <v>267</v>
      </c>
      <c r="B261" s="68" t="s">
        <v>390</v>
      </c>
      <c r="C261" s="8"/>
      <c r="D261" s="71"/>
      <c r="E261" s="72"/>
    </row>
    <row r="262" spans="1:5" s="73" customFormat="1" ht="21.75" hidden="1" customHeight="1" x14ac:dyDescent="0.3">
      <c r="A262" s="12" t="s">
        <v>268</v>
      </c>
      <c r="B262" s="68" t="s">
        <v>390</v>
      </c>
      <c r="C262" s="8"/>
      <c r="D262" s="71"/>
      <c r="E262" s="72"/>
    </row>
    <row r="263" spans="1:5" s="73" customFormat="1" ht="20.25" hidden="1" customHeight="1" x14ac:dyDescent="0.3">
      <c r="A263" s="12" t="s">
        <v>269</v>
      </c>
      <c r="B263" s="68" t="s">
        <v>390</v>
      </c>
      <c r="C263" s="8"/>
      <c r="D263" s="71"/>
      <c r="E263" s="72"/>
    </row>
    <row r="264" spans="1:5" s="73" customFormat="1" ht="20.25" hidden="1" customHeight="1" x14ac:dyDescent="0.3">
      <c r="A264" s="10" t="s">
        <v>270</v>
      </c>
      <c r="B264" s="68" t="s">
        <v>393</v>
      </c>
      <c r="C264" s="8"/>
      <c r="D264" s="90"/>
      <c r="E264" s="72"/>
    </row>
    <row r="265" spans="1:5" s="73" customFormat="1" ht="20.25" hidden="1" customHeight="1" x14ac:dyDescent="0.3">
      <c r="A265" s="10" t="s">
        <v>358</v>
      </c>
      <c r="B265" s="68" t="s">
        <v>393</v>
      </c>
      <c r="C265" s="8"/>
      <c r="D265" s="90"/>
      <c r="E265" s="72"/>
    </row>
    <row r="266" spans="1:5" s="73" customFormat="1" ht="20.25" hidden="1" customHeight="1" x14ac:dyDescent="0.3">
      <c r="A266" s="10" t="s">
        <v>271</v>
      </c>
      <c r="B266" s="68" t="s">
        <v>390</v>
      </c>
      <c r="C266" s="8"/>
      <c r="D266" s="71"/>
      <c r="E266" s="72"/>
    </row>
    <row r="267" spans="1:5" s="73" customFormat="1" ht="20.25" hidden="1" customHeight="1" x14ac:dyDescent="0.3">
      <c r="A267" s="10" t="s">
        <v>359</v>
      </c>
      <c r="B267" s="68"/>
      <c r="C267" s="8"/>
      <c r="D267" s="71"/>
      <c r="E267" s="72"/>
    </row>
    <row r="268" spans="1:5" s="73" customFormat="1" ht="21.75" hidden="1" customHeight="1" x14ac:dyDescent="0.3">
      <c r="A268" s="10" t="s">
        <v>273</v>
      </c>
      <c r="B268" s="68" t="s">
        <v>396</v>
      </c>
      <c r="C268" s="8"/>
      <c r="D268" s="71"/>
      <c r="E268" s="72"/>
    </row>
    <row r="269" spans="1:5" s="73" customFormat="1" ht="20.25" hidden="1" customHeight="1" x14ac:dyDescent="0.3">
      <c r="A269" s="10" t="s">
        <v>274</v>
      </c>
      <c r="B269" s="68" t="s">
        <v>390</v>
      </c>
      <c r="C269" s="8"/>
      <c r="D269" s="71"/>
      <c r="E269" s="72"/>
    </row>
    <row r="270" spans="1:5" s="73" customFormat="1" ht="21.75" hidden="1" customHeight="1" x14ac:dyDescent="0.3">
      <c r="A270" s="10" t="s">
        <v>275</v>
      </c>
      <c r="B270" s="68" t="s">
        <v>395</v>
      </c>
      <c r="C270" s="8"/>
      <c r="D270" s="71"/>
      <c r="E270" s="72"/>
    </row>
    <row r="271" spans="1:5" s="73" customFormat="1" ht="20.25" hidden="1" customHeight="1" x14ac:dyDescent="0.3">
      <c r="A271" s="37" t="s">
        <v>277</v>
      </c>
      <c r="B271" s="68" t="s">
        <v>393</v>
      </c>
      <c r="C271" s="8"/>
      <c r="D271" s="71"/>
      <c r="E271" s="72"/>
    </row>
    <row r="272" spans="1:5" s="73" customFormat="1" ht="20.25" hidden="1" customHeight="1" x14ac:dyDescent="0.3">
      <c r="A272" s="10" t="s">
        <v>278</v>
      </c>
      <c r="B272" s="68" t="s">
        <v>393</v>
      </c>
      <c r="C272" s="8"/>
      <c r="D272" s="71"/>
      <c r="E272" s="72"/>
    </row>
    <row r="273" spans="1:5" s="73" customFormat="1" ht="21.75" hidden="1" customHeight="1" x14ac:dyDescent="0.3">
      <c r="A273" s="37" t="s">
        <v>279</v>
      </c>
      <c r="B273" s="68" t="s">
        <v>393</v>
      </c>
      <c r="C273" s="8"/>
      <c r="D273" s="71"/>
      <c r="E273" s="72"/>
    </row>
    <row r="274" spans="1:5" s="73" customFormat="1" ht="21.75" hidden="1" customHeight="1" x14ac:dyDescent="0.3">
      <c r="A274" s="12" t="s">
        <v>360</v>
      </c>
      <c r="B274" s="68" t="s">
        <v>390</v>
      </c>
      <c r="C274" s="8"/>
      <c r="D274" s="71"/>
      <c r="E274" s="72"/>
    </row>
    <row r="275" spans="1:5" s="73" customFormat="1" ht="21.75" hidden="1" customHeight="1" x14ac:dyDescent="0.3">
      <c r="A275" s="37" t="s">
        <v>280</v>
      </c>
      <c r="B275" s="68" t="s">
        <v>393</v>
      </c>
      <c r="C275" s="8"/>
      <c r="D275" s="71"/>
      <c r="E275" s="72"/>
    </row>
    <row r="276" spans="1:5" s="73" customFormat="1" ht="20.25" hidden="1" customHeight="1" x14ac:dyDescent="0.3">
      <c r="A276" s="13" t="s">
        <v>281</v>
      </c>
      <c r="B276" s="68" t="s">
        <v>390</v>
      </c>
      <c r="C276" s="17"/>
      <c r="D276" s="71"/>
      <c r="E276" s="72"/>
    </row>
    <row r="277" spans="1:5" s="73" customFormat="1" ht="20.25" hidden="1" customHeight="1" x14ac:dyDescent="0.3">
      <c r="A277" s="18" t="s">
        <v>284</v>
      </c>
      <c r="B277" s="68" t="s">
        <v>396</v>
      </c>
      <c r="C277" s="8"/>
      <c r="D277" s="71"/>
      <c r="E277" s="72"/>
    </row>
    <row r="278" spans="1:5" s="73" customFormat="1" ht="21.75" hidden="1" customHeight="1" x14ac:dyDescent="0.3">
      <c r="A278" s="18" t="s">
        <v>285</v>
      </c>
      <c r="B278" s="68" t="s">
        <v>394</v>
      </c>
      <c r="C278" s="8"/>
      <c r="D278" s="71"/>
      <c r="E278" s="72"/>
    </row>
    <row r="279" spans="1:5" s="73" customFormat="1" ht="20.25" hidden="1" customHeight="1" x14ac:dyDescent="0.3">
      <c r="A279" s="18" t="s">
        <v>286</v>
      </c>
      <c r="B279" s="68" t="s">
        <v>394</v>
      </c>
      <c r="C279" s="8"/>
      <c r="D279" s="71"/>
      <c r="E279" s="72"/>
    </row>
    <row r="280" spans="1:5" s="73" customFormat="1" ht="20.25" hidden="1" customHeight="1" x14ac:dyDescent="0.3">
      <c r="A280" s="10" t="s">
        <v>287</v>
      </c>
      <c r="B280" s="68" t="s">
        <v>390</v>
      </c>
      <c r="C280" s="8"/>
      <c r="D280" s="71"/>
      <c r="E280" s="72"/>
    </row>
    <row r="281" spans="1:5" s="73" customFormat="1" ht="21.75" hidden="1" customHeight="1" x14ac:dyDescent="0.3">
      <c r="A281" s="18" t="s">
        <v>288</v>
      </c>
      <c r="B281" s="68" t="s">
        <v>393</v>
      </c>
      <c r="C281" s="8"/>
      <c r="D281" s="71"/>
      <c r="E281" s="72"/>
    </row>
    <row r="282" spans="1:5" s="73" customFormat="1" ht="21.75" hidden="1" customHeight="1" x14ac:dyDescent="0.3">
      <c r="A282" s="10" t="s">
        <v>289</v>
      </c>
      <c r="B282" s="68" t="s">
        <v>390</v>
      </c>
      <c r="C282" s="8"/>
      <c r="D282" s="71"/>
      <c r="E282" s="72"/>
    </row>
    <row r="283" spans="1:5" s="73" customFormat="1" ht="21.75" hidden="1" customHeight="1" x14ac:dyDescent="0.3">
      <c r="A283" s="10" t="s">
        <v>290</v>
      </c>
      <c r="B283" s="68" t="s">
        <v>390</v>
      </c>
      <c r="C283" s="8"/>
      <c r="D283" s="77"/>
      <c r="E283" s="72"/>
    </row>
    <row r="284" spans="1:5" s="73" customFormat="1" ht="21.75" hidden="1" customHeight="1" x14ac:dyDescent="0.3">
      <c r="A284" s="18" t="s">
        <v>291</v>
      </c>
      <c r="B284" s="68" t="s">
        <v>394</v>
      </c>
      <c r="C284" s="8"/>
      <c r="D284" s="71"/>
      <c r="E284" s="72"/>
    </row>
    <row r="285" spans="1:5" s="73" customFormat="1" ht="21.75" hidden="1" customHeight="1" x14ac:dyDescent="0.3">
      <c r="A285" s="27" t="s">
        <v>292</v>
      </c>
      <c r="B285" s="68" t="s">
        <v>390</v>
      </c>
      <c r="C285" s="8"/>
      <c r="D285" s="71"/>
      <c r="E285" s="72"/>
    </row>
    <row r="286" spans="1:5" s="73" customFormat="1" ht="20.25" hidden="1" customHeight="1" x14ac:dyDescent="0.3">
      <c r="A286" s="10" t="s">
        <v>293</v>
      </c>
      <c r="B286" s="68" t="s">
        <v>390</v>
      </c>
      <c r="C286" s="8"/>
      <c r="D286" s="71"/>
      <c r="E286" s="72"/>
    </row>
    <row r="287" spans="1:5" s="73" customFormat="1" ht="20.25" hidden="1" customHeight="1" x14ac:dyDescent="0.3">
      <c r="A287" s="14" t="s">
        <v>294</v>
      </c>
      <c r="B287" s="68" t="s">
        <v>391</v>
      </c>
      <c r="C287" s="8"/>
      <c r="D287" s="71"/>
      <c r="E287" s="72"/>
    </row>
    <row r="288" spans="1:5" s="73" customFormat="1" ht="20.25" hidden="1" customHeight="1" x14ac:dyDescent="0.3">
      <c r="A288" s="13" t="s">
        <v>296</v>
      </c>
      <c r="B288" s="68" t="s">
        <v>390</v>
      </c>
      <c r="C288" s="8"/>
      <c r="D288" s="91"/>
      <c r="E288" s="72"/>
    </row>
    <row r="289" spans="1:5" s="73" customFormat="1" ht="21.75" hidden="1" customHeight="1" x14ac:dyDescent="0.3">
      <c r="A289" s="18" t="s">
        <v>297</v>
      </c>
      <c r="B289" s="68" t="s">
        <v>393</v>
      </c>
      <c r="C289" s="8"/>
      <c r="D289" s="71"/>
      <c r="E289" s="72"/>
    </row>
    <row r="290" spans="1:5" s="73" customFormat="1" ht="21.6" hidden="1" customHeight="1" x14ac:dyDescent="0.3">
      <c r="A290" s="14" t="s">
        <v>298</v>
      </c>
      <c r="B290" s="68" t="s">
        <v>393</v>
      </c>
      <c r="C290" s="8"/>
      <c r="D290" s="91"/>
      <c r="E290" s="72"/>
    </row>
    <row r="291" spans="1:5" s="73" customFormat="1" ht="20.25" hidden="1" customHeight="1" x14ac:dyDescent="0.3">
      <c r="A291" s="10" t="s">
        <v>299</v>
      </c>
      <c r="B291" s="68" t="s">
        <v>390</v>
      </c>
      <c r="C291" s="8"/>
      <c r="D291" s="71"/>
      <c r="E291" s="72"/>
    </row>
    <row r="292" spans="1:5" s="73" customFormat="1" ht="21.75" hidden="1" customHeight="1" x14ac:dyDescent="0.3">
      <c r="A292" s="18" t="s">
        <v>300</v>
      </c>
      <c r="B292" s="68" t="s">
        <v>396</v>
      </c>
      <c r="C292" s="8"/>
      <c r="D292" s="71"/>
      <c r="E292" s="72"/>
    </row>
    <row r="293" spans="1:5" s="73" customFormat="1" ht="21.75" hidden="1" customHeight="1" x14ac:dyDescent="0.3">
      <c r="A293" s="13" t="s">
        <v>361</v>
      </c>
      <c r="B293" s="68" t="s">
        <v>390</v>
      </c>
      <c r="C293" s="8"/>
      <c r="D293" s="71"/>
      <c r="E293" s="72"/>
    </row>
    <row r="294" spans="1:5" s="73" customFormat="1" ht="21.75" hidden="1" customHeight="1" x14ac:dyDescent="0.3">
      <c r="A294" s="10" t="s">
        <v>362</v>
      </c>
      <c r="B294" s="68" t="s">
        <v>390</v>
      </c>
      <c r="C294" s="8"/>
      <c r="D294" s="71"/>
      <c r="E294" s="72"/>
    </row>
    <row r="295" spans="1:5" s="73" customFormat="1" ht="21.75" hidden="1" customHeight="1" x14ac:dyDescent="0.3">
      <c r="A295" s="12" t="s">
        <v>303</v>
      </c>
      <c r="B295" s="68" t="s">
        <v>390</v>
      </c>
      <c r="C295" s="8"/>
      <c r="D295" s="71"/>
      <c r="E295" s="72"/>
    </row>
    <row r="296" spans="1:5" s="73" customFormat="1" ht="21.75" hidden="1" customHeight="1" x14ac:dyDescent="0.3">
      <c r="A296" s="10" t="s">
        <v>363</v>
      </c>
      <c r="B296" s="68" t="s">
        <v>390</v>
      </c>
      <c r="C296" s="8"/>
      <c r="D296" s="71"/>
      <c r="E296" s="72"/>
    </row>
    <row r="297" spans="1:5" s="73" customFormat="1" ht="21.75" hidden="1" customHeight="1" x14ac:dyDescent="0.3">
      <c r="A297" s="13" t="s">
        <v>304</v>
      </c>
      <c r="B297" s="68" t="s">
        <v>390</v>
      </c>
      <c r="C297" s="8"/>
      <c r="D297" s="88"/>
      <c r="E297" s="72"/>
    </row>
    <row r="298" spans="1:5" s="73" customFormat="1" ht="21.75" hidden="1" customHeight="1" x14ac:dyDescent="0.3">
      <c r="A298" s="13" t="s">
        <v>305</v>
      </c>
      <c r="B298" s="68" t="s">
        <v>390</v>
      </c>
      <c r="C298" s="8"/>
      <c r="D298" s="88"/>
      <c r="E298" s="72"/>
    </row>
    <row r="299" spans="1:5" s="73" customFormat="1" ht="21.75" hidden="1" customHeight="1" x14ac:dyDescent="0.3">
      <c r="A299" s="10" t="s">
        <v>306</v>
      </c>
      <c r="B299" s="68" t="s">
        <v>390</v>
      </c>
      <c r="C299" s="8"/>
      <c r="D299" s="71"/>
      <c r="E299" s="72"/>
    </row>
    <row r="300" spans="1:5" s="73" customFormat="1" ht="21.75" hidden="1" customHeight="1" x14ac:dyDescent="0.3">
      <c r="A300" s="10" t="s">
        <v>307</v>
      </c>
      <c r="B300" s="68" t="s">
        <v>397</v>
      </c>
      <c r="C300" s="8"/>
      <c r="D300" s="71"/>
      <c r="E300" s="72"/>
    </row>
    <row r="301" spans="1:5" s="73" customFormat="1" ht="38.4" hidden="1" customHeight="1" x14ac:dyDescent="0.3">
      <c r="A301" s="10" t="s">
        <v>308</v>
      </c>
      <c r="B301" s="68" t="s">
        <v>393</v>
      </c>
      <c r="C301" s="8"/>
      <c r="D301" s="71"/>
      <c r="E301" s="72"/>
    </row>
    <row r="302" spans="1:5" s="73" customFormat="1" ht="21.75" hidden="1" customHeight="1" x14ac:dyDescent="0.3">
      <c r="A302" s="14" t="s">
        <v>309</v>
      </c>
      <c r="B302" s="68" t="s">
        <v>390</v>
      </c>
      <c r="C302" s="8"/>
      <c r="D302" s="71"/>
      <c r="E302" s="72"/>
    </row>
    <row r="303" spans="1:5" s="73" customFormat="1" ht="21.75" hidden="1" customHeight="1" x14ac:dyDescent="0.3">
      <c r="A303" s="14" t="s">
        <v>310</v>
      </c>
      <c r="B303" s="68" t="s">
        <v>390</v>
      </c>
      <c r="C303" s="8"/>
      <c r="D303" s="71"/>
      <c r="E303" s="72"/>
    </row>
    <row r="304" spans="1:5" s="73" customFormat="1" ht="21.75" hidden="1" customHeight="1" x14ac:dyDescent="0.3">
      <c r="A304" s="23" t="s">
        <v>311</v>
      </c>
      <c r="B304" s="68" t="s">
        <v>390</v>
      </c>
      <c r="C304" s="8"/>
      <c r="D304" s="71"/>
      <c r="E304" s="72"/>
    </row>
    <row r="305" spans="1:5" s="73" customFormat="1" ht="21.75" hidden="1" customHeight="1" x14ac:dyDescent="0.3">
      <c r="A305" s="14" t="s">
        <v>312</v>
      </c>
      <c r="B305" s="68" t="s">
        <v>393</v>
      </c>
      <c r="C305" s="8"/>
      <c r="D305" s="71"/>
      <c r="E305" s="72"/>
    </row>
    <row r="306" spans="1:5" s="73" customFormat="1" ht="21.75" hidden="1" customHeight="1" x14ac:dyDescent="0.3">
      <c r="A306" s="10" t="s">
        <v>313</v>
      </c>
      <c r="B306" s="68" t="s">
        <v>395</v>
      </c>
      <c r="C306" s="8"/>
      <c r="D306" s="71"/>
      <c r="E306" s="72"/>
    </row>
    <row r="307" spans="1:5" s="73" customFormat="1" ht="21.75" hidden="1" customHeight="1" x14ac:dyDescent="0.3">
      <c r="A307" s="10" t="s">
        <v>314</v>
      </c>
      <c r="B307" s="68" t="s">
        <v>395</v>
      </c>
      <c r="C307" s="8"/>
      <c r="D307" s="71"/>
      <c r="E307" s="72"/>
    </row>
    <row r="308" spans="1:5" s="73" customFormat="1" ht="21.75" hidden="1" customHeight="1" x14ac:dyDescent="0.3">
      <c r="A308" s="10" t="s">
        <v>315</v>
      </c>
      <c r="B308" s="68" t="s">
        <v>397</v>
      </c>
      <c r="C308" s="8"/>
      <c r="D308" s="71"/>
      <c r="E308" s="72"/>
    </row>
    <row r="309" spans="1:5" s="73" customFormat="1" ht="21.75" hidden="1" customHeight="1" x14ac:dyDescent="0.3">
      <c r="A309" s="10" t="s">
        <v>316</v>
      </c>
      <c r="B309" s="68" t="s">
        <v>390</v>
      </c>
      <c r="C309" s="8"/>
      <c r="D309" s="71"/>
      <c r="E309" s="72"/>
    </row>
    <row r="310" spans="1:5" s="73" customFormat="1" ht="21.75" hidden="1" customHeight="1" x14ac:dyDescent="0.3">
      <c r="A310" s="23" t="s">
        <v>317</v>
      </c>
      <c r="B310" s="68" t="s">
        <v>390</v>
      </c>
      <c r="C310" s="8"/>
      <c r="D310" s="71"/>
      <c r="E310" s="72"/>
    </row>
    <row r="311" spans="1:5" s="73" customFormat="1" ht="21.75" hidden="1" customHeight="1" x14ac:dyDescent="0.3">
      <c r="A311" s="10" t="s">
        <v>318</v>
      </c>
      <c r="B311" s="68" t="s">
        <v>395</v>
      </c>
      <c r="C311" s="8"/>
      <c r="D311" s="71"/>
      <c r="E311" s="72"/>
    </row>
    <row r="312" spans="1:5" s="73" customFormat="1" ht="21.75" hidden="1" customHeight="1" x14ac:dyDescent="0.3">
      <c r="A312" s="10" t="s">
        <v>319</v>
      </c>
      <c r="B312" s="68" t="s">
        <v>390</v>
      </c>
      <c r="C312" s="8"/>
      <c r="D312" s="71"/>
      <c r="E312" s="72"/>
    </row>
    <row r="313" spans="1:5" s="73" customFormat="1" ht="21.75" hidden="1" customHeight="1" x14ac:dyDescent="0.3">
      <c r="A313" s="13" t="s">
        <v>320</v>
      </c>
      <c r="B313" s="68" t="s">
        <v>390</v>
      </c>
      <c r="C313" s="8"/>
      <c r="D313" s="71"/>
      <c r="E313" s="72"/>
    </row>
    <row r="314" spans="1:5" s="73" customFormat="1" ht="21.75" hidden="1" customHeight="1" x14ac:dyDescent="0.3">
      <c r="A314" s="10" t="s">
        <v>321</v>
      </c>
      <c r="B314" s="68" t="s">
        <v>390</v>
      </c>
      <c r="C314" s="42"/>
      <c r="D314" s="71"/>
      <c r="E314" s="72"/>
    </row>
    <row r="315" spans="1:5" s="73" customFormat="1" ht="21.75" hidden="1" customHeight="1" x14ac:dyDescent="0.3">
      <c r="A315" s="10" t="s">
        <v>322</v>
      </c>
      <c r="B315" s="68" t="s">
        <v>395</v>
      </c>
      <c r="C315" s="8"/>
      <c r="D315" s="71"/>
      <c r="E315" s="72"/>
    </row>
    <row r="316" spans="1:5" s="73" customFormat="1" ht="21.75" hidden="1" customHeight="1" x14ac:dyDescent="0.3">
      <c r="A316" s="10" t="s">
        <v>323</v>
      </c>
      <c r="B316" s="68" t="s">
        <v>393</v>
      </c>
      <c r="C316" s="8"/>
      <c r="D316" s="71"/>
      <c r="E316" s="72"/>
    </row>
    <row r="317" spans="1:5" s="73" customFormat="1" ht="21.75" hidden="1" customHeight="1" x14ac:dyDescent="0.3">
      <c r="A317" s="23" t="s">
        <v>324</v>
      </c>
      <c r="B317" s="68" t="s">
        <v>390</v>
      </c>
      <c r="C317" s="8"/>
      <c r="D317" s="71"/>
      <c r="E317" s="72"/>
    </row>
    <row r="318" spans="1:5" s="73" customFormat="1" ht="21.75" hidden="1" customHeight="1" x14ac:dyDescent="0.3">
      <c r="A318" s="23" t="s">
        <v>325</v>
      </c>
      <c r="B318" s="68" t="s">
        <v>390</v>
      </c>
      <c r="C318" s="8"/>
      <c r="D318" s="71"/>
      <c r="E318" s="72"/>
    </row>
    <row r="319" spans="1:5" s="73" customFormat="1" ht="21.75" hidden="1" customHeight="1" x14ac:dyDescent="0.3">
      <c r="A319" s="10" t="s">
        <v>326</v>
      </c>
      <c r="B319" s="68" t="s">
        <v>390</v>
      </c>
      <c r="C319" s="8"/>
      <c r="D319" s="71"/>
      <c r="E319" s="72"/>
    </row>
    <row r="320" spans="1:5" s="73" customFormat="1" ht="21.75" hidden="1" customHeight="1" x14ac:dyDescent="0.3">
      <c r="A320" s="10" t="s">
        <v>327</v>
      </c>
      <c r="B320" s="68" t="s">
        <v>390</v>
      </c>
      <c r="C320" s="8"/>
      <c r="D320" s="71"/>
      <c r="E320" s="72"/>
    </row>
    <row r="321" spans="1:5" s="73" customFormat="1" ht="21.75" hidden="1" customHeight="1" x14ac:dyDescent="0.3">
      <c r="A321" s="23" t="s">
        <v>328</v>
      </c>
      <c r="B321" s="68" t="s">
        <v>390</v>
      </c>
      <c r="C321" s="8"/>
      <c r="D321" s="71"/>
      <c r="E321" s="72"/>
    </row>
    <row r="322" spans="1:5" s="73" customFormat="1" ht="21.75" hidden="1" customHeight="1" x14ac:dyDescent="0.3">
      <c r="A322" s="10" t="s">
        <v>329</v>
      </c>
      <c r="B322" s="68" t="s">
        <v>395</v>
      </c>
      <c r="C322" s="8"/>
      <c r="D322" s="71"/>
      <c r="E322" s="72"/>
    </row>
    <row r="323" spans="1:5" s="73" customFormat="1" ht="21.75" hidden="1" customHeight="1" x14ac:dyDescent="0.3">
      <c r="A323" s="10" t="s">
        <v>330</v>
      </c>
      <c r="B323" s="68" t="s">
        <v>395</v>
      </c>
      <c r="C323" s="8"/>
      <c r="D323" s="71"/>
      <c r="E323" s="72"/>
    </row>
    <row r="324" spans="1:5" s="73" customFormat="1" ht="21.75" hidden="1" customHeight="1" x14ac:dyDescent="0.3">
      <c r="A324" s="10" t="s">
        <v>331</v>
      </c>
      <c r="B324" s="68" t="s">
        <v>395</v>
      </c>
      <c r="C324" s="8"/>
      <c r="D324" s="71"/>
      <c r="E324" s="72"/>
    </row>
    <row r="325" spans="1:5" s="73" customFormat="1" ht="21.75" hidden="1" customHeight="1" x14ac:dyDescent="0.3">
      <c r="A325" s="10" t="s">
        <v>332</v>
      </c>
      <c r="B325" s="68" t="s">
        <v>395</v>
      </c>
      <c r="C325" s="8"/>
      <c r="D325" s="71"/>
      <c r="E325" s="72"/>
    </row>
    <row r="326" spans="1:5" s="73" customFormat="1" ht="21.75" hidden="1" customHeight="1" x14ac:dyDescent="0.3">
      <c r="A326" s="10" t="s">
        <v>333</v>
      </c>
      <c r="B326" s="68" t="s">
        <v>395</v>
      </c>
      <c r="C326" s="8"/>
      <c r="D326" s="71"/>
      <c r="E326" s="72"/>
    </row>
    <row r="327" spans="1:5" s="73" customFormat="1" ht="21.75" hidden="1" customHeight="1" x14ac:dyDescent="0.3">
      <c r="A327" s="10" t="s">
        <v>334</v>
      </c>
      <c r="B327" s="68" t="s">
        <v>397</v>
      </c>
      <c r="C327" s="8"/>
      <c r="D327" s="71"/>
      <c r="E327" s="72"/>
    </row>
    <row r="328" spans="1:5" s="73" customFormat="1" ht="21.75" hidden="1" customHeight="1" x14ac:dyDescent="0.3">
      <c r="A328" s="10" t="s">
        <v>335</v>
      </c>
      <c r="B328" s="68" t="s">
        <v>390</v>
      </c>
      <c r="C328" s="8"/>
      <c r="D328" s="71"/>
      <c r="E328" s="72"/>
    </row>
    <row r="329" spans="1:5" s="73" customFormat="1" ht="21.75" hidden="1" customHeight="1" x14ac:dyDescent="0.3">
      <c r="A329" s="10" t="s">
        <v>336</v>
      </c>
      <c r="B329" s="68" t="s">
        <v>390</v>
      </c>
      <c r="C329" s="8"/>
      <c r="D329" s="71"/>
      <c r="E329" s="72"/>
    </row>
    <row r="330" spans="1:5" s="73" customFormat="1" ht="21.75" hidden="1" customHeight="1" x14ac:dyDescent="0.3">
      <c r="A330" s="12" t="s">
        <v>338</v>
      </c>
      <c r="B330" s="68" t="s">
        <v>390</v>
      </c>
      <c r="C330" s="8"/>
      <c r="D330" s="71"/>
      <c r="E330" s="72"/>
    </row>
    <row r="331" spans="1:5" s="73" customFormat="1" ht="18.600000000000001" customHeight="1" x14ac:dyDescent="0.3">
      <c r="A331" s="43"/>
      <c r="B331" s="46">
        <v>0</v>
      </c>
      <c r="C331" s="46">
        <v>5720</v>
      </c>
      <c r="D331" s="94"/>
      <c r="E331" s="92">
        <f>SUBTOTAL(9,E7:E215)</f>
        <v>61137500</v>
      </c>
    </row>
    <row r="332" spans="1:5" ht="42" customHeight="1" x14ac:dyDescent="0.3">
      <c r="A332" s="154" t="s">
        <v>403</v>
      </c>
      <c r="B332" s="103" t="s">
        <v>389</v>
      </c>
      <c r="C332" s="104" t="s">
        <v>1</v>
      </c>
      <c r="D332" s="109" t="s">
        <v>340</v>
      </c>
      <c r="E332" s="110" t="s">
        <v>341</v>
      </c>
    </row>
    <row r="333" spans="1:5" ht="18.75" hidden="1" customHeight="1" x14ac:dyDescent="0.3">
      <c r="A333" s="153"/>
      <c r="B333" s="61"/>
      <c r="C333" s="5"/>
      <c r="D333" s="62"/>
      <c r="E333" s="65"/>
    </row>
    <row r="334" spans="1:5" ht="18.600000000000001" customHeight="1" x14ac:dyDescent="0.3">
      <c r="A334" s="6" t="s">
        <v>2</v>
      </c>
      <c r="B334" s="68" t="s">
        <v>390</v>
      </c>
      <c r="C334" s="8">
        <v>20</v>
      </c>
      <c r="D334" s="69">
        <f>VLOOKUP(A334,'12.6'!A3:C556,3,)</f>
        <v>11000</v>
      </c>
      <c r="E334" s="111">
        <f>+D334*C334</f>
        <v>220000</v>
      </c>
    </row>
    <row r="335" spans="1:5" ht="18" hidden="1" x14ac:dyDescent="0.3">
      <c r="A335" s="9" t="s">
        <v>3</v>
      </c>
      <c r="B335" s="68" t="s">
        <v>391</v>
      </c>
      <c r="C335" s="8"/>
      <c r="D335" s="69"/>
      <c r="E335" s="70"/>
    </row>
    <row r="336" spans="1:5" ht="18" hidden="1" x14ac:dyDescent="0.3">
      <c r="A336" s="6" t="s">
        <v>4</v>
      </c>
      <c r="B336" s="68" t="s">
        <v>390</v>
      </c>
      <c r="C336" s="8"/>
      <c r="D336" s="69"/>
      <c r="E336" s="70"/>
    </row>
    <row r="337" spans="1:5" ht="18" hidden="1" x14ac:dyDescent="0.3">
      <c r="A337" s="6" t="s">
        <v>5</v>
      </c>
      <c r="B337" s="68" t="s">
        <v>390</v>
      </c>
      <c r="C337" s="8"/>
      <c r="D337" s="69"/>
      <c r="E337" s="70"/>
    </row>
    <row r="338" spans="1:5" ht="18" hidden="1" x14ac:dyDescent="0.3">
      <c r="A338" s="10" t="s">
        <v>6</v>
      </c>
      <c r="B338" s="68" t="s">
        <v>391</v>
      </c>
      <c r="C338" s="8"/>
      <c r="D338" s="69"/>
      <c r="E338" s="70"/>
    </row>
    <row r="339" spans="1:5" ht="18" hidden="1" x14ac:dyDescent="0.3">
      <c r="A339" s="11" t="s">
        <v>7</v>
      </c>
      <c r="B339" s="68" t="s">
        <v>390</v>
      </c>
      <c r="C339" s="8"/>
      <c r="D339" s="75"/>
      <c r="E339" s="70"/>
    </row>
    <row r="340" spans="1:5" ht="18" hidden="1" x14ac:dyDescent="0.3">
      <c r="A340" s="6" t="s">
        <v>8</v>
      </c>
      <c r="B340" s="68" t="s">
        <v>390</v>
      </c>
      <c r="C340" s="8"/>
      <c r="D340" s="69"/>
      <c r="E340" s="70"/>
    </row>
    <row r="341" spans="1:5" ht="18" hidden="1" x14ac:dyDescent="0.3">
      <c r="A341" s="6" t="s">
        <v>9</v>
      </c>
      <c r="B341" s="68" t="s">
        <v>390</v>
      </c>
      <c r="C341" s="8"/>
      <c r="D341" s="69"/>
      <c r="E341" s="70"/>
    </row>
    <row r="342" spans="1:5" ht="18" hidden="1" x14ac:dyDescent="0.3">
      <c r="A342" s="12" t="s">
        <v>10</v>
      </c>
      <c r="B342" s="68" t="s">
        <v>398</v>
      </c>
      <c r="C342" s="8"/>
      <c r="D342" s="69"/>
      <c r="E342" s="70"/>
    </row>
    <row r="343" spans="1:5" ht="18" hidden="1" x14ac:dyDescent="0.3">
      <c r="A343" s="10" t="s">
        <v>11</v>
      </c>
      <c r="B343" s="68" t="s">
        <v>390</v>
      </c>
      <c r="C343" s="8"/>
      <c r="D343" s="69"/>
      <c r="E343" s="70"/>
    </row>
    <row r="344" spans="1:5" ht="18" hidden="1" x14ac:dyDescent="0.3">
      <c r="A344" s="10" t="s">
        <v>12</v>
      </c>
      <c r="B344" s="68" t="s">
        <v>390</v>
      </c>
      <c r="C344" s="8"/>
      <c r="D344" s="69"/>
      <c r="E344" s="70"/>
    </row>
    <row r="345" spans="1:5" ht="18" hidden="1" x14ac:dyDescent="0.3">
      <c r="A345" s="13" t="s">
        <v>13</v>
      </c>
      <c r="B345" s="68" t="s">
        <v>392</v>
      </c>
      <c r="C345" s="8"/>
      <c r="D345" s="69"/>
      <c r="E345" s="70"/>
    </row>
    <row r="346" spans="1:5" ht="18.600000000000001" customHeight="1" x14ac:dyDescent="0.3">
      <c r="A346" s="13" t="s">
        <v>14</v>
      </c>
      <c r="B346" s="68" t="s">
        <v>390</v>
      </c>
      <c r="C346" s="8">
        <v>20</v>
      </c>
      <c r="D346" s="69">
        <v>19000</v>
      </c>
      <c r="E346" s="111">
        <f>+D346*C346</f>
        <v>380000</v>
      </c>
    </row>
    <row r="347" spans="1:5" ht="18" hidden="1" x14ac:dyDescent="0.3">
      <c r="A347" s="10" t="s">
        <v>15</v>
      </c>
      <c r="B347" s="68" t="s">
        <v>390</v>
      </c>
      <c r="C347" s="8"/>
      <c r="D347" s="69"/>
      <c r="E347" s="70"/>
    </row>
    <row r="348" spans="1:5" ht="18" hidden="1" x14ac:dyDescent="0.3">
      <c r="A348" s="10" t="s">
        <v>16</v>
      </c>
      <c r="B348" s="68" t="s">
        <v>390</v>
      </c>
      <c r="C348" s="8"/>
      <c r="D348" s="69"/>
      <c r="E348" s="76"/>
    </row>
    <row r="349" spans="1:5" ht="18.600000000000001" customHeight="1" x14ac:dyDescent="0.3">
      <c r="A349" s="14" t="s">
        <v>17</v>
      </c>
      <c r="B349" s="68" t="s">
        <v>392</v>
      </c>
      <c r="C349" s="8">
        <v>5</v>
      </c>
      <c r="D349" s="69">
        <f>VLOOKUP(A349,'12.6'!A18:C571,3,)</f>
        <v>3500</v>
      </c>
      <c r="E349" s="111">
        <f>+D349*C349</f>
        <v>17500</v>
      </c>
    </row>
    <row r="350" spans="1:5" ht="18" hidden="1" x14ac:dyDescent="0.3">
      <c r="A350" s="12" t="s">
        <v>18</v>
      </c>
      <c r="B350" s="68" t="s">
        <v>390</v>
      </c>
      <c r="C350" s="8"/>
      <c r="D350" s="69"/>
      <c r="E350" s="70"/>
    </row>
    <row r="351" spans="1:5" ht="18.600000000000001" customHeight="1" x14ac:dyDescent="0.3">
      <c r="A351" s="10" t="s">
        <v>19</v>
      </c>
      <c r="B351" s="68" t="s">
        <v>390</v>
      </c>
      <c r="C351" s="8">
        <v>200</v>
      </c>
      <c r="D351" s="69">
        <v>17000</v>
      </c>
      <c r="E351" s="111">
        <f>+D351*C351</f>
        <v>3400000</v>
      </c>
    </row>
    <row r="352" spans="1:5" ht="18" hidden="1" x14ac:dyDescent="0.3">
      <c r="A352" s="13" t="s">
        <v>20</v>
      </c>
      <c r="B352" s="68" t="s">
        <v>392</v>
      </c>
      <c r="C352" s="8"/>
      <c r="D352" s="69"/>
      <c r="E352" s="70"/>
    </row>
    <row r="353" spans="1:5" ht="18" hidden="1" x14ac:dyDescent="0.3">
      <c r="A353" s="13" t="s">
        <v>21</v>
      </c>
      <c r="B353" s="68" t="s">
        <v>390</v>
      </c>
      <c r="C353" s="8"/>
      <c r="D353" s="69"/>
      <c r="E353" s="70"/>
    </row>
    <row r="354" spans="1:5" ht="18" hidden="1" x14ac:dyDescent="0.3">
      <c r="A354" s="10" t="s">
        <v>22</v>
      </c>
      <c r="B354" s="68" t="s">
        <v>390</v>
      </c>
      <c r="C354" s="8"/>
      <c r="D354" s="69"/>
      <c r="E354" s="70"/>
    </row>
    <row r="355" spans="1:5" ht="18" hidden="1" x14ac:dyDescent="0.3">
      <c r="A355" s="10" t="s">
        <v>23</v>
      </c>
      <c r="B355" s="68" t="s">
        <v>392</v>
      </c>
      <c r="C355" s="8"/>
      <c r="D355" s="69"/>
      <c r="E355" s="70"/>
    </row>
    <row r="356" spans="1:5" ht="18.600000000000001" customHeight="1" x14ac:dyDescent="0.3">
      <c r="A356" s="10" t="s">
        <v>24</v>
      </c>
      <c r="B356" s="68" t="s">
        <v>390</v>
      </c>
      <c r="C356" s="8">
        <v>60</v>
      </c>
      <c r="D356" s="69">
        <v>11000</v>
      </c>
      <c r="E356" s="111">
        <f>+D356*C356</f>
        <v>660000</v>
      </c>
    </row>
    <row r="357" spans="1:5" ht="18" hidden="1" x14ac:dyDescent="0.3">
      <c r="A357" s="10" t="s">
        <v>25</v>
      </c>
      <c r="B357" s="68" t="s">
        <v>392</v>
      </c>
      <c r="C357" s="8"/>
      <c r="D357" s="69"/>
      <c r="E357" s="70"/>
    </row>
    <row r="358" spans="1:5" ht="18" hidden="1" x14ac:dyDescent="0.3">
      <c r="A358" s="10" t="s">
        <v>26</v>
      </c>
      <c r="B358" s="68" t="s">
        <v>390</v>
      </c>
      <c r="C358" s="8"/>
      <c r="D358" s="69"/>
      <c r="E358" s="70"/>
    </row>
    <row r="359" spans="1:5" ht="18.600000000000001" customHeight="1" x14ac:dyDescent="0.3">
      <c r="A359" s="10" t="s">
        <v>27</v>
      </c>
      <c r="B359" s="68" t="s">
        <v>390</v>
      </c>
      <c r="C359" s="8">
        <v>30</v>
      </c>
      <c r="D359" s="69">
        <f>VLOOKUP(A359,'12.6'!A28:C581,3,)</f>
        <v>13000</v>
      </c>
      <c r="E359" s="111">
        <f>+D359*C359</f>
        <v>390000</v>
      </c>
    </row>
    <row r="360" spans="1:5" ht="18" hidden="1" x14ac:dyDescent="0.3">
      <c r="A360" s="13" t="s">
        <v>28</v>
      </c>
      <c r="B360" s="68" t="s">
        <v>390</v>
      </c>
      <c r="C360" s="8"/>
      <c r="D360" s="69"/>
      <c r="E360" s="70"/>
    </row>
    <row r="361" spans="1:5" ht="18" hidden="1" x14ac:dyDescent="0.3">
      <c r="A361" s="12" t="s">
        <v>29</v>
      </c>
      <c r="B361" s="68" t="s">
        <v>399</v>
      </c>
      <c r="C361" s="8"/>
      <c r="D361" s="69"/>
      <c r="E361" s="70"/>
    </row>
    <row r="362" spans="1:5" ht="18" hidden="1" x14ac:dyDescent="0.3">
      <c r="A362" s="12" t="s">
        <v>30</v>
      </c>
      <c r="B362" s="68" t="s">
        <v>399</v>
      </c>
      <c r="C362" s="8"/>
      <c r="D362" s="69"/>
      <c r="E362" s="70"/>
    </row>
    <row r="363" spans="1:5" ht="18" hidden="1" x14ac:dyDescent="0.3">
      <c r="A363" s="12" t="s">
        <v>31</v>
      </c>
      <c r="B363" s="68" t="s">
        <v>399</v>
      </c>
      <c r="C363" s="8"/>
      <c r="D363" s="69"/>
      <c r="E363" s="70"/>
    </row>
    <row r="364" spans="1:5" ht="18" hidden="1" x14ac:dyDescent="0.3">
      <c r="A364" s="13" t="s">
        <v>367</v>
      </c>
      <c r="B364" s="68" t="s">
        <v>399</v>
      </c>
      <c r="C364" s="8"/>
      <c r="D364" s="69"/>
      <c r="E364" s="70"/>
    </row>
    <row r="365" spans="1:5" ht="18" hidden="1" x14ac:dyDescent="0.3">
      <c r="A365" s="12" t="s">
        <v>32</v>
      </c>
      <c r="B365" s="68" t="s">
        <v>399</v>
      </c>
      <c r="C365" s="8"/>
      <c r="D365" s="69"/>
      <c r="E365" s="70"/>
    </row>
    <row r="366" spans="1:5" ht="18" hidden="1" x14ac:dyDescent="0.3">
      <c r="A366" s="12" t="s">
        <v>33</v>
      </c>
      <c r="B366" s="68" t="s">
        <v>399</v>
      </c>
      <c r="C366" s="8"/>
      <c r="D366" s="69"/>
      <c r="E366" s="70"/>
    </row>
    <row r="367" spans="1:5" ht="18" hidden="1" x14ac:dyDescent="0.3">
      <c r="A367" s="12" t="s">
        <v>34</v>
      </c>
      <c r="B367" s="68" t="s">
        <v>399</v>
      </c>
      <c r="C367" s="8"/>
      <c r="D367" s="69"/>
      <c r="E367" s="70"/>
    </row>
    <row r="368" spans="1:5" ht="18" hidden="1" x14ac:dyDescent="0.3">
      <c r="A368" s="13" t="s">
        <v>35</v>
      </c>
      <c r="B368" s="68" t="s">
        <v>390</v>
      </c>
      <c r="C368" s="8"/>
      <c r="D368" s="69"/>
      <c r="E368" s="70"/>
    </row>
    <row r="369" spans="1:5" ht="18" hidden="1" x14ac:dyDescent="0.3">
      <c r="A369" s="10" t="s">
        <v>36</v>
      </c>
      <c r="B369" s="68" t="s">
        <v>390</v>
      </c>
      <c r="C369" s="8"/>
      <c r="D369" s="69"/>
      <c r="E369" s="70"/>
    </row>
    <row r="370" spans="1:5" ht="18" hidden="1" x14ac:dyDescent="0.3">
      <c r="A370" s="10" t="s">
        <v>37</v>
      </c>
      <c r="B370" s="68" t="s">
        <v>393</v>
      </c>
      <c r="C370" s="8"/>
      <c r="D370" s="69"/>
      <c r="E370" s="70"/>
    </row>
    <row r="371" spans="1:5" ht="18" hidden="1" x14ac:dyDescent="0.3">
      <c r="A371" s="12" t="s">
        <v>38</v>
      </c>
      <c r="B371" s="68" t="s">
        <v>390</v>
      </c>
      <c r="C371" s="17"/>
      <c r="D371" s="69"/>
      <c r="E371" s="70"/>
    </row>
    <row r="372" spans="1:5" ht="18" hidden="1" x14ac:dyDescent="0.3">
      <c r="A372" s="12" t="s">
        <v>39</v>
      </c>
      <c r="B372" s="68" t="s">
        <v>390</v>
      </c>
      <c r="C372" s="17"/>
      <c r="D372" s="69"/>
      <c r="E372" s="70"/>
    </row>
    <row r="373" spans="1:5" ht="18" hidden="1" x14ac:dyDescent="0.3">
      <c r="A373" s="10" t="s">
        <v>40</v>
      </c>
      <c r="B373" s="68" t="s">
        <v>390</v>
      </c>
      <c r="C373" s="8"/>
      <c r="D373" s="69"/>
      <c r="E373" s="70"/>
    </row>
    <row r="374" spans="1:5" ht="18.600000000000001" customHeight="1" x14ac:dyDescent="0.3">
      <c r="A374" s="10" t="s">
        <v>41</v>
      </c>
      <c r="B374" s="68" t="s">
        <v>390</v>
      </c>
      <c r="C374" s="8">
        <v>1</v>
      </c>
      <c r="D374" s="69">
        <v>60000</v>
      </c>
      <c r="E374" s="111">
        <f>+D374*C374</f>
        <v>60000</v>
      </c>
    </row>
    <row r="375" spans="1:5" ht="18" hidden="1" x14ac:dyDescent="0.3">
      <c r="A375" s="18" t="s">
        <v>42</v>
      </c>
      <c r="B375" s="68" t="s">
        <v>394</v>
      </c>
      <c r="C375" s="8"/>
      <c r="D375" s="69"/>
      <c r="E375" s="70"/>
    </row>
    <row r="376" spans="1:5" ht="18" hidden="1" x14ac:dyDescent="0.3">
      <c r="A376" s="10" t="s">
        <v>43</v>
      </c>
      <c r="B376" s="68" t="s">
        <v>390</v>
      </c>
      <c r="C376" s="8"/>
      <c r="D376" s="69"/>
      <c r="E376" s="70"/>
    </row>
    <row r="377" spans="1:5" ht="18" hidden="1" x14ac:dyDescent="0.3">
      <c r="A377" s="10" t="s">
        <v>44</v>
      </c>
      <c r="B377" s="68" t="s">
        <v>395</v>
      </c>
      <c r="C377" s="8"/>
      <c r="D377" s="69"/>
      <c r="E377" s="70"/>
    </row>
    <row r="378" spans="1:5" ht="18" hidden="1" x14ac:dyDescent="0.3">
      <c r="A378" s="10" t="s">
        <v>45</v>
      </c>
      <c r="B378" s="68" t="s">
        <v>390</v>
      </c>
      <c r="C378" s="8"/>
      <c r="D378" s="69"/>
      <c r="E378" s="70"/>
    </row>
    <row r="379" spans="1:5" ht="18" hidden="1" x14ac:dyDescent="0.3">
      <c r="A379" s="31" t="s">
        <v>46</v>
      </c>
      <c r="B379" s="68" t="s">
        <v>390</v>
      </c>
      <c r="C379" s="8"/>
      <c r="D379" s="69"/>
      <c r="E379" s="70"/>
    </row>
    <row r="380" spans="1:5" ht="18" hidden="1" x14ac:dyDescent="0.3">
      <c r="A380" s="14" t="s">
        <v>47</v>
      </c>
      <c r="B380" s="68" t="s">
        <v>395</v>
      </c>
      <c r="C380" s="8"/>
      <c r="D380" s="69"/>
      <c r="E380" s="70"/>
    </row>
    <row r="381" spans="1:5" ht="18" hidden="1" x14ac:dyDescent="0.3">
      <c r="A381" s="12" t="s">
        <v>48</v>
      </c>
      <c r="B381" s="68" t="s">
        <v>390</v>
      </c>
      <c r="C381" s="8"/>
      <c r="D381" s="69"/>
      <c r="E381" s="70"/>
    </row>
    <row r="382" spans="1:5" ht="18" hidden="1" x14ac:dyDescent="0.3">
      <c r="A382" s="14" t="s">
        <v>49</v>
      </c>
      <c r="B382" s="68" t="s">
        <v>394</v>
      </c>
      <c r="C382" s="8"/>
      <c r="D382" s="69"/>
      <c r="E382" s="70"/>
    </row>
    <row r="383" spans="1:5" ht="18" hidden="1" x14ac:dyDescent="0.3">
      <c r="A383" s="10" t="s">
        <v>50</v>
      </c>
      <c r="B383" s="68" t="s">
        <v>390</v>
      </c>
      <c r="C383" s="8"/>
      <c r="D383" s="69"/>
      <c r="E383" s="70"/>
    </row>
    <row r="384" spans="1:5" ht="18" hidden="1" x14ac:dyDescent="0.3">
      <c r="A384" s="10" t="s">
        <v>51</v>
      </c>
      <c r="B384" s="68" t="s">
        <v>390</v>
      </c>
      <c r="C384" s="8"/>
      <c r="D384" s="69"/>
      <c r="E384" s="70"/>
    </row>
    <row r="385" spans="1:5" ht="18" hidden="1" x14ac:dyDescent="0.3">
      <c r="A385" s="13" t="s">
        <v>52</v>
      </c>
      <c r="B385" s="68" t="s">
        <v>390</v>
      </c>
      <c r="C385" s="8"/>
      <c r="D385" s="78"/>
      <c r="E385" s="70"/>
    </row>
    <row r="386" spans="1:5" ht="18" hidden="1" x14ac:dyDescent="0.3">
      <c r="A386" s="10" t="s">
        <v>53</v>
      </c>
      <c r="B386" s="68" t="s">
        <v>390</v>
      </c>
      <c r="C386" s="8"/>
      <c r="D386" s="78"/>
      <c r="E386" s="70"/>
    </row>
    <row r="387" spans="1:5" ht="18" hidden="1" x14ac:dyDescent="0.3">
      <c r="A387" s="18" t="s">
        <v>54</v>
      </c>
      <c r="B387" s="68" t="s">
        <v>396</v>
      </c>
      <c r="C387" s="8"/>
      <c r="D387" s="69"/>
      <c r="E387" s="70"/>
    </row>
    <row r="388" spans="1:5" ht="18" hidden="1" x14ac:dyDescent="0.3">
      <c r="A388" s="18" t="s">
        <v>55</v>
      </c>
      <c r="B388" s="68" t="s">
        <v>396</v>
      </c>
      <c r="C388" s="8"/>
      <c r="D388" s="69"/>
      <c r="E388" s="70"/>
    </row>
    <row r="389" spans="1:5" ht="18" hidden="1" x14ac:dyDescent="0.3">
      <c r="A389" s="18" t="s">
        <v>56</v>
      </c>
      <c r="B389" s="68" t="s">
        <v>390</v>
      </c>
      <c r="C389" s="8"/>
      <c r="D389" s="78"/>
      <c r="E389" s="70"/>
    </row>
    <row r="390" spans="1:5" ht="18" hidden="1" x14ac:dyDescent="0.3">
      <c r="A390" s="10" t="s">
        <v>57</v>
      </c>
      <c r="B390" s="68" t="s">
        <v>390</v>
      </c>
      <c r="C390" s="8"/>
      <c r="D390" s="78"/>
      <c r="E390" s="70"/>
    </row>
    <row r="391" spans="1:5" ht="18" hidden="1" x14ac:dyDescent="0.3">
      <c r="A391" s="12" t="s">
        <v>58</v>
      </c>
      <c r="B391" s="68" t="s">
        <v>390</v>
      </c>
      <c r="C391" s="8"/>
      <c r="D391" s="69"/>
      <c r="E391" s="70"/>
    </row>
    <row r="392" spans="1:5" ht="18" hidden="1" x14ac:dyDescent="0.3">
      <c r="A392" s="10" t="s">
        <v>59</v>
      </c>
      <c r="B392" s="68" t="s">
        <v>390</v>
      </c>
      <c r="C392" s="8"/>
      <c r="D392" s="78"/>
      <c r="E392" s="70"/>
    </row>
    <row r="393" spans="1:5" ht="18" hidden="1" x14ac:dyDescent="0.3">
      <c r="A393" s="31" t="s">
        <v>60</v>
      </c>
      <c r="B393" s="68" t="s">
        <v>390</v>
      </c>
      <c r="C393" s="8"/>
      <c r="D393" s="69"/>
      <c r="E393" s="70"/>
    </row>
    <row r="394" spans="1:5" ht="18" hidden="1" x14ac:dyDescent="0.3">
      <c r="A394" s="18" t="s">
        <v>61</v>
      </c>
      <c r="B394" s="68" t="s">
        <v>396</v>
      </c>
      <c r="C394" s="8"/>
      <c r="D394" s="69"/>
      <c r="E394" s="70"/>
    </row>
    <row r="395" spans="1:5" ht="18.600000000000001" customHeight="1" x14ac:dyDescent="0.3">
      <c r="A395" s="10" t="s">
        <v>62</v>
      </c>
      <c r="B395" s="68" t="s">
        <v>393</v>
      </c>
      <c r="C395" s="8">
        <v>200</v>
      </c>
      <c r="D395" s="69">
        <f>VLOOKUP(A395,'12.6'!A64:C617,3,)</f>
        <v>16000</v>
      </c>
      <c r="E395" s="111">
        <f>+D395*C395</f>
        <v>3200000</v>
      </c>
    </row>
    <row r="396" spans="1:5" ht="18" hidden="1" x14ac:dyDescent="0.3">
      <c r="A396" s="21" t="s">
        <v>63</v>
      </c>
      <c r="B396" s="68" t="s">
        <v>390</v>
      </c>
      <c r="C396" s="8"/>
      <c r="D396" s="69"/>
      <c r="E396" s="70"/>
    </row>
    <row r="397" spans="1:5" ht="18" hidden="1" x14ac:dyDescent="0.3">
      <c r="A397" s="10" t="s">
        <v>64</v>
      </c>
      <c r="B397" s="68" t="s">
        <v>390</v>
      </c>
      <c r="C397" s="8"/>
      <c r="D397" s="78"/>
      <c r="E397" s="70"/>
    </row>
    <row r="398" spans="1:5" ht="18" hidden="1" x14ac:dyDescent="0.3">
      <c r="A398" s="10" t="s">
        <v>65</v>
      </c>
      <c r="B398" s="68" t="s">
        <v>390</v>
      </c>
      <c r="C398" s="8"/>
      <c r="D398" s="78"/>
      <c r="E398" s="70"/>
    </row>
    <row r="399" spans="1:5" ht="18" hidden="1" x14ac:dyDescent="0.3">
      <c r="A399" s="22" t="s">
        <v>66</v>
      </c>
      <c r="B399" s="68" t="s">
        <v>390</v>
      </c>
      <c r="C399" s="8"/>
      <c r="D399" s="78"/>
      <c r="E399" s="70"/>
    </row>
    <row r="400" spans="1:5" ht="18" hidden="1" x14ac:dyDescent="0.3">
      <c r="A400" s="13" t="s">
        <v>67</v>
      </c>
      <c r="B400" s="68" t="s">
        <v>390</v>
      </c>
      <c r="C400" s="8"/>
      <c r="D400" s="69"/>
      <c r="E400" s="70"/>
    </row>
    <row r="401" spans="1:5" ht="18" hidden="1" x14ac:dyDescent="0.3">
      <c r="A401" s="13" t="s">
        <v>68</v>
      </c>
      <c r="B401" s="68" t="s">
        <v>396</v>
      </c>
      <c r="C401" s="8"/>
      <c r="D401" s="69"/>
      <c r="E401" s="70"/>
    </row>
    <row r="402" spans="1:5" ht="18" hidden="1" x14ac:dyDescent="0.3">
      <c r="A402" s="12" t="s">
        <v>69</v>
      </c>
      <c r="B402" s="68" t="s">
        <v>390</v>
      </c>
      <c r="C402" s="8"/>
      <c r="D402" s="69"/>
      <c r="E402" s="70"/>
    </row>
    <row r="403" spans="1:5" ht="18" hidden="1" x14ac:dyDescent="0.3">
      <c r="A403" s="13" t="s">
        <v>70</v>
      </c>
      <c r="B403" s="68" t="s">
        <v>390</v>
      </c>
      <c r="C403" s="8"/>
      <c r="D403" s="69"/>
      <c r="E403" s="70"/>
    </row>
    <row r="404" spans="1:5" ht="18" hidden="1" x14ac:dyDescent="0.3">
      <c r="A404" s="13" t="s">
        <v>71</v>
      </c>
      <c r="B404" s="68" t="s">
        <v>390</v>
      </c>
      <c r="C404" s="8"/>
      <c r="D404" s="69"/>
      <c r="E404" s="70"/>
    </row>
    <row r="405" spans="1:5" ht="18" hidden="1" x14ac:dyDescent="0.3">
      <c r="A405" s="13" t="s">
        <v>72</v>
      </c>
      <c r="B405" s="68" t="s">
        <v>396</v>
      </c>
      <c r="C405" s="8"/>
      <c r="D405" s="69"/>
      <c r="E405" s="70"/>
    </row>
    <row r="406" spans="1:5" ht="18" hidden="1" x14ac:dyDescent="0.3">
      <c r="A406" s="22" t="s">
        <v>73</v>
      </c>
      <c r="B406" s="68" t="s">
        <v>390</v>
      </c>
      <c r="C406" s="8"/>
      <c r="D406" s="69"/>
      <c r="E406" s="70"/>
    </row>
    <row r="407" spans="1:5" ht="18" hidden="1" x14ac:dyDescent="0.3">
      <c r="A407" s="10" t="s">
        <v>74</v>
      </c>
      <c r="B407" s="68" t="s">
        <v>396</v>
      </c>
      <c r="C407" s="8"/>
      <c r="D407" s="69"/>
      <c r="E407" s="70"/>
    </row>
    <row r="408" spans="1:5" ht="18" hidden="1" x14ac:dyDescent="0.3">
      <c r="A408" s="10" t="s">
        <v>75</v>
      </c>
      <c r="B408" s="68" t="s">
        <v>394</v>
      </c>
      <c r="C408" s="8"/>
      <c r="D408" s="69"/>
      <c r="E408" s="70"/>
    </row>
    <row r="409" spans="1:5" ht="18" hidden="1" x14ac:dyDescent="0.3">
      <c r="A409" s="10" t="s">
        <v>77</v>
      </c>
      <c r="B409" s="68" t="s">
        <v>390</v>
      </c>
      <c r="C409" s="8"/>
      <c r="D409" s="69"/>
      <c r="E409" s="70"/>
    </row>
    <row r="410" spans="1:5" ht="18" hidden="1" x14ac:dyDescent="0.3">
      <c r="A410" s="14" t="s">
        <v>78</v>
      </c>
      <c r="B410" s="68" t="s">
        <v>394</v>
      </c>
      <c r="C410" s="8"/>
      <c r="D410" s="69"/>
      <c r="E410" s="70"/>
    </row>
    <row r="411" spans="1:5" ht="18.600000000000001" customHeight="1" x14ac:dyDescent="0.3">
      <c r="A411" s="10" t="s">
        <v>79</v>
      </c>
      <c r="B411" s="68" t="s">
        <v>397</v>
      </c>
      <c r="C411" s="8">
        <v>70</v>
      </c>
      <c r="D411" s="69">
        <f>VLOOKUP(A411,'12.6'!A80:C633,3,)</f>
        <v>30000</v>
      </c>
      <c r="E411" s="111">
        <f t="shared" ref="E411:E412" si="0">+D411*C411</f>
        <v>2100000</v>
      </c>
    </row>
    <row r="412" spans="1:5" ht="18.600000000000001" customHeight="1" x14ac:dyDescent="0.3">
      <c r="A412" s="10" t="s">
        <v>80</v>
      </c>
      <c r="B412" s="68" t="s">
        <v>390</v>
      </c>
      <c r="C412" s="8">
        <v>20</v>
      </c>
      <c r="D412" s="69">
        <v>20000</v>
      </c>
      <c r="E412" s="111">
        <f t="shared" si="0"/>
        <v>400000</v>
      </c>
    </row>
    <row r="413" spans="1:5" ht="18" hidden="1" x14ac:dyDescent="0.3">
      <c r="A413" s="10" t="s">
        <v>81</v>
      </c>
      <c r="B413" s="68" t="s">
        <v>390</v>
      </c>
      <c r="C413" s="8"/>
      <c r="D413" s="69"/>
      <c r="E413" s="70"/>
    </row>
    <row r="414" spans="1:5" ht="18" hidden="1" x14ac:dyDescent="0.3">
      <c r="A414" s="13" t="s">
        <v>82</v>
      </c>
      <c r="B414" s="68" t="s">
        <v>390</v>
      </c>
      <c r="C414" s="17"/>
      <c r="D414" s="69"/>
      <c r="E414" s="70"/>
    </row>
    <row r="415" spans="1:5" ht="18" hidden="1" x14ac:dyDescent="0.3">
      <c r="A415" s="13" t="s">
        <v>83</v>
      </c>
      <c r="B415" s="68" t="s">
        <v>390</v>
      </c>
      <c r="C415" s="17"/>
      <c r="D415" s="69"/>
      <c r="E415" s="70"/>
    </row>
    <row r="416" spans="1:5" ht="18" hidden="1" x14ac:dyDescent="0.3">
      <c r="A416" s="13" t="s">
        <v>84</v>
      </c>
      <c r="B416" s="68" t="s">
        <v>394</v>
      </c>
      <c r="C416" s="17"/>
      <c r="D416" s="69"/>
      <c r="E416" s="70"/>
    </row>
    <row r="417" spans="1:5" ht="18" hidden="1" x14ac:dyDescent="0.3">
      <c r="A417" s="10" t="s">
        <v>85</v>
      </c>
      <c r="B417" s="68" t="s">
        <v>390</v>
      </c>
      <c r="C417" s="8"/>
      <c r="D417" s="69"/>
      <c r="E417" s="70"/>
    </row>
    <row r="418" spans="1:5" ht="18" hidden="1" x14ac:dyDescent="0.3">
      <c r="A418" s="10" t="s">
        <v>86</v>
      </c>
      <c r="B418" s="68" t="s">
        <v>390</v>
      </c>
      <c r="C418" s="8"/>
      <c r="D418" s="69"/>
      <c r="E418" s="70"/>
    </row>
    <row r="419" spans="1:5" ht="18" hidden="1" x14ac:dyDescent="0.3">
      <c r="A419" s="10" t="s">
        <v>87</v>
      </c>
      <c r="B419" s="68" t="s">
        <v>393</v>
      </c>
      <c r="C419" s="8"/>
      <c r="D419" s="69"/>
      <c r="E419" s="70"/>
    </row>
    <row r="420" spans="1:5" ht="18" hidden="1" x14ac:dyDescent="0.3">
      <c r="A420" s="10" t="s">
        <v>88</v>
      </c>
      <c r="B420" s="68" t="s">
        <v>390</v>
      </c>
      <c r="C420" s="8"/>
      <c r="D420" s="69"/>
      <c r="E420" s="70"/>
    </row>
    <row r="421" spans="1:5" ht="18" hidden="1" x14ac:dyDescent="0.3">
      <c r="A421" s="10" t="s">
        <v>89</v>
      </c>
      <c r="B421" s="68" t="s">
        <v>393</v>
      </c>
      <c r="C421" s="8"/>
      <c r="D421" s="69"/>
      <c r="E421" s="70"/>
    </row>
    <row r="422" spans="1:5" ht="18" hidden="1" x14ac:dyDescent="0.3">
      <c r="A422" s="10" t="s">
        <v>90</v>
      </c>
      <c r="B422" s="68" t="s">
        <v>390</v>
      </c>
      <c r="C422" s="8"/>
      <c r="D422" s="69"/>
      <c r="E422" s="70"/>
    </row>
    <row r="423" spans="1:5" ht="18" hidden="1" x14ac:dyDescent="0.3">
      <c r="A423" s="23" t="s">
        <v>91</v>
      </c>
      <c r="B423" s="68" t="s">
        <v>398</v>
      </c>
      <c r="C423" s="8"/>
      <c r="D423" s="69"/>
      <c r="E423" s="70"/>
    </row>
    <row r="424" spans="1:5" ht="18" hidden="1" x14ac:dyDescent="0.3">
      <c r="A424" s="23" t="s">
        <v>92</v>
      </c>
      <c r="B424" s="68" t="s">
        <v>396</v>
      </c>
      <c r="C424" s="8"/>
      <c r="D424" s="69"/>
      <c r="E424" s="70"/>
    </row>
    <row r="425" spans="1:5" ht="18" hidden="1" x14ac:dyDescent="0.3">
      <c r="A425" s="23" t="s">
        <v>93</v>
      </c>
      <c r="B425" s="68" t="s">
        <v>396</v>
      </c>
      <c r="C425" s="8"/>
      <c r="D425" s="69"/>
      <c r="E425" s="70"/>
    </row>
    <row r="426" spans="1:5" ht="18" hidden="1" x14ac:dyDescent="0.3">
      <c r="A426" s="12" t="s">
        <v>94</v>
      </c>
      <c r="B426" s="68" t="s">
        <v>390</v>
      </c>
      <c r="C426" s="8"/>
      <c r="D426" s="69"/>
      <c r="E426" s="70"/>
    </row>
    <row r="427" spans="1:5" ht="18" hidden="1" x14ac:dyDescent="0.3">
      <c r="A427" s="14" t="s">
        <v>95</v>
      </c>
      <c r="B427" s="68" t="s">
        <v>394</v>
      </c>
      <c r="C427" s="8"/>
      <c r="D427" s="69"/>
      <c r="E427" s="70"/>
    </row>
    <row r="428" spans="1:5" ht="18" hidden="1" x14ac:dyDescent="0.3">
      <c r="A428" s="10" t="s">
        <v>96</v>
      </c>
      <c r="B428" s="68" t="s">
        <v>390</v>
      </c>
      <c r="C428" s="8"/>
      <c r="D428" s="69"/>
      <c r="E428" s="70"/>
    </row>
    <row r="429" spans="1:5" ht="18" hidden="1" x14ac:dyDescent="0.3">
      <c r="A429" s="10" t="s">
        <v>97</v>
      </c>
      <c r="B429" s="68" t="s">
        <v>393</v>
      </c>
      <c r="C429" s="8"/>
      <c r="D429" s="69"/>
      <c r="E429" s="70"/>
    </row>
    <row r="430" spans="1:5" ht="18" hidden="1" x14ac:dyDescent="0.3">
      <c r="A430" s="12" t="s">
        <v>98</v>
      </c>
      <c r="B430" s="68" t="s">
        <v>393</v>
      </c>
      <c r="C430" s="8"/>
      <c r="D430" s="69"/>
      <c r="E430" s="70"/>
    </row>
    <row r="431" spans="1:5" ht="18" hidden="1" x14ac:dyDescent="0.3">
      <c r="A431" s="10" t="s">
        <v>99</v>
      </c>
      <c r="B431" s="68" t="s">
        <v>390</v>
      </c>
      <c r="C431" s="17"/>
      <c r="D431" s="69"/>
      <c r="E431" s="70"/>
    </row>
    <row r="432" spans="1:5" ht="18" hidden="1" x14ac:dyDescent="0.3">
      <c r="A432" s="12" t="s">
        <v>100</v>
      </c>
      <c r="B432" s="68" t="s">
        <v>393</v>
      </c>
      <c r="C432" s="8"/>
      <c r="D432" s="69"/>
      <c r="E432" s="70"/>
    </row>
    <row r="433" spans="1:5" ht="18" hidden="1" x14ac:dyDescent="0.3">
      <c r="A433" s="24" t="s">
        <v>101</v>
      </c>
      <c r="B433" s="68" t="s">
        <v>393</v>
      </c>
      <c r="C433" s="8"/>
      <c r="D433" s="69"/>
      <c r="E433" s="99"/>
    </row>
    <row r="434" spans="1:5" ht="18" hidden="1" x14ac:dyDescent="0.3">
      <c r="A434" s="25" t="s">
        <v>102</v>
      </c>
      <c r="B434" s="68" t="s">
        <v>390</v>
      </c>
      <c r="C434" s="8"/>
      <c r="D434" s="69"/>
      <c r="E434" s="70"/>
    </row>
    <row r="435" spans="1:5" ht="18.600000000000001" customHeight="1" x14ac:dyDescent="0.3">
      <c r="A435" s="26" t="s">
        <v>103</v>
      </c>
      <c r="B435" s="68" t="s">
        <v>390</v>
      </c>
      <c r="C435" s="8">
        <v>15</v>
      </c>
      <c r="D435" s="69">
        <v>6500</v>
      </c>
      <c r="E435" s="111">
        <f>+D435*C435</f>
        <v>97500</v>
      </c>
    </row>
    <row r="436" spans="1:5" ht="18" hidden="1" x14ac:dyDescent="0.3">
      <c r="A436" s="18" t="s">
        <v>104</v>
      </c>
      <c r="B436" s="68" t="s">
        <v>391</v>
      </c>
      <c r="C436" s="8"/>
      <c r="D436" s="69"/>
      <c r="E436" s="70"/>
    </row>
    <row r="437" spans="1:5" ht="18" hidden="1" x14ac:dyDescent="0.3">
      <c r="A437" s="10" t="s">
        <v>105</v>
      </c>
      <c r="B437" s="68" t="s">
        <v>390</v>
      </c>
      <c r="C437" s="8"/>
      <c r="D437" s="69"/>
      <c r="E437" s="70"/>
    </row>
    <row r="438" spans="1:5" ht="18" hidden="1" x14ac:dyDescent="0.3">
      <c r="A438" s="10" t="s">
        <v>106</v>
      </c>
      <c r="B438" s="68" t="s">
        <v>391</v>
      </c>
      <c r="C438" s="8"/>
      <c r="D438" s="69"/>
      <c r="E438" s="70"/>
    </row>
    <row r="439" spans="1:5" ht="18" hidden="1" x14ac:dyDescent="0.3">
      <c r="A439" s="12" t="s">
        <v>107</v>
      </c>
      <c r="B439" s="68" t="s">
        <v>390</v>
      </c>
      <c r="C439" s="8"/>
      <c r="D439" s="69"/>
      <c r="E439" s="70"/>
    </row>
    <row r="440" spans="1:5" ht="18" hidden="1" x14ac:dyDescent="0.3">
      <c r="A440" s="27" t="s">
        <v>108</v>
      </c>
      <c r="B440" s="68" t="s">
        <v>399</v>
      </c>
      <c r="C440" s="8"/>
      <c r="D440" s="69"/>
      <c r="E440" s="70"/>
    </row>
    <row r="441" spans="1:5" ht="18" hidden="1" x14ac:dyDescent="0.3">
      <c r="A441" s="10" t="s">
        <v>109</v>
      </c>
      <c r="B441" s="68" t="s">
        <v>390</v>
      </c>
      <c r="C441" s="8"/>
      <c r="D441" s="69"/>
      <c r="E441" s="70"/>
    </row>
    <row r="442" spans="1:5" ht="18.600000000000001" customHeight="1" x14ac:dyDescent="0.3">
      <c r="A442" s="10" t="s">
        <v>110</v>
      </c>
      <c r="B442" s="68" t="s">
        <v>390</v>
      </c>
      <c r="C442" s="8">
        <v>10</v>
      </c>
      <c r="D442" s="69">
        <f>VLOOKUP(A442,'12.6'!A111:C664,3,)</f>
        <v>23000</v>
      </c>
      <c r="E442" s="111">
        <f>+D442*C442</f>
        <v>230000</v>
      </c>
    </row>
    <row r="443" spans="1:5" ht="18" hidden="1" x14ac:dyDescent="0.3">
      <c r="A443" s="10" t="s">
        <v>111</v>
      </c>
      <c r="B443" s="68" t="s">
        <v>390</v>
      </c>
      <c r="C443" s="8"/>
      <c r="D443" s="69"/>
      <c r="E443" s="70"/>
    </row>
    <row r="444" spans="1:5" ht="18" hidden="1" x14ac:dyDescent="0.3">
      <c r="A444" s="10" t="s">
        <v>112</v>
      </c>
      <c r="B444" s="68" t="s">
        <v>395</v>
      </c>
      <c r="C444" s="8"/>
      <c r="D444" s="69"/>
      <c r="E444" s="70"/>
    </row>
    <row r="445" spans="1:5" ht="18" hidden="1" x14ac:dyDescent="0.3">
      <c r="A445" s="10" t="s">
        <v>113</v>
      </c>
      <c r="B445" s="68" t="s">
        <v>390</v>
      </c>
      <c r="C445" s="8"/>
      <c r="D445" s="69"/>
      <c r="E445" s="70"/>
    </row>
    <row r="446" spans="1:5" ht="18" hidden="1" x14ac:dyDescent="0.3">
      <c r="A446" s="10" t="s">
        <v>114</v>
      </c>
      <c r="B446" s="68" t="s">
        <v>390</v>
      </c>
      <c r="C446" s="8"/>
      <c r="D446" s="69"/>
      <c r="E446" s="70"/>
    </row>
    <row r="447" spans="1:5" ht="18" hidden="1" x14ac:dyDescent="0.3">
      <c r="A447" s="10" t="s">
        <v>115</v>
      </c>
      <c r="B447" s="68" t="s">
        <v>394</v>
      </c>
      <c r="C447" s="8"/>
      <c r="D447" s="69"/>
      <c r="E447" s="70"/>
    </row>
    <row r="448" spans="1:5" ht="18" hidden="1" x14ac:dyDescent="0.3">
      <c r="A448" s="10" t="s">
        <v>116</v>
      </c>
      <c r="B448" s="68" t="s">
        <v>390</v>
      </c>
      <c r="C448" s="8"/>
      <c r="D448" s="69"/>
      <c r="E448" s="70"/>
    </row>
    <row r="449" spans="1:5" ht="18" hidden="1" x14ac:dyDescent="0.3">
      <c r="A449" s="12" t="s">
        <v>117</v>
      </c>
      <c r="B449" s="68" t="s">
        <v>390</v>
      </c>
      <c r="C449" s="8"/>
      <c r="D449" s="69"/>
      <c r="E449" s="70"/>
    </row>
    <row r="450" spans="1:5" ht="18" hidden="1" x14ac:dyDescent="0.3">
      <c r="A450" s="23" t="s">
        <v>118</v>
      </c>
      <c r="B450" s="68" t="s">
        <v>392</v>
      </c>
      <c r="C450" s="8"/>
      <c r="D450" s="69"/>
      <c r="E450" s="70"/>
    </row>
    <row r="451" spans="1:5" ht="18" hidden="1" x14ac:dyDescent="0.3">
      <c r="A451" s="10" t="s">
        <v>119</v>
      </c>
      <c r="B451" s="68" t="s">
        <v>400</v>
      </c>
      <c r="C451" s="8"/>
      <c r="D451" s="69"/>
      <c r="E451" s="70"/>
    </row>
    <row r="452" spans="1:5" ht="18" hidden="1" x14ac:dyDescent="0.3">
      <c r="A452" s="12" t="s">
        <v>120</v>
      </c>
      <c r="B452" s="68" t="s">
        <v>400</v>
      </c>
      <c r="C452" s="8"/>
      <c r="D452" s="69"/>
      <c r="E452" s="70"/>
    </row>
    <row r="453" spans="1:5" ht="18" hidden="1" x14ac:dyDescent="0.3">
      <c r="A453" s="12" t="s">
        <v>121</v>
      </c>
      <c r="B453" s="68" t="s">
        <v>400</v>
      </c>
      <c r="C453" s="8"/>
      <c r="D453" s="69"/>
      <c r="E453" s="70"/>
    </row>
    <row r="454" spans="1:5" ht="18" hidden="1" x14ac:dyDescent="0.3">
      <c r="A454" s="10" t="s">
        <v>122</v>
      </c>
      <c r="B454" s="68" t="s">
        <v>390</v>
      </c>
      <c r="C454" s="8"/>
      <c r="D454" s="69"/>
      <c r="E454" s="70"/>
    </row>
    <row r="455" spans="1:5" ht="18" hidden="1" x14ac:dyDescent="0.3">
      <c r="A455" s="10" t="s">
        <v>123</v>
      </c>
      <c r="B455" s="68" t="s">
        <v>394</v>
      </c>
      <c r="C455" s="8"/>
      <c r="D455" s="69"/>
      <c r="E455" s="70"/>
    </row>
    <row r="456" spans="1:5" ht="18" hidden="1" x14ac:dyDescent="0.3">
      <c r="A456" s="11" t="s">
        <v>124</v>
      </c>
      <c r="B456" s="68" t="s">
        <v>390</v>
      </c>
      <c r="C456" s="8"/>
      <c r="D456" s="69"/>
      <c r="E456" s="70"/>
    </row>
    <row r="457" spans="1:5" ht="18" hidden="1" x14ac:dyDescent="0.3">
      <c r="A457" s="14" t="s">
        <v>125</v>
      </c>
      <c r="B457" s="68" t="s">
        <v>396</v>
      </c>
      <c r="C457" s="8"/>
      <c r="D457" s="69"/>
      <c r="E457" s="70"/>
    </row>
    <row r="458" spans="1:5" ht="18" hidden="1" x14ac:dyDescent="0.3">
      <c r="A458" s="13" t="s">
        <v>126</v>
      </c>
      <c r="B458" s="68" t="s">
        <v>396</v>
      </c>
      <c r="C458" s="17"/>
      <c r="D458" s="69"/>
      <c r="E458" s="70"/>
    </row>
    <row r="459" spans="1:5" ht="18" hidden="1" x14ac:dyDescent="0.3">
      <c r="A459" s="13" t="s">
        <v>127</v>
      </c>
      <c r="B459" s="68" t="s">
        <v>390</v>
      </c>
      <c r="C459" s="17"/>
      <c r="D459" s="69"/>
      <c r="E459" s="70"/>
    </row>
    <row r="460" spans="1:5" ht="18" hidden="1" x14ac:dyDescent="0.3">
      <c r="A460" s="13" t="s">
        <v>128</v>
      </c>
      <c r="B460" s="68" t="s">
        <v>390</v>
      </c>
      <c r="C460" s="17"/>
      <c r="D460" s="69"/>
      <c r="E460" s="70"/>
    </row>
    <row r="461" spans="1:5" ht="18" hidden="1" x14ac:dyDescent="0.3">
      <c r="A461" s="13" t="s">
        <v>129</v>
      </c>
      <c r="B461" s="68" t="s">
        <v>390</v>
      </c>
      <c r="C461" s="29"/>
      <c r="D461" s="69"/>
      <c r="E461" s="70"/>
    </row>
    <row r="462" spans="1:5" ht="18" hidden="1" x14ac:dyDescent="0.3">
      <c r="A462" s="30" t="s">
        <v>130</v>
      </c>
      <c r="B462" s="68" t="s">
        <v>394</v>
      </c>
      <c r="C462" s="8"/>
      <c r="D462" s="69"/>
      <c r="E462" s="70"/>
    </row>
    <row r="463" spans="1:5" ht="18" hidden="1" x14ac:dyDescent="0.3">
      <c r="A463" s="13" t="s">
        <v>131</v>
      </c>
      <c r="B463" s="68" t="s">
        <v>390</v>
      </c>
      <c r="C463" s="17"/>
      <c r="D463" s="69"/>
      <c r="E463" s="70"/>
    </row>
    <row r="464" spans="1:5" ht="18" hidden="1" x14ac:dyDescent="0.3">
      <c r="A464" s="10" t="s">
        <v>132</v>
      </c>
      <c r="B464" s="68" t="s">
        <v>390</v>
      </c>
      <c r="C464" s="8"/>
      <c r="D464" s="69"/>
      <c r="E464" s="70"/>
    </row>
    <row r="465" spans="1:5" ht="18" hidden="1" x14ac:dyDescent="0.3">
      <c r="A465" s="10" t="s">
        <v>133</v>
      </c>
      <c r="B465" s="68" t="s">
        <v>398</v>
      </c>
      <c r="C465" s="8"/>
      <c r="D465" s="69"/>
      <c r="E465" s="70"/>
    </row>
    <row r="466" spans="1:5" ht="18" hidden="1" x14ac:dyDescent="0.3">
      <c r="A466" s="10" t="s">
        <v>134</v>
      </c>
      <c r="B466" s="68" t="s">
        <v>394</v>
      </c>
      <c r="C466" s="8"/>
      <c r="D466" s="69"/>
      <c r="E466" s="70"/>
    </row>
    <row r="467" spans="1:5" ht="18" hidden="1" x14ac:dyDescent="0.3">
      <c r="A467" s="10" t="s">
        <v>135</v>
      </c>
      <c r="B467" s="68" t="s">
        <v>390</v>
      </c>
      <c r="C467" s="8"/>
      <c r="D467" s="69"/>
      <c r="E467" s="70"/>
    </row>
    <row r="468" spans="1:5" ht="18" hidden="1" x14ac:dyDescent="0.3">
      <c r="A468" s="18" t="s">
        <v>136</v>
      </c>
      <c r="B468" s="68" t="s">
        <v>393</v>
      </c>
      <c r="C468" s="8"/>
      <c r="D468" s="69"/>
      <c r="E468" s="70"/>
    </row>
    <row r="469" spans="1:5" ht="18.600000000000001" customHeight="1" x14ac:dyDescent="0.3">
      <c r="A469" s="13" t="s">
        <v>137</v>
      </c>
      <c r="B469" s="68" t="s">
        <v>390</v>
      </c>
      <c r="C469" s="8">
        <v>3</v>
      </c>
      <c r="D469" s="69">
        <v>40000</v>
      </c>
      <c r="E469" s="111">
        <f>+D469*C469</f>
        <v>120000</v>
      </c>
    </row>
    <row r="470" spans="1:5" ht="18" hidden="1" x14ac:dyDescent="0.3">
      <c r="A470" s="13" t="s">
        <v>138</v>
      </c>
      <c r="B470" s="68" t="s">
        <v>393</v>
      </c>
      <c r="C470" s="8"/>
      <c r="D470" s="69"/>
      <c r="E470" s="70"/>
    </row>
    <row r="471" spans="1:5" ht="18" hidden="1" x14ac:dyDescent="0.3">
      <c r="A471" s="10" t="s">
        <v>139</v>
      </c>
      <c r="B471" s="68" t="s">
        <v>390</v>
      </c>
      <c r="C471" s="8"/>
      <c r="D471" s="69"/>
      <c r="E471" s="70"/>
    </row>
    <row r="472" spans="1:5" ht="18" hidden="1" x14ac:dyDescent="0.3">
      <c r="A472" s="10" t="s">
        <v>140</v>
      </c>
      <c r="B472" s="68" t="s">
        <v>390</v>
      </c>
      <c r="C472" s="8"/>
      <c r="D472" s="69"/>
      <c r="E472" s="70"/>
    </row>
    <row r="473" spans="1:5" ht="18" hidden="1" x14ac:dyDescent="0.3">
      <c r="A473" s="10" t="s">
        <v>141</v>
      </c>
      <c r="B473" s="68" t="s">
        <v>390</v>
      </c>
      <c r="C473" s="17"/>
      <c r="D473" s="69"/>
      <c r="E473" s="70"/>
    </row>
    <row r="474" spans="1:5" ht="18" hidden="1" x14ac:dyDescent="0.3">
      <c r="A474" s="10" t="s">
        <v>142</v>
      </c>
      <c r="B474" s="68" t="s">
        <v>394</v>
      </c>
      <c r="C474" s="17"/>
      <c r="D474" s="69"/>
      <c r="E474" s="70"/>
    </row>
    <row r="475" spans="1:5" ht="18" hidden="1" x14ac:dyDescent="0.3">
      <c r="A475" s="10" t="s">
        <v>143</v>
      </c>
      <c r="B475" s="68"/>
      <c r="C475" s="8"/>
      <c r="D475" s="69"/>
      <c r="E475" s="70"/>
    </row>
    <row r="476" spans="1:5" ht="18" hidden="1" x14ac:dyDescent="0.3">
      <c r="A476" s="10" t="s">
        <v>144</v>
      </c>
      <c r="B476" s="68" t="s">
        <v>390</v>
      </c>
      <c r="C476" s="17"/>
      <c r="D476" s="69"/>
      <c r="E476" s="70"/>
    </row>
    <row r="477" spans="1:5" ht="18" hidden="1" x14ac:dyDescent="0.3">
      <c r="A477" s="10" t="s">
        <v>145</v>
      </c>
      <c r="B477" s="68" t="s">
        <v>394</v>
      </c>
      <c r="C477" s="17"/>
      <c r="D477" s="69"/>
      <c r="E477" s="70"/>
    </row>
    <row r="478" spans="1:5" ht="18" hidden="1" x14ac:dyDescent="0.3">
      <c r="A478" s="10" t="s">
        <v>146</v>
      </c>
      <c r="B478" s="68" t="s">
        <v>390</v>
      </c>
      <c r="C478" s="17"/>
      <c r="D478" s="69"/>
      <c r="E478" s="70"/>
    </row>
    <row r="479" spans="1:5" ht="18" hidden="1" x14ac:dyDescent="0.3">
      <c r="A479" s="10" t="s">
        <v>147</v>
      </c>
      <c r="B479" s="68" t="s">
        <v>394</v>
      </c>
      <c r="C479" s="17"/>
      <c r="D479" s="69"/>
      <c r="E479" s="70"/>
    </row>
    <row r="480" spans="1:5" ht="18" hidden="1" x14ac:dyDescent="0.3">
      <c r="A480" s="10" t="s">
        <v>148</v>
      </c>
      <c r="B480" s="68" t="s">
        <v>390</v>
      </c>
      <c r="C480" s="17"/>
      <c r="D480" s="69"/>
      <c r="E480" s="70"/>
    </row>
    <row r="481" spans="1:5" ht="18" hidden="1" x14ac:dyDescent="0.3">
      <c r="A481" s="10" t="s">
        <v>149</v>
      </c>
      <c r="B481" s="68" t="s">
        <v>390</v>
      </c>
      <c r="C481" s="17"/>
      <c r="D481" s="69"/>
      <c r="E481" s="70"/>
    </row>
    <row r="482" spans="1:5" ht="18" hidden="1" x14ac:dyDescent="0.3">
      <c r="A482" s="10" t="s">
        <v>150</v>
      </c>
      <c r="B482" s="68" t="s">
        <v>390</v>
      </c>
      <c r="C482" s="17"/>
      <c r="D482" s="69"/>
      <c r="E482" s="70"/>
    </row>
    <row r="483" spans="1:5" ht="18" hidden="1" x14ac:dyDescent="0.3">
      <c r="A483" s="10" t="s">
        <v>151</v>
      </c>
      <c r="B483" s="68" t="s">
        <v>394</v>
      </c>
      <c r="C483" s="17"/>
      <c r="D483" s="69"/>
      <c r="E483" s="70"/>
    </row>
    <row r="484" spans="1:5" ht="18" hidden="1" x14ac:dyDescent="0.3">
      <c r="A484" s="10" t="s">
        <v>152</v>
      </c>
      <c r="B484" s="68" t="s">
        <v>390</v>
      </c>
      <c r="C484" s="8"/>
      <c r="D484" s="69"/>
      <c r="E484" s="70"/>
    </row>
    <row r="485" spans="1:5" ht="18" hidden="1" x14ac:dyDescent="0.3">
      <c r="A485" s="10" t="s">
        <v>153</v>
      </c>
      <c r="B485" s="68" t="s">
        <v>390</v>
      </c>
      <c r="C485" s="8"/>
      <c r="D485" s="69"/>
      <c r="E485" s="70"/>
    </row>
    <row r="486" spans="1:5" ht="18" hidden="1" x14ac:dyDescent="0.3">
      <c r="A486" s="10" t="s">
        <v>154</v>
      </c>
      <c r="B486" s="68" t="s">
        <v>393</v>
      </c>
      <c r="C486" s="8"/>
      <c r="D486" s="69"/>
      <c r="E486" s="70"/>
    </row>
    <row r="487" spans="1:5" ht="18" hidden="1" x14ac:dyDescent="0.3">
      <c r="A487" s="10" t="s">
        <v>155</v>
      </c>
      <c r="B487" s="68" t="s">
        <v>393</v>
      </c>
      <c r="C487" s="8"/>
      <c r="D487" s="69"/>
      <c r="E487" s="70"/>
    </row>
    <row r="488" spans="1:5" ht="18" hidden="1" x14ac:dyDescent="0.3">
      <c r="A488" s="18" t="s">
        <v>156</v>
      </c>
      <c r="B488" s="68" t="s">
        <v>393</v>
      </c>
      <c r="C488" s="8"/>
      <c r="D488" s="69"/>
      <c r="E488" s="70"/>
    </row>
    <row r="489" spans="1:5" ht="18" hidden="1" x14ac:dyDescent="0.3">
      <c r="A489" s="31" t="s">
        <v>157</v>
      </c>
      <c r="B489" s="68" t="s">
        <v>390</v>
      </c>
      <c r="C489" s="8"/>
      <c r="D489" s="69"/>
      <c r="E489" s="70"/>
    </row>
    <row r="490" spans="1:5" ht="18" hidden="1" x14ac:dyDescent="0.3">
      <c r="A490" s="10" t="s">
        <v>158</v>
      </c>
      <c r="B490" s="68" t="s">
        <v>390</v>
      </c>
      <c r="C490" s="8"/>
      <c r="D490" s="69"/>
      <c r="E490" s="70"/>
    </row>
    <row r="491" spans="1:5" ht="18" hidden="1" x14ac:dyDescent="0.3">
      <c r="A491" s="10" t="s">
        <v>159</v>
      </c>
      <c r="B491" s="68" t="s">
        <v>393</v>
      </c>
      <c r="C491" s="8"/>
      <c r="D491" s="69"/>
      <c r="E491" s="76"/>
    </row>
    <row r="492" spans="1:5" ht="18" hidden="1" x14ac:dyDescent="0.3">
      <c r="A492" s="10" t="s">
        <v>160</v>
      </c>
      <c r="B492" s="68" t="s">
        <v>393</v>
      </c>
      <c r="C492" s="8"/>
      <c r="D492" s="69"/>
      <c r="E492" s="76"/>
    </row>
    <row r="493" spans="1:5" ht="18" hidden="1" x14ac:dyDescent="0.3">
      <c r="A493" s="10" t="s">
        <v>161</v>
      </c>
      <c r="B493" s="68" t="s">
        <v>393</v>
      </c>
      <c r="C493" s="17"/>
      <c r="D493" s="69"/>
      <c r="E493" s="70"/>
    </row>
    <row r="494" spans="1:5" ht="18" hidden="1" x14ac:dyDescent="0.3">
      <c r="A494" s="10" t="s">
        <v>162</v>
      </c>
      <c r="B494" s="68" t="s">
        <v>390</v>
      </c>
      <c r="C494" s="17"/>
      <c r="D494" s="69"/>
      <c r="E494" s="70"/>
    </row>
    <row r="495" spans="1:5" ht="18" hidden="1" x14ac:dyDescent="0.3">
      <c r="A495" s="10" t="s">
        <v>163</v>
      </c>
      <c r="B495" s="68" t="s">
        <v>394</v>
      </c>
      <c r="C495" s="17"/>
      <c r="D495" s="69"/>
      <c r="E495" s="70"/>
    </row>
    <row r="496" spans="1:5" ht="18" hidden="1" x14ac:dyDescent="0.3">
      <c r="A496" s="10" t="s">
        <v>164</v>
      </c>
      <c r="B496" s="68" t="s">
        <v>394</v>
      </c>
      <c r="C496" s="8"/>
      <c r="D496" s="69"/>
      <c r="E496" s="70"/>
    </row>
    <row r="497" spans="1:5" ht="18" hidden="1" x14ac:dyDescent="0.3">
      <c r="A497" s="10" t="s">
        <v>165</v>
      </c>
      <c r="B497" s="68" t="s">
        <v>390</v>
      </c>
      <c r="C497" s="8"/>
      <c r="D497" s="69"/>
      <c r="E497" s="70"/>
    </row>
    <row r="498" spans="1:5" ht="18" hidden="1" x14ac:dyDescent="0.3">
      <c r="A498" s="18" t="s">
        <v>166</v>
      </c>
      <c r="B498" s="68" t="s">
        <v>394</v>
      </c>
      <c r="C498" s="8"/>
      <c r="D498" s="69"/>
      <c r="E498" s="70"/>
    </row>
    <row r="499" spans="1:5" ht="18" hidden="1" x14ac:dyDescent="0.3">
      <c r="A499" s="13" t="s">
        <v>167</v>
      </c>
      <c r="B499" s="68" t="s">
        <v>390</v>
      </c>
      <c r="C499" s="8"/>
      <c r="D499" s="69"/>
      <c r="E499" s="70"/>
    </row>
    <row r="500" spans="1:5" ht="18.600000000000001" customHeight="1" x14ac:dyDescent="0.3">
      <c r="A500" s="10" t="s">
        <v>168</v>
      </c>
      <c r="B500" s="68" t="s">
        <v>394</v>
      </c>
      <c r="C500" s="8">
        <v>160</v>
      </c>
      <c r="D500" s="69">
        <v>7000</v>
      </c>
      <c r="E500" s="111">
        <f>+D500*C500</f>
        <v>1120000</v>
      </c>
    </row>
    <row r="501" spans="1:5" ht="18" hidden="1" x14ac:dyDescent="0.3">
      <c r="A501" s="33" t="s">
        <v>169</v>
      </c>
      <c r="B501" s="68" t="s">
        <v>394</v>
      </c>
      <c r="C501" s="8"/>
      <c r="D501" s="69"/>
      <c r="E501" s="76"/>
    </row>
    <row r="502" spans="1:5" ht="18.600000000000001" customHeight="1" x14ac:dyDescent="0.3">
      <c r="A502" s="10" t="s">
        <v>170</v>
      </c>
      <c r="B502" s="68" t="s">
        <v>390</v>
      </c>
      <c r="C502" s="8">
        <v>15</v>
      </c>
      <c r="D502" s="69">
        <f>VLOOKUP(A502,'12.6'!A171:C724,3,)</f>
        <v>6500</v>
      </c>
      <c r="E502" s="111">
        <f>+D502*C502</f>
        <v>97500</v>
      </c>
    </row>
    <row r="503" spans="1:5" ht="18" hidden="1" x14ac:dyDescent="0.3">
      <c r="A503" s="10" t="s">
        <v>171</v>
      </c>
      <c r="B503" s="68" t="s">
        <v>390</v>
      </c>
      <c r="C503" s="8"/>
      <c r="D503" s="69"/>
      <c r="E503" s="70"/>
    </row>
    <row r="504" spans="1:5" ht="18" hidden="1" x14ac:dyDescent="0.3">
      <c r="A504" s="22" t="s">
        <v>172</v>
      </c>
      <c r="B504" s="68" t="s">
        <v>390</v>
      </c>
      <c r="C504" s="8"/>
      <c r="D504" s="69"/>
      <c r="E504" s="70"/>
    </row>
    <row r="505" spans="1:5" ht="18" hidden="1" x14ac:dyDescent="0.3">
      <c r="A505" s="10" t="s">
        <v>173</v>
      </c>
      <c r="B505" s="68" t="s">
        <v>393</v>
      </c>
      <c r="C505" s="8"/>
      <c r="D505" s="69"/>
      <c r="E505" s="70"/>
    </row>
    <row r="506" spans="1:5" ht="18.600000000000001" customHeight="1" x14ac:dyDescent="0.3">
      <c r="A506" s="34" t="s">
        <v>174</v>
      </c>
      <c r="B506" s="82" t="s">
        <v>390</v>
      </c>
      <c r="C506" s="36">
        <v>8</v>
      </c>
      <c r="D506" s="69">
        <v>17000</v>
      </c>
      <c r="E506" s="111">
        <f>+D506*C506</f>
        <v>136000</v>
      </c>
    </row>
    <row r="507" spans="1:5" ht="18" hidden="1" x14ac:dyDescent="0.3">
      <c r="A507" s="12" t="s">
        <v>175</v>
      </c>
      <c r="B507" s="68" t="s">
        <v>390</v>
      </c>
      <c r="C507" s="8"/>
      <c r="D507" s="69"/>
      <c r="E507" s="70"/>
    </row>
    <row r="508" spans="1:5" ht="18" hidden="1" x14ac:dyDescent="0.3">
      <c r="A508" s="10" t="s">
        <v>176</v>
      </c>
      <c r="B508" s="68" t="s">
        <v>390</v>
      </c>
      <c r="C508" s="8"/>
      <c r="D508" s="69"/>
      <c r="E508" s="70"/>
    </row>
    <row r="509" spans="1:5" ht="18" hidden="1" x14ac:dyDescent="0.3">
      <c r="A509" s="10" t="s">
        <v>177</v>
      </c>
      <c r="B509" s="68" t="s">
        <v>390</v>
      </c>
      <c r="C509" s="8"/>
      <c r="D509" s="69"/>
      <c r="E509" s="70"/>
    </row>
    <row r="510" spans="1:5" ht="18" hidden="1" x14ac:dyDescent="0.3">
      <c r="A510" s="13" t="s">
        <v>178</v>
      </c>
      <c r="B510" s="68" t="s">
        <v>390</v>
      </c>
      <c r="C510" s="8"/>
      <c r="D510" s="69"/>
      <c r="E510" s="70"/>
    </row>
    <row r="511" spans="1:5" ht="18" hidden="1" x14ac:dyDescent="0.3">
      <c r="A511" s="10" t="s">
        <v>179</v>
      </c>
      <c r="B511" s="68" t="s">
        <v>390</v>
      </c>
      <c r="C511" s="8"/>
      <c r="D511" s="69"/>
      <c r="E511" s="70"/>
    </row>
    <row r="512" spans="1:5" ht="18" hidden="1" x14ac:dyDescent="0.3">
      <c r="A512" s="10" t="s">
        <v>180</v>
      </c>
      <c r="B512" s="68" t="s">
        <v>390</v>
      </c>
      <c r="C512" s="8"/>
      <c r="D512" s="69"/>
      <c r="E512" s="70"/>
    </row>
    <row r="513" spans="1:5" ht="18" hidden="1" x14ac:dyDescent="0.3">
      <c r="A513" s="13" t="s">
        <v>181</v>
      </c>
      <c r="B513" s="68" t="s">
        <v>390</v>
      </c>
      <c r="C513" s="8"/>
      <c r="D513" s="69"/>
      <c r="E513" s="70"/>
    </row>
    <row r="514" spans="1:5" ht="18" hidden="1" x14ac:dyDescent="0.3">
      <c r="A514" s="13" t="s">
        <v>182</v>
      </c>
      <c r="B514" s="68" t="s">
        <v>390</v>
      </c>
      <c r="C514" s="8"/>
      <c r="D514" s="69"/>
      <c r="E514" s="70"/>
    </row>
    <row r="515" spans="1:5" ht="18.600000000000001" customHeight="1" x14ac:dyDescent="0.3">
      <c r="A515" s="13" t="s">
        <v>183</v>
      </c>
      <c r="B515" s="68" t="s">
        <v>390</v>
      </c>
      <c r="C515" s="8">
        <v>200</v>
      </c>
      <c r="D515" s="69">
        <f>VLOOKUP(A515,'12.6'!A184:C737,3,)</f>
        <v>7700</v>
      </c>
      <c r="E515" s="111">
        <f t="shared" ref="E515:E516" si="1">+D515*C515</f>
        <v>1540000</v>
      </c>
    </row>
    <row r="516" spans="1:5" ht="18.600000000000001" customHeight="1" x14ac:dyDescent="0.3">
      <c r="A516" s="10" t="s">
        <v>184</v>
      </c>
      <c r="B516" s="68" t="s">
        <v>393</v>
      </c>
      <c r="C516" s="8">
        <v>45</v>
      </c>
      <c r="D516" s="69">
        <f>VLOOKUP(A516,'12.6'!A185:C738,3,)</f>
        <v>2100</v>
      </c>
      <c r="E516" s="111">
        <f t="shared" si="1"/>
        <v>94500</v>
      </c>
    </row>
    <row r="517" spans="1:5" ht="18" hidden="1" x14ac:dyDescent="0.3">
      <c r="A517" s="13" t="s">
        <v>185</v>
      </c>
      <c r="B517" s="68" t="s">
        <v>390</v>
      </c>
      <c r="C517" s="8"/>
      <c r="D517" s="69"/>
      <c r="E517" s="70"/>
    </row>
    <row r="518" spans="1:5" ht="18.600000000000001" customHeight="1" x14ac:dyDescent="0.3">
      <c r="A518" s="13" t="s">
        <v>186</v>
      </c>
      <c r="B518" s="68" t="s">
        <v>390</v>
      </c>
      <c r="C518" s="8">
        <v>15</v>
      </c>
      <c r="D518" s="69">
        <f>VLOOKUP(A518,'12.6'!A187:C740,3,)</f>
        <v>20000</v>
      </c>
      <c r="E518" s="111">
        <f>+D518*C518</f>
        <v>300000</v>
      </c>
    </row>
    <row r="519" spans="1:5" ht="18" hidden="1" x14ac:dyDescent="0.3">
      <c r="A519" s="13" t="s">
        <v>187</v>
      </c>
      <c r="B519" s="68" t="s">
        <v>393</v>
      </c>
      <c r="C519" s="8"/>
      <c r="D519" s="69"/>
      <c r="E519" s="70"/>
    </row>
    <row r="520" spans="1:5" ht="18" hidden="1" x14ac:dyDescent="0.3">
      <c r="A520" s="10" t="s">
        <v>188</v>
      </c>
      <c r="B520" s="68" t="s">
        <v>393</v>
      </c>
      <c r="C520" s="8"/>
      <c r="D520" s="69"/>
      <c r="E520" s="70"/>
    </row>
    <row r="521" spans="1:5" ht="18" hidden="1" x14ac:dyDescent="0.3">
      <c r="A521" s="18" t="s">
        <v>189</v>
      </c>
      <c r="B521" s="68" t="s">
        <v>390</v>
      </c>
      <c r="C521" s="8"/>
      <c r="D521" s="69"/>
      <c r="E521" s="70"/>
    </row>
    <row r="522" spans="1:5" ht="18" hidden="1" x14ac:dyDescent="0.3">
      <c r="A522" s="18" t="s">
        <v>190</v>
      </c>
      <c r="B522" s="68" t="s">
        <v>390</v>
      </c>
      <c r="C522" s="8"/>
      <c r="D522" s="69"/>
      <c r="E522" s="70"/>
    </row>
    <row r="523" spans="1:5" ht="18" hidden="1" x14ac:dyDescent="0.3">
      <c r="A523" s="18" t="s">
        <v>191</v>
      </c>
      <c r="B523" s="68" t="s">
        <v>390</v>
      </c>
      <c r="C523" s="8"/>
      <c r="D523" s="69"/>
      <c r="E523" s="70"/>
    </row>
    <row r="524" spans="1:5" ht="18" hidden="1" x14ac:dyDescent="0.3">
      <c r="A524" s="18" t="s">
        <v>192</v>
      </c>
      <c r="B524" s="68" t="s">
        <v>393</v>
      </c>
      <c r="C524" s="8"/>
      <c r="D524" s="69"/>
      <c r="E524" s="70"/>
    </row>
    <row r="525" spans="1:5" ht="18" hidden="1" x14ac:dyDescent="0.3">
      <c r="A525" s="13" t="s">
        <v>193</v>
      </c>
      <c r="B525" s="68" t="s">
        <v>390</v>
      </c>
      <c r="C525" s="8"/>
      <c r="D525" s="69"/>
      <c r="E525" s="70"/>
    </row>
    <row r="526" spans="1:5" ht="18" hidden="1" x14ac:dyDescent="0.3">
      <c r="A526" s="10" t="s">
        <v>194</v>
      </c>
      <c r="B526" s="68" t="s">
        <v>393</v>
      </c>
      <c r="C526" s="8"/>
      <c r="D526" s="69"/>
      <c r="E526" s="70"/>
    </row>
    <row r="527" spans="1:5" ht="18" hidden="1" x14ac:dyDescent="0.3">
      <c r="A527" s="37" t="s">
        <v>195</v>
      </c>
      <c r="B527" s="68" t="s">
        <v>393</v>
      </c>
      <c r="C527" s="8"/>
      <c r="D527" s="69"/>
      <c r="E527" s="70"/>
    </row>
    <row r="528" spans="1:5" ht="18" hidden="1" x14ac:dyDescent="0.3">
      <c r="A528" s="37" t="s">
        <v>196</v>
      </c>
      <c r="B528" s="68" t="s">
        <v>393</v>
      </c>
      <c r="C528" s="8"/>
      <c r="D528" s="69"/>
      <c r="E528" s="70"/>
    </row>
    <row r="529" spans="1:5" ht="18" hidden="1" x14ac:dyDescent="0.3">
      <c r="A529" s="37" t="s">
        <v>197</v>
      </c>
      <c r="B529" s="68" t="s">
        <v>393</v>
      </c>
      <c r="C529" s="8"/>
      <c r="D529" s="69"/>
      <c r="E529" s="70"/>
    </row>
    <row r="530" spans="1:5" ht="18" hidden="1" x14ac:dyDescent="0.3">
      <c r="A530" s="37" t="s">
        <v>198</v>
      </c>
      <c r="B530" s="68" t="s">
        <v>393</v>
      </c>
      <c r="C530" s="8"/>
      <c r="D530" s="69"/>
      <c r="E530" s="70"/>
    </row>
    <row r="531" spans="1:5" ht="18" hidden="1" x14ac:dyDescent="0.3">
      <c r="A531" s="10" t="s">
        <v>199</v>
      </c>
      <c r="B531" s="68" t="s">
        <v>390</v>
      </c>
      <c r="C531" s="8"/>
      <c r="D531" s="69"/>
      <c r="E531" s="70"/>
    </row>
    <row r="532" spans="1:5" ht="18" hidden="1" x14ac:dyDescent="0.3">
      <c r="A532" s="38" t="s">
        <v>200</v>
      </c>
      <c r="B532" s="68" t="s">
        <v>394</v>
      </c>
      <c r="C532" s="8"/>
      <c r="D532" s="69"/>
      <c r="E532" s="70"/>
    </row>
    <row r="533" spans="1:5" ht="18.600000000000001" customHeight="1" x14ac:dyDescent="0.3">
      <c r="A533" s="10" t="s">
        <v>201</v>
      </c>
      <c r="B533" s="68" t="s">
        <v>390</v>
      </c>
      <c r="C533" s="8">
        <v>265</v>
      </c>
      <c r="D533" s="69">
        <f>VLOOKUP(A533,'12.6'!A202:C755,3,)</f>
        <v>20000</v>
      </c>
      <c r="E533" s="111">
        <f t="shared" ref="E533:E534" si="2">+D533*C533</f>
        <v>5300000</v>
      </c>
    </row>
    <row r="534" spans="1:5" ht="18.600000000000001" customHeight="1" x14ac:dyDescent="0.3">
      <c r="A534" s="13" t="s">
        <v>202</v>
      </c>
      <c r="B534" s="68" t="s">
        <v>390</v>
      </c>
      <c r="C534" s="8">
        <v>350</v>
      </c>
      <c r="D534" s="69">
        <f>VLOOKUP(A534,'12.6'!A203:C756,3,)</f>
        <v>19000</v>
      </c>
      <c r="E534" s="111">
        <f t="shared" si="2"/>
        <v>6650000</v>
      </c>
    </row>
    <row r="535" spans="1:5" ht="18" hidden="1" x14ac:dyDescent="0.3">
      <c r="A535" s="10" t="s">
        <v>203</v>
      </c>
      <c r="B535" s="68" t="s">
        <v>393</v>
      </c>
      <c r="C535" s="8"/>
      <c r="D535" s="74"/>
      <c r="E535" s="87"/>
    </row>
    <row r="536" spans="1:5" ht="18" hidden="1" x14ac:dyDescent="0.3">
      <c r="A536" s="10" t="s">
        <v>204</v>
      </c>
      <c r="B536" s="68" t="s">
        <v>390</v>
      </c>
      <c r="C536" s="8"/>
      <c r="D536" s="86"/>
      <c r="E536" s="70"/>
    </row>
    <row r="537" spans="1:5" ht="18" hidden="1" x14ac:dyDescent="0.3">
      <c r="A537" s="39" t="s">
        <v>205</v>
      </c>
      <c r="B537" s="68" t="s">
        <v>393</v>
      </c>
      <c r="C537" s="8"/>
      <c r="D537" s="74"/>
      <c r="E537" s="87"/>
    </row>
    <row r="538" spans="1:5" ht="18" hidden="1" x14ac:dyDescent="0.3">
      <c r="A538" s="39" t="s">
        <v>206</v>
      </c>
      <c r="B538" s="68" t="s">
        <v>393</v>
      </c>
      <c r="C538" s="8"/>
      <c r="D538" s="74"/>
      <c r="E538" s="87"/>
    </row>
    <row r="539" spans="1:5" ht="18" hidden="1" x14ac:dyDescent="0.3">
      <c r="A539" s="10" t="s">
        <v>207</v>
      </c>
      <c r="B539" s="68" t="s">
        <v>390</v>
      </c>
      <c r="C539" s="8"/>
      <c r="D539" s="69"/>
      <c r="E539" s="70"/>
    </row>
    <row r="540" spans="1:5" ht="18.600000000000001" customHeight="1" x14ac:dyDescent="0.3">
      <c r="A540" s="12" t="s">
        <v>208</v>
      </c>
      <c r="B540" s="68" t="s">
        <v>390</v>
      </c>
      <c r="C540" s="8">
        <v>5</v>
      </c>
      <c r="D540" s="69">
        <v>35000</v>
      </c>
      <c r="E540" s="111">
        <f>+D540*C540</f>
        <v>175000</v>
      </c>
    </row>
    <row r="541" spans="1:5" ht="18" hidden="1" x14ac:dyDescent="0.3">
      <c r="A541" s="10" t="s">
        <v>209</v>
      </c>
      <c r="B541" s="68" t="s">
        <v>390</v>
      </c>
      <c r="C541" s="8"/>
      <c r="D541" s="69"/>
      <c r="E541" s="70"/>
    </row>
    <row r="542" spans="1:5" ht="18.600000000000001" customHeight="1" x14ac:dyDescent="0.3">
      <c r="A542" s="10" t="s">
        <v>210</v>
      </c>
      <c r="B542" s="68" t="s">
        <v>390</v>
      </c>
      <c r="C542" s="8">
        <v>45</v>
      </c>
      <c r="D542" s="69">
        <f>VLOOKUP(A542,'12.6'!A211:C764,3,)</f>
        <v>10000</v>
      </c>
      <c r="E542" s="111">
        <f>+D542*C542</f>
        <v>450000</v>
      </c>
    </row>
    <row r="543" spans="1:5" ht="18" hidden="1" x14ac:dyDescent="0.3">
      <c r="A543" s="10" t="s">
        <v>211</v>
      </c>
      <c r="B543" s="68" t="s">
        <v>393</v>
      </c>
      <c r="C543" s="8"/>
      <c r="D543" s="69"/>
      <c r="E543" s="70"/>
    </row>
    <row r="544" spans="1:5" ht="18" hidden="1" x14ac:dyDescent="0.3">
      <c r="A544" s="10" t="s">
        <v>212</v>
      </c>
      <c r="B544" s="68" t="s">
        <v>390</v>
      </c>
      <c r="C544" s="8"/>
      <c r="D544" s="69"/>
      <c r="E544" s="70"/>
    </row>
    <row r="545" spans="1:5" ht="18" hidden="1" x14ac:dyDescent="0.3">
      <c r="A545" s="40" t="s">
        <v>213</v>
      </c>
      <c r="B545" s="68" t="s">
        <v>393</v>
      </c>
      <c r="C545" s="8"/>
      <c r="D545" s="69"/>
      <c r="E545" s="70"/>
    </row>
    <row r="546" spans="1:5" ht="18" hidden="1" x14ac:dyDescent="0.3">
      <c r="A546" s="10" t="s">
        <v>214</v>
      </c>
      <c r="B546" s="68" t="s">
        <v>390</v>
      </c>
      <c r="C546" s="8"/>
      <c r="D546" s="69"/>
      <c r="E546" s="70"/>
    </row>
    <row r="547" spans="1:5" ht="18.600000000000001" customHeight="1" x14ac:dyDescent="0.3">
      <c r="A547" s="10" t="s">
        <v>215</v>
      </c>
      <c r="B547" s="68" t="s">
        <v>390</v>
      </c>
      <c r="C547" s="8">
        <v>380</v>
      </c>
      <c r="D547" s="69">
        <f>VLOOKUP(A547,'12.6'!A216:C769,3,)</f>
        <v>17000</v>
      </c>
      <c r="E547" s="111">
        <f t="shared" ref="E547:E548" si="3">+D547*C547</f>
        <v>6460000</v>
      </c>
    </row>
    <row r="548" spans="1:5" ht="18.600000000000001" customHeight="1" x14ac:dyDescent="0.3">
      <c r="A548" s="10" t="s">
        <v>216</v>
      </c>
      <c r="B548" s="68" t="s">
        <v>393</v>
      </c>
      <c r="C548" s="8">
        <v>60</v>
      </c>
      <c r="D548" s="69">
        <v>5500</v>
      </c>
      <c r="E548" s="111">
        <f t="shared" si="3"/>
        <v>330000</v>
      </c>
    </row>
    <row r="549" spans="1:5" ht="18" hidden="1" x14ac:dyDescent="0.3">
      <c r="A549" s="10" t="s">
        <v>217</v>
      </c>
      <c r="B549" s="68" t="s">
        <v>393</v>
      </c>
      <c r="C549" s="8"/>
      <c r="D549" s="69"/>
      <c r="E549" s="70"/>
    </row>
    <row r="550" spans="1:5" ht="18" hidden="1" x14ac:dyDescent="0.3">
      <c r="A550" s="18" t="s">
        <v>218</v>
      </c>
      <c r="B550" s="68" t="s">
        <v>390</v>
      </c>
      <c r="C550" s="8"/>
      <c r="D550" s="69"/>
      <c r="E550" s="70"/>
    </row>
    <row r="551" spans="1:5" ht="18" hidden="1" x14ac:dyDescent="0.3">
      <c r="A551" s="18" t="s">
        <v>219</v>
      </c>
      <c r="B551" s="68" t="s">
        <v>393</v>
      </c>
      <c r="C551" s="8"/>
      <c r="D551" s="69"/>
      <c r="E551" s="70"/>
    </row>
    <row r="552" spans="1:5" ht="18" hidden="1" x14ac:dyDescent="0.3">
      <c r="A552" s="18" t="s">
        <v>220</v>
      </c>
      <c r="B552" s="68" t="s">
        <v>390</v>
      </c>
      <c r="C552" s="8"/>
      <c r="D552" s="69"/>
      <c r="E552" s="70"/>
    </row>
    <row r="553" spans="1:5" ht="18" hidden="1" x14ac:dyDescent="0.3">
      <c r="A553" s="18" t="s">
        <v>221</v>
      </c>
      <c r="B553" s="68" t="s">
        <v>393</v>
      </c>
      <c r="C553" s="8"/>
      <c r="D553" s="69"/>
      <c r="E553" s="70"/>
    </row>
    <row r="554" spans="1:5" ht="18" hidden="1" x14ac:dyDescent="0.3">
      <c r="A554" s="10" t="s">
        <v>222</v>
      </c>
      <c r="B554" s="68" t="s">
        <v>390</v>
      </c>
      <c r="C554" s="8"/>
      <c r="D554" s="69"/>
      <c r="E554" s="70"/>
    </row>
    <row r="555" spans="1:5" ht="18" hidden="1" x14ac:dyDescent="0.3">
      <c r="A555" s="10" t="s">
        <v>223</v>
      </c>
      <c r="B555" s="68" t="s">
        <v>390</v>
      </c>
      <c r="C555" s="8"/>
      <c r="D555" s="69"/>
      <c r="E555" s="70"/>
    </row>
    <row r="556" spans="1:5" ht="18" hidden="1" x14ac:dyDescent="0.3">
      <c r="A556" s="18" t="s">
        <v>224</v>
      </c>
      <c r="B556" s="68" t="s">
        <v>393</v>
      </c>
      <c r="C556" s="8"/>
      <c r="D556" s="69"/>
      <c r="E556" s="70"/>
    </row>
    <row r="557" spans="1:5" ht="18" hidden="1" x14ac:dyDescent="0.3">
      <c r="A557" s="18" t="s">
        <v>225</v>
      </c>
      <c r="B557" s="68" t="s">
        <v>393</v>
      </c>
      <c r="C557" s="8"/>
      <c r="D557" s="69"/>
      <c r="E557" s="70"/>
    </row>
    <row r="558" spans="1:5" ht="18.600000000000001" customHeight="1" x14ac:dyDescent="0.3">
      <c r="A558" s="12" t="s">
        <v>226</v>
      </c>
      <c r="B558" s="68" t="s">
        <v>390</v>
      </c>
      <c r="C558" s="8">
        <v>335</v>
      </c>
      <c r="D558" s="69">
        <f>VLOOKUP(A558,'12.6'!A227:C780,3,)</f>
        <v>40000</v>
      </c>
      <c r="E558" s="111">
        <f t="shared" ref="E558:E559" si="4">+D558*C558</f>
        <v>13400000</v>
      </c>
    </row>
    <row r="559" spans="1:5" ht="18.600000000000001" customHeight="1" x14ac:dyDescent="0.3">
      <c r="A559" s="13" t="s">
        <v>227</v>
      </c>
      <c r="B559" s="68" t="s">
        <v>396</v>
      </c>
      <c r="C559" s="8">
        <v>10</v>
      </c>
      <c r="D559" s="69">
        <v>35000</v>
      </c>
      <c r="E559" s="111">
        <f t="shared" si="4"/>
        <v>350000</v>
      </c>
    </row>
    <row r="560" spans="1:5" ht="18" hidden="1" x14ac:dyDescent="0.3">
      <c r="A560" s="12" t="s">
        <v>228</v>
      </c>
      <c r="B560" s="68" t="s">
        <v>396</v>
      </c>
      <c r="C560" s="8"/>
      <c r="D560" s="69"/>
      <c r="E560" s="70"/>
    </row>
    <row r="561" spans="1:5" ht="18" hidden="1" x14ac:dyDescent="0.3">
      <c r="A561" s="18" t="s">
        <v>229</v>
      </c>
      <c r="B561" s="68" t="s">
        <v>390</v>
      </c>
      <c r="C561" s="8"/>
      <c r="D561" s="69"/>
      <c r="E561" s="70"/>
    </row>
    <row r="562" spans="1:5" ht="18" hidden="1" x14ac:dyDescent="0.3">
      <c r="A562" s="12" t="s">
        <v>230</v>
      </c>
      <c r="B562" s="68" t="s">
        <v>390</v>
      </c>
      <c r="C562" s="8"/>
      <c r="D562" s="69"/>
      <c r="E562" s="70"/>
    </row>
    <row r="563" spans="1:5" ht="18" hidden="1" x14ac:dyDescent="0.3">
      <c r="A563" s="12" t="s">
        <v>231</v>
      </c>
      <c r="B563" s="68" t="s">
        <v>390</v>
      </c>
      <c r="C563" s="8"/>
      <c r="D563" s="69"/>
      <c r="E563" s="70"/>
    </row>
    <row r="564" spans="1:5" ht="18" hidden="1" x14ac:dyDescent="0.3">
      <c r="A564" s="12" t="s">
        <v>232</v>
      </c>
      <c r="B564" s="68" t="s">
        <v>399</v>
      </c>
      <c r="C564" s="8"/>
      <c r="D564" s="69"/>
      <c r="E564" s="70"/>
    </row>
    <row r="565" spans="1:5" ht="18" hidden="1" x14ac:dyDescent="0.3">
      <c r="A565" s="10" t="s">
        <v>233</v>
      </c>
      <c r="B565" s="68" t="s">
        <v>390</v>
      </c>
      <c r="C565" s="8"/>
      <c r="D565" s="69"/>
      <c r="E565" s="70"/>
    </row>
    <row r="566" spans="1:5" ht="18" hidden="1" x14ac:dyDescent="0.3">
      <c r="A566" s="10" t="s">
        <v>234</v>
      </c>
      <c r="B566" s="68" t="s">
        <v>390</v>
      </c>
      <c r="C566" s="8"/>
      <c r="D566" s="69"/>
      <c r="E566" s="70"/>
    </row>
    <row r="567" spans="1:5" ht="18" hidden="1" x14ac:dyDescent="0.3">
      <c r="A567" s="12" t="s">
        <v>235</v>
      </c>
      <c r="B567" s="68" t="s">
        <v>390</v>
      </c>
      <c r="C567" s="8"/>
      <c r="D567" s="69"/>
      <c r="E567" s="70"/>
    </row>
    <row r="568" spans="1:5" ht="18" hidden="1" x14ac:dyDescent="0.3">
      <c r="A568" s="39" t="s">
        <v>236</v>
      </c>
      <c r="B568" s="68" t="s">
        <v>390</v>
      </c>
      <c r="C568" s="8"/>
      <c r="D568" s="69"/>
      <c r="E568" s="70"/>
    </row>
    <row r="569" spans="1:5" ht="18" hidden="1" x14ac:dyDescent="0.3">
      <c r="A569" s="10" t="s">
        <v>237</v>
      </c>
      <c r="B569" s="68" t="s">
        <v>390</v>
      </c>
      <c r="C569" s="8"/>
      <c r="D569" s="69"/>
      <c r="E569" s="70"/>
    </row>
    <row r="570" spans="1:5" ht="18" hidden="1" x14ac:dyDescent="0.3">
      <c r="A570" s="10" t="s">
        <v>238</v>
      </c>
      <c r="B570" s="68" t="s">
        <v>392</v>
      </c>
      <c r="C570" s="8"/>
      <c r="D570" s="69"/>
      <c r="E570" s="70"/>
    </row>
    <row r="571" spans="1:5" ht="18" hidden="1" x14ac:dyDescent="0.3">
      <c r="A571" s="14" t="s">
        <v>239</v>
      </c>
      <c r="B571" s="68" t="s">
        <v>396</v>
      </c>
      <c r="C571" s="8"/>
      <c r="D571" s="69"/>
      <c r="E571" s="70"/>
    </row>
    <row r="572" spans="1:5" ht="18" hidden="1" x14ac:dyDescent="0.3">
      <c r="A572" s="14" t="s">
        <v>240</v>
      </c>
      <c r="B572" s="68" t="s">
        <v>396</v>
      </c>
      <c r="C572" s="8"/>
      <c r="D572" s="69"/>
      <c r="E572" s="70"/>
    </row>
    <row r="573" spans="1:5" ht="18" hidden="1" x14ac:dyDescent="0.3">
      <c r="A573" s="37" t="s">
        <v>241</v>
      </c>
      <c r="B573" s="68" t="s">
        <v>393</v>
      </c>
      <c r="C573" s="8"/>
      <c r="D573" s="69"/>
      <c r="E573" s="70"/>
    </row>
    <row r="574" spans="1:5" ht="18" hidden="1" x14ac:dyDescent="0.3">
      <c r="A574" s="10" t="s">
        <v>242</v>
      </c>
      <c r="B574" s="68" t="s">
        <v>390</v>
      </c>
      <c r="C574" s="8"/>
      <c r="D574" s="69"/>
      <c r="E574" s="70"/>
    </row>
    <row r="575" spans="1:5" ht="18" hidden="1" x14ac:dyDescent="0.3">
      <c r="A575" s="10" t="s">
        <v>243</v>
      </c>
      <c r="B575" s="68" t="s">
        <v>393</v>
      </c>
      <c r="C575" s="8"/>
      <c r="D575" s="69"/>
      <c r="E575" s="70"/>
    </row>
    <row r="576" spans="1:5" ht="18" hidden="1" x14ac:dyDescent="0.3">
      <c r="A576" s="10" t="s">
        <v>244</v>
      </c>
      <c r="B576" s="68" t="s">
        <v>390</v>
      </c>
      <c r="C576" s="17"/>
      <c r="D576" s="69"/>
      <c r="E576" s="70"/>
    </row>
    <row r="577" spans="1:5" ht="18" hidden="1" x14ac:dyDescent="0.3">
      <c r="A577" s="37" t="s">
        <v>245</v>
      </c>
      <c r="B577" s="68" t="s">
        <v>393</v>
      </c>
      <c r="C577" s="8"/>
      <c r="D577" s="69"/>
      <c r="E577" s="70"/>
    </row>
    <row r="578" spans="1:5" ht="18" hidden="1" x14ac:dyDescent="0.3">
      <c r="A578" s="10" t="s">
        <v>246</v>
      </c>
      <c r="B578" s="68" t="s">
        <v>393</v>
      </c>
      <c r="C578" s="17"/>
      <c r="D578" s="69"/>
      <c r="E578" s="70"/>
    </row>
    <row r="579" spans="1:5" ht="18" hidden="1" x14ac:dyDescent="0.3">
      <c r="A579" s="10" t="s">
        <v>247</v>
      </c>
      <c r="B579" s="68" t="s">
        <v>390</v>
      </c>
      <c r="C579" s="8"/>
      <c r="D579" s="69"/>
      <c r="E579" s="70"/>
    </row>
    <row r="580" spans="1:5" ht="18" hidden="1" x14ac:dyDescent="0.3">
      <c r="A580" s="12" t="s">
        <v>248</v>
      </c>
      <c r="B580" s="68" t="s">
        <v>390</v>
      </c>
      <c r="C580" s="8"/>
      <c r="D580" s="69"/>
      <c r="E580" s="70"/>
    </row>
    <row r="581" spans="1:5" ht="18" hidden="1" x14ac:dyDescent="0.3">
      <c r="A581" s="12" t="s">
        <v>249</v>
      </c>
      <c r="B581" s="68" t="s">
        <v>394</v>
      </c>
      <c r="C581" s="8"/>
      <c r="D581" s="69"/>
      <c r="E581" s="70"/>
    </row>
    <row r="582" spans="1:5" ht="18.600000000000001" customHeight="1" x14ac:dyDescent="0.3">
      <c r="A582" s="10" t="s">
        <v>250</v>
      </c>
      <c r="B582" s="68" t="s">
        <v>390</v>
      </c>
      <c r="C582" s="8">
        <v>105</v>
      </c>
      <c r="D582" s="69">
        <f>VLOOKUP(A582,'12.6'!A251:C804,3,)</f>
        <v>24000</v>
      </c>
      <c r="E582" s="111">
        <f>+D582*C582</f>
        <v>2520000</v>
      </c>
    </row>
    <row r="583" spans="1:5" ht="18" hidden="1" x14ac:dyDescent="0.3">
      <c r="A583" s="10" t="s">
        <v>251</v>
      </c>
      <c r="B583" s="68" t="s">
        <v>390</v>
      </c>
      <c r="C583" s="8"/>
      <c r="D583" s="69"/>
      <c r="E583" s="70"/>
    </row>
    <row r="584" spans="1:5" ht="18" hidden="1" x14ac:dyDescent="0.3">
      <c r="A584" s="10" t="s">
        <v>252</v>
      </c>
      <c r="B584" s="68" t="s">
        <v>392</v>
      </c>
      <c r="C584" s="8"/>
      <c r="D584" s="69"/>
      <c r="E584" s="70"/>
    </row>
    <row r="585" spans="1:5" ht="18.600000000000001" customHeight="1" x14ac:dyDescent="0.3">
      <c r="A585" s="10" t="s">
        <v>253</v>
      </c>
      <c r="B585" s="68" t="s">
        <v>394</v>
      </c>
      <c r="C585" s="8">
        <v>35</v>
      </c>
      <c r="D585" s="69">
        <f>VLOOKUP(A585,'12.6'!A254:C807,3,)</f>
        <v>11000</v>
      </c>
      <c r="E585" s="111">
        <f>+D585*C585</f>
        <v>385000</v>
      </c>
    </row>
    <row r="586" spans="1:5" ht="18" hidden="1" x14ac:dyDescent="0.3">
      <c r="A586" s="10" t="s">
        <v>254</v>
      </c>
      <c r="B586" s="68" t="s">
        <v>390</v>
      </c>
      <c r="C586" s="8"/>
      <c r="D586" s="69"/>
      <c r="E586" s="70"/>
    </row>
    <row r="587" spans="1:5" ht="18" hidden="1" x14ac:dyDescent="0.3">
      <c r="A587" s="18" t="s">
        <v>255</v>
      </c>
      <c r="B587" s="68" t="s">
        <v>390</v>
      </c>
      <c r="C587" s="8"/>
      <c r="D587" s="69"/>
      <c r="E587" s="70"/>
    </row>
    <row r="588" spans="1:5" ht="18" hidden="1" x14ac:dyDescent="0.3">
      <c r="A588" s="23" t="s">
        <v>256</v>
      </c>
      <c r="B588" s="68" t="s">
        <v>390</v>
      </c>
      <c r="C588" s="8"/>
      <c r="D588" s="69"/>
      <c r="E588" s="70"/>
    </row>
    <row r="589" spans="1:5" ht="18" hidden="1" x14ac:dyDescent="0.3">
      <c r="A589" s="23" t="s">
        <v>257</v>
      </c>
      <c r="B589" s="68" t="s">
        <v>390</v>
      </c>
      <c r="C589" s="8"/>
      <c r="D589" s="69"/>
      <c r="E589" s="70"/>
    </row>
    <row r="590" spans="1:5" ht="18.600000000000001" customHeight="1" x14ac:dyDescent="0.3">
      <c r="A590" s="10" t="s">
        <v>258</v>
      </c>
      <c r="B590" s="68" t="s">
        <v>390</v>
      </c>
      <c r="C590" s="8">
        <v>51</v>
      </c>
      <c r="D590" s="69">
        <f>VLOOKUP(A590,'12.6'!A259:C812,3,)</f>
        <v>34000</v>
      </c>
      <c r="E590" s="111">
        <f>+D590*C590</f>
        <v>1734000</v>
      </c>
    </row>
    <row r="591" spans="1:5" ht="18" hidden="1" x14ac:dyDescent="0.3">
      <c r="A591" s="10" t="s">
        <v>259</v>
      </c>
      <c r="B591" s="68" t="s">
        <v>390</v>
      </c>
      <c r="C591" s="8"/>
      <c r="D591" s="69"/>
      <c r="E591" s="70"/>
    </row>
    <row r="592" spans="1:5" ht="18" hidden="1" x14ac:dyDescent="0.3">
      <c r="A592" s="10" t="s">
        <v>260</v>
      </c>
      <c r="B592" s="68" t="s">
        <v>392</v>
      </c>
      <c r="C592" s="8"/>
      <c r="D592" s="69"/>
      <c r="E592" s="70"/>
    </row>
    <row r="593" spans="1:5" ht="18" hidden="1" x14ac:dyDescent="0.3">
      <c r="A593" s="10" t="s">
        <v>261</v>
      </c>
      <c r="B593" s="68" t="s">
        <v>394</v>
      </c>
      <c r="C593" s="8"/>
      <c r="D593" s="69"/>
      <c r="E593" s="70"/>
    </row>
    <row r="594" spans="1:5" ht="18.600000000000001" customHeight="1" x14ac:dyDescent="0.3">
      <c r="A594" s="10" t="s">
        <v>262</v>
      </c>
      <c r="B594" s="68" t="s">
        <v>390</v>
      </c>
      <c r="C594" s="8">
        <v>66</v>
      </c>
      <c r="D594" s="69">
        <f>VLOOKUP(A594,'12.6'!A263:C816,3,)</f>
        <v>20000</v>
      </c>
      <c r="E594" s="111">
        <f>+D594*C594</f>
        <v>1320000</v>
      </c>
    </row>
    <row r="595" spans="1:5" ht="18" hidden="1" x14ac:dyDescent="0.3">
      <c r="A595" s="10" t="s">
        <v>263</v>
      </c>
      <c r="B595" s="68" t="s">
        <v>390</v>
      </c>
      <c r="C595" s="8"/>
      <c r="D595" s="69"/>
      <c r="E595" s="70"/>
    </row>
    <row r="596" spans="1:5" ht="18" hidden="1" x14ac:dyDescent="0.3">
      <c r="A596" s="10" t="s">
        <v>264</v>
      </c>
      <c r="B596" s="68" t="s">
        <v>392</v>
      </c>
      <c r="C596" s="8"/>
      <c r="D596" s="69"/>
      <c r="E596" s="70"/>
    </row>
    <row r="597" spans="1:5" ht="18" hidden="1" x14ac:dyDescent="0.3">
      <c r="A597" s="10" t="s">
        <v>265</v>
      </c>
      <c r="B597" s="68" t="s">
        <v>390</v>
      </c>
      <c r="C597" s="17"/>
      <c r="D597" s="69"/>
      <c r="E597" s="70"/>
    </row>
    <row r="598" spans="1:5" ht="18" hidden="1" x14ac:dyDescent="0.3">
      <c r="A598" s="14" t="s">
        <v>266</v>
      </c>
      <c r="B598" s="68" t="s">
        <v>390</v>
      </c>
      <c r="C598" s="8"/>
      <c r="D598" s="69"/>
      <c r="E598" s="70"/>
    </row>
    <row r="599" spans="1:5" ht="18" hidden="1" x14ac:dyDescent="0.3">
      <c r="A599" s="10" t="s">
        <v>267</v>
      </c>
      <c r="B599" s="68" t="s">
        <v>390</v>
      </c>
      <c r="C599" s="8"/>
      <c r="D599" s="69"/>
      <c r="E599" s="70"/>
    </row>
    <row r="600" spans="1:5" ht="18" hidden="1" x14ac:dyDescent="0.3">
      <c r="A600" s="12" t="s">
        <v>269</v>
      </c>
      <c r="B600" s="68" t="s">
        <v>390</v>
      </c>
      <c r="C600" s="8"/>
      <c r="D600" s="69"/>
      <c r="E600" s="70"/>
    </row>
    <row r="601" spans="1:5" ht="18" hidden="1" x14ac:dyDescent="0.3">
      <c r="A601" s="10" t="s">
        <v>270</v>
      </c>
      <c r="B601" s="68" t="s">
        <v>393</v>
      </c>
      <c r="C601" s="8"/>
      <c r="D601" s="69"/>
      <c r="E601" s="99"/>
    </row>
    <row r="602" spans="1:5" ht="18" hidden="1" x14ac:dyDescent="0.3">
      <c r="A602" s="10" t="s">
        <v>271</v>
      </c>
      <c r="B602" s="68" t="s">
        <v>390</v>
      </c>
      <c r="C602" s="8"/>
      <c r="D602" s="69"/>
      <c r="E602" s="70"/>
    </row>
    <row r="603" spans="1:5" ht="18" hidden="1" x14ac:dyDescent="0.3">
      <c r="A603" s="10" t="s">
        <v>272</v>
      </c>
      <c r="B603" s="68" t="s">
        <v>390</v>
      </c>
      <c r="C603" s="8"/>
      <c r="D603" s="69"/>
      <c r="E603" s="70"/>
    </row>
    <row r="604" spans="1:5" ht="18" hidden="1" x14ac:dyDescent="0.3">
      <c r="A604" s="10" t="s">
        <v>273</v>
      </c>
      <c r="B604" s="68" t="s">
        <v>396</v>
      </c>
      <c r="C604" s="8"/>
      <c r="D604" s="69"/>
      <c r="E604" s="70"/>
    </row>
    <row r="605" spans="1:5" ht="18.600000000000001" customHeight="1" x14ac:dyDescent="0.3">
      <c r="A605" s="10" t="s">
        <v>274</v>
      </c>
      <c r="B605" s="68" t="s">
        <v>390</v>
      </c>
      <c r="C605" s="8">
        <v>17</v>
      </c>
      <c r="D605" s="69">
        <f>VLOOKUP(A605,'12.6'!A274:C827,3,)</f>
        <v>17000</v>
      </c>
      <c r="E605" s="111">
        <f>+D605*C605</f>
        <v>289000</v>
      </c>
    </row>
    <row r="606" spans="1:5" ht="18" hidden="1" x14ac:dyDescent="0.3">
      <c r="A606" s="10" t="s">
        <v>275</v>
      </c>
      <c r="B606" s="68" t="s">
        <v>395</v>
      </c>
      <c r="C606" s="8"/>
      <c r="D606" s="69"/>
      <c r="E606" s="70"/>
    </row>
    <row r="607" spans="1:5" ht="18" hidden="1" x14ac:dyDescent="0.3">
      <c r="A607" s="10" t="s">
        <v>276</v>
      </c>
      <c r="B607" s="68" t="s">
        <v>390</v>
      </c>
      <c r="C607" s="8"/>
      <c r="D607" s="69"/>
      <c r="E607" s="70"/>
    </row>
    <row r="608" spans="1:5" ht="18" hidden="1" x14ac:dyDescent="0.3">
      <c r="A608" s="37" t="s">
        <v>277</v>
      </c>
      <c r="B608" s="68" t="s">
        <v>393</v>
      </c>
      <c r="C608" s="8"/>
      <c r="D608" s="69"/>
      <c r="E608" s="70"/>
    </row>
    <row r="609" spans="1:5" ht="18" hidden="1" x14ac:dyDescent="0.3">
      <c r="A609" s="10" t="s">
        <v>278</v>
      </c>
      <c r="B609" s="68" t="s">
        <v>393</v>
      </c>
      <c r="C609" s="8"/>
      <c r="D609" s="69"/>
      <c r="E609" s="70"/>
    </row>
    <row r="610" spans="1:5" ht="18" hidden="1" x14ac:dyDescent="0.3">
      <c r="A610" s="37" t="s">
        <v>279</v>
      </c>
      <c r="B610" s="68" t="s">
        <v>393</v>
      </c>
      <c r="C610" s="8"/>
      <c r="D610" s="69"/>
      <c r="E610" s="70"/>
    </row>
    <row r="611" spans="1:5" ht="18" hidden="1" x14ac:dyDescent="0.3">
      <c r="A611" s="37" t="s">
        <v>280</v>
      </c>
      <c r="B611" s="68" t="s">
        <v>393</v>
      </c>
      <c r="C611" s="8"/>
      <c r="D611" s="69"/>
      <c r="E611" s="70"/>
    </row>
    <row r="612" spans="1:5" ht="18" hidden="1" x14ac:dyDescent="0.3">
      <c r="A612" s="13" t="s">
        <v>281</v>
      </c>
      <c r="B612" s="68" t="s">
        <v>390</v>
      </c>
      <c r="C612" s="17"/>
      <c r="D612" s="69"/>
      <c r="E612" s="70"/>
    </row>
    <row r="613" spans="1:5" ht="18" hidden="1" x14ac:dyDescent="0.3">
      <c r="A613" s="13" t="s">
        <v>282</v>
      </c>
      <c r="B613" s="68" t="s">
        <v>393</v>
      </c>
      <c r="C613" s="8"/>
      <c r="D613" s="69"/>
      <c r="E613" s="99"/>
    </row>
    <row r="614" spans="1:5" ht="18" hidden="1" x14ac:dyDescent="0.3">
      <c r="A614" s="12" t="s">
        <v>283</v>
      </c>
      <c r="B614" s="68" t="s">
        <v>390</v>
      </c>
      <c r="C614" s="8"/>
      <c r="D614" s="69"/>
      <c r="E614" s="70"/>
    </row>
    <row r="615" spans="1:5" ht="18" hidden="1" x14ac:dyDescent="0.3">
      <c r="A615" s="12" t="s">
        <v>401</v>
      </c>
      <c r="B615" s="68" t="s">
        <v>390</v>
      </c>
      <c r="C615" s="8"/>
      <c r="D615" s="69"/>
      <c r="E615" s="70"/>
    </row>
    <row r="616" spans="1:5" ht="18" hidden="1" x14ac:dyDescent="0.3">
      <c r="A616" s="18" t="s">
        <v>284</v>
      </c>
      <c r="B616" s="68" t="s">
        <v>396</v>
      </c>
      <c r="C616" s="8"/>
      <c r="D616" s="69"/>
      <c r="E616" s="70"/>
    </row>
    <row r="617" spans="1:5" ht="18" hidden="1" x14ac:dyDescent="0.3">
      <c r="A617" s="18" t="s">
        <v>285</v>
      </c>
      <c r="B617" s="68" t="s">
        <v>394</v>
      </c>
      <c r="C617" s="8"/>
      <c r="D617" s="69"/>
      <c r="E617" s="70"/>
    </row>
    <row r="618" spans="1:5" ht="18" hidden="1" x14ac:dyDescent="0.3">
      <c r="A618" s="18" t="s">
        <v>286</v>
      </c>
      <c r="B618" s="68" t="s">
        <v>394</v>
      </c>
      <c r="C618" s="8"/>
      <c r="D618" s="69"/>
      <c r="E618" s="70"/>
    </row>
    <row r="619" spans="1:5" ht="18.600000000000001" customHeight="1" x14ac:dyDescent="0.3">
      <c r="A619" s="10" t="s">
        <v>287</v>
      </c>
      <c r="B619" s="68" t="s">
        <v>390</v>
      </c>
      <c r="C619" s="8">
        <v>43</v>
      </c>
      <c r="D619" s="69">
        <f>VLOOKUP(A619,'12.6'!A288:C841,3,)</f>
        <v>9000</v>
      </c>
      <c r="E619" s="111">
        <f>+D619*C619</f>
        <v>387000</v>
      </c>
    </row>
    <row r="620" spans="1:5" ht="18" hidden="1" x14ac:dyDescent="0.3">
      <c r="A620" s="18" t="s">
        <v>288</v>
      </c>
      <c r="B620" s="68" t="s">
        <v>393</v>
      </c>
      <c r="C620" s="8"/>
      <c r="D620" s="69"/>
      <c r="E620" s="70"/>
    </row>
    <row r="621" spans="1:5" ht="18" hidden="1" x14ac:dyDescent="0.3">
      <c r="A621" s="10" t="s">
        <v>289</v>
      </c>
      <c r="B621" s="68" t="s">
        <v>390</v>
      </c>
      <c r="C621" s="8"/>
      <c r="D621" s="69"/>
      <c r="E621" s="70"/>
    </row>
    <row r="622" spans="1:5" ht="18.600000000000001" customHeight="1" x14ac:dyDescent="0.3">
      <c r="A622" s="10" t="s">
        <v>290</v>
      </c>
      <c r="B622" s="68" t="s">
        <v>390</v>
      </c>
      <c r="C622" s="8">
        <v>18</v>
      </c>
      <c r="D622" s="69">
        <v>8000</v>
      </c>
      <c r="E622" s="111">
        <f>+D622*C622</f>
        <v>144000</v>
      </c>
    </row>
    <row r="623" spans="1:5" ht="18" hidden="1" x14ac:dyDescent="0.3">
      <c r="A623" s="18" t="s">
        <v>291</v>
      </c>
      <c r="B623" s="68" t="s">
        <v>394</v>
      </c>
      <c r="C623" s="8"/>
      <c r="D623" s="69"/>
      <c r="E623" s="70"/>
    </row>
    <row r="624" spans="1:5" ht="18" hidden="1" x14ac:dyDescent="0.3">
      <c r="A624" s="27" t="s">
        <v>292</v>
      </c>
      <c r="B624" s="68" t="s">
        <v>390</v>
      </c>
      <c r="C624" s="8"/>
      <c r="D624" s="69"/>
      <c r="E624" s="70"/>
    </row>
    <row r="625" spans="1:5" ht="18.600000000000001" customHeight="1" x14ac:dyDescent="0.3">
      <c r="A625" s="10" t="s">
        <v>293</v>
      </c>
      <c r="B625" s="68" t="s">
        <v>390</v>
      </c>
      <c r="C625" s="8">
        <v>58</v>
      </c>
      <c r="D625" s="69">
        <f>VLOOKUP(A625,'12.6'!A294:C847,3,)</f>
        <v>12000</v>
      </c>
      <c r="E625" s="111">
        <f>+D625*C625</f>
        <v>696000</v>
      </c>
    </row>
    <row r="626" spans="1:5" ht="18" hidden="1" x14ac:dyDescent="0.3">
      <c r="A626" s="14" t="s">
        <v>294</v>
      </c>
      <c r="B626" s="68" t="s">
        <v>391</v>
      </c>
      <c r="C626" s="8"/>
      <c r="D626" s="69"/>
      <c r="E626" s="70"/>
    </row>
    <row r="627" spans="1:5" ht="18" hidden="1" x14ac:dyDescent="0.3">
      <c r="A627" s="14" t="s">
        <v>295</v>
      </c>
      <c r="B627" s="68" t="s">
        <v>396</v>
      </c>
      <c r="C627" s="8"/>
      <c r="D627" s="69"/>
      <c r="E627" s="70"/>
    </row>
    <row r="628" spans="1:5" ht="18" hidden="1" x14ac:dyDescent="0.3">
      <c r="A628" s="13" t="s">
        <v>296</v>
      </c>
      <c r="B628" s="68" t="s">
        <v>390</v>
      </c>
      <c r="C628" s="8"/>
      <c r="D628" s="69"/>
      <c r="E628" s="70"/>
    </row>
    <row r="629" spans="1:5" ht="18" hidden="1" x14ac:dyDescent="0.3">
      <c r="A629" s="18" t="s">
        <v>297</v>
      </c>
      <c r="B629" s="68" t="s">
        <v>393</v>
      </c>
      <c r="C629" s="8"/>
      <c r="D629" s="74"/>
      <c r="E629" s="87"/>
    </row>
    <row r="630" spans="1:5" ht="18" hidden="1" x14ac:dyDescent="0.3">
      <c r="A630" s="14" t="s">
        <v>298</v>
      </c>
      <c r="B630" s="68" t="s">
        <v>393</v>
      </c>
      <c r="C630" s="8"/>
      <c r="D630" s="69"/>
      <c r="E630" s="70"/>
    </row>
    <row r="631" spans="1:5" ht="18" hidden="1" x14ac:dyDescent="0.3">
      <c r="A631" s="10" t="s">
        <v>299</v>
      </c>
      <c r="B631" s="68" t="s">
        <v>390</v>
      </c>
      <c r="C631" s="8"/>
      <c r="D631" s="69"/>
      <c r="E631" s="70"/>
    </row>
    <row r="632" spans="1:5" ht="18" hidden="1" x14ac:dyDescent="0.3">
      <c r="A632" s="18" t="s">
        <v>300</v>
      </c>
      <c r="B632" s="68" t="s">
        <v>396</v>
      </c>
      <c r="C632" s="8"/>
      <c r="D632" s="69"/>
      <c r="E632" s="70"/>
    </row>
    <row r="633" spans="1:5" ht="18" hidden="1" x14ac:dyDescent="0.3">
      <c r="A633" s="10" t="s">
        <v>301</v>
      </c>
      <c r="B633" s="68" t="s">
        <v>390</v>
      </c>
      <c r="C633" s="8"/>
      <c r="D633" s="69"/>
      <c r="E633" s="70"/>
    </row>
    <row r="634" spans="1:5" ht="18" hidden="1" x14ac:dyDescent="0.3">
      <c r="A634" s="10" t="s">
        <v>302</v>
      </c>
      <c r="B634" s="68" t="s">
        <v>390</v>
      </c>
      <c r="C634" s="8"/>
      <c r="D634" s="69"/>
      <c r="E634" s="70"/>
    </row>
    <row r="635" spans="1:5" ht="18" hidden="1" x14ac:dyDescent="0.3">
      <c r="A635" s="12" t="s">
        <v>303</v>
      </c>
      <c r="B635" s="68" t="s">
        <v>390</v>
      </c>
      <c r="C635" s="8"/>
      <c r="D635" s="74"/>
      <c r="E635" s="70"/>
    </row>
    <row r="636" spans="1:5" ht="18" hidden="1" x14ac:dyDescent="0.3">
      <c r="A636" s="13" t="s">
        <v>304</v>
      </c>
      <c r="B636" s="68" t="s">
        <v>390</v>
      </c>
      <c r="C636" s="8"/>
      <c r="D636" s="74"/>
      <c r="E636" s="87"/>
    </row>
    <row r="637" spans="1:5" ht="18" hidden="1" x14ac:dyDescent="0.3">
      <c r="A637" s="13" t="s">
        <v>305</v>
      </c>
      <c r="B637" s="68" t="s">
        <v>390</v>
      </c>
      <c r="C637" s="8"/>
      <c r="D637" s="69"/>
      <c r="E637" s="70"/>
    </row>
    <row r="638" spans="1:5" ht="18" hidden="1" x14ac:dyDescent="0.3">
      <c r="A638" s="10" t="s">
        <v>306</v>
      </c>
      <c r="B638" s="68" t="s">
        <v>390</v>
      </c>
      <c r="C638" s="8"/>
      <c r="D638" s="69"/>
      <c r="E638" s="70"/>
    </row>
    <row r="639" spans="1:5" ht="18" hidden="1" x14ac:dyDescent="0.3">
      <c r="A639" s="10" t="s">
        <v>307</v>
      </c>
      <c r="B639" s="68" t="s">
        <v>397</v>
      </c>
      <c r="C639" s="8"/>
      <c r="D639" s="69"/>
      <c r="E639" s="70"/>
    </row>
    <row r="640" spans="1:5" ht="18" hidden="1" x14ac:dyDescent="0.3">
      <c r="A640" s="10" t="s">
        <v>308</v>
      </c>
      <c r="B640" s="68" t="s">
        <v>393</v>
      </c>
      <c r="C640" s="8"/>
      <c r="D640" s="69"/>
      <c r="E640" s="70"/>
    </row>
    <row r="641" spans="1:5" ht="18" hidden="1" x14ac:dyDescent="0.3">
      <c r="A641" s="14" t="s">
        <v>309</v>
      </c>
      <c r="B641" s="68" t="s">
        <v>390</v>
      </c>
      <c r="C641" s="8"/>
      <c r="D641" s="69"/>
      <c r="E641" s="70"/>
    </row>
    <row r="642" spans="1:5" ht="18" hidden="1" x14ac:dyDescent="0.3">
      <c r="A642" s="14" t="s">
        <v>310</v>
      </c>
      <c r="B642" s="68" t="s">
        <v>390</v>
      </c>
      <c r="C642" s="8"/>
      <c r="D642" s="69"/>
      <c r="E642" s="70"/>
    </row>
    <row r="643" spans="1:5" ht="18" hidden="1" x14ac:dyDescent="0.3">
      <c r="A643" s="23" t="s">
        <v>311</v>
      </c>
      <c r="B643" s="68" t="s">
        <v>390</v>
      </c>
      <c r="C643" s="8"/>
      <c r="D643" s="69"/>
      <c r="E643" s="70"/>
    </row>
    <row r="644" spans="1:5" ht="18" hidden="1" x14ac:dyDescent="0.3">
      <c r="A644" s="14" t="s">
        <v>312</v>
      </c>
      <c r="B644" s="68" t="s">
        <v>393</v>
      </c>
      <c r="C644" s="8"/>
      <c r="D644" s="69"/>
      <c r="E644" s="70"/>
    </row>
    <row r="645" spans="1:5" ht="18" hidden="1" x14ac:dyDescent="0.3">
      <c r="A645" s="10" t="s">
        <v>313</v>
      </c>
      <c r="B645" s="68" t="s">
        <v>395</v>
      </c>
      <c r="C645" s="8"/>
      <c r="D645" s="69"/>
      <c r="E645" s="70"/>
    </row>
    <row r="646" spans="1:5" ht="18" hidden="1" x14ac:dyDescent="0.3">
      <c r="A646" s="10" t="s">
        <v>314</v>
      </c>
      <c r="B646" s="68" t="s">
        <v>395</v>
      </c>
      <c r="C646" s="8"/>
      <c r="D646" s="69"/>
      <c r="E646" s="70"/>
    </row>
    <row r="647" spans="1:5" ht="18.600000000000001" customHeight="1" x14ac:dyDescent="0.3">
      <c r="A647" s="10" t="s">
        <v>315</v>
      </c>
      <c r="B647" s="68" t="s">
        <v>397</v>
      </c>
      <c r="C647" s="8">
        <v>7</v>
      </c>
      <c r="D647" s="69">
        <v>27000</v>
      </c>
      <c r="E647" s="111">
        <f>+D647*C647</f>
        <v>189000</v>
      </c>
    </row>
    <row r="648" spans="1:5" ht="18" hidden="1" x14ac:dyDescent="0.3">
      <c r="A648" s="10" t="s">
        <v>316</v>
      </c>
      <c r="B648" s="68" t="s">
        <v>390</v>
      </c>
      <c r="C648" s="8"/>
      <c r="D648" s="69"/>
      <c r="E648" s="70"/>
    </row>
    <row r="649" spans="1:5" ht="18" hidden="1" x14ac:dyDescent="0.3">
      <c r="A649" s="23" t="s">
        <v>317</v>
      </c>
      <c r="B649" s="68" t="s">
        <v>390</v>
      </c>
      <c r="C649" s="8"/>
      <c r="D649" s="69"/>
      <c r="E649" s="70"/>
    </row>
    <row r="650" spans="1:5" ht="18" hidden="1" x14ac:dyDescent="0.3">
      <c r="A650" s="10" t="s">
        <v>318</v>
      </c>
      <c r="B650" s="68" t="s">
        <v>395</v>
      </c>
      <c r="C650" s="8"/>
      <c r="D650" s="69"/>
      <c r="E650" s="70"/>
    </row>
    <row r="651" spans="1:5" ht="18" hidden="1" x14ac:dyDescent="0.3">
      <c r="A651" s="10" t="s">
        <v>319</v>
      </c>
      <c r="B651" s="68" t="s">
        <v>390</v>
      </c>
      <c r="C651" s="8"/>
      <c r="D651" s="69"/>
      <c r="E651" s="70"/>
    </row>
    <row r="652" spans="1:5" ht="18" hidden="1" x14ac:dyDescent="0.3">
      <c r="A652" s="13" t="s">
        <v>320</v>
      </c>
      <c r="B652" s="68" t="s">
        <v>390</v>
      </c>
      <c r="C652" s="8"/>
      <c r="D652" s="69"/>
      <c r="E652" s="70"/>
    </row>
    <row r="653" spans="1:5" ht="18" hidden="1" x14ac:dyDescent="0.3">
      <c r="A653" s="10" t="s">
        <v>321</v>
      </c>
      <c r="B653" s="68" t="s">
        <v>390</v>
      </c>
      <c r="C653" s="42"/>
      <c r="D653" s="69"/>
      <c r="E653" s="70"/>
    </row>
    <row r="654" spans="1:5" ht="18" hidden="1" x14ac:dyDescent="0.3">
      <c r="A654" s="10" t="s">
        <v>322</v>
      </c>
      <c r="B654" s="68" t="s">
        <v>395</v>
      </c>
      <c r="C654" s="8"/>
      <c r="D654" s="69"/>
      <c r="E654" s="70"/>
    </row>
    <row r="655" spans="1:5" ht="18" hidden="1" x14ac:dyDescent="0.3">
      <c r="A655" s="10" t="s">
        <v>323</v>
      </c>
      <c r="B655" s="68" t="s">
        <v>393</v>
      </c>
      <c r="C655" s="8"/>
      <c r="D655" s="69"/>
      <c r="E655" s="70"/>
    </row>
    <row r="656" spans="1:5" ht="18" hidden="1" x14ac:dyDescent="0.3">
      <c r="A656" s="23" t="s">
        <v>324</v>
      </c>
      <c r="B656" s="68" t="s">
        <v>390</v>
      </c>
      <c r="C656" s="8"/>
      <c r="D656" s="69"/>
      <c r="E656" s="70"/>
    </row>
    <row r="657" spans="1:5" ht="18" hidden="1" x14ac:dyDescent="0.3">
      <c r="A657" s="23" t="s">
        <v>325</v>
      </c>
      <c r="B657" s="68" t="s">
        <v>390</v>
      </c>
      <c r="C657" s="8"/>
      <c r="D657" s="69"/>
      <c r="E657" s="70"/>
    </row>
    <row r="658" spans="1:5" ht="18" hidden="1" x14ac:dyDescent="0.3">
      <c r="A658" s="10" t="s">
        <v>326</v>
      </c>
      <c r="B658" s="68" t="s">
        <v>390</v>
      </c>
      <c r="C658" s="8"/>
      <c r="D658" s="69"/>
      <c r="E658" s="70"/>
    </row>
    <row r="659" spans="1:5" ht="18" hidden="1" x14ac:dyDescent="0.3">
      <c r="A659" s="10" t="s">
        <v>327</v>
      </c>
      <c r="B659" s="68" t="s">
        <v>390</v>
      </c>
      <c r="C659" s="8"/>
      <c r="D659" s="69"/>
      <c r="E659" s="70"/>
    </row>
    <row r="660" spans="1:5" ht="18" hidden="1" x14ac:dyDescent="0.3">
      <c r="A660" s="23" t="s">
        <v>328</v>
      </c>
      <c r="B660" s="68" t="s">
        <v>390</v>
      </c>
      <c r="C660" s="8"/>
      <c r="D660" s="69"/>
      <c r="E660" s="70"/>
    </row>
    <row r="661" spans="1:5" ht="18" hidden="1" x14ac:dyDescent="0.3">
      <c r="A661" s="10" t="s">
        <v>329</v>
      </c>
      <c r="B661" s="68" t="s">
        <v>395</v>
      </c>
      <c r="C661" s="8"/>
      <c r="D661" s="69"/>
      <c r="E661" s="70"/>
    </row>
    <row r="662" spans="1:5" ht="18" hidden="1" x14ac:dyDescent="0.3">
      <c r="A662" s="10" t="s">
        <v>330</v>
      </c>
      <c r="B662" s="68" t="s">
        <v>395</v>
      </c>
      <c r="C662" s="8"/>
      <c r="D662" s="69"/>
      <c r="E662" s="70"/>
    </row>
    <row r="663" spans="1:5" ht="18" hidden="1" x14ac:dyDescent="0.3">
      <c r="A663" s="10" t="s">
        <v>331</v>
      </c>
      <c r="B663" s="68" t="s">
        <v>395</v>
      </c>
      <c r="C663" s="8"/>
      <c r="D663" s="69"/>
      <c r="E663" s="70"/>
    </row>
    <row r="664" spans="1:5" ht="18" hidden="1" x14ac:dyDescent="0.3">
      <c r="A664" s="10" t="s">
        <v>332</v>
      </c>
      <c r="B664" s="68" t="s">
        <v>395</v>
      </c>
      <c r="C664" s="8"/>
      <c r="D664" s="69"/>
      <c r="E664" s="70"/>
    </row>
    <row r="665" spans="1:5" ht="18" hidden="1" x14ac:dyDescent="0.3">
      <c r="A665" s="10" t="s">
        <v>333</v>
      </c>
      <c r="B665" s="68" t="s">
        <v>395</v>
      </c>
      <c r="C665" s="8"/>
      <c r="D665" s="69"/>
      <c r="E665" s="70"/>
    </row>
    <row r="666" spans="1:5" ht="18" hidden="1" x14ac:dyDescent="0.3">
      <c r="A666" s="10" t="s">
        <v>334</v>
      </c>
      <c r="B666" s="68" t="s">
        <v>397</v>
      </c>
      <c r="C666" s="8"/>
      <c r="D666" s="69"/>
      <c r="E666" s="70"/>
    </row>
    <row r="667" spans="1:5" ht="18" hidden="1" x14ac:dyDescent="0.3">
      <c r="A667" s="10" t="s">
        <v>335</v>
      </c>
      <c r="B667" s="68" t="s">
        <v>390</v>
      </c>
      <c r="C667" s="8"/>
      <c r="D667" s="69"/>
      <c r="E667" s="70"/>
    </row>
    <row r="668" spans="1:5" ht="18" hidden="1" x14ac:dyDescent="0.3">
      <c r="A668" s="10" t="s">
        <v>336</v>
      </c>
      <c r="B668" s="68" t="s">
        <v>390</v>
      </c>
      <c r="C668" s="8"/>
      <c r="D668" s="69"/>
      <c r="E668" s="70"/>
    </row>
    <row r="669" spans="1:5" ht="18" hidden="1" x14ac:dyDescent="0.3">
      <c r="A669" s="12" t="s">
        <v>337</v>
      </c>
      <c r="B669" s="68" t="s">
        <v>394</v>
      </c>
      <c r="C669" s="8"/>
      <c r="D669" s="69"/>
      <c r="E669" s="70"/>
    </row>
    <row r="670" spans="1:5" ht="18" hidden="1" x14ac:dyDescent="0.3">
      <c r="A670" s="12" t="s">
        <v>338</v>
      </c>
      <c r="B670" s="68" t="s">
        <v>390</v>
      </c>
      <c r="C670" s="8"/>
      <c r="D670" s="69"/>
      <c r="E670" s="70"/>
    </row>
    <row r="671" spans="1:5" ht="17.399999999999999" x14ac:dyDescent="0.3">
      <c r="A671" s="43"/>
      <c r="B671" s="46">
        <v>0</v>
      </c>
      <c r="C671" s="46">
        <v>2947</v>
      </c>
      <c r="D671" s="92"/>
      <c r="E671" s="93">
        <f>SUBTOTAL(9,E334:E647)</f>
        <v>55342000</v>
      </c>
    </row>
    <row r="672" spans="1:5" x14ac:dyDescent="0.3">
      <c r="E672" s="112">
        <f>+E671+E331</f>
        <v>116479500</v>
      </c>
    </row>
  </sheetData>
  <protectedRanges>
    <protectedRange password="CF71" sqref="C1:C330 C672:C65536" name="tho"/>
    <protectedRange password="CF71" sqref="C332:C670" name="tho_2"/>
  </protectedRanges>
  <autoFilter ref="A2:IU671" xr:uid="{00000000-0009-0000-0000-00000D000000}">
    <filterColumn colId="2">
      <customFilters>
        <customFilter operator="notEqual" val=" "/>
      </customFilters>
    </filterColumn>
  </autoFilter>
  <mergeCells count="2">
    <mergeCell ref="A2:A3"/>
    <mergeCell ref="A332:A3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674"/>
  <sheetViews>
    <sheetView topLeftCell="A343" workbookViewId="0">
      <selection activeCell="D674" sqref="D674"/>
    </sheetView>
  </sheetViews>
  <sheetFormatPr defaultRowHeight="14.4" x14ac:dyDescent="0.3"/>
  <cols>
    <col min="1" max="1" width="38.21875" customWidth="1"/>
    <col min="4" max="4" width="20.77734375" customWidth="1"/>
  </cols>
  <sheetData>
    <row r="1" spans="1:4" x14ac:dyDescent="0.3">
      <c r="A1" s="1" t="s">
        <v>406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10</v>
      </c>
      <c r="C3" s="8">
        <v>10000</v>
      </c>
      <c r="D3" s="8">
        <f>B3*C3</f>
        <v>100000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v>23</v>
      </c>
      <c r="C18" s="8">
        <v>4000</v>
      </c>
      <c r="D18" s="8">
        <f t="shared" si="0"/>
        <v>92000</v>
      </c>
    </row>
    <row r="19" spans="1:4" ht="18" x14ac:dyDescent="0.3">
      <c r="A19" s="12" t="s">
        <v>18</v>
      </c>
      <c r="B19" s="8">
        <v>8</v>
      </c>
      <c r="C19" s="47">
        <v>12000</v>
      </c>
      <c r="D19" s="8">
        <f t="shared" si="0"/>
        <v>96000</v>
      </c>
    </row>
    <row r="20" spans="1:4" ht="18" x14ac:dyDescent="0.3">
      <c r="A20" s="10" t="s">
        <v>19</v>
      </c>
      <c r="B20" s="8">
        <v>100</v>
      </c>
      <c r="C20" s="8">
        <v>18000</v>
      </c>
      <c r="D20" s="8">
        <f t="shared" si="0"/>
        <v>1800000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114</v>
      </c>
      <c r="C25" s="8">
        <v>8000</v>
      </c>
      <c r="D25" s="8">
        <f t="shared" si="0"/>
        <v>912000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hidden="1" x14ac:dyDescent="0.3">
      <c r="A28" s="12" t="s">
        <v>30</v>
      </c>
      <c r="B28" s="8"/>
      <c r="C28" s="8"/>
      <c r="D28" s="8">
        <f t="shared" si="0"/>
        <v>0</v>
      </c>
    </row>
    <row r="29" spans="1:4" ht="18" hidden="1" x14ac:dyDescent="0.3">
      <c r="A29" s="12" t="s">
        <v>29</v>
      </c>
      <c r="B29" s="8"/>
      <c r="C29" s="8"/>
      <c r="D29" s="8">
        <f t="shared" si="0"/>
        <v>0</v>
      </c>
    </row>
    <row r="30" spans="1:4" ht="18" hidden="1" x14ac:dyDescent="0.3">
      <c r="A30" s="12" t="s">
        <v>31</v>
      </c>
      <c r="B30" s="8"/>
      <c r="C30" s="8"/>
      <c r="D30" s="8">
        <f t="shared" si="0"/>
        <v>0</v>
      </c>
    </row>
    <row r="31" spans="1:4" ht="18" hidden="1" x14ac:dyDescent="0.3">
      <c r="A31" s="13" t="s">
        <v>367</v>
      </c>
      <c r="B31" s="8"/>
      <c r="C31" s="8"/>
      <c r="D31" s="8">
        <f t="shared" si="0"/>
        <v>0</v>
      </c>
    </row>
    <row r="32" spans="1:4" ht="18" hidden="1" x14ac:dyDescent="0.3">
      <c r="A32" s="12" t="s">
        <v>32</v>
      </c>
      <c r="B32" s="8"/>
      <c r="C32" s="8"/>
      <c r="D32" s="8">
        <f t="shared" si="0"/>
        <v>0</v>
      </c>
    </row>
    <row r="33" spans="1:4" ht="18" hidden="1" x14ac:dyDescent="0.3">
      <c r="A33" s="12" t="s">
        <v>33</v>
      </c>
      <c r="B33" s="8"/>
      <c r="C33" s="8"/>
      <c r="D33" s="8">
        <f t="shared" si="0"/>
        <v>0</v>
      </c>
    </row>
    <row r="34" spans="1:4" ht="18" hidden="1" x14ac:dyDescent="0.3">
      <c r="A34" s="12" t="s">
        <v>34</v>
      </c>
      <c r="B34" s="8"/>
      <c r="C34" s="8"/>
      <c r="D34" s="8">
        <f t="shared" si="0"/>
        <v>0</v>
      </c>
    </row>
    <row r="35" spans="1:4" ht="18" hidden="1" x14ac:dyDescent="0.3">
      <c r="A35" s="10" t="s">
        <v>36</v>
      </c>
      <c r="B35" s="8"/>
      <c r="C35" s="8"/>
      <c r="D35" s="8">
        <f t="shared" si="0"/>
        <v>0</v>
      </c>
    </row>
    <row r="36" spans="1:4" ht="18" x14ac:dyDescent="0.3">
      <c r="A36" s="10" t="s">
        <v>37</v>
      </c>
      <c r="B36" s="8">
        <v>11</v>
      </c>
      <c r="C36" s="8">
        <v>12000</v>
      </c>
      <c r="D36" s="8">
        <f t="shared" si="0"/>
        <v>132000</v>
      </c>
    </row>
    <row r="37" spans="1:4" ht="18" hidden="1" x14ac:dyDescent="0.3">
      <c r="A37" s="12" t="s">
        <v>38</v>
      </c>
      <c r="B37" s="17"/>
      <c r="C37" s="17"/>
      <c r="D37" s="8">
        <f t="shared" si="0"/>
        <v>0</v>
      </c>
    </row>
    <row r="38" spans="1:4" ht="18" hidden="1" x14ac:dyDescent="0.3">
      <c r="A38" s="12" t="s">
        <v>39</v>
      </c>
      <c r="B38" s="17"/>
      <c r="C38" s="17"/>
      <c r="D38" s="8">
        <f t="shared" si="0"/>
        <v>0</v>
      </c>
    </row>
    <row r="39" spans="1:4" ht="18" hidden="1" x14ac:dyDescent="0.3">
      <c r="A39" s="10" t="s">
        <v>40</v>
      </c>
      <c r="B39" s="8"/>
      <c r="C39" s="8"/>
      <c r="D39" s="8">
        <f t="shared" si="0"/>
        <v>0</v>
      </c>
    </row>
    <row r="40" spans="1:4" ht="18" hidden="1" x14ac:dyDescent="0.3">
      <c r="A40" s="10" t="s">
        <v>41</v>
      </c>
      <c r="B40" s="8"/>
      <c r="C40" s="8"/>
      <c r="D40" s="8">
        <f t="shared" si="0"/>
        <v>0</v>
      </c>
    </row>
    <row r="41" spans="1:4" ht="18" hidden="1" x14ac:dyDescent="0.3">
      <c r="A41" s="18" t="s">
        <v>42</v>
      </c>
      <c r="B41" s="8"/>
      <c r="C41" s="8"/>
      <c r="D41" s="8">
        <f t="shared" si="0"/>
        <v>0</v>
      </c>
    </row>
    <row r="42" spans="1:4" ht="18" hidden="1" x14ac:dyDescent="0.3">
      <c r="A42" s="10" t="s">
        <v>43</v>
      </c>
      <c r="B42" s="8"/>
      <c r="C42" s="8"/>
      <c r="D42" s="8">
        <f t="shared" si="0"/>
        <v>0</v>
      </c>
    </row>
    <row r="43" spans="1:4" ht="18" hidden="1" x14ac:dyDescent="0.3">
      <c r="A43" s="10" t="s">
        <v>44</v>
      </c>
      <c r="B43" s="8"/>
      <c r="C43" s="8"/>
      <c r="D43" s="8">
        <f t="shared" si="0"/>
        <v>0</v>
      </c>
    </row>
    <row r="44" spans="1:4" ht="18" hidden="1" x14ac:dyDescent="0.3">
      <c r="A44" s="10" t="s">
        <v>45</v>
      </c>
      <c r="B44" s="8"/>
      <c r="C44" s="8"/>
      <c r="D44" s="8">
        <f t="shared" si="0"/>
        <v>0</v>
      </c>
    </row>
    <row r="45" spans="1:4" ht="18" hidden="1" x14ac:dyDescent="0.3">
      <c r="A45" s="10" t="s">
        <v>46</v>
      </c>
      <c r="B45" s="8"/>
      <c r="C45" s="8"/>
      <c r="D45" s="8">
        <f t="shared" si="0"/>
        <v>0</v>
      </c>
    </row>
    <row r="46" spans="1:4" ht="18" hidden="1" x14ac:dyDescent="0.3">
      <c r="A46" s="14" t="s">
        <v>47</v>
      </c>
      <c r="B46" s="8"/>
      <c r="C46" s="8"/>
      <c r="D46" s="8">
        <f t="shared" si="0"/>
        <v>0</v>
      </c>
    </row>
    <row r="47" spans="1:4" ht="18" hidden="1" x14ac:dyDescent="0.3">
      <c r="A47" s="12" t="s">
        <v>48</v>
      </c>
      <c r="B47" s="8"/>
      <c r="C47" s="8"/>
      <c r="D47" s="8">
        <f t="shared" si="0"/>
        <v>0</v>
      </c>
    </row>
    <row r="48" spans="1:4" ht="18" hidden="1" x14ac:dyDescent="0.3">
      <c r="A48" s="19" t="s">
        <v>49</v>
      </c>
      <c r="B48" s="8"/>
      <c r="C48" s="8"/>
      <c r="D48" s="8">
        <f t="shared" si="0"/>
        <v>0</v>
      </c>
    </row>
    <row r="49" spans="1:4" ht="18" hidden="1" x14ac:dyDescent="0.3">
      <c r="A49" s="10" t="s">
        <v>50</v>
      </c>
      <c r="B49" s="8"/>
      <c r="C49" s="8"/>
      <c r="D49" s="8">
        <f t="shared" si="0"/>
        <v>0</v>
      </c>
    </row>
    <row r="50" spans="1:4" ht="18" hidden="1" x14ac:dyDescent="0.3">
      <c r="A50" s="10" t="s">
        <v>51</v>
      </c>
      <c r="B50" s="8"/>
      <c r="C50" s="8"/>
      <c r="D50" s="8">
        <f t="shared" si="0"/>
        <v>0</v>
      </c>
    </row>
    <row r="51" spans="1:4" ht="18" x14ac:dyDescent="0.3">
      <c r="A51" s="113" t="s">
        <v>27</v>
      </c>
      <c r="B51" s="114">
        <f>18+12</f>
        <v>30</v>
      </c>
      <c r="C51" s="114">
        <v>12500</v>
      </c>
      <c r="D51" s="8">
        <f t="shared" si="0"/>
        <v>375000</v>
      </c>
    </row>
    <row r="52" spans="1:4" ht="18" hidden="1" x14ac:dyDescent="0.3">
      <c r="A52" s="13" t="s">
        <v>28</v>
      </c>
      <c r="B52" s="8"/>
      <c r="C52" s="8"/>
      <c r="D52" s="8">
        <f t="shared" si="0"/>
        <v>0</v>
      </c>
    </row>
    <row r="53" spans="1:4" ht="18" x14ac:dyDescent="0.3">
      <c r="A53" s="13" t="s">
        <v>35</v>
      </c>
      <c r="B53" s="8">
        <f>105+70+7-30</f>
        <v>152</v>
      </c>
      <c r="C53" s="8">
        <v>11500</v>
      </c>
      <c r="D53" s="8">
        <f t="shared" si="0"/>
        <v>1748000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x14ac:dyDescent="0.3">
      <c r="A57" s="18" t="s">
        <v>55</v>
      </c>
      <c r="B57" s="8">
        <v>170</v>
      </c>
      <c r="C57" s="8">
        <v>16500</v>
      </c>
      <c r="D57" s="8">
        <f t="shared" si="0"/>
        <v>2805000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110</v>
      </c>
      <c r="C64" s="8">
        <v>20000</v>
      </c>
      <c r="D64" s="8">
        <f t="shared" si="0"/>
        <v>2200000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22" t="s">
        <v>73</v>
      </c>
      <c r="B70" s="8"/>
      <c r="C70" s="8"/>
      <c r="D70" s="8">
        <f t="shared" si="1"/>
        <v>0</v>
      </c>
    </row>
    <row r="71" spans="1:4" ht="18" hidden="1" x14ac:dyDescent="0.3">
      <c r="A71" s="13" t="s">
        <v>68</v>
      </c>
      <c r="B71" s="8"/>
      <c r="C71" s="8"/>
      <c r="D71" s="8">
        <f t="shared" si="1"/>
        <v>0</v>
      </c>
    </row>
    <row r="72" spans="1:4" ht="18" hidden="1" x14ac:dyDescent="0.3">
      <c r="A72" s="12" t="s">
        <v>69</v>
      </c>
      <c r="B72" s="8"/>
      <c r="C72" s="8"/>
      <c r="D72" s="8">
        <f t="shared" si="1"/>
        <v>0</v>
      </c>
    </row>
    <row r="73" spans="1:4" ht="18" hidden="1" x14ac:dyDescent="0.3">
      <c r="A73" s="13" t="s">
        <v>70</v>
      </c>
      <c r="B73" s="8"/>
      <c r="C73" s="8"/>
      <c r="D73" s="8">
        <f t="shared" si="1"/>
        <v>0</v>
      </c>
    </row>
    <row r="74" spans="1:4" ht="18" hidden="1" x14ac:dyDescent="0.3">
      <c r="A74" s="13" t="s">
        <v>71</v>
      </c>
      <c r="B74" s="8"/>
      <c r="C74" s="8"/>
      <c r="D74" s="8">
        <f t="shared" si="1"/>
        <v>0</v>
      </c>
    </row>
    <row r="75" spans="1:4" ht="18" hidden="1" x14ac:dyDescent="0.3">
      <c r="A75" s="13" t="s">
        <v>72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x14ac:dyDescent="0.3">
      <c r="A81" s="10" t="s">
        <v>80</v>
      </c>
      <c r="B81" s="8">
        <v>36</v>
      </c>
      <c r="C81" s="8">
        <v>23000</v>
      </c>
      <c r="D81" s="8">
        <f t="shared" si="1"/>
        <v>828000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x14ac:dyDescent="0.3">
      <c r="A87" s="10" t="s">
        <v>86</v>
      </c>
      <c r="B87" s="8">
        <f>18+17+45</f>
        <v>80</v>
      </c>
      <c r="C87" s="8">
        <v>15000</v>
      </c>
      <c r="D87" s="8">
        <f t="shared" si="1"/>
        <v>1200000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89</v>
      </c>
      <c r="B89" s="8"/>
      <c r="C89" s="8"/>
      <c r="D89" s="8">
        <f t="shared" si="1"/>
        <v>0</v>
      </c>
    </row>
    <row r="90" spans="1:4" ht="18" hidden="1" x14ac:dyDescent="0.3">
      <c r="A90" s="10" t="s">
        <v>88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x14ac:dyDescent="0.3">
      <c r="A104" s="26" t="s">
        <v>103</v>
      </c>
      <c r="B104" s="8">
        <v>160</v>
      </c>
      <c r="C104" s="8">
        <v>7500</v>
      </c>
      <c r="D104" s="8">
        <f t="shared" si="1"/>
        <v>1200000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x14ac:dyDescent="0.3">
      <c r="A106" s="10" t="s">
        <v>105</v>
      </c>
      <c r="B106" s="8">
        <v>3</v>
      </c>
      <c r="C106" s="8">
        <v>15000</v>
      </c>
      <c r="D106" s="8">
        <f t="shared" si="1"/>
        <v>45000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v>25</v>
      </c>
      <c r="C111" s="8">
        <v>22000</v>
      </c>
      <c r="D111" s="8">
        <f t="shared" si="1"/>
        <v>550000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123</v>
      </c>
      <c r="B114" s="8"/>
      <c r="C114" s="8"/>
      <c r="D114" s="8">
        <f t="shared" si="1"/>
        <v>0</v>
      </c>
    </row>
    <row r="115" spans="1:4" ht="18" hidden="1" x14ac:dyDescent="0.3">
      <c r="A115" s="11" t="s">
        <v>124</v>
      </c>
      <c r="B115" s="8"/>
      <c r="C115" s="8"/>
      <c r="D115" s="8">
        <f t="shared" si="1"/>
        <v>0</v>
      </c>
    </row>
    <row r="116" spans="1:4" ht="18" x14ac:dyDescent="0.3">
      <c r="A116" s="14" t="s">
        <v>125</v>
      </c>
      <c r="B116" s="8">
        <v>2</v>
      </c>
      <c r="C116" s="8">
        <v>15000</v>
      </c>
      <c r="D116" s="8">
        <f t="shared" si="1"/>
        <v>30000</v>
      </c>
    </row>
    <row r="117" spans="1:4" ht="18" hidden="1" x14ac:dyDescent="0.3">
      <c r="A117" s="13" t="s">
        <v>126</v>
      </c>
      <c r="B117" s="17"/>
      <c r="C117" s="17"/>
      <c r="D117" s="8">
        <f t="shared" si="1"/>
        <v>0</v>
      </c>
    </row>
    <row r="118" spans="1:4" ht="18" hidden="1" x14ac:dyDescent="0.3">
      <c r="A118" s="13" t="s">
        <v>127</v>
      </c>
      <c r="B118" s="17"/>
      <c r="C118" s="17"/>
      <c r="D118" s="8">
        <f t="shared" si="1"/>
        <v>0</v>
      </c>
    </row>
    <row r="119" spans="1:4" ht="18" hidden="1" x14ac:dyDescent="0.3">
      <c r="A119" s="13" t="s">
        <v>128</v>
      </c>
      <c r="B119" s="17"/>
      <c r="C119" s="17"/>
      <c r="D119" s="8">
        <f t="shared" si="1"/>
        <v>0</v>
      </c>
    </row>
    <row r="120" spans="1:4" ht="18" hidden="1" x14ac:dyDescent="0.3">
      <c r="A120" s="13" t="s">
        <v>129</v>
      </c>
      <c r="B120" s="29"/>
      <c r="C120" s="29"/>
      <c r="D120" s="8">
        <f t="shared" si="1"/>
        <v>0</v>
      </c>
    </row>
    <row r="121" spans="1:4" ht="18" hidden="1" x14ac:dyDescent="0.3">
      <c r="A121" s="30" t="s">
        <v>130</v>
      </c>
      <c r="B121" s="8"/>
      <c r="C121" s="8"/>
      <c r="D121" s="8">
        <f t="shared" si="1"/>
        <v>0</v>
      </c>
    </row>
    <row r="122" spans="1:4" ht="18" hidden="1" x14ac:dyDescent="0.3">
      <c r="A122" s="13" t="s">
        <v>131</v>
      </c>
      <c r="B122" s="17"/>
      <c r="C122" s="17"/>
      <c r="D122" s="8">
        <f t="shared" si="1"/>
        <v>0</v>
      </c>
    </row>
    <row r="123" spans="1:4" ht="18" x14ac:dyDescent="0.3">
      <c r="A123" s="10" t="s">
        <v>132</v>
      </c>
      <c r="B123" s="8">
        <v>10</v>
      </c>
      <c r="C123" s="8">
        <v>6000</v>
      </c>
      <c r="D123" s="8">
        <f t="shared" si="1"/>
        <v>60000</v>
      </c>
    </row>
    <row r="124" spans="1:4" ht="18" hidden="1" x14ac:dyDescent="0.3">
      <c r="A124" s="10" t="s">
        <v>133</v>
      </c>
      <c r="B124" s="8"/>
      <c r="C124" s="8"/>
      <c r="D124" s="8">
        <f t="shared" si="1"/>
        <v>0</v>
      </c>
    </row>
    <row r="125" spans="1:4" ht="18" hidden="1" x14ac:dyDescent="0.3">
      <c r="A125" s="10" t="s">
        <v>135</v>
      </c>
      <c r="B125" s="8"/>
      <c r="C125" s="8"/>
      <c r="D125" s="8">
        <f t="shared" si="1"/>
        <v>0</v>
      </c>
    </row>
    <row r="126" spans="1:4" ht="18" hidden="1" x14ac:dyDescent="0.3">
      <c r="A126" s="18" t="s">
        <v>136</v>
      </c>
      <c r="B126" s="8"/>
      <c r="C126" s="8"/>
      <c r="D126" s="8">
        <f t="shared" si="1"/>
        <v>0</v>
      </c>
    </row>
    <row r="127" spans="1:4" ht="18" hidden="1" x14ac:dyDescent="0.3">
      <c r="A127" s="10" t="s">
        <v>134</v>
      </c>
      <c r="B127" s="8"/>
      <c r="C127" s="8"/>
      <c r="D127" s="8">
        <f t="shared" si="1"/>
        <v>0</v>
      </c>
    </row>
    <row r="128" spans="1:4" ht="18" hidden="1" x14ac:dyDescent="0.3">
      <c r="A128" s="13" t="s">
        <v>137</v>
      </c>
      <c r="B128" s="8"/>
      <c r="C128" s="8"/>
      <c r="D128" s="8">
        <f t="shared" si="1"/>
        <v>0</v>
      </c>
    </row>
    <row r="129" spans="1:4" ht="18" hidden="1" x14ac:dyDescent="0.3">
      <c r="A129" s="13" t="s">
        <v>138</v>
      </c>
      <c r="B129" s="8"/>
      <c r="C129" s="8"/>
      <c r="D129" s="8">
        <f t="shared" si="1"/>
        <v>0</v>
      </c>
    </row>
    <row r="130" spans="1:4" ht="18" hidden="1" x14ac:dyDescent="0.3">
      <c r="A130" s="10" t="s">
        <v>139</v>
      </c>
      <c r="B130" s="8"/>
      <c r="C130" s="8"/>
      <c r="D130" s="8">
        <f t="shared" si="1"/>
        <v>0</v>
      </c>
    </row>
    <row r="131" spans="1:4" ht="18" hidden="1" x14ac:dyDescent="0.3">
      <c r="A131" s="10" t="s">
        <v>113</v>
      </c>
      <c r="B131" s="8"/>
      <c r="C131" s="8"/>
      <c r="D131" s="8">
        <f t="shared" si="1"/>
        <v>0</v>
      </c>
    </row>
    <row r="132" spans="1:4" ht="18" hidden="1" x14ac:dyDescent="0.3">
      <c r="A132" s="10" t="s">
        <v>114</v>
      </c>
      <c r="B132" s="8"/>
      <c r="C132" s="8"/>
      <c r="D132" s="8">
        <f t="shared" ref="D132:D195" si="2">B132*C132</f>
        <v>0</v>
      </c>
    </row>
    <row r="133" spans="1:4" ht="18" hidden="1" x14ac:dyDescent="0.3">
      <c r="A133" s="10" t="s">
        <v>115</v>
      </c>
      <c r="B133" s="8"/>
      <c r="C133" s="8"/>
      <c r="D133" s="8">
        <f t="shared" si="2"/>
        <v>0</v>
      </c>
    </row>
    <row r="134" spans="1:4" ht="18" hidden="1" x14ac:dyDescent="0.3">
      <c r="A134" s="10" t="s">
        <v>116</v>
      </c>
      <c r="B134" s="8"/>
      <c r="C134" s="8"/>
      <c r="D134" s="8">
        <f t="shared" si="2"/>
        <v>0</v>
      </c>
    </row>
    <row r="135" spans="1:4" ht="18" hidden="1" x14ac:dyDescent="0.3">
      <c r="A135" s="12" t="s">
        <v>117</v>
      </c>
      <c r="B135" s="8"/>
      <c r="C135" s="8"/>
      <c r="D135" s="8">
        <f t="shared" si="2"/>
        <v>0</v>
      </c>
    </row>
    <row r="136" spans="1:4" ht="18" hidden="1" x14ac:dyDescent="0.3">
      <c r="A136" s="23" t="s">
        <v>118</v>
      </c>
      <c r="B136" s="8"/>
      <c r="C136" s="8"/>
      <c r="D136" s="8">
        <f t="shared" si="2"/>
        <v>0</v>
      </c>
    </row>
    <row r="137" spans="1:4" ht="18" hidden="1" x14ac:dyDescent="0.3">
      <c r="A137" s="10" t="s">
        <v>119</v>
      </c>
      <c r="B137" s="8"/>
      <c r="C137" s="8"/>
      <c r="D137" s="8">
        <f t="shared" si="2"/>
        <v>0</v>
      </c>
    </row>
    <row r="138" spans="1:4" ht="18" hidden="1" x14ac:dyDescent="0.3">
      <c r="A138" s="12" t="s">
        <v>120</v>
      </c>
      <c r="B138" s="8"/>
      <c r="C138" s="8"/>
      <c r="D138" s="8">
        <f t="shared" si="2"/>
        <v>0</v>
      </c>
    </row>
    <row r="139" spans="1:4" ht="18" hidden="1" x14ac:dyDescent="0.3">
      <c r="A139" s="12" t="s">
        <v>121</v>
      </c>
      <c r="B139" s="8"/>
      <c r="C139" s="8"/>
      <c r="D139" s="8">
        <f t="shared" si="2"/>
        <v>0</v>
      </c>
    </row>
    <row r="140" spans="1:4" ht="18" hidden="1" x14ac:dyDescent="0.3">
      <c r="A140" s="10" t="s">
        <v>122</v>
      </c>
      <c r="B140" s="8"/>
      <c r="C140" s="8"/>
      <c r="D140" s="8">
        <f t="shared" si="2"/>
        <v>0</v>
      </c>
    </row>
    <row r="141" spans="1:4" ht="18" hidden="1" x14ac:dyDescent="0.3">
      <c r="A141" s="10" t="s">
        <v>161</v>
      </c>
      <c r="B141" s="17"/>
      <c r="C141" s="17"/>
      <c r="D141" s="8">
        <f t="shared" si="2"/>
        <v>0</v>
      </c>
    </row>
    <row r="142" spans="1:4" ht="18" hidden="1" x14ac:dyDescent="0.3">
      <c r="A142" s="10" t="s">
        <v>164</v>
      </c>
      <c r="B142" s="8"/>
      <c r="C142" s="8"/>
      <c r="D142" s="8">
        <f t="shared" si="2"/>
        <v>0</v>
      </c>
    </row>
    <row r="143" spans="1:4" ht="18" hidden="1" x14ac:dyDescent="0.3">
      <c r="A143" s="10" t="s">
        <v>165</v>
      </c>
      <c r="B143" s="8"/>
      <c r="C143" s="8"/>
      <c r="D143" s="8">
        <f t="shared" si="2"/>
        <v>0</v>
      </c>
    </row>
    <row r="144" spans="1:4" ht="18" hidden="1" x14ac:dyDescent="0.3">
      <c r="A144" s="18" t="s">
        <v>166</v>
      </c>
      <c r="B144" s="8"/>
      <c r="C144" s="8"/>
      <c r="D144" s="8">
        <f t="shared" si="2"/>
        <v>0</v>
      </c>
    </row>
    <row r="145" spans="1:4" ht="18" hidden="1" x14ac:dyDescent="0.3">
      <c r="A145" s="13" t="s">
        <v>167</v>
      </c>
      <c r="B145" s="8"/>
      <c r="C145" s="8"/>
      <c r="D145" s="8">
        <f t="shared" si="2"/>
        <v>0</v>
      </c>
    </row>
    <row r="146" spans="1:4" ht="18" hidden="1" x14ac:dyDescent="0.3">
      <c r="A146" s="10" t="s">
        <v>168</v>
      </c>
      <c r="B146" s="8"/>
      <c r="C146" s="48"/>
      <c r="D146" s="8">
        <f t="shared" si="2"/>
        <v>0</v>
      </c>
    </row>
    <row r="147" spans="1:4" ht="18" hidden="1" x14ac:dyDescent="0.3">
      <c r="A147" s="33" t="s">
        <v>169</v>
      </c>
      <c r="B147" s="8"/>
      <c r="C147" s="8"/>
      <c r="D147" s="8">
        <f t="shared" si="2"/>
        <v>0</v>
      </c>
    </row>
    <row r="148" spans="1:4" ht="18" x14ac:dyDescent="0.3">
      <c r="A148" s="10" t="s">
        <v>170</v>
      </c>
      <c r="B148" s="8">
        <v>7</v>
      </c>
      <c r="C148" s="8">
        <v>11000</v>
      </c>
      <c r="D148" s="8">
        <f t="shared" si="2"/>
        <v>77000</v>
      </c>
    </row>
    <row r="149" spans="1:4" ht="18" hidden="1" x14ac:dyDescent="0.3">
      <c r="A149" s="10" t="s">
        <v>171</v>
      </c>
      <c r="B149" s="8"/>
      <c r="C149" s="8"/>
      <c r="D149" s="8">
        <f t="shared" si="2"/>
        <v>0</v>
      </c>
    </row>
    <row r="150" spans="1:4" ht="18" hidden="1" x14ac:dyDescent="0.3">
      <c r="A150" s="22" t="s">
        <v>172</v>
      </c>
      <c r="B150" s="8"/>
      <c r="C150" s="8"/>
      <c r="D150" s="8">
        <f t="shared" si="2"/>
        <v>0</v>
      </c>
    </row>
    <row r="151" spans="1:4" ht="18" hidden="1" x14ac:dyDescent="0.3">
      <c r="A151" s="10" t="s">
        <v>173</v>
      </c>
      <c r="B151" s="8"/>
      <c r="C151" s="8"/>
      <c r="D151" s="8">
        <f t="shared" si="2"/>
        <v>0</v>
      </c>
    </row>
    <row r="152" spans="1:4" ht="18" x14ac:dyDescent="0.3">
      <c r="A152" s="34" t="s">
        <v>174</v>
      </c>
      <c r="B152" s="36">
        <v>10</v>
      </c>
      <c r="C152" s="36">
        <v>16000</v>
      </c>
      <c r="D152" s="8">
        <f t="shared" si="2"/>
        <v>160000</v>
      </c>
    </row>
    <row r="153" spans="1:4" ht="18" hidden="1" x14ac:dyDescent="0.3">
      <c r="A153" s="12" t="s">
        <v>175</v>
      </c>
      <c r="B153" s="8"/>
      <c r="C153" s="8"/>
      <c r="D153" s="8">
        <f t="shared" si="2"/>
        <v>0</v>
      </c>
    </row>
    <row r="154" spans="1:4" ht="18" hidden="1" x14ac:dyDescent="0.3">
      <c r="A154" s="10" t="s">
        <v>140</v>
      </c>
      <c r="B154" s="8"/>
      <c r="C154" s="8"/>
      <c r="D154" s="8">
        <f t="shared" si="2"/>
        <v>0</v>
      </c>
    </row>
    <row r="155" spans="1:4" ht="18" hidden="1" x14ac:dyDescent="0.3">
      <c r="A155" s="10" t="s">
        <v>141</v>
      </c>
      <c r="B155" s="17"/>
      <c r="C155" s="17"/>
      <c r="D155" s="8">
        <f t="shared" si="2"/>
        <v>0</v>
      </c>
    </row>
    <row r="156" spans="1:4" ht="18" hidden="1" x14ac:dyDescent="0.3">
      <c r="A156" s="10" t="s">
        <v>142</v>
      </c>
      <c r="B156" s="17"/>
      <c r="C156" s="17"/>
      <c r="D156" s="8">
        <f t="shared" si="2"/>
        <v>0</v>
      </c>
    </row>
    <row r="157" spans="1:4" ht="18" hidden="1" x14ac:dyDescent="0.3">
      <c r="A157" s="10" t="s">
        <v>143</v>
      </c>
      <c r="B157" s="8"/>
      <c r="C157" s="8"/>
      <c r="D157" s="8">
        <f t="shared" si="2"/>
        <v>0</v>
      </c>
    </row>
    <row r="158" spans="1:4" ht="18" hidden="1" x14ac:dyDescent="0.3">
      <c r="A158" s="31" t="s">
        <v>144</v>
      </c>
      <c r="B158" s="17"/>
      <c r="C158" s="17"/>
      <c r="D158" s="8">
        <f t="shared" si="2"/>
        <v>0</v>
      </c>
    </row>
    <row r="159" spans="1:4" ht="18" hidden="1" x14ac:dyDescent="0.3">
      <c r="A159" s="10" t="s">
        <v>145</v>
      </c>
      <c r="B159" s="17"/>
      <c r="C159" s="17"/>
      <c r="D159" s="8">
        <f t="shared" si="2"/>
        <v>0</v>
      </c>
    </row>
    <row r="160" spans="1:4" ht="18" hidden="1" x14ac:dyDescent="0.3">
      <c r="A160" s="10" t="s">
        <v>146</v>
      </c>
      <c r="B160" s="17"/>
      <c r="C160" s="17"/>
      <c r="D160" s="8">
        <f t="shared" si="2"/>
        <v>0</v>
      </c>
    </row>
    <row r="161" spans="1:4" ht="18" hidden="1" x14ac:dyDescent="0.3">
      <c r="A161" s="10" t="s">
        <v>147</v>
      </c>
      <c r="B161" s="17"/>
      <c r="C161" s="17"/>
      <c r="D161" s="8">
        <f t="shared" si="2"/>
        <v>0</v>
      </c>
    </row>
    <row r="162" spans="1:4" ht="18" hidden="1" x14ac:dyDescent="0.3">
      <c r="A162" s="10" t="s">
        <v>148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149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150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151</v>
      </c>
      <c r="B165" s="17"/>
      <c r="C165" s="17"/>
      <c r="D165" s="8">
        <f t="shared" si="2"/>
        <v>0</v>
      </c>
    </row>
    <row r="166" spans="1:4" ht="18" hidden="1" x14ac:dyDescent="0.3">
      <c r="A166" s="10" t="s">
        <v>152</v>
      </c>
      <c r="B166" s="8"/>
      <c r="C166" s="8"/>
      <c r="D166" s="8">
        <f t="shared" si="2"/>
        <v>0</v>
      </c>
    </row>
    <row r="167" spans="1:4" ht="18" hidden="1" x14ac:dyDescent="0.3">
      <c r="A167" s="10" t="s">
        <v>153</v>
      </c>
      <c r="B167" s="8"/>
      <c r="C167" s="8"/>
      <c r="D167" s="8">
        <f t="shared" si="2"/>
        <v>0</v>
      </c>
    </row>
    <row r="168" spans="1:4" ht="18" hidden="1" x14ac:dyDescent="0.3">
      <c r="A168" s="10" t="s">
        <v>154</v>
      </c>
      <c r="B168" s="8"/>
      <c r="C168" s="8"/>
      <c r="D168" s="8">
        <f t="shared" si="2"/>
        <v>0</v>
      </c>
    </row>
    <row r="169" spans="1:4" ht="18" hidden="1" x14ac:dyDescent="0.3">
      <c r="A169" s="10" t="s">
        <v>155</v>
      </c>
      <c r="B169" s="8"/>
      <c r="C169" s="8"/>
      <c r="D169" s="8">
        <f t="shared" si="2"/>
        <v>0</v>
      </c>
    </row>
    <row r="170" spans="1:4" ht="18" hidden="1" x14ac:dyDescent="0.3">
      <c r="A170" s="18" t="s">
        <v>156</v>
      </c>
      <c r="B170" s="8"/>
      <c r="C170" s="8"/>
      <c r="D170" s="8">
        <f t="shared" si="2"/>
        <v>0</v>
      </c>
    </row>
    <row r="171" spans="1:4" ht="18" hidden="1" x14ac:dyDescent="0.3">
      <c r="A171" s="10" t="s">
        <v>157</v>
      </c>
      <c r="B171" s="8"/>
      <c r="C171" s="8"/>
      <c r="D171" s="8">
        <f t="shared" si="2"/>
        <v>0</v>
      </c>
    </row>
    <row r="172" spans="1:4" ht="18" hidden="1" x14ac:dyDescent="0.3">
      <c r="A172" s="10" t="s">
        <v>158</v>
      </c>
      <c r="B172" s="8"/>
      <c r="C172" s="8"/>
      <c r="D172" s="8">
        <f t="shared" si="2"/>
        <v>0</v>
      </c>
    </row>
    <row r="173" spans="1:4" ht="18" hidden="1" x14ac:dyDescent="0.3">
      <c r="A173" s="10" t="s">
        <v>159</v>
      </c>
      <c r="B173" s="8"/>
      <c r="C173" s="8"/>
      <c r="D173" s="8">
        <f t="shared" si="2"/>
        <v>0</v>
      </c>
    </row>
    <row r="174" spans="1:4" ht="18" hidden="1" x14ac:dyDescent="0.3">
      <c r="A174" s="10" t="s">
        <v>160</v>
      </c>
      <c r="B174" s="8"/>
      <c r="C174" s="8"/>
      <c r="D174" s="8">
        <f t="shared" si="2"/>
        <v>0</v>
      </c>
    </row>
    <row r="175" spans="1:4" ht="18" hidden="1" x14ac:dyDescent="0.3">
      <c r="A175" s="10" t="s">
        <v>162</v>
      </c>
      <c r="B175" s="17"/>
      <c r="C175" s="17"/>
      <c r="D175" s="8">
        <f t="shared" si="2"/>
        <v>0</v>
      </c>
    </row>
    <row r="176" spans="1:4" ht="18" hidden="1" x14ac:dyDescent="0.3">
      <c r="A176" s="10" t="s">
        <v>163</v>
      </c>
      <c r="B176" s="17"/>
      <c r="C176" s="17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x14ac:dyDescent="0.3">
      <c r="A182" s="13" t="s">
        <v>186</v>
      </c>
      <c r="B182" s="8">
        <v>14</v>
      </c>
      <c r="C182" s="8">
        <v>20000</v>
      </c>
      <c r="D182" s="8">
        <f t="shared" si="2"/>
        <v>280000</v>
      </c>
    </row>
    <row r="183" spans="1:4" ht="18" hidden="1" x14ac:dyDescent="0.3">
      <c r="A183" s="13" t="s">
        <v>187</v>
      </c>
      <c r="B183" s="8"/>
      <c r="C183" s="8"/>
      <c r="D183" s="8">
        <f t="shared" si="2"/>
        <v>0</v>
      </c>
    </row>
    <row r="184" spans="1:4" ht="18" hidden="1" x14ac:dyDescent="0.3">
      <c r="A184" s="13" t="s">
        <v>181</v>
      </c>
      <c r="B184" s="8"/>
      <c r="C184" s="8"/>
      <c r="D184" s="8">
        <f t="shared" si="2"/>
        <v>0</v>
      </c>
    </row>
    <row r="185" spans="1:4" ht="18" hidden="1" x14ac:dyDescent="0.3">
      <c r="A185" s="13" t="s">
        <v>182</v>
      </c>
      <c r="B185" s="8"/>
      <c r="C185" s="8"/>
      <c r="D185" s="8">
        <f t="shared" si="2"/>
        <v>0</v>
      </c>
    </row>
    <row r="186" spans="1:4" ht="18" x14ac:dyDescent="0.3">
      <c r="A186" s="13" t="s">
        <v>183</v>
      </c>
      <c r="B186" s="8">
        <v>150</v>
      </c>
      <c r="C186" s="8">
        <v>7700</v>
      </c>
      <c r="D186" s="8">
        <f t="shared" si="2"/>
        <v>1155000</v>
      </c>
    </row>
    <row r="187" spans="1:4" ht="18" hidden="1" x14ac:dyDescent="0.3">
      <c r="A187" s="10" t="s">
        <v>184</v>
      </c>
      <c r="B187" s="8"/>
      <c r="C187" s="8"/>
      <c r="D187" s="8">
        <f t="shared" si="2"/>
        <v>0</v>
      </c>
    </row>
    <row r="188" spans="1:4" ht="18" hidden="1" x14ac:dyDescent="0.3">
      <c r="A188" s="13" t="s">
        <v>185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x14ac:dyDescent="0.3">
      <c r="A200" s="10" t="s">
        <v>201</v>
      </c>
      <c r="B200" s="8">
        <f>15+420</f>
        <v>435</v>
      </c>
      <c r="C200" s="8">
        <v>20000</v>
      </c>
      <c r="D200" s="8">
        <f t="shared" si="3"/>
        <v>8700000</v>
      </c>
    </row>
    <row r="201" spans="1:4" ht="18" hidden="1" x14ac:dyDescent="0.3">
      <c r="A201" s="13" t="s">
        <v>202</v>
      </c>
      <c r="B201" s="8"/>
      <c r="C201" s="8"/>
      <c r="D201" s="8">
        <f t="shared" si="3"/>
        <v>0</v>
      </c>
    </row>
    <row r="202" spans="1:4" ht="18" hidden="1" x14ac:dyDescent="0.3">
      <c r="A202" s="10" t="s">
        <v>203</v>
      </c>
      <c r="B202" s="8"/>
      <c r="C202" s="8"/>
      <c r="D202" s="8">
        <f t="shared" si="3"/>
        <v>0</v>
      </c>
    </row>
    <row r="203" spans="1:4" ht="18" hidden="1" x14ac:dyDescent="0.3">
      <c r="A203" s="10" t="s">
        <v>204</v>
      </c>
      <c r="B203" s="8"/>
      <c r="C203" s="8"/>
      <c r="D203" s="8">
        <f t="shared" si="3"/>
        <v>0</v>
      </c>
    </row>
    <row r="204" spans="1:4" ht="18" hidden="1" x14ac:dyDescent="0.3">
      <c r="A204" s="39" t="s">
        <v>205</v>
      </c>
      <c r="B204" s="8"/>
      <c r="C204" s="8"/>
      <c r="D204" s="8">
        <f t="shared" si="3"/>
        <v>0</v>
      </c>
    </row>
    <row r="205" spans="1:4" ht="18" hidden="1" x14ac:dyDescent="0.3">
      <c r="A205" s="39" t="s">
        <v>206</v>
      </c>
      <c r="B205" s="8"/>
      <c r="C205" s="8"/>
      <c r="D205" s="8">
        <f t="shared" si="3"/>
        <v>0</v>
      </c>
    </row>
    <row r="206" spans="1:4" ht="18" x14ac:dyDescent="0.3">
      <c r="A206" s="12" t="s">
        <v>208</v>
      </c>
      <c r="B206" s="8">
        <v>4</v>
      </c>
      <c r="C206" s="8">
        <v>35000</v>
      </c>
      <c r="D206" s="8">
        <f t="shared" si="3"/>
        <v>140000</v>
      </c>
    </row>
    <row r="207" spans="1:4" ht="18" hidden="1" x14ac:dyDescent="0.3">
      <c r="A207" s="10" t="s">
        <v>209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0" t="s">
        <v>210</v>
      </c>
      <c r="B209" s="8">
        <v>35</v>
      </c>
      <c r="C209" s="8">
        <v>10000</v>
      </c>
      <c r="D209" s="8">
        <f t="shared" si="3"/>
        <v>350000</v>
      </c>
    </row>
    <row r="210" spans="1:4" ht="18" hidden="1" x14ac:dyDescent="0.3">
      <c r="A210" s="10" t="s">
        <v>211</v>
      </c>
      <c r="B210" s="8"/>
      <c r="C210" s="8"/>
      <c r="D210" s="8">
        <f t="shared" si="3"/>
        <v>0</v>
      </c>
    </row>
    <row r="211" spans="1:4" ht="18" hidden="1" x14ac:dyDescent="0.3">
      <c r="A211" s="10" t="s">
        <v>212</v>
      </c>
      <c r="B211" s="8"/>
      <c r="C211" s="8"/>
      <c r="D211" s="8">
        <f t="shared" si="3"/>
        <v>0</v>
      </c>
    </row>
    <row r="212" spans="1:4" ht="18" hidden="1" x14ac:dyDescent="0.3">
      <c r="A212" s="40" t="s">
        <v>213</v>
      </c>
      <c r="B212" s="8"/>
      <c r="C212" s="8"/>
      <c r="D212" s="8">
        <f t="shared" si="3"/>
        <v>0</v>
      </c>
    </row>
    <row r="213" spans="1:4" ht="18" hidden="1" x14ac:dyDescent="0.3">
      <c r="A213" s="10" t="s">
        <v>214</v>
      </c>
      <c r="B213" s="8"/>
      <c r="C213" s="8"/>
      <c r="D213" s="8">
        <f t="shared" si="3"/>
        <v>0</v>
      </c>
    </row>
    <row r="214" spans="1:4" ht="18" x14ac:dyDescent="0.3">
      <c r="A214" s="10" t="s">
        <v>215</v>
      </c>
      <c r="B214" s="8">
        <v>200</v>
      </c>
      <c r="C214" s="8">
        <v>16000</v>
      </c>
      <c r="D214" s="8">
        <f t="shared" si="3"/>
        <v>3200000</v>
      </c>
    </row>
    <row r="215" spans="1:4" ht="18" x14ac:dyDescent="0.3">
      <c r="A215" s="10" t="s">
        <v>216</v>
      </c>
      <c r="B215" s="8">
        <v>30</v>
      </c>
      <c r="C215" s="8">
        <v>11000</v>
      </c>
      <c r="D215" s="8">
        <f t="shared" si="3"/>
        <v>330000</v>
      </c>
    </row>
    <row r="216" spans="1:4" ht="18" hidden="1" x14ac:dyDescent="0.3">
      <c r="A216" s="10" t="s">
        <v>217</v>
      </c>
      <c r="B216" s="8"/>
      <c r="C216" s="8"/>
      <c r="D216" s="8">
        <f t="shared" si="3"/>
        <v>0</v>
      </c>
    </row>
    <row r="217" spans="1:4" ht="18" hidden="1" x14ac:dyDescent="0.3">
      <c r="A217" s="10" t="s">
        <v>199</v>
      </c>
      <c r="B217" s="8"/>
      <c r="C217" s="8"/>
      <c r="D217" s="8">
        <f t="shared" si="3"/>
        <v>0</v>
      </c>
    </row>
    <row r="218" spans="1:4" ht="18" hidden="1" x14ac:dyDescent="0.3">
      <c r="A218" s="38" t="s">
        <v>200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x14ac:dyDescent="0.3">
      <c r="A227" s="12" t="s">
        <v>226</v>
      </c>
      <c r="B227" s="8">
        <v>28</v>
      </c>
      <c r="C227" s="8">
        <v>35000</v>
      </c>
      <c r="D227" s="8">
        <f t="shared" si="3"/>
        <v>980000</v>
      </c>
    </row>
    <row r="228" spans="1:4" ht="18" hidden="1" x14ac:dyDescent="0.3">
      <c r="A228" s="12" t="s">
        <v>231</v>
      </c>
      <c r="B228" s="8"/>
      <c r="C228" s="8"/>
      <c r="D228" s="8">
        <f t="shared" si="3"/>
        <v>0</v>
      </c>
    </row>
    <row r="229" spans="1:4" ht="18" hidden="1" x14ac:dyDescent="0.3">
      <c r="A229" s="12" t="s">
        <v>232</v>
      </c>
      <c r="B229" s="8"/>
      <c r="C229" s="8"/>
      <c r="D229" s="8">
        <f t="shared" si="3"/>
        <v>0</v>
      </c>
    </row>
    <row r="230" spans="1:4" ht="18" hidden="1" x14ac:dyDescent="0.3">
      <c r="A230" s="13" t="s">
        <v>227</v>
      </c>
      <c r="B230" s="8"/>
      <c r="C230" s="8"/>
      <c r="D230" s="8">
        <f t="shared" si="3"/>
        <v>0</v>
      </c>
    </row>
    <row r="231" spans="1:4" ht="18" hidden="1" x14ac:dyDescent="0.3">
      <c r="A231" s="12" t="s">
        <v>228</v>
      </c>
      <c r="B231" s="8"/>
      <c r="C231" s="8"/>
      <c r="D231" s="8">
        <f t="shared" si="3"/>
        <v>0</v>
      </c>
    </row>
    <row r="232" spans="1:4" ht="18" hidden="1" x14ac:dyDescent="0.3">
      <c r="A232" s="18" t="s">
        <v>229</v>
      </c>
      <c r="B232" s="8"/>
      <c r="C232" s="8"/>
      <c r="D232" s="8">
        <f t="shared" si="3"/>
        <v>0</v>
      </c>
    </row>
    <row r="233" spans="1:4" ht="18" hidden="1" x14ac:dyDescent="0.3">
      <c r="A233" s="12" t="s">
        <v>230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2" t="s">
        <v>235</v>
      </c>
      <c r="B235" s="8"/>
      <c r="C235" s="8"/>
      <c r="D235" s="8">
        <f t="shared" si="3"/>
        <v>0</v>
      </c>
    </row>
    <row r="236" spans="1:4" ht="18" hidden="1" x14ac:dyDescent="0.3">
      <c r="A236" s="10" t="s">
        <v>234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0" t="s">
        <v>267</v>
      </c>
      <c r="B249" s="8"/>
      <c r="C249" s="8"/>
      <c r="D249" s="8">
        <f t="shared" si="3"/>
        <v>0</v>
      </c>
    </row>
    <row r="250" spans="1:4" ht="18" hidden="1" x14ac:dyDescent="0.3">
      <c r="A250" s="12" t="s">
        <v>248</v>
      </c>
      <c r="B250" s="8"/>
      <c r="C250" s="8"/>
      <c r="D250" s="8">
        <f t="shared" si="3"/>
        <v>0</v>
      </c>
    </row>
    <row r="251" spans="1:4" ht="18" hidden="1" x14ac:dyDescent="0.3">
      <c r="A251" s="12" t="s">
        <v>249</v>
      </c>
      <c r="B251" s="8"/>
      <c r="C251" s="8"/>
      <c r="D251" s="8">
        <f t="shared" si="3"/>
        <v>0</v>
      </c>
    </row>
    <row r="252" spans="1:4" ht="18" x14ac:dyDescent="0.3">
      <c r="A252" s="10" t="s">
        <v>250</v>
      </c>
      <c r="B252" s="8">
        <f>10+20+5+35</f>
        <v>70</v>
      </c>
      <c r="C252" s="8">
        <v>24000</v>
      </c>
      <c r="D252" s="8">
        <f t="shared" si="3"/>
        <v>1680000</v>
      </c>
    </row>
    <row r="253" spans="1:4" ht="18" hidden="1" x14ac:dyDescent="0.3">
      <c r="A253" s="10" t="s">
        <v>251</v>
      </c>
      <c r="B253" s="8"/>
      <c r="C253" s="8"/>
      <c r="D253" s="8">
        <f t="shared" si="3"/>
        <v>0</v>
      </c>
    </row>
    <row r="254" spans="1:4" ht="18" hidden="1" x14ac:dyDescent="0.3">
      <c r="A254" s="10" t="s">
        <v>252</v>
      </c>
      <c r="B254" s="8"/>
      <c r="C254" s="8"/>
      <c r="D254" s="8">
        <f t="shared" si="3"/>
        <v>0</v>
      </c>
    </row>
    <row r="255" spans="1:4" ht="18" x14ac:dyDescent="0.3">
      <c r="A255" s="10" t="s">
        <v>253</v>
      </c>
      <c r="B255" s="8">
        <v>29</v>
      </c>
      <c r="C255" s="8">
        <v>11000</v>
      </c>
      <c r="D255" s="8">
        <f t="shared" si="3"/>
        <v>319000</v>
      </c>
    </row>
    <row r="256" spans="1:4" ht="18" hidden="1" x14ac:dyDescent="0.3">
      <c r="A256" s="10" t="s">
        <v>254</v>
      </c>
      <c r="B256" s="8"/>
      <c r="C256" s="8"/>
      <c r="D256" s="8">
        <f t="shared" si="3"/>
        <v>0</v>
      </c>
    </row>
    <row r="257" spans="1:4" ht="18" hidden="1" x14ac:dyDescent="0.3">
      <c r="A257" s="18" t="s">
        <v>255</v>
      </c>
      <c r="B257" s="8"/>
      <c r="C257" s="8"/>
      <c r="D257" s="8">
        <f t="shared" si="3"/>
        <v>0</v>
      </c>
    </row>
    <row r="258" spans="1:4" ht="18" hidden="1" x14ac:dyDescent="0.3">
      <c r="A258" s="23" t="s">
        <v>256</v>
      </c>
      <c r="B258" s="8"/>
      <c r="C258" s="8"/>
      <c r="D258" s="8">
        <f t="shared" si="3"/>
        <v>0</v>
      </c>
    </row>
    <row r="259" spans="1:4" ht="18" hidden="1" x14ac:dyDescent="0.3">
      <c r="A259" s="23" t="s">
        <v>257</v>
      </c>
      <c r="B259" s="8"/>
      <c r="C259" s="8"/>
      <c r="D259" s="8">
        <f t="shared" si="3"/>
        <v>0</v>
      </c>
    </row>
    <row r="260" spans="1:4" ht="18" x14ac:dyDescent="0.3">
      <c r="A260" s="10" t="s">
        <v>258</v>
      </c>
      <c r="B260" s="8">
        <v>49</v>
      </c>
      <c r="C260" s="8">
        <v>36000</v>
      </c>
      <c r="D260" s="8">
        <f t="shared" ref="D260:D323" si="4">B260*C260</f>
        <v>1764000</v>
      </c>
    </row>
    <row r="261" spans="1:4" ht="18" hidden="1" x14ac:dyDescent="0.3">
      <c r="A261" s="10" t="s">
        <v>259</v>
      </c>
      <c r="B261" s="8"/>
      <c r="C261" s="8"/>
      <c r="D261" s="8">
        <f t="shared" si="4"/>
        <v>0</v>
      </c>
    </row>
    <row r="262" spans="1:4" ht="18" hidden="1" x14ac:dyDescent="0.3">
      <c r="A262" s="10" t="s">
        <v>260</v>
      </c>
      <c r="B262" s="8"/>
      <c r="C262" s="8"/>
      <c r="D262" s="8">
        <f t="shared" si="4"/>
        <v>0</v>
      </c>
    </row>
    <row r="263" spans="1:4" ht="18" hidden="1" x14ac:dyDescent="0.3">
      <c r="A263" s="10" t="s">
        <v>261</v>
      </c>
      <c r="B263" s="8"/>
      <c r="C263" s="8"/>
      <c r="D263" s="8">
        <f t="shared" si="4"/>
        <v>0</v>
      </c>
    </row>
    <row r="264" spans="1:4" ht="18" x14ac:dyDescent="0.3">
      <c r="A264" s="10" t="s">
        <v>262</v>
      </c>
      <c r="B264" s="8">
        <f>8+26</f>
        <v>34</v>
      </c>
      <c r="C264" s="8">
        <v>20000</v>
      </c>
      <c r="D264" s="8">
        <f t="shared" si="4"/>
        <v>680000</v>
      </c>
    </row>
    <row r="265" spans="1:4" ht="18" hidden="1" x14ac:dyDescent="0.3">
      <c r="A265" s="10" t="s">
        <v>263</v>
      </c>
      <c r="B265" s="8"/>
      <c r="C265" s="8"/>
      <c r="D265" s="8">
        <f t="shared" si="4"/>
        <v>0</v>
      </c>
    </row>
    <row r="266" spans="1:4" ht="18" hidden="1" x14ac:dyDescent="0.3">
      <c r="A266" s="10" t="s">
        <v>264</v>
      </c>
      <c r="B266" s="8"/>
      <c r="C266" s="8"/>
      <c r="D266" s="8">
        <f t="shared" si="4"/>
        <v>0</v>
      </c>
    </row>
    <row r="267" spans="1:4" ht="18" hidden="1" x14ac:dyDescent="0.3">
      <c r="A267" s="10" t="s">
        <v>265</v>
      </c>
      <c r="B267" s="17"/>
      <c r="C267" s="17"/>
      <c r="D267" s="8">
        <f t="shared" si="4"/>
        <v>0</v>
      </c>
    </row>
    <row r="268" spans="1:4" ht="18" hidden="1" x14ac:dyDescent="0.3">
      <c r="A268" s="14" t="s">
        <v>266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x14ac:dyDescent="0.3">
      <c r="A270" s="10" t="s">
        <v>270</v>
      </c>
      <c r="B270" s="8">
        <v>34</v>
      </c>
      <c r="C270" s="8">
        <v>12500</v>
      </c>
      <c r="D270" s="8">
        <f t="shared" si="4"/>
        <v>425000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f>15+25</f>
        <v>40</v>
      </c>
      <c r="C274" s="8">
        <v>17000</v>
      </c>
      <c r="D274" s="8">
        <f t="shared" si="4"/>
        <v>680000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x14ac:dyDescent="0.3">
      <c r="A284" s="12" t="s">
        <v>401</v>
      </c>
      <c r="B284" s="8">
        <f>77/0.3</f>
        <v>256.66666666666669</v>
      </c>
      <c r="C284" s="8">
        <v>10000</v>
      </c>
      <c r="D284" s="8">
        <f t="shared" si="4"/>
        <v>2566666.666666667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23</v>
      </c>
      <c r="C288" s="8">
        <v>9000</v>
      </c>
      <c r="D288" s="8">
        <f t="shared" si="4"/>
        <v>207000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v>3</v>
      </c>
      <c r="C291" s="8">
        <v>7000</v>
      </c>
      <c r="D291" s="8">
        <f t="shared" si="4"/>
        <v>21000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13" t="s">
        <v>293</v>
      </c>
      <c r="B294" s="114">
        <v>10</v>
      </c>
      <c r="C294" s="114">
        <v>12000</v>
      </c>
      <c r="D294" s="8">
        <f t="shared" si="4"/>
        <v>120000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4" t="s">
        <v>298</v>
      </c>
      <c r="B297" s="8"/>
      <c r="C297" s="8"/>
      <c r="D297" s="8">
        <f t="shared" si="4"/>
        <v>0</v>
      </c>
    </row>
    <row r="298" spans="1:4" ht="18" hidden="1" x14ac:dyDescent="0.3">
      <c r="A298" s="10" t="s">
        <v>299</v>
      </c>
      <c r="B298" s="8"/>
      <c r="C298" s="8"/>
      <c r="D298" s="8">
        <f t="shared" si="4"/>
        <v>0</v>
      </c>
    </row>
    <row r="299" spans="1:4" ht="18" hidden="1" x14ac:dyDescent="0.3">
      <c r="A299" s="18" t="s">
        <v>300</v>
      </c>
      <c r="B299" s="8"/>
      <c r="C299" s="8"/>
      <c r="D299" s="8">
        <f t="shared" si="4"/>
        <v>0</v>
      </c>
    </row>
    <row r="300" spans="1:4" ht="18" hidden="1" x14ac:dyDescent="0.3">
      <c r="A300" s="13" t="s">
        <v>296</v>
      </c>
      <c r="B300" s="8"/>
      <c r="C300" s="8"/>
      <c r="D300" s="8">
        <f t="shared" si="4"/>
        <v>0</v>
      </c>
    </row>
    <row r="301" spans="1:4" ht="18" hidden="1" x14ac:dyDescent="0.3">
      <c r="A301" s="18" t="s">
        <v>297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x14ac:dyDescent="0.3">
      <c r="A310" s="14" t="s">
        <v>309</v>
      </c>
      <c r="B310" s="8">
        <v>2</v>
      </c>
      <c r="C310" s="8">
        <v>36000</v>
      </c>
      <c r="D310" s="8">
        <f t="shared" si="4"/>
        <v>72000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14" t="s">
        <v>312</v>
      </c>
      <c r="B312" s="8"/>
      <c r="C312" s="8"/>
      <c r="D312" s="8">
        <f t="shared" si="4"/>
        <v>0</v>
      </c>
    </row>
    <row r="313" spans="1:4" ht="18" hidden="1" x14ac:dyDescent="0.3">
      <c r="A313" s="23" t="s">
        <v>311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x14ac:dyDescent="0.3">
      <c r="A316" s="10" t="s">
        <v>315</v>
      </c>
      <c r="B316" s="8">
        <v>10</v>
      </c>
      <c r="C316" s="8">
        <v>28000</v>
      </c>
      <c r="D316" s="8">
        <f t="shared" si="4"/>
        <v>280000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323</v>
      </c>
      <c r="B322" s="8"/>
      <c r="C322" s="8"/>
      <c r="D322" s="8">
        <f t="shared" si="4"/>
        <v>0</v>
      </c>
    </row>
    <row r="323" spans="1:4" ht="18" hidden="1" x14ac:dyDescent="0.3">
      <c r="A323" s="10" t="s">
        <v>321</v>
      </c>
      <c r="B323" s="42"/>
      <c r="C323" s="42"/>
      <c r="D323" s="8">
        <f t="shared" si="4"/>
        <v>0</v>
      </c>
    </row>
    <row r="324" spans="1:4" ht="18" hidden="1" x14ac:dyDescent="0.3">
      <c r="A324" s="10" t="s">
        <v>322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338</v>
      </c>
      <c r="B338" s="8"/>
      <c r="C338" s="8"/>
      <c r="D338" s="8">
        <f t="shared" si="5"/>
        <v>0</v>
      </c>
    </row>
    <row r="339" spans="1:4" ht="18" hidden="1" x14ac:dyDescent="0.3">
      <c r="A339" s="12" t="s">
        <v>337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2517.6666666666665</v>
      </c>
      <c r="C340" s="46"/>
      <c r="D340" s="8">
        <f>SUM(D3:D316)</f>
        <v>38359666.666666664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407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72</v>
      </c>
      <c r="C348" s="8">
        <v>7300</v>
      </c>
      <c r="D348" s="8">
        <f t="shared" si="5"/>
        <v>525600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35</v>
      </c>
      <c r="C355" s="8">
        <v>10000</v>
      </c>
      <c r="D355" s="8">
        <f t="shared" si="5"/>
        <v>350000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135+80+700+400-100</f>
        <v>1215</v>
      </c>
      <c r="C362" s="8">
        <v>18000</v>
      </c>
      <c r="D362" s="8">
        <f t="shared" si="5"/>
        <v>21870000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36</v>
      </c>
      <c r="B370" s="8"/>
      <c r="C370" s="8"/>
      <c r="D370" s="8">
        <f t="shared" si="5"/>
        <v>0</v>
      </c>
    </row>
    <row r="371" spans="1:4" ht="18" hidden="1" x14ac:dyDescent="0.3">
      <c r="A371" s="10" t="s">
        <v>37</v>
      </c>
      <c r="B371" s="8"/>
      <c r="C371" s="8"/>
      <c r="D371" s="8">
        <f t="shared" si="5"/>
        <v>0</v>
      </c>
    </row>
    <row r="372" spans="1:4" ht="18" hidden="1" x14ac:dyDescent="0.3">
      <c r="A372" s="12" t="s">
        <v>38</v>
      </c>
      <c r="B372" s="17"/>
      <c r="C372" s="17"/>
      <c r="D372" s="8">
        <f t="shared" si="5"/>
        <v>0</v>
      </c>
    </row>
    <row r="373" spans="1:4" ht="18" hidden="1" x14ac:dyDescent="0.3">
      <c r="A373" s="12" t="s">
        <v>39</v>
      </c>
      <c r="B373" s="17"/>
      <c r="C373" s="17"/>
      <c r="D373" s="8">
        <f t="shared" si="5"/>
        <v>0</v>
      </c>
    </row>
    <row r="374" spans="1:4" ht="18" hidden="1" x14ac:dyDescent="0.3">
      <c r="A374" s="10" t="s">
        <v>40</v>
      </c>
      <c r="B374" s="8"/>
      <c r="C374" s="8"/>
      <c r="D374" s="8">
        <f t="shared" si="5"/>
        <v>0</v>
      </c>
    </row>
    <row r="375" spans="1:4" ht="18" hidden="1" x14ac:dyDescent="0.3">
      <c r="A375" s="10" t="s">
        <v>41</v>
      </c>
      <c r="B375" s="8"/>
      <c r="C375" s="8"/>
      <c r="D375" s="8">
        <f t="shared" si="5"/>
        <v>0</v>
      </c>
    </row>
    <row r="376" spans="1:4" ht="18" hidden="1" x14ac:dyDescent="0.3">
      <c r="A376" s="18" t="s">
        <v>42</v>
      </c>
      <c r="B376" s="8"/>
      <c r="C376" s="8"/>
      <c r="D376" s="8">
        <f t="shared" si="5"/>
        <v>0</v>
      </c>
    </row>
    <row r="377" spans="1:4" ht="18" hidden="1" x14ac:dyDescent="0.3">
      <c r="A377" s="10" t="s">
        <v>43</v>
      </c>
      <c r="B377" s="8"/>
      <c r="C377" s="8"/>
      <c r="D377" s="8">
        <f t="shared" si="5"/>
        <v>0</v>
      </c>
    </row>
    <row r="378" spans="1:4" ht="18" hidden="1" x14ac:dyDescent="0.3">
      <c r="A378" s="10" t="s">
        <v>44</v>
      </c>
      <c r="B378" s="8"/>
      <c r="C378" s="8"/>
      <c r="D378" s="8">
        <f t="shared" si="5"/>
        <v>0</v>
      </c>
    </row>
    <row r="379" spans="1:4" ht="18" hidden="1" x14ac:dyDescent="0.3">
      <c r="A379" s="10" t="s">
        <v>45</v>
      </c>
      <c r="B379" s="8"/>
      <c r="C379" s="8"/>
      <c r="D379" s="8">
        <f t="shared" si="5"/>
        <v>0</v>
      </c>
    </row>
    <row r="380" spans="1:4" ht="18" hidden="1" x14ac:dyDescent="0.3">
      <c r="A380" s="10" t="s">
        <v>46</v>
      </c>
      <c r="B380" s="8"/>
      <c r="C380" s="8"/>
      <c r="D380" s="8">
        <f t="shared" si="5"/>
        <v>0</v>
      </c>
    </row>
    <row r="381" spans="1:4" ht="18" hidden="1" x14ac:dyDescent="0.3">
      <c r="A381" s="14" t="s">
        <v>47</v>
      </c>
      <c r="B381" s="8"/>
      <c r="C381" s="8"/>
      <c r="D381" s="8">
        <f t="shared" si="5"/>
        <v>0</v>
      </c>
    </row>
    <row r="382" spans="1:4" ht="18" hidden="1" x14ac:dyDescent="0.3">
      <c r="A382" s="12" t="s">
        <v>48</v>
      </c>
      <c r="B382" s="8"/>
      <c r="C382" s="8"/>
      <c r="D382" s="8">
        <f t="shared" si="5"/>
        <v>0</v>
      </c>
    </row>
    <row r="383" spans="1:4" ht="18" hidden="1" x14ac:dyDescent="0.3">
      <c r="A383" s="14" t="s">
        <v>49</v>
      </c>
      <c r="B383" s="8"/>
      <c r="C383" s="8"/>
      <c r="D383" s="8">
        <f t="shared" si="5"/>
        <v>0</v>
      </c>
    </row>
    <row r="384" spans="1:4" ht="18" hidden="1" x14ac:dyDescent="0.3">
      <c r="A384" s="10" t="s">
        <v>50</v>
      </c>
      <c r="B384" s="8"/>
      <c r="C384" s="8"/>
      <c r="D384" s="8">
        <f t="shared" si="5"/>
        <v>0</v>
      </c>
    </row>
    <row r="385" spans="1:4" ht="18" hidden="1" x14ac:dyDescent="0.3">
      <c r="A385" s="10" t="s">
        <v>51</v>
      </c>
      <c r="B385" s="8"/>
      <c r="C385" s="8"/>
      <c r="D385" s="8">
        <f t="shared" si="5"/>
        <v>0</v>
      </c>
    </row>
    <row r="386" spans="1:4" ht="18" hidden="1" x14ac:dyDescent="0.3">
      <c r="A386" s="10" t="s">
        <v>27</v>
      </c>
      <c r="B386" s="8"/>
      <c r="C386" s="8"/>
      <c r="D386" s="8">
        <f t="shared" si="5"/>
        <v>0</v>
      </c>
    </row>
    <row r="387" spans="1:4" ht="18" hidden="1" x14ac:dyDescent="0.3">
      <c r="A387" s="13" t="s">
        <v>28</v>
      </c>
      <c r="B387" s="8"/>
      <c r="C387" s="8"/>
      <c r="D387" s="8">
        <f t="shared" si="5"/>
        <v>0</v>
      </c>
    </row>
    <row r="388" spans="1:4" ht="18" hidden="1" x14ac:dyDescent="0.3">
      <c r="A388" s="13" t="s">
        <v>35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v>130</v>
      </c>
      <c r="C389" s="8">
        <v>22000</v>
      </c>
      <c r="D389" s="8">
        <f t="shared" si="6"/>
        <v>2860000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22" t="s">
        <v>73</v>
      </c>
      <c r="B405" s="8"/>
      <c r="C405" s="8"/>
      <c r="D405" s="8">
        <f t="shared" si="6"/>
        <v>0</v>
      </c>
    </row>
    <row r="406" spans="1:4" ht="18" hidden="1" x14ac:dyDescent="0.3">
      <c r="A406" s="13" t="s">
        <v>68</v>
      </c>
      <c r="B406" s="8"/>
      <c r="C406" s="8"/>
      <c r="D406" s="8">
        <f t="shared" si="6"/>
        <v>0</v>
      </c>
    </row>
    <row r="407" spans="1:4" ht="18" hidden="1" x14ac:dyDescent="0.3">
      <c r="A407" s="12" t="s">
        <v>69</v>
      </c>
      <c r="B407" s="8"/>
      <c r="C407" s="8"/>
      <c r="D407" s="8">
        <f t="shared" si="6"/>
        <v>0</v>
      </c>
    </row>
    <row r="408" spans="1:4" ht="18" hidden="1" x14ac:dyDescent="0.3">
      <c r="A408" s="13" t="s">
        <v>70</v>
      </c>
      <c r="B408" s="8"/>
      <c r="C408" s="8"/>
      <c r="D408" s="8">
        <f t="shared" si="6"/>
        <v>0</v>
      </c>
    </row>
    <row r="409" spans="1:4" ht="18" hidden="1" x14ac:dyDescent="0.3">
      <c r="A409" s="13" t="s">
        <v>71</v>
      </c>
      <c r="B409" s="8"/>
      <c r="C409" s="8"/>
      <c r="D409" s="8">
        <f t="shared" si="6"/>
        <v>0</v>
      </c>
    </row>
    <row r="410" spans="1:4" ht="18" hidden="1" x14ac:dyDescent="0.3">
      <c r="A410" s="13" t="s">
        <v>72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v>130</v>
      </c>
      <c r="C414" s="8">
        <v>28000</v>
      </c>
      <c r="D414" s="8">
        <f t="shared" si="6"/>
        <v>3640000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89</v>
      </c>
      <c r="B425" s="8"/>
      <c r="C425" s="8"/>
      <c r="D425" s="8">
        <f t="shared" si="6"/>
        <v>0</v>
      </c>
    </row>
    <row r="426" spans="1:4" ht="18" hidden="1" x14ac:dyDescent="0.3">
      <c r="A426" s="10" t="s">
        <v>88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v>44</v>
      </c>
      <c r="C427" s="8">
        <v>6000</v>
      </c>
      <c r="D427" s="8">
        <f t="shared" si="6"/>
        <v>264000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345</v>
      </c>
      <c r="B436" s="8"/>
      <c r="C436" s="8"/>
      <c r="D436" s="8">
        <f t="shared" si="6"/>
        <v>0</v>
      </c>
    </row>
    <row r="437" spans="1:4" ht="18" hidden="1" x14ac:dyDescent="0.3">
      <c r="A437" s="12" t="s">
        <v>344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1" t="s">
        <v>124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4" t="s">
        <v>125</v>
      </c>
      <c r="B453" s="8"/>
      <c r="C453" s="8"/>
      <c r="D453" s="8">
        <f t="shared" si="7"/>
        <v>0</v>
      </c>
    </row>
    <row r="454" spans="1:4" ht="18" hidden="1" x14ac:dyDescent="0.3">
      <c r="A454" s="13" t="s">
        <v>126</v>
      </c>
      <c r="B454" s="17"/>
      <c r="C454" s="17"/>
      <c r="D454" s="8">
        <f t="shared" si="7"/>
        <v>0</v>
      </c>
    </row>
    <row r="455" spans="1:4" ht="18" hidden="1" x14ac:dyDescent="0.3">
      <c r="A455" s="13" t="s">
        <v>127</v>
      </c>
      <c r="B455" s="17"/>
      <c r="C455" s="17"/>
      <c r="D455" s="8">
        <f t="shared" si="7"/>
        <v>0</v>
      </c>
    </row>
    <row r="456" spans="1:4" ht="18" hidden="1" x14ac:dyDescent="0.3">
      <c r="A456" s="13" t="s">
        <v>128</v>
      </c>
      <c r="B456" s="17"/>
      <c r="C456" s="17"/>
      <c r="D456" s="8">
        <f t="shared" si="7"/>
        <v>0</v>
      </c>
    </row>
    <row r="457" spans="1:4" ht="18" hidden="1" x14ac:dyDescent="0.3">
      <c r="A457" s="13" t="s">
        <v>129</v>
      </c>
      <c r="B457" s="29"/>
      <c r="C457" s="29"/>
      <c r="D457" s="8">
        <f t="shared" si="7"/>
        <v>0</v>
      </c>
    </row>
    <row r="458" spans="1:4" ht="18" hidden="1" x14ac:dyDescent="0.3">
      <c r="A458" s="30" t="s">
        <v>130</v>
      </c>
      <c r="B458" s="8"/>
      <c r="C458" s="8"/>
      <c r="D458" s="8">
        <f t="shared" si="7"/>
        <v>0</v>
      </c>
    </row>
    <row r="459" spans="1:4" ht="18" hidden="1" x14ac:dyDescent="0.3">
      <c r="A459" s="13" t="s">
        <v>131</v>
      </c>
      <c r="B459" s="17"/>
      <c r="C459" s="17"/>
      <c r="D459" s="8">
        <f t="shared" si="7"/>
        <v>0</v>
      </c>
    </row>
    <row r="460" spans="1:4" ht="18" hidden="1" x14ac:dyDescent="0.3">
      <c r="A460" s="10" t="s">
        <v>132</v>
      </c>
      <c r="B460" s="8"/>
      <c r="C460" s="8"/>
      <c r="D460" s="8">
        <f t="shared" si="7"/>
        <v>0</v>
      </c>
    </row>
    <row r="461" spans="1:4" ht="18" hidden="1" x14ac:dyDescent="0.3">
      <c r="A461" s="10" t="s">
        <v>133</v>
      </c>
      <c r="B461" s="8"/>
      <c r="C461" s="8"/>
      <c r="D461" s="8">
        <f t="shared" si="7"/>
        <v>0</v>
      </c>
    </row>
    <row r="462" spans="1:4" ht="18" x14ac:dyDescent="0.3">
      <c r="A462" s="10" t="s">
        <v>135</v>
      </c>
      <c r="B462" s="8">
        <v>125</v>
      </c>
      <c r="C462" s="8">
        <v>5500</v>
      </c>
      <c r="D462" s="8">
        <f t="shared" si="7"/>
        <v>687500</v>
      </c>
    </row>
    <row r="463" spans="1:4" ht="18" hidden="1" x14ac:dyDescent="0.3">
      <c r="A463" s="18" t="s">
        <v>136</v>
      </c>
      <c r="B463" s="8"/>
      <c r="C463" s="8"/>
      <c r="D463" s="8">
        <f t="shared" si="7"/>
        <v>0</v>
      </c>
    </row>
    <row r="464" spans="1:4" ht="18" hidden="1" x14ac:dyDescent="0.3">
      <c r="A464" s="13" t="s">
        <v>137</v>
      </c>
      <c r="B464" s="8"/>
      <c r="C464" s="8"/>
      <c r="D464" s="8">
        <f t="shared" si="7"/>
        <v>0</v>
      </c>
    </row>
    <row r="465" spans="1:4" ht="18" hidden="1" x14ac:dyDescent="0.3">
      <c r="A465" s="13" t="s">
        <v>138</v>
      </c>
      <c r="B465" s="8"/>
      <c r="C465" s="8"/>
      <c r="D465" s="8">
        <f t="shared" si="7"/>
        <v>0</v>
      </c>
    </row>
    <row r="466" spans="1:4" ht="18" hidden="1" x14ac:dyDescent="0.3">
      <c r="A466" s="10" t="s">
        <v>139</v>
      </c>
      <c r="B466" s="8"/>
      <c r="C466" s="8"/>
      <c r="D466" s="8">
        <f t="shared" si="7"/>
        <v>0</v>
      </c>
    </row>
    <row r="467" spans="1:4" ht="18" hidden="1" x14ac:dyDescent="0.3">
      <c r="A467" s="10" t="s">
        <v>348</v>
      </c>
      <c r="B467" s="8"/>
      <c r="C467" s="8"/>
      <c r="D467" s="8">
        <f t="shared" si="7"/>
        <v>0</v>
      </c>
    </row>
    <row r="468" spans="1:4" ht="18" hidden="1" x14ac:dyDescent="0.3">
      <c r="A468" s="10" t="s">
        <v>114</v>
      </c>
      <c r="B468" s="8"/>
      <c r="C468" s="8"/>
      <c r="D468" s="8">
        <f t="shared" si="7"/>
        <v>0</v>
      </c>
    </row>
    <row r="469" spans="1:4" ht="18" hidden="1" x14ac:dyDescent="0.3">
      <c r="A469" s="10" t="s">
        <v>115</v>
      </c>
      <c r="B469" s="8"/>
      <c r="C469" s="8"/>
      <c r="D469" s="8">
        <f t="shared" si="7"/>
        <v>0</v>
      </c>
    </row>
    <row r="470" spans="1:4" ht="18" hidden="1" x14ac:dyDescent="0.3">
      <c r="A470" s="10" t="s">
        <v>347</v>
      </c>
      <c r="B470" s="8"/>
      <c r="C470" s="8"/>
      <c r="D470" s="8">
        <f t="shared" si="7"/>
        <v>0</v>
      </c>
    </row>
    <row r="471" spans="1:4" ht="18" hidden="1" x14ac:dyDescent="0.3">
      <c r="A471" s="10" t="s">
        <v>116</v>
      </c>
      <c r="B471" s="8"/>
      <c r="C471" s="8"/>
      <c r="D471" s="8">
        <f t="shared" si="7"/>
        <v>0</v>
      </c>
    </row>
    <row r="472" spans="1:4" ht="18" hidden="1" x14ac:dyDescent="0.3">
      <c r="A472" s="12" t="s">
        <v>117</v>
      </c>
      <c r="B472" s="8"/>
      <c r="C472" s="8"/>
      <c r="D472" s="8">
        <f t="shared" si="7"/>
        <v>0</v>
      </c>
    </row>
    <row r="473" spans="1:4" ht="18" hidden="1" x14ac:dyDescent="0.3">
      <c r="A473" s="23" t="s">
        <v>118</v>
      </c>
      <c r="B473" s="8"/>
      <c r="C473" s="8"/>
      <c r="D473" s="8">
        <f t="shared" si="7"/>
        <v>0</v>
      </c>
    </row>
    <row r="474" spans="1:4" ht="18" hidden="1" x14ac:dyDescent="0.3">
      <c r="A474" s="10" t="s">
        <v>119</v>
      </c>
      <c r="B474" s="8"/>
      <c r="C474" s="8"/>
      <c r="D474" s="8">
        <f t="shared" si="7"/>
        <v>0</v>
      </c>
    </row>
    <row r="475" spans="1:4" ht="18" hidden="1" x14ac:dyDescent="0.3">
      <c r="A475" s="12" t="s">
        <v>120</v>
      </c>
      <c r="B475" s="8"/>
      <c r="C475" s="8"/>
      <c r="D475" s="8">
        <f t="shared" si="7"/>
        <v>0</v>
      </c>
    </row>
    <row r="476" spans="1:4" ht="18" hidden="1" x14ac:dyDescent="0.3">
      <c r="A476" s="12" t="s">
        <v>121</v>
      </c>
      <c r="B476" s="8"/>
      <c r="C476" s="8"/>
      <c r="D476" s="8">
        <f t="shared" si="7"/>
        <v>0</v>
      </c>
    </row>
    <row r="477" spans="1:4" ht="18" x14ac:dyDescent="0.3">
      <c r="A477" s="10" t="s">
        <v>122</v>
      </c>
      <c r="B477" s="8">
        <v>10</v>
      </c>
      <c r="C477" s="8">
        <v>10000</v>
      </c>
      <c r="D477" s="8">
        <f t="shared" si="7"/>
        <v>100000</v>
      </c>
    </row>
    <row r="478" spans="1:4" ht="18" hidden="1" x14ac:dyDescent="0.3">
      <c r="A478" s="10" t="s">
        <v>161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165</v>
      </c>
      <c r="B479" s="8"/>
      <c r="C479" s="8"/>
      <c r="D479" s="8">
        <f t="shared" si="7"/>
        <v>0</v>
      </c>
    </row>
    <row r="480" spans="1:4" ht="18" hidden="1" x14ac:dyDescent="0.3">
      <c r="A480" s="18" t="s">
        <v>166</v>
      </c>
      <c r="B480" s="8"/>
      <c r="C480" s="8"/>
      <c r="D480" s="8">
        <f t="shared" si="7"/>
        <v>0</v>
      </c>
    </row>
    <row r="481" spans="1:4" ht="18" hidden="1" x14ac:dyDescent="0.3">
      <c r="A481" s="10" t="s">
        <v>350</v>
      </c>
      <c r="B481" s="8"/>
      <c r="C481" s="8"/>
      <c r="D481" s="8">
        <f t="shared" si="7"/>
        <v>0</v>
      </c>
    </row>
    <row r="482" spans="1:4" ht="18" hidden="1" x14ac:dyDescent="0.3">
      <c r="A482" s="13" t="s">
        <v>167</v>
      </c>
      <c r="B482" s="8"/>
      <c r="C482" s="8"/>
      <c r="D482" s="8">
        <f t="shared" si="7"/>
        <v>0</v>
      </c>
    </row>
    <row r="483" spans="1:4" ht="18" hidden="1" x14ac:dyDescent="0.3">
      <c r="A483" s="10" t="s">
        <v>168</v>
      </c>
      <c r="B483" s="8"/>
      <c r="C483" s="8"/>
      <c r="D483" s="8">
        <f t="shared" si="7"/>
        <v>0</v>
      </c>
    </row>
    <row r="484" spans="1:4" ht="18" hidden="1" x14ac:dyDescent="0.3">
      <c r="A484" s="10" t="s">
        <v>170</v>
      </c>
      <c r="B484" s="8"/>
      <c r="C484" s="8"/>
      <c r="D484" s="8">
        <f t="shared" si="7"/>
        <v>0</v>
      </c>
    </row>
    <row r="485" spans="1:4" ht="18" hidden="1" x14ac:dyDescent="0.3">
      <c r="A485" s="10" t="s">
        <v>171</v>
      </c>
      <c r="B485" s="8"/>
      <c r="C485" s="8"/>
      <c r="D485" s="8">
        <f t="shared" si="7"/>
        <v>0</v>
      </c>
    </row>
    <row r="486" spans="1:4" ht="18" hidden="1" x14ac:dyDescent="0.3">
      <c r="A486" s="22" t="s">
        <v>172</v>
      </c>
      <c r="B486" s="8"/>
      <c r="C486" s="8"/>
      <c r="D486" s="8">
        <f t="shared" si="7"/>
        <v>0</v>
      </c>
    </row>
    <row r="487" spans="1:4" ht="18" hidden="1" x14ac:dyDescent="0.3">
      <c r="A487" s="10" t="s">
        <v>173</v>
      </c>
      <c r="B487" s="8"/>
      <c r="C487" s="8"/>
      <c r="D487" s="8">
        <f t="shared" si="7"/>
        <v>0</v>
      </c>
    </row>
    <row r="488" spans="1:4" ht="18" hidden="1" x14ac:dyDescent="0.3">
      <c r="A488" s="34" t="s">
        <v>174</v>
      </c>
      <c r="B488" s="36"/>
      <c r="C488" s="36"/>
      <c r="D488" s="8">
        <f t="shared" si="7"/>
        <v>0</v>
      </c>
    </row>
    <row r="489" spans="1:4" ht="18" hidden="1" x14ac:dyDescent="0.3">
      <c r="A489" s="12" t="s">
        <v>175</v>
      </c>
      <c r="B489" s="8"/>
      <c r="C489" s="8"/>
      <c r="D489" s="8">
        <f t="shared" si="7"/>
        <v>0</v>
      </c>
    </row>
    <row r="490" spans="1:4" ht="18" hidden="1" x14ac:dyDescent="0.3">
      <c r="A490" s="10" t="s">
        <v>141</v>
      </c>
      <c r="B490" s="17"/>
      <c r="C490" s="17"/>
      <c r="D490" s="8">
        <f t="shared" si="7"/>
        <v>0</v>
      </c>
    </row>
    <row r="491" spans="1:4" ht="18" hidden="1" x14ac:dyDescent="0.3">
      <c r="A491" s="10" t="s">
        <v>142</v>
      </c>
      <c r="B491" s="17"/>
      <c r="C491" s="17"/>
      <c r="D491" s="8">
        <f t="shared" si="7"/>
        <v>0</v>
      </c>
    </row>
    <row r="492" spans="1:4" ht="18" hidden="1" x14ac:dyDescent="0.3">
      <c r="A492" s="10" t="s">
        <v>143</v>
      </c>
      <c r="B492" s="8"/>
      <c r="C492" s="8"/>
      <c r="D492" s="8">
        <f t="shared" si="7"/>
        <v>0</v>
      </c>
    </row>
    <row r="493" spans="1:4" ht="18" hidden="1" x14ac:dyDescent="0.3">
      <c r="A493" s="10" t="s">
        <v>144</v>
      </c>
      <c r="B493" s="17"/>
      <c r="C493" s="17"/>
      <c r="D493" s="8">
        <f t="shared" si="7"/>
        <v>0</v>
      </c>
    </row>
    <row r="494" spans="1:4" ht="18" hidden="1" x14ac:dyDescent="0.3">
      <c r="A494" s="10" t="s">
        <v>145</v>
      </c>
      <c r="B494" s="17"/>
      <c r="C494" s="17"/>
      <c r="D494" s="8">
        <f t="shared" si="7"/>
        <v>0</v>
      </c>
    </row>
    <row r="495" spans="1:4" ht="18" hidden="1" x14ac:dyDescent="0.3">
      <c r="A495" s="10" t="s">
        <v>146</v>
      </c>
      <c r="B495" s="17"/>
      <c r="C495" s="17"/>
      <c r="D495" s="8">
        <f t="shared" si="7"/>
        <v>0</v>
      </c>
    </row>
    <row r="496" spans="1:4" ht="18" hidden="1" x14ac:dyDescent="0.3">
      <c r="A496" s="10" t="s">
        <v>147</v>
      </c>
      <c r="B496" s="17"/>
      <c r="C496" s="17"/>
      <c r="D496" s="8">
        <f t="shared" si="7"/>
        <v>0</v>
      </c>
    </row>
    <row r="497" spans="1:4" ht="18" hidden="1" x14ac:dyDescent="0.3">
      <c r="A497" s="10" t="s">
        <v>148</v>
      </c>
      <c r="B497" s="17"/>
      <c r="C497" s="17"/>
      <c r="D497" s="8">
        <f t="shared" si="7"/>
        <v>0</v>
      </c>
    </row>
    <row r="498" spans="1:4" ht="18" hidden="1" x14ac:dyDescent="0.3">
      <c r="A498" s="10" t="s">
        <v>149</v>
      </c>
      <c r="B498" s="17"/>
      <c r="C498" s="17"/>
      <c r="D498" s="8">
        <f t="shared" si="7"/>
        <v>0</v>
      </c>
    </row>
    <row r="499" spans="1:4" ht="18" hidden="1" x14ac:dyDescent="0.3">
      <c r="A499" s="10" t="s">
        <v>150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151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152</v>
      </c>
      <c r="B501" s="8"/>
      <c r="C501" s="8"/>
      <c r="D501" s="8">
        <f t="shared" si="7"/>
        <v>0</v>
      </c>
    </row>
    <row r="502" spans="1:4" ht="18" hidden="1" x14ac:dyDescent="0.3">
      <c r="A502" s="10" t="s">
        <v>349</v>
      </c>
      <c r="B502" s="8"/>
      <c r="C502" s="8"/>
      <c r="D502" s="8">
        <f t="shared" si="7"/>
        <v>0</v>
      </c>
    </row>
    <row r="503" spans="1:4" ht="18" hidden="1" x14ac:dyDescent="0.3">
      <c r="A503" s="10" t="s">
        <v>153</v>
      </c>
      <c r="B503" s="8"/>
      <c r="C503" s="8"/>
      <c r="D503" s="8">
        <f t="shared" si="7"/>
        <v>0</v>
      </c>
    </row>
    <row r="504" spans="1:4" ht="18" hidden="1" x14ac:dyDescent="0.3">
      <c r="A504" s="10" t="s">
        <v>154</v>
      </c>
      <c r="B504" s="8"/>
      <c r="C504" s="8"/>
      <c r="D504" s="8">
        <f t="shared" si="7"/>
        <v>0</v>
      </c>
    </row>
    <row r="505" spans="1:4" ht="18" hidden="1" x14ac:dyDescent="0.3">
      <c r="A505" s="10" t="s">
        <v>155</v>
      </c>
      <c r="B505" s="8"/>
      <c r="C505" s="8"/>
      <c r="D505" s="8">
        <f t="shared" si="7"/>
        <v>0</v>
      </c>
    </row>
    <row r="506" spans="1:4" ht="18" hidden="1" x14ac:dyDescent="0.3">
      <c r="A506" s="18" t="s">
        <v>156</v>
      </c>
      <c r="B506" s="8"/>
      <c r="C506" s="8"/>
      <c r="D506" s="8">
        <f t="shared" si="7"/>
        <v>0</v>
      </c>
    </row>
    <row r="507" spans="1:4" ht="18" hidden="1" x14ac:dyDescent="0.3">
      <c r="A507" s="10" t="s">
        <v>157</v>
      </c>
      <c r="B507" s="8"/>
      <c r="C507" s="8"/>
      <c r="D507" s="8">
        <f t="shared" si="7"/>
        <v>0</v>
      </c>
    </row>
    <row r="508" spans="1:4" ht="18" hidden="1" x14ac:dyDescent="0.3">
      <c r="A508" s="10" t="s">
        <v>158</v>
      </c>
      <c r="B508" s="8"/>
      <c r="C508" s="8"/>
      <c r="D508" s="8">
        <f t="shared" si="7"/>
        <v>0</v>
      </c>
    </row>
    <row r="509" spans="1:4" ht="18" x14ac:dyDescent="0.3">
      <c r="A509" s="10" t="s">
        <v>159</v>
      </c>
      <c r="B509" s="8">
        <v>5</v>
      </c>
      <c r="C509" s="8">
        <v>8000</v>
      </c>
      <c r="D509" s="8">
        <f t="shared" si="7"/>
        <v>40000</v>
      </c>
    </row>
    <row r="510" spans="1:4" ht="18" hidden="1" x14ac:dyDescent="0.3">
      <c r="A510" s="10" t="s">
        <v>160</v>
      </c>
      <c r="B510" s="8"/>
      <c r="C510" s="8"/>
      <c r="D510" s="8">
        <f t="shared" si="7"/>
        <v>0</v>
      </c>
    </row>
    <row r="511" spans="1:4" ht="18" hidden="1" x14ac:dyDescent="0.3">
      <c r="A511" s="10" t="s">
        <v>162</v>
      </c>
      <c r="B511" s="17"/>
      <c r="C511" s="17"/>
      <c r="D511" s="8">
        <f t="shared" si="7"/>
        <v>0</v>
      </c>
    </row>
    <row r="512" spans="1:4" ht="18" hidden="1" x14ac:dyDescent="0.3">
      <c r="A512" s="10" t="s">
        <v>163</v>
      </c>
      <c r="B512" s="17"/>
      <c r="C512" s="17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186</v>
      </c>
      <c r="B518" s="8"/>
      <c r="C518" s="8"/>
      <c r="D518" s="8">
        <f t="shared" si="8"/>
        <v>0</v>
      </c>
    </row>
    <row r="519" spans="1:4" ht="18" hidden="1" x14ac:dyDescent="0.3">
      <c r="A519" s="13" t="s">
        <v>187</v>
      </c>
      <c r="B519" s="8"/>
      <c r="C519" s="8"/>
      <c r="D519" s="8">
        <f t="shared" si="8"/>
        <v>0</v>
      </c>
    </row>
    <row r="520" spans="1:4" ht="18" hidden="1" x14ac:dyDescent="0.3">
      <c r="A520" s="13" t="s">
        <v>181</v>
      </c>
      <c r="B520" s="8"/>
      <c r="C520" s="8"/>
      <c r="D520" s="8">
        <f t="shared" si="8"/>
        <v>0</v>
      </c>
    </row>
    <row r="521" spans="1:4" ht="18" hidden="1" x14ac:dyDescent="0.3">
      <c r="A521" s="13" t="s">
        <v>182</v>
      </c>
      <c r="B521" s="8"/>
      <c r="C521" s="8"/>
      <c r="D521" s="8">
        <f t="shared" si="8"/>
        <v>0</v>
      </c>
    </row>
    <row r="522" spans="1:4" ht="18" x14ac:dyDescent="0.3">
      <c r="A522" s="13" t="s">
        <v>183</v>
      </c>
      <c r="B522" s="8">
        <f>420+1000+260-150+120+800+240+260</f>
        <v>2950</v>
      </c>
      <c r="C522" s="8">
        <v>7700</v>
      </c>
      <c r="D522" s="8">
        <f t="shared" si="8"/>
        <v>22715000</v>
      </c>
    </row>
    <row r="523" spans="1:4" ht="18" hidden="1" x14ac:dyDescent="0.3">
      <c r="A523" s="10" t="s">
        <v>184</v>
      </c>
      <c r="B523" s="8"/>
      <c r="C523" s="8"/>
      <c r="D523" s="8">
        <f t="shared" si="8"/>
        <v>0</v>
      </c>
    </row>
    <row r="524" spans="1:4" ht="18" hidden="1" x14ac:dyDescent="0.3">
      <c r="A524" s="13" t="s">
        <v>185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201</v>
      </c>
      <c r="B536" s="8"/>
      <c r="C536" s="8"/>
      <c r="D536" s="8">
        <f t="shared" si="8"/>
        <v>0</v>
      </c>
    </row>
    <row r="537" spans="1:4" ht="18" hidden="1" x14ac:dyDescent="0.3">
      <c r="A537" s="13" t="s">
        <v>202</v>
      </c>
      <c r="B537" s="8"/>
      <c r="C537" s="8"/>
      <c r="D537" s="8">
        <f t="shared" si="8"/>
        <v>0</v>
      </c>
    </row>
    <row r="538" spans="1:4" ht="18" hidden="1" x14ac:dyDescent="0.3">
      <c r="A538" s="10" t="s">
        <v>351</v>
      </c>
      <c r="B538" s="8"/>
      <c r="C538" s="8"/>
      <c r="D538" s="8">
        <f t="shared" si="8"/>
        <v>0</v>
      </c>
    </row>
    <row r="539" spans="1:4" ht="18" hidden="1" x14ac:dyDescent="0.3">
      <c r="A539" s="10" t="s">
        <v>203</v>
      </c>
      <c r="B539" s="8"/>
      <c r="C539" s="8"/>
      <c r="D539" s="8">
        <f t="shared" si="8"/>
        <v>0</v>
      </c>
    </row>
    <row r="540" spans="1:4" ht="18" x14ac:dyDescent="0.3">
      <c r="A540" s="10" t="s">
        <v>204</v>
      </c>
      <c r="B540" s="8">
        <v>650</v>
      </c>
      <c r="C540" s="8">
        <v>11500</v>
      </c>
      <c r="D540" s="8">
        <f t="shared" si="8"/>
        <v>7475000</v>
      </c>
    </row>
    <row r="541" spans="1:4" ht="18" hidden="1" x14ac:dyDescent="0.3">
      <c r="A541" s="39" t="s">
        <v>205</v>
      </c>
      <c r="B541" s="8"/>
      <c r="C541" s="8"/>
      <c r="D541" s="8">
        <f t="shared" si="8"/>
        <v>0</v>
      </c>
    </row>
    <row r="542" spans="1:4" ht="18" hidden="1" x14ac:dyDescent="0.3">
      <c r="A542" s="39" t="s">
        <v>206</v>
      </c>
      <c r="B542" s="8"/>
      <c r="C542" s="8"/>
      <c r="D542" s="8">
        <f t="shared" si="8"/>
        <v>0</v>
      </c>
    </row>
    <row r="543" spans="1:4" ht="18" hidden="1" x14ac:dyDescent="0.3">
      <c r="A543" s="12" t="s">
        <v>208</v>
      </c>
      <c r="B543" s="8"/>
      <c r="C543" s="8"/>
      <c r="D543" s="8">
        <f t="shared" si="8"/>
        <v>0</v>
      </c>
    </row>
    <row r="544" spans="1:4" ht="18" hidden="1" x14ac:dyDescent="0.3">
      <c r="A544" s="10" t="s">
        <v>209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352</v>
      </c>
      <c r="B546" s="8"/>
      <c r="C546" s="8"/>
      <c r="D546" s="8">
        <f t="shared" si="8"/>
        <v>0</v>
      </c>
    </row>
    <row r="547" spans="1:4" ht="18" hidden="1" x14ac:dyDescent="0.3">
      <c r="A547" s="10" t="s">
        <v>210</v>
      </c>
      <c r="B547" s="8"/>
      <c r="C547" s="8"/>
      <c r="D547" s="8">
        <f t="shared" si="8"/>
        <v>0</v>
      </c>
    </row>
    <row r="548" spans="1:4" ht="18" hidden="1" x14ac:dyDescent="0.3">
      <c r="A548" s="10" t="s">
        <v>211</v>
      </c>
      <c r="B548" s="8"/>
      <c r="C548" s="8"/>
      <c r="D548" s="8">
        <f t="shared" si="8"/>
        <v>0</v>
      </c>
    </row>
    <row r="549" spans="1:4" ht="18" hidden="1" x14ac:dyDescent="0.3">
      <c r="A549" s="10" t="s">
        <v>353</v>
      </c>
      <c r="B549" s="8"/>
      <c r="C549" s="8"/>
      <c r="D549" s="8">
        <f t="shared" si="8"/>
        <v>0</v>
      </c>
    </row>
    <row r="550" spans="1:4" ht="18" hidden="1" x14ac:dyDescent="0.3">
      <c r="A550" s="10" t="s">
        <v>354</v>
      </c>
      <c r="B550" s="8"/>
      <c r="C550" s="8"/>
      <c r="D550" s="8">
        <f t="shared" si="8"/>
        <v>0</v>
      </c>
    </row>
    <row r="551" spans="1:4" ht="18" hidden="1" x14ac:dyDescent="0.3">
      <c r="A551" s="10" t="s">
        <v>212</v>
      </c>
      <c r="B551" s="8"/>
      <c r="C551" s="8"/>
      <c r="D551" s="8">
        <f t="shared" si="8"/>
        <v>0</v>
      </c>
    </row>
    <row r="552" spans="1:4" ht="18" hidden="1" x14ac:dyDescent="0.3">
      <c r="A552" s="40" t="s">
        <v>213</v>
      </c>
      <c r="B552" s="8"/>
      <c r="C552" s="8"/>
      <c r="D552" s="8">
        <f t="shared" si="8"/>
        <v>0</v>
      </c>
    </row>
    <row r="553" spans="1:4" ht="18" hidden="1" x14ac:dyDescent="0.3">
      <c r="A553" s="10" t="s">
        <v>214</v>
      </c>
      <c r="B553" s="8"/>
      <c r="C553" s="8"/>
      <c r="D553" s="8">
        <f t="shared" si="8"/>
        <v>0</v>
      </c>
    </row>
    <row r="554" spans="1:4" ht="18" x14ac:dyDescent="0.3">
      <c r="A554" s="10" t="s">
        <v>215</v>
      </c>
      <c r="B554" s="8">
        <f>406+40-200</f>
        <v>246</v>
      </c>
      <c r="C554" s="8">
        <v>16000</v>
      </c>
      <c r="D554" s="8">
        <f t="shared" si="8"/>
        <v>3936000</v>
      </c>
    </row>
    <row r="555" spans="1:4" ht="18" hidden="1" x14ac:dyDescent="0.3">
      <c r="A555" s="10" t="s">
        <v>216</v>
      </c>
      <c r="B555" s="8"/>
      <c r="C555" s="8"/>
      <c r="D555" s="8">
        <f t="shared" si="8"/>
        <v>0</v>
      </c>
    </row>
    <row r="556" spans="1:4" ht="18" hidden="1" x14ac:dyDescent="0.3">
      <c r="A556" s="10" t="s">
        <v>355</v>
      </c>
      <c r="B556" s="8"/>
      <c r="C556" s="8"/>
      <c r="D556" s="8">
        <f t="shared" si="8"/>
        <v>0</v>
      </c>
    </row>
    <row r="557" spans="1:4" ht="18" hidden="1" x14ac:dyDescent="0.3">
      <c r="A557" s="10" t="s">
        <v>217</v>
      </c>
      <c r="B557" s="8"/>
      <c r="C557" s="8"/>
      <c r="D557" s="8">
        <f t="shared" si="8"/>
        <v>0</v>
      </c>
    </row>
    <row r="558" spans="1:4" ht="18" hidden="1" x14ac:dyDescent="0.3">
      <c r="A558" s="10" t="s">
        <v>199</v>
      </c>
      <c r="B558" s="8"/>
      <c r="C558" s="8"/>
      <c r="D558" s="8">
        <f t="shared" si="8"/>
        <v>0</v>
      </c>
    </row>
    <row r="559" spans="1:4" ht="18" hidden="1" x14ac:dyDescent="0.3">
      <c r="A559" s="38" t="s">
        <v>200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2" t="s">
        <v>232</v>
      </c>
      <c r="B569" s="8"/>
      <c r="C569" s="8"/>
      <c r="D569" s="8">
        <f t="shared" si="8"/>
        <v>0</v>
      </c>
    </row>
    <row r="570" spans="1:4" ht="18" hidden="1" x14ac:dyDescent="0.3">
      <c r="A570" s="13" t="s">
        <v>227</v>
      </c>
      <c r="B570" s="8"/>
      <c r="C570" s="8"/>
      <c r="D570" s="8">
        <f t="shared" si="8"/>
        <v>0</v>
      </c>
    </row>
    <row r="571" spans="1:4" ht="18" hidden="1" x14ac:dyDescent="0.3">
      <c r="A571" s="23" t="s">
        <v>356</v>
      </c>
      <c r="B571" s="8"/>
      <c r="C571" s="8"/>
      <c r="D571" s="8">
        <f t="shared" si="8"/>
        <v>0</v>
      </c>
    </row>
    <row r="572" spans="1:4" ht="18" hidden="1" x14ac:dyDescent="0.3">
      <c r="A572" s="23" t="s">
        <v>357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0" t="s">
        <v>267</v>
      </c>
      <c r="B584" s="8"/>
      <c r="C584" s="8"/>
      <c r="D584" s="8">
        <f t="shared" si="9"/>
        <v>0</v>
      </c>
    </row>
    <row r="585" spans="1:4" ht="18" hidden="1" x14ac:dyDescent="0.3">
      <c r="A585" s="12" t="s">
        <v>249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2" t="s">
        <v>268</v>
      </c>
      <c r="B602" s="8"/>
      <c r="C602" s="8"/>
      <c r="D602" s="8">
        <f t="shared" si="9"/>
        <v>0</v>
      </c>
    </row>
    <row r="603" spans="1:4" ht="18" hidden="1" x14ac:dyDescent="0.3">
      <c r="A603" s="12" t="s">
        <v>269</v>
      </c>
      <c r="B603" s="8"/>
      <c r="C603" s="8"/>
      <c r="D603" s="8">
        <f t="shared" si="9"/>
        <v>0</v>
      </c>
    </row>
    <row r="604" spans="1:4" ht="18" hidden="1" x14ac:dyDescent="0.3">
      <c r="A604" s="10" t="s">
        <v>270</v>
      </c>
      <c r="B604" s="8"/>
      <c r="C604" s="8"/>
      <c r="D604" s="8">
        <f t="shared" si="9"/>
        <v>0</v>
      </c>
    </row>
    <row r="605" spans="1:4" ht="18" hidden="1" x14ac:dyDescent="0.3">
      <c r="A605" s="10" t="s">
        <v>358</v>
      </c>
      <c r="B605" s="8"/>
      <c r="C605" s="8"/>
      <c r="D605" s="8">
        <f t="shared" si="9"/>
        <v>0</v>
      </c>
    </row>
    <row r="606" spans="1:4" ht="18" hidden="1" x14ac:dyDescent="0.3">
      <c r="A606" s="10" t="s">
        <v>271</v>
      </c>
      <c r="B606" s="8"/>
      <c r="C606" s="8"/>
      <c r="D606" s="8">
        <f t="shared" si="9"/>
        <v>0</v>
      </c>
    </row>
    <row r="607" spans="1:4" ht="18" hidden="1" x14ac:dyDescent="0.3">
      <c r="A607" s="10" t="s">
        <v>359</v>
      </c>
      <c r="B607" s="8"/>
      <c r="C607" s="8"/>
      <c r="D607" s="8">
        <f t="shared" si="9"/>
        <v>0</v>
      </c>
    </row>
    <row r="608" spans="1:4" ht="18" hidden="1" x14ac:dyDescent="0.3">
      <c r="A608" s="10" t="s">
        <v>273</v>
      </c>
      <c r="B608" s="8"/>
      <c r="C608" s="8"/>
      <c r="D608" s="8">
        <f t="shared" si="9"/>
        <v>0</v>
      </c>
    </row>
    <row r="609" spans="1:4" ht="18" hidden="1" x14ac:dyDescent="0.3">
      <c r="A609" s="10" t="s">
        <v>405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4" t="s">
        <v>298</v>
      </c>
      <c r="B629" s="8"/>
      <c r="C629" s="8"/>
      <c r="D629" s="8">
        <f t="shared" si="9"/>
        <v>0</v>
      </c>
    </row>
    <row r="630" spans="1:4" ht="18" hidden="1" x14ac:dyDescent="0.3">
      <c r="A630" s="10" t="s">
        <v>299</v>
      </c>
      <c r="B630" s="8"/>
      <c r="C630" s="8"/>
      <c r="D630" s="8">
        <f t="shared" si="9"/>
        <v>0</v>
      </c>
    </row>
    <row r="631" spans="1:4" ht="18" hidden="1" x14ac:dyDescent="0.3">
      <c r="A631" s="18" t="s">
        <v>300</v>
      </c>
      <c r="B631" s="8"/>
      <c r="C631" s="8"/>
      <c r="D631" s="8">
        <f t="shared" si="9"/>
        <v>0</v>
      </c>
    </row>
    <row r="632" spans="1:4" ht="18" hidden="1" x14ac:dyDescent="0.3">
      <c r="A632" s="13" t="s">
        <v>361</v>
      </c>
      <c r="B632" s="8"/>
      <c r="C632" s="8"/>
      <c r="D632" s="8">
        <f t="shared" si="9"/>
        <v>0</v>
      </c>
    </row>
    <row r="633" spans="1:4" ht="18" hidden="1" x14ac:dyDescent="0.3">
      <c r="A633" s="13" t="s">
        <v>296</v>
      </c>
      <c r="B633" s="8"/>
      <c r="C633" s="8"/>
      <c r="D633" s="8">
        <f t="shared" si="9"/>
        <v>0</v>
      </c>
    </row>
    <row r="634" spans="1:4" ht="18" hidden="1" x14ac:dyDescent="0.3">
      <c r="A634" s="18" t="s">
        <v>297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14" t="s">
        <v>312</v>
      </c>
      <c r="B645" s="8"/>
      <c r="C645" s="8"/>
      <c r="D645" s="8">
        <f t="shared" si="10"/>
        <v>0</v>
      </c>
    </row>
    <row r="646" spans="1:4" ht="18" hidden="1" x14ac:dyDescent="0.3">
      <c r="A646" s="23" t="s">
        <v>311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323</v>
      </c>
      <c r="B655" s="8"/>
      <c r="C655" s="8"/>
      <c r="D655" s="8">
        <f t="shared" si="10"/>
        <v>0</v>
      </c>
    </row>
    <row r="656" spans="1:4" ht="18" hidden="1" x14ac:dyDescent="0.3">
      <c r="A656" s="10" t="s">
        <v>321</v>
      </c>
      <c r="B656" s="42"/>
      <c r="C656" s="42"/>
      <c r="D656" s="8">
        <f t="shared" si="10"/>
        <v>0</v>
      </c>
    </row>
    <row r="657" spans="1:4" ht="18" hidden="1" x14ac:dyDescent="0.3">
      <c r="A657" s="10" t="s">
        <v>322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x14ac:dyDescent="0.3">
      <c r="A669" s="10" t="s">
        <v>335</v>
      </c>
      <c r="B669" s="8">
        <v>7</v>
      </c>
      <c r="C669" s="8">
        <v>28000</v>
      </c>
      <c r="D669" s="8">
        <f t="shared" si="10"/>
        <v>196000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5619</v>
      </c>
      <c r="C672" s="46"/>
      <c r="D672" s="46">
        <f t="shared" ref="D672" si="11">SUM(D345:D671)</f>
        <v>64659100</v>
      </c>
    </row>
    <row r="674" spans="4:4" x14ac:dyDescent="0.3">
      <c r="D674" s="49">
        <f>D672+D340</f>
        <v>103018766.66666666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E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674"/>
  <sheetViews>
    <sheetView topLeftCell="A294" workbookViewId="0">
      <selection activeCell="D674" sqref="D674"/>
    </sheetView>
  </sheetViews>
  <sheetFormatPr defaultRowHeight="14.4" x14ac:dyDescent="0.3"/>
  <cols>
    <col min="1" max="1" width="38.6640625" customWidth="1"/>
    <col min="4" max="4" width="19.6640625" customWidth="1"/>
  </cols>
  <sheetData>
    <row r="1" spans="1:4" x14ac:dyDescent="0.3">
      <c r="A1" s="1" t="s">
        <v>408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15</v>
      </c>
      <c r="C3" s="8">
        <v>10000</v>
      </c>
      <c r="D3" s="8">
        <f>B3*C3</f>
        <v>150000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x14ac:dyDescent="0.3">
      <c r="A15" s="13" t="s">
        <v>14</v>
      </c>
      <c r="B15" s="8">
        <v>19</v>
      </c>
      <c r="C15" s="8">
        <v>19000</v>
      </c>
      <c r="D15" s="8">
        <f t="shared" si="0"/>
        <v>361000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hidden="1" x14ac:dyDescent="0.3">
      <c r="A18" s="14" t="s">
        <v>17</v>
      </c>
      <c r="B18" s="8"/>
      <c r="C18" s="8"/>
      <c r="D18" s="8">
        <f t="shared" si="0"/>
        <v>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100</v>
      </c>
      <c r="C20" s="8">
        <v>18000</v>
      </c>
      <c r="D20" s="8">
        <f t="shared" si="0"/>
        <v>1800000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v>52</v>
      </c>
      <c r="C25" s="8">
        <v>8000</v>
      </c>
      <c r="D25" s="8">
        <f t="shared" si="0"/>
        <v>416000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35+15</f>
        <v>50</v>
      </c>
      <c r="C28" s="8">
        <v>12500</v>
      </c>
      <c r="D28" s="8">
        <f t="shared" si="0"/>
        <v>625000</v>
      </c>
    </row>
    <row r="29" spans="1:4" ht="18" x14ac:dyDescent="0.3">
      <c r="A29" s="13" t="s">
        <v>28</v>
      </c>
      <c r="B29" s="8">
        <v>15</v>
      </c>
      <c r="C29" s="8">
        <v>20000</v>
      </c>
      <c r="D29" s="8">
        <f t="shared" si="0"/>
        <v>300000</v>
      </c>
    </row>
    <row r="30" spans="1:4" ht="18" hidden="1" x14ac:dyDescent="0.3">
      <c r="A30" s="12" t="s">
        <v>29</v>
      </c>
      <c r="B30" s="8"/>
      <c r="C30" s="8"/>
      <c r="D30" s="8">
        <f t="shared" si="0"/>
        <v>0</v>
      </c>
    </row>
    <row r="31" spans="1:4" ht="18" hidden="1" x14ac:dyDescent="0.3">
      <c r="A31" s="12" t="s">
        <v>30</v>
      </c>
      <c r="B31" s="8"/>
      <c r="C31" s="8"/>
      <c r="D31" s="8">
        <f t="shared" si="0"/>
        <v>0</v>
      </c>
    </row>
    <row r="32" spans="1:4" ht="18" hidden="1" x14ac:dyDescent="0.3">
      <c r="A32" s="12" t="s">
        <v>31</v>
      </c>
      <c r="B32" s="8"/>
      <c r="C32" s="8"/>
      <c r="D32" s="8">
        <f t="shared" si="0"/>
        <v>0</v>
      </c>
    </row>
    <row r="33" spans="1:4" ht="18" hidden="1" x14ac:dyDescent="0.3">
      <c r="A33" s="13" t="s">
        <v>367</v>
      </c>
      <c r="B33" s="8"/>
      <c r="C33" s="8"/>
      <c r="D33" s="8">
        <f t="shared" si="0"/>
        <v>0</v>
      </c>
    </row>
    <row r="34" spans="1:4" ht="18" hidden="1" x14ac:dyDescent="0.3">
      <c r="A34" s="12" t="s">
        <v>32</v>
      </c>
      <c r="B34" s="8"/>
      <c r="C34" s="8"/>
      <c r="D34" s="8">
        <f t="shared" si="0"/>
        <v>0</v>
      </c>
    </row>
    <row r="35" spans="1:4" ht="18" hidden="1" x14ac:dyDescent="0.3">
      <c r="A35" s="12" t="s">
        <v>33</v>
      </c>
      <c r="B35" s="8"/>
      <c r="C35" s="8"/>
      <c r="D35" s="8">
        <f t="shared" si="0"/>
        <v>0</v>
      </c>
    </row>
    <row r="36" spans="1:4" ht="18" hidden="1" x14ac:dyDescent="0.3">
      <c r="A36" s="12" t="s">
        <v>34</v>
      </c>
      <c r="B36" s="8"/>
      <c r="C36" s="8"/>
      <c r="D36" s="8">
        <f t="shared" si="0"/>
        <v>0</v>
      </c>
    </row>
    <row r="37" spans="1:4" ht="18" x14ac:dyDescent="0.3">
      <c r="A37" s="13" t="s">
        <v>35</v>
      </c>
      <c r="B37" s="8">
        <f>74+22-40+38</f>
        <v>94</v>
      </c>
      <c r="C37" s="8">
        <v>11500</v>
      </c>
      <c r="D37" s="8">
        <f t="shared" si="0"/>
        <v>1081000</v>
      </c>
    </row>
    <row r="38" spans="1:4" ht="18" hidden="1" x14ac:dyDescent="0.3">
      <c r="A38" s="10" t="s">
        <v>36</v>
      </c>
      <c r="B38" s="8"/>
      <c r="C38" s="8"/>
      <c r="D38" s="8">
        <f t="shared" si="0"/>
        <v>0</v>
      </c>
    </row>
    <row r="39" spans="1:4" ht="18" x14ac:dyDescent="0.3">
      <c r="A39" s="10" t="s">
        <v>37</v>
      </c>
      <c r="B39" s="8">
        <v>12</v>
      </c>
      <c r="C39" s="8">
        <v>12000</v>
      </c>
      <c r="D39" s="8">
        <f t="shared" si="0"/>
        <v>144000</v>
      </c>
    </row>
    <row r="40" spans="1:4" ht="18" hidden="1" x14ac:dyDescent="0.3">
      <c r="A40" s="12" t="s">
        <v>38</v>
      </c>
      <c r="B40" s="17"/>
      <c r="C40" s="17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13" t="s">
        <v>53</v>
      </c>
      <c r="B55" s="114"/>
      <c r="C55" s="114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15" t="s">
        <v>55</v>
      </c>
      <c r="B57" s="114"/>
      <c r="C57" s="114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116" t="s">
        <v>60</v>
      </c>
      <c r="B62" s="114"/>
      <c r="C62" s="114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70</v>
      </c>
      <c r="C64" s="8">
        <v>21000</v>
      </c>
      <c r="D64" s="8">
        <f t="shared" si="0"/>
        <v>1470000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x14ac:dyDescent="0.3">
      <c r="A70" s="13" t="s">
        <v>68</v>
      </c>
      <c r="B70" s="8">
        <v>27</v>
      </c>
      <c r="C70" s="8">
        <v>12000</v>
      </c>
      <c r="D70" s="8">
        <f t="shared" si="1"/>
        <v>324000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13" t="s">
        <v>75</v>
      </c>
      <c r="B77" s="114"/>
      <c r="C77" s="114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120</v>
      </c>
      <c r="C80" s="8">
        <v>30000</v>
      </c>
      <c r="D80" s="8">
        <f t="shared" si="1"/>
        <v>3600000</v>
      </c>
    </row>
    <row r="81" spans="1:4" ht="18" x14ac:dyDescent="0.3">
      <c r="A81" s="10" t="s">
        <v>80</v>
      </c>
      <c r="B81" s="8">
        <v>21</v>
      </c>
      <c r="C81" s="8">
        <v>23000</v>
      </c>
      <c r="D81" s="8">
        <f t="shared" si="1"/>
        <v>483000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x14ac:dyDescent="0.3">
      <c r="A87" s="10" t="s">
        <v>86</v>
      </c>
      <c r="B87" s="8">
        <v>43</v>
      </c>
      <c r="C87" s="8">
        <v>15000</v>
      </c>
      <c r="D87" s="8">
        <f t="shared" si="1"/>
        <v>645000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x14ac:dyDescent="0.3">
      <c r="A92" s="23" t="s">
        <v>91</v>
      </c>
      <c r="B92" s="8">
        <v>7</v>
      </c>
      <c r="C92" s="8">
        <v>4000</v>
      </c>
      <c r="D92" s="8">
        <f t="shared" si="1"/>
        <v>28000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x14ac:dyDescent="0.3">
      <c r="A104" s="26" t="s">
        <v>103</v>
      </c>
      <c r="B104" s="8">
        <v>150</v>
      </c>
      <c r="C104" s="8">
        <v>7500</v>
      </c>
      <c r="D104" s="8">
        <f t="shared" si="1"/>
        <v>1125000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v>15</v>
      </c>
      <c r="C111" s="8">
        <v>22000</v>
      </c>
      <c r="D111" s="8">
        <f t="shared" si="1"/>
        <v>330000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x14ac:dyDescent="0.3">
      <c r="A133" s="10" t="s">
        <v>132</v>
      </c>
      <c r="B133" s="8">
        <v>10</v>
      </c>
      <c r="C133" s="8">
        <v>6000</v>
      </c>
      <c r="D133" s="8">
        <f t="shared" si="2"/>
        <v>60000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13" t="s">
        <v>168</v>
      </c>
      <c r="B169" s="114"/>
      <c r="C169" s="117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4</v>
      </c>
      <c r="C171" s="8">
        <v>11000</v>
      </c>
      <c r="D171" s="8">
        <f t="shared" si="2"/>
        <v>44000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x14ac:dyDescent="0.3">
      <c r="A177" s="10" t="s">
        <v>176</v>
      </c>
      <c r="B177" s="8">
        <v>8</v>
      </c>
      <c r="C177" s="8">
        <v>45000</v>
      </c>
      <c r="D177" s="8">
        <f t="shared" si="2"/>
        <v>360000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200</v>
      </c>
      <c r="C184" s="8">
        <v>7700</v>
      </c>
      <c r="D184" s="8">
        <f t="shared" si="2"/>
        <v>1540000</v>
      </c>
    </row>
    <row r="185" spans="1:4" ht="18" x14ac:dyDescent="0.3">
      <c r="A185" s="10" t="s">
        <v>184</v>
      </c>
      <c r="B185" s="8">
        <v>45</v>
      </c>
      <c r="C185" s="8">
        <v>2100</v>
      </c>
      <c r="D185" s="8">
        <f t="shared" si="2"/>
        <v>94500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15</v>
      </c>
      <c r="C187" s="8">
        <v>20000</v>
      </c>
      <c r="D187" s="8">
        <f t="shared" si="2"/>
        <v>300000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40+75</f>
        <v>115</v>
      </c>
      <c r="C202" s="8">
        <v>20000</v>
      </c>
      <c r="D202" s="8">
        <f t="shared" si="3"/>
        <v>2300000</v>
      </c>
    </row>
    <row r="203" spans="1:4" ht="18" x14ac:dyDescent="0.3">
      <c r="A203" s="13" t="s">
        <v>202</v>
      </c>
      <c r="B203" s="8">
        <f>75+360</f>
        <v>435</v>
      </c>
      <c r="C203" s="8">
        <v>19000</v>
      </c>
      <c r="D203" s="8">
        <f t="shared" si="3"/>
        <v>8265000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hidden="1" x14ac:dyDescent="0.3">
      <c r="A209" s="118" t="s">
        <v>208</v>
      </c>
      <c r="B209" s="114"/>
      <c r="C209" s="114"/>
      <c r="D209" s="8">
        <f t="shared" si="3"/>
        <v>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10</v>
      </c>
      <c r="C211" s="8">
        <v>10000</v>
      </c>
      <c r="D211" s="8">
        <f t="shared" si="3"/>
        <v>100000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250</v>
      </c>
      <c r="C216" s="8">
        <v>16000</v>
      </c>
      <c r="D216" s="8">
        <f t="shared" si="3"/>
        <v>4000000</v>
      </c>
    </row>
    <row r="217" spans="1:4" ht="18" x14ac:dyDescent="0.3">
      <c r="A217" s="10" t="s">
        <v>216</v>
      </c>
      <c r="B217" s="8">
        <v>90</v>
      </c>
      <c r="C217" s="8">
        <v>11000</v>
      </c>
      <c r="D217" s="8">
        <f t="shared" si="3"/>
        <v>990000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x14ac:dyDescent="0.3">
      <c r="A221" s="18" t="s">
        <v>220</v>
      </c>
      <c r="B221" s="8">
        <v>0.4</v>
      </c>
      <c r="C221" s="8">
        <v>45000</v>
      </c>
      <c r="D221" s="8">
        <f t="shared" si="3"/>
        <v>18000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v>20</v>
      </c>
      <c r="C251" s="8">
        <v>24000</v>
      </c>
      <c r="D251" s="8">
        <f t="shared" si="3"/>
        <v>480000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hidden="1" x14ac:dyDescent="0.3">
      <c r="A254" s="10" t="s">
        <v>253</v>
      </c>
      <c r="B254" s="8"/>
      <c r="C254" s="8"/>
      <c r="D254" s="8">
        <f t="shared" si="3"/>
        <v>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25</v>
      </c>
      <c r="C259" s="8">
        <v>34000</v>
      </c>
      <c r="D259" s="8">
        <f t="shared" si="3"/>
        <v>850000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v>35</v>
      </c>
      <c r="C263" s="8">
        <v>18000</v>
      </c>
      <c r="D263" s="8">
        <f t="shared" si="4"/>
        <v>630000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hidden="1" x14ac:dyDescent="0.3">
      <c r="A270" s="10" t="s">
        <v>270</v>
      </c>
      <c r="B270" s="8"/>
      <c r="C270" s="8"/>
      <c r="D270" s="8">
        <f t="shared" si="4"/>
        <v>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v>3</v>
      </c>
      <c r="C274" s="8">
        <v>16000</v>
      </c>
      <c r="D274" s="8">
        <f t="shared" si="4"/>
        <v>48000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hidden="1" x14ac:dyDescent="0.3">
      <c r="A284" s="12" t="s">
        <v>401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20</v>
      </c>
      <c r="C288" s="8">
        <v>9000</v>
      </c>
      <c r="D288" s="8">
        <f t="shared" si="4"/>
        <v>180000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v>28</v>
      </c>
      <c r="C291" s="8">
        <v>7000</v>
      </c>
      <c r="D291" s="8">
        <f t="shared" si="4"/>
        <v>196000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38</v>
      </c>
      <c r="C294" s="8">
        <v>12000</v>
      </c>
      <c r="D294" s="8">
        <f t="shared" si="4"/>
        <v>456000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x14ac:dyDescent="0.3">
      <c r="A310" s="14" t="s">
        <v>309</v>
      </c>
      <c r="B310" s="8">
        <v>2</v>
      </c>
      <c r="C310" s="8">
        <v>36000</v>
      </c>
      <c r="D310" s="8">
        <f t="shared" si="4"/>
        <v>72000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2163.4</v>
      </c>
      <c r="C340" s="46"/>
      <c r="D340" s="8">
        <f>SUM(D3:D310)</f>
        <v>33865500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409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80</v>
      </c>
      <c r="C348" s="8">
        <v>7300</v>
      </c>
      <c r="D348" s="8">
        <f t="shared" si="5"/>
        <v>584000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hidden="1" x14ac:dyDescent="0.3">
      <c r="A355" s="10" t="s">
        <v>12</v>
      </c>
      <c r="B355" s="8"/>
      <c r="C355" s="8"/>
      <c r="D355" s="8">
        <f t="shared" si="5"/>
        <v>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150+660+250-100</f>
        <v>960</v>
      </c>
      <c r="C362" s="8">
        <v>18000</v>
      </c>
      <c r="D362" s="8">
        <f t="shared" si="5"/>
        <v>17280000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200+100+120</f>
        <v>420</v>
      </c>
      <c r="C389" s="8">
        <v>24000</v>
      </c>
      <c r="D389" s="8">
        <f t="shared" si="6"/>
        <v>10080000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25+15+50+20</f>
        <v>110</v>
      </c>
      <c r="C414" s="8">
        <v>28000</v>
      </c>
      <c r="D414" s="8">
        <f t="shared" si="6"/>
        <v>3080000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hidden="1" x14ac:dyDescent="0.3">
      <c r="A427" s="10" t="s">
        <v>90</v>
      </c>
      <c r="B427" s="8"/>
      <c r="C427" s="8"/>
      <c r="D427" s="8">
        <f t="shared" si="6"/>
        <v>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10</v>
      </c>
      <c r="C461" s="8">
        <v>10000</v>
      </c>
      <c r="D461" s="8">
        <f t="shared" si="7"/>
        <v>100000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120</v>
      </c>
      <c r="C472" s="8">
        <v>5500</v>
      </c>
      <c r="D472" s="8">
        <f t="shared" si="7"/>
        <v>660000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x14ac:dyDescent="0.3">
      <c r="A492" s="10" t="s">
        <v>154</v>
      </c>
      <c r="B492" s="8">
        <v>11</v>
      </c>
      <c r="C492" s="8">
        <v>10000</v>
      </c>
      <c r="D492" s="8">
        <f t="shared" si="7"/>
        <v>110000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v>14</v>
      </c>
      <c r="C504" s="8">
        <v>6500</v>
      </c>
      <c r="D504" s="8">
        <f t="shared" si="7"/>
        <v>91000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500+20+460+980+160+1040-200</f>
        <v>2960</v>
      </c>
      <c r="C520" s="8">
        <v>7700</v>
      </c>
      <c r="D520" s="8">
        <f t="shared" si="8"/>
        <v>22792000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60+250+190+320</f>
        <v>820</v>
      </c>
      <c r="C542" s="8">
        <v>11500</v>
      </c>
      <c r="D542" s="8">
        <f t="shared" si="8"/>
        <v>9430000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x14ac:dyDescent="0.3">
      <c r="A553" s="10" t="s">
        <v>212</v>
      </c>
      <c r="B553" s="8">
        <v>15</v>
      </c>
      <c r="C553" s="8">
        <v>17000</v>
      </c>
      <c r="D553" s="8">
        <f t="shared" si="8"/>
        <v>255000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400+45-120-250+15</f>
        <v>90</v>
      </c>
      <c r="C556" s="8">
        <v>16000</v>
      </c>
      <c r="D556" s="8">
        <f t="shared" si="8"/>
        <v>1440000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x14ac:dyDescent="0.3">
      <c r="A663" s="10" t="s">
        <v>329</v>
      </c>
      <c r="B663" s="8">
        <v>41</v>
      </c>
      <c r="C663" s="8">
        <v>6800</v>
      </c>
      <c r="D663" s="8">
        <f t="shared" si="10"/>
        <v>278800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5651</v>
      </c>
      <c r="C672" s="46"/>
      <c r="D672" s="46">
        <f t="shared" ref="D672" si="11">SUM(D345:D671)</f>
        <v>66180800</v>
      </c>
    </row>
    <row r="674" spans="4:4" x14ac:dyDescent="0.3">
      <c r="D674" s="49">
        <f>D672+D340</f>
        <v>100046300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0F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D466"/>
  <sheetViews>
    <sheetView topLeftCell="A389" workbookViewId="0">
      <selection activeCell="D466" sqref="D466"/>
    </sheetView>
  </sheetViews>
  <sheetFormatPr defaultRowHeight="14.4" x14ac:dyDescent="0.3"/>
  <cols>
    <col min="1" max="1" width="36.77734375" customWidth="1"/>
    <col min="3" max="3" width="12.33203125" customWidth="1"/>
    <col min="4" max="4" width="18.109375" customWidth="1"/>
  </cols>
  <sheetData>
    <row r="1" spans="1:4" x14ac:dyDescent="0.3">
      <c r="A1" s="1" t="s">
        <v>410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13" t="s">
        <v>68</v>
      </c>
      <c r="B3" s="8">
        <v>62</v>
      </c>
      <c r="C3" s="8">
        <v>12000</v>
      </c>
      <c r="D3" s="8">
        <f>B3*C3</f>
        <v>744000</v>
      </c>
    </row>
    <row r="4" spans="1:4" ht="18" hidden="1" x14ac:dyDescent="0.3">
      <c r="A4" s="13" t="s">
        <v>72</v>
      </c>
      <c r="B4" s="8"/>
      <c r="C4" s="8"/>
      <c r="D4" s="8">
        <f t="shared" ref="D4:D67" si="0">B4*C4</f>
        <v>0</v>
      </c>
    </row>
    <row r="5" spans="1:4" ht="18" hidden="1" x14ac:dyDescent="0.3">
      <c r="A5" s="13" t="s">
        <v>84</v>
      </c>
      <c r="B5" s="17"/>
      <c r="C5" s="17"/>
      <c r="D5" s="8">
        <f t="shared" si="0"/>
        <v>0</v>
      </c>
    </row>
    <row r="6" spans="1:4" ht="18" hidden="1" x14ac:dyDescent="0.3">
      <c r="A6" s="10" t="s">
        <v>99</v>
      </c>
      <c r="B6" s="17"/>
      <c r="C6" s="17"/>
      <c r="D6" s="8">
        <f t="shared" si="0"/>
        <v>0</v>
      </c>
    </row>
    <row r="7" spans="1:4" ht="18" hidden="1" x14ac:dyDescent="0.3">
      <c r="A7" s="23" t="s">
        <v>101</v>
      </c>
      <c r="B7" s="8"/>
      <c r="C7" s="8"/>
      <c r="D7" s="8">
        <f t="shared" si="0"/>
        <v>0</v>
      </c>
    </row>
    <row r="8" spans="1:4" ht="18" hidden="1" x14ac:dyDescent="0.3">
      <c r="A8" s="23" t="s">
        <v>118</v>
      </c>
      <c r="B8" s="8"/>
      <c r="C8" s="8"/>
      <c r="D8" s="8">
        <f t="shared" si="0"/>
        <v>0</v>
      </c>
    </row>
    <row r="9" spans="1:4" ht="18" x14ac:dyDescent="0.3">
      <c r="A9" s="10" t="s">
        <v>110</v>
      </c>
      <c r="B9" s="8">
        <v>30</v>
      </c>
      <c r="C9" s="8">
        <v>22000</v>
      </c>
      <c r="D9" s="8">
        <f t="shared" si="0"/>
        <v>660000</v>
      </c>
    </row>
    <row r="10" spans="1:4" ht="18" hidden="1" x14ac:dyDescent="0.3">
      <c r="A10" s="10" t="s">
        <v>112</v>
      </c>
      <c r="B10" s="8"/>
      <c r="C10" s="8"/>
      <c r="D10" s="8">
        <f t="shared" si="0"/>
        <v>0</v>
      </c>
    </row>
    <row r="11" spans="1:4" ht="18" hidden="1" x14ac:dyDescent="0.3">
      <c r="A11" s="12" t="s">
        <v>249</v>
      </c>
      <c r="B11" s="8"/>
      <c r="C11" s="8"/>
      <c r="D11" s="8">
        <f t="shared" si="0"/>
        <v>0</v>
      </c>
    </row>
    <row r="12" spans="1:4" ht="18" x14ac:dyDescent="0.3">
      <c r="A12" s="10" t="s">
        <v>250</v>
      </c>
      <c r="B12" s="8">
        <v>7</v>
      </c>
      <c r="C12" s="8">
        <v>26000</v>
      </c>
      <c r="D12" s="8">
        <f t="shared" si="0"/>
        <v>182000</v>
      </c>
    </row>
    <row r="13" spans="1:4" ht="18" hidden="1" x14ac:dyDescent="0.3">
      <c r="A13" s="10" t="s">
        <v>252</v>
      </c>
      <c r="B13" s="8"/>
      <c r="C13" s="8"/>
      <c r="D13" s="8">
        <f t="shared" si="0"/>
        <v>0</v>
      </c>
    </row>
    <row r="14" spans="1:4" ht="18" x14ac:dyDescent="0.3">
      <c r="A14" s="10" t="s">
        <v>258</v>
      </c>
      <c r="B14" s="8">
        <v>30</v>
      </c>
      <c r="C14" s="8">
        <v>38000</v>
      </c>
      <c r="D14" s="8">
        <f t="shared" si="0"/>
        <v>1140000</v>
      </c>
    </row>
    <row r="15" spans="1:4" ht="18" x14ac:dyDescent="0.3">
      <c r="A15" s="10" t="s">
        <v>259</v>
      </c>
      <c r="B15" s="8">
        <v>5</v>
      </c>
      <c r="C15" s="8">
        <v>30000</v>
      </c>
      <c r="D15" s="8">
        <f t="shared" si="0"/>
        <v>150000</v>
      </c>
    </row>
    <row r="16" spans="1:4" ht="18" hidden="1" x14ac:dyDescent="0.3">
      <c r="A16" s="10" t="s">
        <v>260</v>
      </c>
      <c r="B16" s="8"/>
      <c r="C16" s="8"/>
      <c r="D16" s="8">
        <f t="shared" si="0"/>
        <v>0</v>
      </c>
    </row>
    <row r="17" spans="1:4" ht="18" x14ac:dyDescent="0.3">
      <c r="A17" s="10" t="s">
        <v>262</v>
      </c>
      <c r="B17" s="8">
        <v>65</v>
      </c>
      <c r="C17" s="8">
        <v>18000</v>
      </c>
      <c r="D17" s="8">
        <f t="shared" si="0"/>
        <v>1170000</v>
      </c>
    </row>
    <row r="18" spans="1:4" ht="18" x14ac:dyDescent="0.3">
      <c r="A18" s="10" t="s">
        <v>263</v>
      </c>
      <c r="B18" s="8">
        <v>5</v>
      </c>
      <c r="C18" s="8">
        <v>10000</v>
      </c>
      <c r="D18" s="8">
        <f t="shared" si="0"/>
        <v>50000</v>
      </c>
    </row>
    <row r="19" spans="1:4" ht="18" hidden="1" x14ac:dyDescent="0.3">
      <c r="A19" s="10" t="s">
        <v>264</v>
      </c>
      <c r="B19" s="8"/>
      <c r="C19" s="8"/>
      <c r="D19" s="8">
        <f t="shared" si="0"/>
        <v>0</v>
      </c>
    </row>
    <row r="20" spans="1:4" ht="18" hidden="1" x14ac:dyDescent="0.3">
      <c r="A20" s="10" t="s">
        <v>135</v>
      </c>
      <c r="B20" s="8"/>
      <c r="C20" s="8"/>
      <c r="D20" s="8">
        <f t="shared" si="0"/>
        <v>0</v>
      </c>
    </row>
    <row r="21" spans="1:4" ht="18" hidden="1" x14ac:dyDescent="0.3">
      <c r="A21" s="18" t="s">
        <v>136</v>
      </c>
      <c r="B21" s="8"/>
      <c r="C21" s="8"/>
      <c r="D21" s="8">
        <f t="shared" si="0"/>
        <v>0</v>
      </c>
    </row>
    <row r="22" spans="1:4" ht="18" hidden="1" x14ac:dyDescent="0.3">
      <c r="A22" s="10" t="s">
        <v>319</v>
      </c>
      <c r="B22" s="8"/>
      <c r="C22" s="8"/>
      <c r="D22" s="8">
        <f t="shared" si="0"/>
        <v>0</v>
      </c>
    </row>
    <row r="23" spans="1:4" ht="18" x14ac:dyDescent="0.3">
      <c r="A23" s="10" t="s">
        <v>215</v>
      </c>
      <c r="B23" s="8">
        <v>250</v>
      </c>
      <c r="C23" s="8">
        <v>16000</v>
      </c>
      <c r="D23" s="8">
        <f t="shared" si="0"/>
        <v>4000000</v>
      </c>
    </row>
    <row r="24" spans="1:4" ht="18" x14ac:dyDescent="0.3">
      <c r="A24" s="10" t="s">
        <v>216</v>
      </c>
      <c r="B24" s="8">
        <v>230</v>
      </c>
      <c r="C24" s="8">
        <v>11000</v>
      </c>
      <c r="D24" s="8">
        <f t="shared" si="0"/>
        <v>2530000</v>
      </c>
    </row>
    <row r="25" spans="1:4" ht="18" hidden="1" x14ac:dyDescent="0.3">
      <c r="A25" s="10" t="s">
        <v>103</v>
      </c>
      <c r="B25" s="8"/>
      <c r="C25" s="8"/>
      <c r="D25" s="8">
        <f t="shared" si="0"/>
        <v>0</v>
      </c>
    </row>
    <row r="26" spans="1:4" ht="18" hidden="1" x14ac:dyDescent="0.3">
      <c r="A26" s="10" t="s">
        <v>12</v>
      </c>
      <c r="B26" s="8"/>
      <c r="C26" s="8"/>
      <c r="D26" s="8">
        <f t="shared" si="0"/>
        <v>0</v>
      </c>
    </row>
    <row r="27" spans="1:4" ht="18" hidden="1" x14ac:dyDescent="0.3">
      <c r="A27" s="10" t="s">
        <v>165</v>
      </c>
      <c r="B27" s="8"/>
      <c r="C27" s="8"/>
      <c r="D27" s="8">
        <f t="shared" si="0"/>
        <v>0</v>
      </c>
    </row>
    <row r="28" spans="1:4" ht="18" hidden="1" x14ac:dyDescent="0.3">
      <c r="A28" s="31" t="s">
        <v>173</v>
      </c>
      <c r="B28" s="8"/>
      <c r="C28" s="8"/>
      <c r="D28" s="8">
        <f t="shared" si="0"/>
        <v>0</v>
      </c>
    </row>
    <row r="29" spans="1:4" ht="18" hidden="1" x14ac:dyDescent="0.3">
      <c r="A29" s="34" t="s">
        <v>174</v>
      </c>
      <c r="B29" s="36"/>
      <c r="C29" s="36"/>
      <c r="D29" s="8">
        <f t="shared" si="0"/>
        <v>0</v>
      </c>
    </row>
    <row r="30" spans="1:4" ht="18" x14ac:dyDescent="0.3">
      <c r="A30" s="10" t="s">
        <v>27</v>
      </c>
      <c r="B30" s="8">
        <v>30</v>
      </c>
      <c r="C30" s="8">
        <v>12500</v>
      </c>
      <c r="D30" s="8">
        <f t="shared" si="0"/>
        <v>375000</v>
      </c>
    </row>
    <row r="31" spans="1:4" ht="18" x14ac:dyDescent="0.3">
      <c r="A31" s="13" t="s">
        <v>35</v>
      </c>
      <c r="B31" s="8">
        <v>70</v>
      </c>
      <c r="C31" s="8">
        <v>11500</v>
      </c>
      <c r="D31" s="8">
        <f t="shared" si="0"/>
        <v>805000</v>
      </c>
    </row>
    <row r="32" spans="1:4" ht="18" x14ac:dyDescent="0.3">
      <c r="A32" s="10" t="s">
        <v>201</v>
      </c>
      <c r="B32" s="8">
        <v>400</v>
      </c>
      <c r="C32" s="8">
        <v>20000</v>
      </c>
      <c r="D32" s="8">
        <f t="shared" si="0"/>
        <v>8000000</v>
      </c>
    </row>
    <row r="33" spans="1:4" ht="18" x14ac:dyDescent="0.3">
      <c r="A33" s="13" t="s">
        <v>202</v>
      </c>
      <c r="B33" s="8">
        <v>350</v>
      </c>
      <c r="C33" s="8">
        <v>19000</v>
      </c>
      <c r="D33" s="8">
        <f t="shared" si="0"/>
        <v>6650000</v>
      </c>
    </row>
    <row r="34" spans="1:4" ht="18" hidden="1" x14ac:dyDescent="0.3">
      <c r="A34" s="10" t="s">
        <v>203</v>
      </c>
      <c r="B34" s="8"/>
      <c r="C34" s="8"/>
      <c r="D34" s="8">
        <f t="shared" si="0"/>
        <v>0</v>
      </c>
    </row>
    <row r="35" spans="1:4" ht="18" hidden="1" x14ac:dyDescent="0.3">
      <c r="A35" s="10" t="s">
        <v>274</v>
      </c>
      <c r="B35" s="8"/>
      <c r="C35" s="8"/>
      <c r="D35" s="8">
        <f t="shared" si="0"/>
        <v>0</v>
      </c>
    </row>
    <row r="36" spans="1:4" ht="18" hidden="1" x14ac:dyDescent="0.3">
      <c r="A36" s="10" t="s">
        <v>275</v>
      </c>
      <c r="B36" s="8"/>
      <c r="C36" s="8"/>
      <c r="D36" s="8">
        <f t="shared" si="0"/>
        <v>0</v>
      </c>
    </row>
    <row r="37" spans="1:4" ht="18" x14ac:dyDescent="0.3">
      <c r="A37" s="6" t="s">
        <v>2</v>
      </c>
      <c r="B37" s="8">
        <v>10</v>
      </c>
      <c r="C37" s="8">
        <v>10000</v>
      </c>
      <c r="D37" s="8">
        <f t="shared" si="0"/>
        <v>100000</v>
      </c>
    </row>
    <row r="38" spans="1:4" ht="18" hidden="1" x14ac:dyDescent="0.3">
      <c r="A38" s="18" t="s">
        <v>61</v>
      </c>
      <c r="B38" s="8"/>
      <c r="C38" s="8"/>
      <c r="D38" s="8">
        <f t="shared" si="0"/>
        <v>0</v>
      </c>
    </row>
    <row r="39" spans="1:4" ht="18" hidden="1" x14ac:dyDescent="0.3">
      <c r="A39" s="14" t="s">
        <v>298</v>
      </c>
      <c r="B39" s="8"/>
      <c r="C39" s="8"/>
      <c r="D39" s="8">
        <f t="shared" si="0"/>
        <v>0</v>
      </c>
    </row>
    <row r="40" spans="1:4" ht="18" hidden="1" x14ac:dyDescent="0.3">
      <c r="A40" s="14" t="s">
        <v>309</v>
      </c>
      <c r="B40" s="8"/>
      <c r="C40" s="8"/>
      <c r="D40" s="8">
        <f t="shared" si="0"/>
        <v>0</v>
      </c>
    </row>
    <row r="41" spans="1:4" ht="18" x14ac:dyDescent="0.3">
      <c r="A41" s="10" t="s">
        <v>86</v>
      </c>
      <c r="B41" s="8">
        <v>30</v>
      </c>
      <c r="C41" s="8">
        <v>15000</v>
      </c>
      <c r="D41" s="8">
        <f t="shared" si="0"/>
        <v>450000</v>
      </c>
    </row>
    <row r="42" spans="1:4" ht="18" hidden="1" x14ac:dyDescent="0.3">
      <c r="A42" s="10" t="s">
        <v>87</v>
      </c>
      <c r="B42" s="8"/>
      <c r="C42" s="8"/>
      <c r="D42" s="8">
        <f t="shared" si="0"/>
        <v>0</v>
      </c>
    </row>
    <row r="43" spans="1:4" ht="18" hidden="1" x14ac:dyDescent="0.3">
      <c r="A43" s="10" t="s">
        <v>88</v>
      </c>
      <c r="B43" s="8"/>
      <c r="C43" s="8"/>
      <c r="D43" s="8">
        <f t="shared" si="0"/>
        <v>0</v>
      </c>
    </row>
    <row r="44" spans="1:4" ht="18" hidden="1" x14ac:dyDescent="0.3">
      <c r="A44" s="10" t="s">
        <v>176</v>
      </c>
      <c r="B44" s="8"/>
      <c r="C44" s="8"/>
      <c r="D44" s="8">
        <f t="shared" si="0"/>
        <v>0</v>
      </c>
    </row>
    <row r="45" spans="1:4" ht="18" hidden="1" x14ac:dyDescent="0.3">
      <c r="A45" s="10" t="s">
        <v>242</v>
      </c>
      <c r="B45" s="8"/>
      <c r="C45" s="8"/>
      <c r="D45" s="8">
        <f t="shared" si="0"/>
        <v>0</v>
      </c>
    </row>
    <row r="46" spans="1:4" ht="18" hidden="1" x14ac:dyDescent="0.3">
      <c r="A46" s="10" t="s">
        <v>243</v>
      </c>
      <c r="B46" s="8"/>
      <c r="C46" s="8"/>
      <c r="D46" s="8">
        <f t="shared" si="0"/>
        <v>0</v>
      </c>
    </row>
    <row r="47" spans="1:4" ht="18" hidden="1" x14ac:dyDescent="0.3">
      <c r="A47" s="10" t="s">
        <v>265</v>
      </c>
      <c r="B47" s="17"/>
      <c r="C47" s="17"/>
      <c r="D47" s="8">
        <f t="shared" si="0"/>
        <v>0</v>
      </c>
    </row>
    <row r="48" spans="1:4" ht="18" hidden="1" x14ac:dyDescent="0.3">
      <c r="A48" s="10" t="s">
        <v>122</v>
      </c>
      <c r="B48" s="8"/>
      <c r="C48" s="8"/>
      <c r="D48" s="8">
        <f t="shared" si="0"/>
        <v>0</v>
      </c>
    </row>
    <row r="49" spans="1:4" ht="18" hidden="1" x14ac:dyDescent="0.3">
      <c r="A49" s="10" t="s">
        <v>43</v>
      </c>
      <c r="B49" s="8"/>
      <c r="C49" s="8"/>
      <c r="D49" s="8">
        <f t="shared" si="0"/>
        <v>0</v>
      </c>
    </row>
    <row r="50" spans="1:4" ht="18" hidden="1" x14ac:dyDescent="0.3">
      <c r="A50" s="18" t="s">
        <v>284</v>
      </c>
      <c r="B50" s="8"/>
      <c r="C50" s="8"/>
      <c r="D50" s="8">
        <f t="shared" si="0"/>
        <v>0</v>
      </c>
    </row>
    <row r="51" spans="1:4" ht="18" hidden="1" x14ac:dyDescent="0.3">
      <c r="A51" s="10" t="s">
        <v>146</v>
      </c>
      <c r="B51" s="17"/>
      <c r="C51" s="17"/>
      <c r="D51" s="8">
        <f t="shared" si="0"/>
        <v>0</v>
      </c>
    </row>
    <row r="52" spans="1:4" ht="18" hidden="1" x14ac:dyDescent="0.3">
      <c r="A52" s="13" t="s">
        <v>52</v>
      </c>
      <c r="B52" s="8"/>
      <c r="C52" s="8"/>
      <c r="D52" s="8">
        <f t="shared" si="0"/>
        <v>0</v>
      </c>
    </row>
    <row r="53" spans="1:4" ht="18" x14ac:dyDescent="0.3">
      <c r="A53" s="10" t="s">
        <v>62</v>
      </c>
      <c r="B53" s="8">
        <v>580</v>
      </c>
      <c r="C53" s="8">
        <v>21000</v>
      </c>
      <c r="D53" s="8">
        <f t="shared" si="0"/>
        <v>12180000</v>
      </c>
    </row>
    <row r="54" spans="1:4" ht="18" hidden="1" x14ac:dyDescent="0.3">
      <c r="A54" s="10" t="s">
        <v>75</v>
      </c>
      <c r="B54" s="8"/>
      <c r="C54" s="8"/>
      <c r="D54" s="8">
        <f t="shared" si="0"/>
        <v>0</v>
      </c>
    </row>
    <row r="55" spans="1:4" ht="18" hidden="1" x14ac:dyDescent="0.3">
      <c r="A55" s="10" t="s">
        <v>272</v>
      </c>
      <c r="B55" s="8"/>
      <c r="C55" s="8"/>
      <c r="D55" s="8">
        <f t="shared" si="0"/>
        <v>0</v>
      </c>
    </row>
    <row r="56" spans="1:4" ht="18" x14ac:dyDescent="0.3">
      <c r="A56" s="10" t="s">
        <v>19</v>
      </c>
      <c r="B56" s="8">
        <v>200</v>
      </c>
      <c r="C56" s="8">
        <v>18000</v>
      </c>
      <c r="D56" s="8">
        <f t="shared" si="0"/>
        <v>3600000</v>
      </c>
    </row>
    <row r="57" spans="1:4" ht="18" hidden="1" x14ac:dyDescent="0.3">
      <c r="A57" s="10" t="s">
        <v>40</v>
      </c>
      <c r="B57" s="8"/>
      <c r="C57" s="8"/>
      <c r="D57" s="8">
        <f t="shared" si="0"/>
        <v>0</v>
      </c>
    </row>
    <row r="58" spans="1:4" ht="18" hidden="1" x14ac:dyDescent="0.3">
      <c r="A58" s="12" t="s">
        <v>48</v>
      </c>
      <c r="B58" s="8"/>
      <c r="C58" s="8"/>
      <c r="D58" s="8">
        <f t="shared" si="0"/>
        <v>0</v>
      </c>
    </row>
    <row r="59" spans="1:4" ht="18" hidden="1" x14ac:dyDescent="0.3">
      <c r="A59" s="14" t="s">
        <v>49</v>
      </c>
      <c r="B59" s="8"/>
      <c r="C59" s="8"/>
      <c r="D59" s="8">
        <f t="shared" si="0"/>
        <v>0</v>
      </c>
    </row>
    <row r="60" spans="1:4" ht="18" hidden="1" x14ac:dyDescent="0.3">
      <c r="A60" s="11" t="s">
        <v>124</v>
      </c>
      <c r="B60" s="8"/>
      <c r="C60" s="8"/>
      <c r="D60" s="8">
        <f t="shared" si="0"/>
        <v>0</v>
      </c>
    </row>
    <row r="61" spans="1:4" ht="18" x14ac:dyDescent="0.3">
      <c r="A61" s="14" t="s">
        <v>125</v>
      </c>
      <c r="B61" s="8">
        <v>15</v>
      </c>
      <c r="C61" s="8">
        <v>15000</v>
      </c>
      <c r="D61" s="8">
        <f t="shared" si="0"/>
        <v>225000</v>
      </c>
    </row>
    <row r="62" spans="1:4" ht="18" hidden="1" x14ac:dyDescent="0.3">
      <c r="A62" s="18" t="s">
        <v>219</v>
      </c>
      <c r="B62" s="8"/>
      <c r="C62" s="8"/>
      <c r="D62" s="8">
        <f t="shared" si="0"/>
        <v>0</v>
      </c>
    </row>
    <row r="63" spans="1:4" ht="18" hidden="1" x14ac:dyDescent="0.3">
      <c r="A63" s="18" t="s">
        <v>220</v>
      </c>
      <c r="B63" s="8"/>
      <c r="C63" s="8"/>
      <c r="D63" s="8">
        <f t="shared" si="0"/>
        <v>0</v>
      </c>
    </row>
    <row r="64" spans="1:4" ht="18" hidden="1" x14ac:dyDescent="0.3">
      <c r="A64" s="10" t="s">
        <v>222</v>
      </c>
      <c r="B64" s="8"/>
      <c r="C64" s="8"/>
      <c r="D64" s="8">
        <f t="shared" si="0"/>
        <v>0</v>
      </c>
    </row>
    <row r="65" spans="1:4" ht="18" hidden="1" x14ac:dyDescent="0.3">
      <c r="A65" s="18" t="s">
        <v>224</v>
      </c>
      <c r="B65" s="8"/>
      <c r="C65" s="8"/>
      <c r="D65" s="8">
        <f t="shared" si="0"/>
        <v>0</v>
      </c>
    </row>
    <row r="66" spans="1:4" ht="18" hidden="1" x14ac:dyDescent="0.3">
      <c r="A66" s="18" t="s">
        <v>225</v>
      </c>
      <c r="B66" s="8"/>
      <c r="C66" s="8"/>
      <c r="D66" s="8">
        <f t="shared" si="0"/>
        <v>0</v>
      </c>
    </row>
    <row r="67" spans="1:4" ht="18" hidden="1" x14ac:dyDescent="0.3">
      <c r="A67" s="13" t="s">
        <v>282</v>
      </c>
      <c r="B67" s="8"/>
      <c r="C67" s="8"/>
      <c r="D67" s="8">
        <f t="shared" si="0"/>
        <v>0</v>
      </c>
    </row>
    <row r="68" spans="1:4" ht="18" x14ac:dyDescent="0.3">
      <c r="A68" s="10" t="s">
        <v>293</v>
      </c>
      <c r="B68" s="8">
        <v>50</v>
      </c>
      <c r="C68" s="8">
        <v>10000</v>
      </c>
      <c r="D68" s="8">
        <f t="shared" ref="D68:D131" si="1">B68*C68</f>
        <v>500000</v>
      </c>
    </row>
    <row r="69" spans="1:4" ht="18" hidden="1" x14ac:dyDescent="0.3">
      <c r="A69" s="10" t="s">
        <v>204</v>
      </c>
      <c r="B69" s="8"/>
      <c r="C69" s="8"/>
      <c r="D69" s="8">
        <f t="shared" si="1"/>
        <v>0</v>
      </c>
    </row>
    <row r="70" spans="1:4" ht="18" hidden="1" x14ac:dyDescent="0.3">
      <c r="A70" s="10" t="s">
        <v>53</v>
      </c>
      <c r="B70" s="8"/>
      <c r="C70" s="8"/>
      <c r="D70" s="8">
        <f t="shared" si="1"/>
        <v>0</v>
      </c>
    </row>
    <row r="71" spans="1:4" ht="18" hidden="1" x14ac:dyDescent="0.3">
      <c r="A71" s="18" t="s">
        <v>55</v>
      </c>
      <c r="B71" s="8"/>
      <c r="C71" s="8"/>
      <c r="D71" s="8">
        <f t="shared" si="1"/>
        <v>0</v>
      </c>
    </row>
    <row r="72" spans="1:4" ht="18" hidden="1" x14ac:dyDescent="0.3">
      <c r="A72" s="10" t="s">
        <v>140</v>
      </c>
      <c r="B72" s="8"/>
      <c r="C72" s="8"/>
      <c r="D72" s="8">
        <f t="shared" si="1"/>
        <v>0</v>
      </c>
    </row>
    <row r="73" spans="1:4" ht="18" hidden="1" x14ac:dyDescent="0.3">
      <c r="A73" s="10" t="s">
        <v>153</v>
      </c>
      <c r="B73" s="8"/>
      <c r="C73" s="8"/>
      <c r="D73" s="8">
        <f t="shared" si="1"/>
        <v>0</v>
      </c>
    </row>
    <row r="74" spans="1:4" ht="18" hidden="1" x14ac:dyDescent="0.3">
      <c r="A74" s="18" t="s">
        <v>156</v>
      </c>
      <c r="B74" s="8"/>
      <c r="C74" s="8"/>
      <c r="D74" s="8">
        <f t="shared" si="1"/>
        <v>0</v>
      </c>
    </row>
    <row r="75" spans="1:4" ht="18" hidden="1" x14ac:dyDescent="0.3">
      <c r="A75" s="10" t="s">
        <v>77</v>
      </c>
      <c r="B75" s="8"/>
      <c r="C75" s="8"/>
      <c r="D75" s="8">
        <f t="shared" si="1"/>
        <v>0</v>
      </c>
    </row>
    <row r="76" spans="1:4" ht="18" hidden="1" x14ac:dyDescent="0.3">
      <c r="A76" s="14" t="s">
        <v>78</v>
      </c>
      <c r="B76" s="8"/>
      <c r="C76" s="8"/>
      <c r="D76" s="8">
        <f t="shared" si="1"/>
        <v>0</v>
      </c>
    </row>
    <row r="77" spans="1:4" ht="18" x14ac:dyDescent="0.3">
      <c r="A77" s="10" t="s">
        <v>79</v>
      </c>
      <c r="B77" s="8">
        <v>20</v>
      </c>
      <c r="C77" s="8">
        <v>30000</v>
      </c>
      <c r="D77" s="8">
        <f t="shared" si="1"/>
        <v>600000</v>
      </c>
    </row>
    <row r="78" spans="1:4" ht="18" x14ac:dyDescent="0.3">
      <c r="A78" s="10" t="s">
        <v>80</v>
      </c>
      <c r="B78" s="8">
        <v>49</v>
      </c>
      <c r="C78" s="8">
        <v>23000</v>
      </c>
      <c r="D78" s="8">
        <f t="shared" si="1"/>
        <v>1127000</v>
      </c>
    </row>
    <row r="79" spans="1:4" ht="18" hidden="1" x14ac:dyDescent="0.3">
      <c r="A79" s="14" t="s">
        <v>95</v>
      </c>
      <c r="B79" s="8"/>
      <c r="C79" s="8"/>
      <c r="D79" s="8">
        <f t="shared" si="1"/>
        <v>0</v>
      </c>
    </row>
    <row r="80" spans="1:4" ht="18" hidden="1" x14ac:dyDescent="0.3">
      <c r="A80" s="13" t="s">
        <v>320</v>
      </c>
      <c r="B80" s="8"/>
      <c r="C80" s="8"/>
      <c r="D80" s="8">
        <f t="shared" si="1"/>
        <v>0</v>
      </c>
    </row>
    <row r="81" spans="1:4" ht="18" hidden="1" x14ac:dyDescent="0.3">
      <c r="A81" s="23" t="s">
        <v>93</v>
      </c>
      <c r="B81" s="8"/>
      <c r="C81" s="8"/>
      <c r="D81" s="8">
        <f t="shared" si="1"/>
        <v>0</v>
      </c>
    </row>
    <row r="82" spans="1:4" ht="18" x14ac:dyDescent="0.3">
      <c r="A82" s="13" t="s">
        <v>183</v>
      </c>
      <c r="B82" s="8">
        <v>150</v>
      </c>
      <c r="C82" s="8">
        <v>7700</v>
      </c>
      <c r="D82" s="8">
        <f t="shared" si="1"/>
        <v>1155000</v>
      </c>
    </row>
    <row r="83" spans="1:4" ht="18" x14ac:dyDescent="0.3">
      <c r="A83" s="10" t="s">
        <v>184</v>
      </c>
      <c r="B83" s="8">
        <v>360</v>
      </c>
      <c r="C83" s="8">
        <v>2100</v>
      </c>
      <c r="D83" s="8">
        <f t="shared" si="1"/>
        <v>756000</v>
      </c>
    </row>
    <row r="84" spans="1:4" ht="18" x14ac:dyDescent="0.3">
      <c r="A84" s="10" t="s">
        <v>210</v>
      </c>
      <c r="B84" s="8">
        <v>16</v>
      </c>
      <c r="C84" s="8">
        <v>10000</v>
      </c>
      <c r="D84" s="8">
        <f t="shared" si="1"/>
        <v>160000</v>
      </c>
    </row>
    <row r="85" spans="1:4" ht="18" hidden="1" x14ac:dyDescent="0.3">
      <c r="A85" s="10" t="s">
        <v>211</v>
      </c>
      <c r="B85" s="8"/>
      <c r="C85" s="8"/>
      <c r="D85" s="8">
        <f t="shared" si="1"/>
        <v>0</v>
      </c>
    </row>
    <row r="86" spans="1:4" ht="18" hidden="1" x14ac:dyDescent="0.3">
      <c r="A86" s="10" t="s">
        <v>90</v>
      </c>
      <c r="B86" s="8"/>
      <c r="C86" s="8"/>
      <c r="D86" s="8">
        <f t="shared" si="1"/>
        <v>0</v>
      </c>
    </row>
    <row r="87" spans="1:4" ht="18" hidden="1" x14ac:dyDescent="0.3">
      <c r="A87" s="23" t="s">
        <v>91</v>
      </c>
      <c r="B87" s="8"/>
      <c r="C87" s="8"/>
      <c r="D87" s="8">
        <f t="shared" si="1"/>
        <v>0</v>
      </c>
    </row>
    <row r="88" spans="1:4" ht="18" hidden="1" x14ac:dyDescent="0.3">
      <c r="A88" s="6" t="s">
        <v>5</v>
      </c>
      <c r="B88" s="8"/>
      <c r="C88" s="8"/>
      <c r="D88" s="8">
        <f t="shared" si="1"/>
        <v>0</v>
      </c>
    </row>
    <row r="89" spans="1:4" ht="18" hidden="1" x14ac:dyDescent="0.3">
      <c r="A89" s="10" t="s">
        <v>168</v>
      </c>
      <c r="B89" s="8"/>
      <c r="C89" s="48"/>
      <c r="D89" s="8">
        <f t="shared" si="1"/>
        <v>0</v>
      </c>
    </row>
    <row r="90" spans="1:4" ht="18" hidden="1" x14ac:dyDescent="0.3">
      <c r="A90" s="10" t="s">
        <v>170</v>
      </c>
      <c r="B90" s="8"/>
      <c r="C90" s="8"/>
      <c r="D90" s="8">
        <f t="shared" si="1"/>
        <v>0</v>
      </c>
    </row>
    <row r="91" spans="1:4" ht="18" hidden="1" x14ac:dyDescent="0.3">
      <c r="A91" s="13" t="s">
        <v>227</v>
      </c>
      <c r="B91" s="8"/>
      <c r="C91" s="8"/>
      <c r="D91" s="8">
        <f t="shared" si="1"/>
        <v>0</v>
      </c>
    </row>
    <row r="92" spans="1:4" ht="18" hidden="1" x14ac:dyDescent="0.3">
      <c r="A92" s="13" t="s">
        <v>14</v>
      </c>
      <c r="B92" s="8"/>
      <c r="C92" s="8"/>
      <c r="D92" s="8">
        <f t="shared" si="1"/>
        <v>0</v>
      </c>
    </row>
    <row r="93" spans="1:4" ht="18" hidden="1" x14ac:dyDescent="0.3">
      <c r="A93" s="12" t="s">
        <v>98</v>
      </c>
      <c r="B93" s="8"/>
      <c r="C93" s="8"/>
      <c r="D93" s="8">
        <f t="shared" si="1"/>
        <v>0</v>
      </c>
    </row>
    <row r="94" spans="1:4" ht="18" hidden="1" x14ac:dyDescent="0.3">
      <c r="A94" s="10" t="s">
        <v>116</v>
      </c>
      <c r="B94" s="8"/>
      <c r="C94" s="8"/>
      <c r="D94" s="8">
        <f t="shared" si="1"/>
        <v>0</v>
      </c>
    </row>
    <row r="95" spans="1:4" ht="18" hidden="1" x14ac:dyDescent="0.3">
      <c r="A95" s="13" t="s">
        <v>137</v>
      </c>
      <c r="B95" s="8"/>
      <c r="C95" s="8"/>
      <c r="D95" s="8">
        <f t="shared" si="1"/>
        <v>0</v>
      </c>
    </row>
    <row r="96" spans="1:4" ht="18" hidden="1" x14ac:dyDescent="0.3">
      <c r="A96" s="10" t="s">
        <v>207</v>
      </c>
      <c r="B96" s="8"/>
      <c r="C96" s="8"/>
      <c r="D96" s="8">
        <f t="shared" si="1"/>
        <v>0</v>
      </c>
    </row>
    <row r="97" spans="1:4" ht="18" hidden="1" x14ac:dyDescent="0.3">
      <c r="A97" s="12" t="s">
        <v>208</v>
      </c>
      <c r="B97" s="8"/>
      <c r="C97" s="8"/>
      <c r="D97" s="8">
        <f t="shared" si="1"/>
        <v>0</v>
      </c>
    </row>
    <row r="98" spans="1:4" ht="18" hidden="1" x14ac:dyDescent="0.3">
      <c r="A98" s="10" t="s">
        <v>247</v>
      </c>
      <c r="B98" s="8"/>
      <c r="C98" s="8"/>
      <c r="D98" s="8">
        <f t="shared" si="1"/>
        <v>0</v>
      </c>
    </row>
    <row r="99" spans="1:4" ht="18" hidden="1" x14ac:dyDescent="0.3">
      <c r="A99" s="12" t="s">
        <v>10</v>
      </c>
      <c r="B99" s="8"/>
      <c r="C99" s="8"/>
      <c r="D99" s="8">
        <f t="shared" si="1"/>
        <v>0</v>
      </c>
    </row>
    <row r="100" spans="1:4" ht="18" hidden="1" x14ac:dyDescent="0.3">
      <c r="A100" s="10" t="s">
        <v>36</v>
      </c>
      <c r="B100" s="8"/>
      <c r="C100" s="8"/>
      <c r="D100" s="8">
        <f t="shared" si="1"/>
        <v>0</v>
      </c>
    </row>
    <row r="101" spans="1:4" ht="18" hidden="1" x14ac:dyDescent="0.3">
      <c r="A101" s="10" t="s">
        <v>37</v>
      </c>
      <c r="B101" s="8"/>
      <c r="C101" s="8"/>
      <c r="D101" s="8">
        <f t="shared" si="1"/>
        <v>0</v>
      </c>
    </row>
    <row r="102" spans="1:4" ht="18" x14ac:dyDescent="0.3">
      <c r="A102" s="18" t="s">
        <v>255</v>
      </c>
      <c r="B102" s="8">
        <v>4</v>
      </c>
      <c r="C102" s="8">
        <v>37000</v>
      </c>
      <c r="D102" s="8">
        <f t="shared" si="1"/>
        <v>148000</v>
      </c>
    </row>
    <row r="103" spans="1:4" ht="18" x14ac:dyDescent="0.3">
      <c r="A103" s="10" t="s">
        <v>270</v>
      </c>
      <c r="B103" s="8">
        <v>31</v>
      </c>
      <c r="C103" s="8">
        <v>12500</v>
      </c>
      <c r="D103" s="8">
        <f t="shared" si="1"/>
        <v>387500</v>
      </c>
    </row>
    <row r="104" spans="1:4" ht="18" x14ac:dyDescent="0.3">
      <c r="A104" s="12" t="s">
        <v>401</v>
      </c>
      <c r="B104" s="8">
        <v>4</v>
      </c>
      <c r="C104" s="8">
        <v>3000</v>
      </c>
      <c r="D104" s="8">
        <f t="shared" si="1"/>
        <v>12000</v>
      </c>
    </row>
    <row r="105" spans="1:4" ht="18" hidden="1" x14ac:dyDescent="0.3">
      <c r="A105" s="13" t="s">
        <v>305</v>
      </c>
      <c r="B105" s="8"/>
      <c r="C105" s="8"/>
      <c r="D105" s="8">
        <f t="shared" si="1"/>
        <v>0</v>
      </c>
    </row>
    <row r="106" spans="1:4" ht="18" hidden="1" x14ac:dyDescent="0.3">
      <c r="A106" s="10" t="s">
        <v>308</v>
      </c>
      <c r="B106" s="8"/>
      <c r="C106" s="8"/>
      <c r="D106" s="8">
        <f t="shared" si="1"/>
        <v>0</v>
      </c>
    </row>
    <row r="107" spans="1:4" ht="18" hidden="1" x14ac:dyDescent="0.3">
      <c r="A107" s="10" t="s">
        <v>314</v>
      </c>
      <c r="B107" s="8"/>
      <c r="C107" s="8"/>
      <c r="D107" s="8">
        <f t="shared" si="1"/>
        <v>0</v>
      </c>
    </row>
    <row r="108" spans="1:4" ht="18" hidden="1" x14ac:dyDescent="0.3">
      <c r="A108" s="10" t="s">
        <v>315</v>
      </c>
      <c r="B108" s="8"/>
      <c r="C108" s="8"/>
      <c r="D108" s="8">
        <f t="shared" si="1"/>
        <v>0</v>
      </c>
    </row>
    <row r="109" spans="1:4" ht="18" hidden="1" x14ac:dyDescent="0.3">
      <c r="A109" s="10" t="s">
        <v>326</v>
      </c>
      <c r="B109" s="8"/>
      <c r="C109" s="8"/>
      <c r="D109" s="8">
        <f t="shared" si="1"/>
        <v>0</v>
      </c>
    </row>
    <row r="110" spans="1:4" ht="18" hidden="1" x14ac:dyDescent="0.3">
      <c r="A110" s="10" t="s">
        <v>330</v>
      </c>
      <c r="B110" s="8"/>
      <c r="C110" s="8"/>
      <c r="D110" s="8">
        <f t="shared" si="1"/>
        <v>0</v>
      </c>
    </row>
    <row r="111" spans="1:4" ht="18" hidden="1" x14ac:dyDescent="0.3">
      <c r="A111" s="10" t="s">
        <v>333</v>
      </c>
      <c r="B111" s="8"/>
      <c r="C111" s="8"/>
      <c r="D111" s="8">
        <f t="shared" si="1"/>
        <v>0</v>
      </c>
    </row>
    <row r="112" spans="1:4" ht="18" hidden="1" x14ac:dyDescent="0.3">
      <c r="A112" s="10" t="s">
        <v>334</v>
      </c>
      <c r="B112" s="8"/>
      <c r="C112" s="8"/>
      <c r="D112" s="8">
        <f t="shared" si="1"/>
        <v>0</v>
      </c>
    </row>
    <row r="113" spans="1:4" ht="18" hidden="1" x14ac:dyDescent="0.3">
      <c r="A113" s="10" t="s">
        <v>287</v>
      </c>
      <c r="B113" s="8"/>
      <c r="C113" s="8"/>
      <c r="D113" s="8">
        <f t="shared" si="1"/>
        <v>0</v>
      </c>
    </row>
    <row r="114" spans="1:4" ht="18" x14ac:dyDescent="0.3">
      <c r="A114" s="10" t="s">
        <v>24</v>
      </c>
      <c r="B114" s="8">
        <v>70</v>
      </c>
      <c r="C114" s="8">
        <v>8000</v>
      </c>
      <c r="D114" s="8">
        <f t="shared" si="1"/>
        <v>560000</v>
      </c>
    </row>
    <row r="115" spans="1:4" ht="18" hidden="1" x14ac:dyDescent="0.3">
      <c r="A115" s="10" t="s">
        <v>25</v>
      </c>
      <c r="B115" s="8"/>
      <c r="C115" s="8"/>
      <c r="D115" s="8">
        <f t="shared" si="1"/>
        <v>0</v>
      </c>
    </row>
    <row r="116" spans="1:4" ht="18" hidden="1" x14ac:dyDescent="0.3">
      <c r="A116" s="10" t="s">
        <v>45</v>
      </c>
      <c r="B116" s="8"/>
      <c r="C116" s="8"/>
      <c r="D116" s="8">
        <f t="shared" si="1"/>
        <v>0</v>
      </c>
    </row>
    <row r="117" spans="1:4" ht="18" hidden="1" x14ac:dyDescent="0.3">
      <c r="A117" s="10" t="s">
        <v>46</v>
      </c>
      <c r="B117" s="8"/>
      <c r="C117" s="8"/>
      <c r="D117" s="8">
        <f t="shared" si="1"/>
        <v>0</v>
      </c>
    </row>
    <row r="118" spans="1:4" ht="18" hidden="1" x14ac:dyDescent="0.3">
      <c r="A118" s="10" t="s">
        <v>51</v>
      </c>
      <c r="B118" s="8"/>
      <c r="C118" s="8"/>
      <c r="D118" s="8">
        <f t="shared" si="1"/>
        <v>0</v>
      </c>
    </row>
    <row r="119" spans="1:4" ht="18" hidden="1" x14ac:dyDescent="0.3">
      <c r="A119" s="13" t="s">
        <v>131</v>
      </c>
      <c r="B119" s="17"/>
      <c r="C119" s="17"/>
      <c r="D119" s="8">
        <f t="shared" si="1"/>
        <v>0</v>
      </c>
    </row>
    <row r="120" spans="1:4" ht="18" hidden="1" x14ac:dyDescent="0.3">
      <c r="A120" s="10" t="s">
        <v>132</v>
      </c>
      <c r="B120" s="8"/>
      <c r="C120" s="8"/>
      <c r="D120" s="8">
        <f t="shared" si="1"/>
        <v>0</v>
      </c>
    </row>
    <row r="121" spans="1:4" ht="18" hidden="1" x14ac:dyDescent="0.3">
      <c r="A121" s="10" t="s">
        <v>290</v>
      </c>
      <c r="B121" s="8"/>
      <c r="C121" s="8"/>
      <c r="D121" s="8">
        <f t="shared" si="1"/>
        <v>0</v>
      </c>
    </row>
    <row r="122" spans="1:4" ht="18" x14ac:dyDescent="0.3">
      <c r="A122" s="14" t="s">
        <v>17</v>
      </c>
      <c r="B122" s="8">
        <v>69</v>
      </c>
      <c r="C122" s="8">
        <v>4000</v>
      </c>
      <c r="D122" s="8">
        <f t="shared" si="1"/>
        <v>276000</v>
      </c>
    </row>
    <row r="123" spans="1:4" ht="18" hidden="1" x14ac:dyDescent="0.3">
      <c r="A123" s="10" t="s">
        <v>158</v>
      </c>
      <c r="B123" s="8"/>
      <c r="C123" s="8"/>
      <c r="D123" s="8">
        <f t="shared" si="1"/>
        <v>0</v>
      </c>
    </row>
    <row r="124" spans="1:4" ht="18" hidden="1" x14ac:dyDescent="0.3">
      <c r="A124" s="10" t="s">
        <v>160</v>
      </c>
      <c r="B124" s="8"/>
      <c r="C124" s="8"/>
      <c r="D124" s="8">
        <f t="shared" si="1"/>
        <v>0</v>
      </c>
    </row>
    <row r="125" spans="1:4" ht="18" hidden="1" x14ac:dyDescent="0.3">
      <c r="A125" s="6" t="s">
        <v>8</v>
      </c>
      <c r="B125" s="8"/>
      <c r="C125" s="8"/>
      <c r="D125" s="8">
        <f t="shared" si="1"/>
        <v>0</v>
      </c>
    </row>
    <row r="126" spans="1:4" ht="18" hidden="1" x14ac:dyDescent="0.3">
      <c r="A126" s="12" t="s">
        <v>175</v>
      </c>
      <c r="B126" s="8"/>
      <c r="C126" s="8"/>
      <c r="D126" s="8">
        <f t="shared" si="1"/>
        <v>0</v>
      </c>
    </row>
    <row r="127" spans="1:4" ht="18" hidden="1" x14ac:dyDescent="0.3">
      <c r="A127" s="12" t="s">
        <v>226</v>
      </c>
      <c r="B127" s="8"/>
      <c r="C127" s="8"/>
      <c r="D127" s="8">
        <f t="shared" si="1"/>
        <v>0</v>
      </c>
    </row>
    <row r="128" spans="1:4" ht="18" hidden="1" x14ac:dyDescent="0.3">
      <c r="A128" s="12" t="s">
        <v>228</v>
      </c>
      <c r="B128" s="8"/>
      <c r="C128" s="8"/>
      <c r="D128" s="8">
        <f t="shared" si="1"/>
        <v>0</v>
      </c>
    </row>
    <row r="129" spans="1:4" ht="18" hidden="1" x14ac:dyDescent="0.3">
      <c r="A129" s="18" t="s">
        <v>229</v>
      </c>
      <c r="B129" s="8"/>
      <c r="C129" s="8"/>
      <c r="D129" s="8">
        <f t="shared" si="1"/>
        <v>0</v>
      </c>
    </row>
    <row r="130" spans="1:4" ht="18" hidden="1" x14ac:dyDescent="0.3">
      <c r="A130" s="12" t="s">
        <v>232</v>
      </c>
      <c r="B130" s="8"/>
      <c r="C130" s="8"/>
      <c r="D130" s="8">
        <f t="shared" si="1"/>
        <v>0</v>
      </c>
    </row>
    <row r="131" spans="1:4" ht="18" hidden="1" x14ac:dyDescent="0.3">
      <c r="A131" s="37" t="s">
        <v>277</v>
      </c>
      <c r="B131" s="8"/>
      <c r="C131" s="8"/>
      <c r="D131" s="8">
        <f t="shared" si="1"/>
        <v>0</v>
      </c>
    </row>
    <row r="132" spans="1:4" ht="18" x14ac:dyDescent="0.3">
      <c r="A132" s="43"/>
      <c r="B132" s="46">
        <v>3192</v>
      </c>
      <c r="C132" s="46"/>
      <c r="D132" s="8">
        <f>SUM(D3:D122)</f>
        <v>48692500</v>
      </c>
    </row>
    <row r="133" spans="1:4" ht="18" hidden="1" x14ac:dyDescent="0.3">
      <c r="D133" s="8">
        <f t="shared" ref="D133:D195" si="2">B133*C133</f>
        <v>0</v>
      </c>
    </row>
    <row r="134" spans="1:4" ht="18" x14ac:dyDescent="0.3">
      <c r="A134" s="1" t="s">
        <v>411</v>
      </c>
      <c r="B134" s="2"/>
      <c r="C134" s="2"/>
      <c r="D134" s="8"/>
    </row>
    <row r="135" spans="1:4" ht="26.4" x14ac:dyDescent="0.3">
      <c r="A135" s="152" t="s">
        <v>0</v>
      </c>
      <c r="B135" s="4" t="s">
        <v>1</v>
      </c>
      <c r="C135" s="4" t="s">
        <v>340</v>
      </c>
      <c r="D135" s="8" t="s">
        <v>341</v>
      </c>
    </row>
    <row r="136" spans="1:4" ht="18" hidden="1" x14ac:dyDescent="0.3">
      <c r="A136" s="153"/>
      <c r="B136" s="5"/>
      <c r="C136" s="5"/>
      <c r="D136" s="8">
        <f t="shared" si="2"/>
        <v>0</v>
      </c>
    </row>
    <row r="137" spans="1:4" ht="18" hidden="1" x14ac:dyDescent="0.3">
      <c r="A137" s="6" t="s">
        <v>2</v>
      </c>
      <c r="B137" s="8"/>
      <c r="C137" s="8"/>
      <c r="D137" s="8">
        <f t="shared" si="2"/>
        <v>0</v>
      </c>
    </row>
    <row r="138" spans="1:4" ht="18" hidden="1" x14ac:dyDescent="0.3">
      <c r="A138" s="9" t="s">
        <v>3</v>
      </c>
      <c r="B138" s="8"/>
      <c r="C138" s="8"/>
      <c r="D138" s="8">
        <f t="shared" si="2"/>
        <v>0</v>
      </c>
    </row>
    <row r="139" spans="1:4" ht="18" hidden="1" x14ac:dyDescent="0.3">
      <c r="A139" s="6" t="s">
        <v>4</v>
      </c>
      <c r="B139" s="8"/>
      <c r="C139" s="8"/>
      <c r="D139" s="8">
        <f t="shared" si="2"/>
        <v>0</v>
      </c>
    </row>
    <row r="140" spans="1:4" ht="18" x14ac:dyDescent="0.3">
      <c r="A140" s="6" t="s">
        <v>5</v>
      </c>
      <c r="B140" s="8">
        <v>50</v>
      </c>
      <c r="C140" s="8">
        <v>7300</v>
      </c>
      <c r="D140" s="8">
        <f t="shared" si="2"/>
        <v>365000</v>
      </c>
    </row>
    <row r="141" spans="1:4" ht="18" hidden="1" x14ac:dyDescent="0.3">
      <c r="A141" s="10" t="s">
        <v>6</v>
      </c>
      <c r="B141" s="8"/>
      <c r="C141" s="8"/>
      <c r="D141" s="8">
        <f t="shared" si="2"/>
        <v>0</v>
      </c>
    </row>
    <row r="142" spans="1:4" ht="18" hidden="1" x14ac:dyDescent="0.3">
      <c r="A142" s="11" t="s">
        <v>7</v>
      </c>
      <c r="B142" s="8"/>
      <c r="C142" s="8"/>
      <c r="D142" s="8">
        <f t="shared" si="2"/>
        <v>0</v>
      </c>
    </row>
    <row r="143" spans="1:4" ht="18" hidden="1" x14ac:dyDescent="0.3">
      <c r="A143" s="6" t="s">
        <v>8</v>
      </c>
      <c r="B143" s="8"/>
      <c r="C143" s="8"/>
      <c r="D143" s="8">
        <f t="shared" si="2"/>
        <v>0</v>
      </c>
    </row>
    <row r="144" spans="1:4" ht="18" hidden="1" x14ac:dyDescent="0.3">
      <c r="A144" s="6" t="s">
        <v>9</v>
      </c>
      <c r="B144" s="8"/>
      <c r="C144" s="8"/>
      <c r="D144" s="8">
        <f t="shared" si="2"/>
        <v>0</v>
      </c>
    </row>
    <row r="145" spans="1:4" ht="18" hidden="1" x14ac:dyDescent="0.3">
      <c r="A145" s="12" t="s">
        <v>342</v>
      </c>
      <c r="B145" s="8"/>
      <c r="C145" s="8"/>
      <c r="D145" s="8">
        <f t="shared" si="2"/>
        <v>0</v>
      </c>
    </row>
    <row r="146" spans="1:4" ht="18" hidden="1" x14ac:dyDescent="0.3">
      <c r="A146" s="10" t="s">
        <v>11</v>
      </c>
      <c r="B146" s="8"/>
      <c r="C146" s="8"/>
      <c r="D146" s="8">
        <f t="shared" si="2"/>
        <v>0</v>
      </c>
    </row>
    <row r="147" spans="1:4" ht="18" hidden="1" x14ac:dyDescent="0.3">
      <c r="A147" s="10" t="s">
        <v>12</v>
      </c>
      <c r="B147" s="8"/>
      <c r="C147" s="8"/>
      <c r="D147" s="8">
        <f t="shared" si="2"/>
        <v>0</v>
      </c>
    </row>
    <row r="148" spans="1:4" ht="18" hidden="1" x14ac:dyDescent="0.3">
      <c r="A148" s="13" t="s">
        <v>13</v>
      </c>
      <c r="B148" s="8"/>
      <c r="C148" s="8"/>
      <c r="D148" s="8">
        <f t="shared" si="2"/>
        <v>0</v>
      </c>
    </row>
    <row r="149" spans="1:4" ht="18" hidden="1" x14ac:dyDescent="0.3">
      <c r="A149" s="13" t="s">
        <v>14</v>
      </c>
      <c r="B149" s="8"/>
      <c r="C149" s="8"/>
      <c r="D149" s="8">
        <f t="shared" si="2"/>
        <v>0</v>
      </c>
    </row>
    <row r="150" spans="1:4" ht="18" hidden="1" x14ac:dyDescent="0.3">
      <c r="A150" s="10" t="s">
        <v>15</v>
      </c>
      <c r="B150" s="8"/>
      <c r="C150" s="8"/>
      <c r="D150" s="8">
        <f t="shared" si="2"/>
        <v>0</v>
      </c>
    </row>
    <row r="151" spans="1:4" ht="18" hidden="1" x14ac:dyDescent="0.3">
      <c r="A151" s="10" t="s">
        <v>16</v>
      </c>
      <c r="B151" s="8"/>
      <c r="C151" s="8"/>
      <c r="D151" s="8">
        <f t="shared" si="2"/>
        <v>0</v>
      </c>
    </row>
    <row r="152" spans="1:4" ht="18" hidden="1" x14ac:dyDescent="0.3">
      <c r="A152" s="14" t="s">
        <v>17</v>
      </c>
      <c r="B152" s="8"/>
      <c r="C152" s="8"/>
      <c r="D152" s="8">
        <f t="shared" si="2"/>
        <v>0</v>
      </c>
    </row>
    <row r="153" spans="1:4" ht="18" hidden="1" x14ac:dyDescent="0.3">
      <c r="A153" s="12" t="s">
        <v>18</v>
      </c>
      <c r="B153" s="8"/>
      <c r="C153" s="8"/>
      <c r="D153" s="8">
        <f t="shared" si="2"/>
        <v>0</v>
      </c>
    </row>
    <row r="154" spans="1:4" ht="18" x14ac:dyDescent="0.3">
      <c r="A154" s="10" t="s">
        <v>19</v>
      </c>
      <c r="B154" s="8">
        <f>600+350+80-200+1860</f>
        <v>2690</v>
      </c>
      <c r="C154" s="8">
        <v>18000</v>
      </c>
      <c r="D154" s="8">
        <f t="shared" si="2"/>
        <v>48420000</v>
      </c>
    </row>
    <row r="155" spans="1:4" ht="18" hidden="1" x14ac:dyDescent="0.3">
      <c r="A155" s="13" t="s">
        <v>20</v>
      </c>
      <c r="B155" s="8"/>
      <c r="C155" s="8"/>
      <c r="D155" s="8">
        <f t="shared" si="2"/>
        <v>0</v>
      </c>
    </row>
    <row r="156" spans="1:4" ht="18" hidden="1" x14ac:dyDescent="0.3">
      <c r="A156" s="13" t="s">
        <v>21</v>
      </c>
      <c r="B156" s="8"/>
      <c r="C156" s="8"/>
      <c r="D156" s="8">
        <f t="shared" si="2"/>
        <v>0</v>
      </c>
    </row>
    <row r="157" spans="1:4" ht="18" hidden="1" x14ac:dyDescent="0.3">
      <c r="A157" s="10" t="s">
        <v>22</v>
      </c>
      <c r="B157" s="8"/>
      <c r="C157" s="8"/>
      <c r="D157" s="8">
        <f t="shared" si="2"/>
        <v>0</v>
      </c>
    </row>
    <row r="158" spans="1:4" ht="18" hidden="1" x14ac:dyDescent="0.3">
      <c r="A158" s="10" t="s">
        <v>23</v>
      </c>
      <c r="B158" s="8"/>
      <c r="C158" s="8"/>
      <c r="D158" s="8">
        <f t="shared" si="2"/>
        <v>0</v>
      </c>
    </row>
    <row r="159" spans="1:4" ht="18" hidden="1" x14ac:dyDescent="0.3">
      <c r="A159" s="10" t="s">
        <v>24</v>
      </c>
      <c r="B159" s="8"/>
      <c r="C159" s="8"/>
      <c r="D159" s="8">
        <f t="shared" si="2"/>
        <v>0</v>
      </c>
    </row>
    <row r="160" spans="1:4" ht="18" hidden="1" x14ac:dyDescent="0.3">
      <c r="A160" s="10" t="s">
        <v>25</v>
      </c>
      <c r="B160" s="8"/>
      <c r="C160" s="8"/>
      <c r="D160" s="8">
        <f t="shared" si="2"/>
        <v>0</v>
      </c>
    </row>
    <row r="161" spans="1:4" ht="18" hidden="1" x14ac:dyDescent="0.3">
      <c r="A161" s="10" t="s">
        <v>26</v>
      </c>
      <c r="B161" s="8"/>
      <c r="C161" s="8"/>
      <c r="D161" s="8">
        <f t="shared" si="2"/>
        <v>0</v>
      </c>
    </row>
    <row r="162" spans="1:4" ht="18" hidden="1" x14ac:dyDescent="0.3">
      <c r="A162" s="10" t="s">
        <v>27</v>
      </c>
      <c r="B162" s="8"/>
      <c r="C162" s="8"/>
      <c r="D162" s="8">
        <f t="shared" si="2"/>
        <v>0</v>
      </c>
    </row>
    <row r="163" spans="1:4" ht="18" hidden="1" x14ac:dyDescent="0.3">
      <c r="A163" s="13" t="s">
        <v>28</v>
      </c>
      <c r="B163" s="8"/>
      <c r="C163" s="8"/>
      <c r="D163" s="8">
        <f t="shared" si="2"/>
        <v>0</v>
      </c>
    </row>
    <row r="164" spans="1:4" ht="18" hidden="1" x14ac:dyDescent="0.3">
      <c r="A164" s="13" t="s">
        <v>35</v>
      </c>
      <c r="B164" s="8"/>
      <c r="C164" s="8"/>
      <c r="D164" s="8">
        <f t="shared" si="2"/>
        <v>0</v>
      </c>
    </row>
    <row r="165" spans="1:4" ht="18" hidden="1" x14ac:dyDescent="0.3">
      <c r="A165" s="10" t="s">
        <v>36</v>
      </c>
      <c r="B165" s="8"/>
      <c r="C165" s="8"/>
      <c r="D165" s="8">
        <f t="shared" si="2"/>
        <v>0</v>
      </c>
    </row>
    <row r="166" spans="1:4" ht="18" hidden="1" x14ac:dyDescent="0.3">
      <c r="A166" s="10" t="s">
        <v>37</v>
      </c>
      <c r="B166" s="8"/>
      <c r="C166" s="8"/>
      <c r="D166" s="8">
        <f t="shared" si="2"/>
        <v>0</v>
      </c>
    </row>
    <row r="167" spans="1:4" ht="18" hidden="1" x14ac:dyDescent="0.3">
      <c r="A167" s="12" t="s">
        <v>38</v>
      </c>
      <c r="B167" s="17"/>
      <c r="C167" s="17"/>
      <c r="D167" s="8">
        <f t="shared" si="2"/>
        <v>0</v>
      </c>
    </row>
    <row r="168" spans="1:4" ht="18" hidden="1" x14ac:dyDescent="0.3">
      <c r="A168" s="12" t="s">
        <v>39</v>
      </c>
      <c r="B168" s="17"/>
      <c r="C168" s="17"/>
      <c r="D168" s="8">
        <f t="shared" si="2"/>
        <v>0</v>
      </c>
    </row>
    <row r="169" spans="1:4" ht="18" hidden="1" x14ac:dyDescent="0.3">
      <c r="A169" s="10" t="s">
        <v>40</v>
      </c>
      <c r="B169" s="8"/>
      <c r="C169" s="8"/>
      <c r="D169" s="8">
        <f t="shared" si="2"/>
        <v>0</v>
      </c>
    </row>
    <row r="170" spans="1:4" ht="18" hidden="1" x14ac:dyDescent="0.3">
      <c r="A170" s="10" t="s">
        <v>41</v>
      </c>
      <c r="B170" s="8"/>
      <c r="C170" s="8"/>
      <c r="D170" s="8">
        <f t="shared" si="2"/>
        <v>0</v>
      </c>
    </row>
    <row r="171" spans="1:4" ht="18" hidden="1" x14ac:dyDescent="0.3">
      <c r="A171" s="18" t="s">
        <v>42</v>
      </c>
      <c r="B171" s="8"/>
      <c r="C171" s="8"/>
      <c r="D171" s="8">
        <f t="shared" si="2"/>
        <v>0</v>
      </c>
    </row>
    <row r="172" spans="1:4" ht="18" hidden="1" x14ac:dyDescent="0.3">
      <c r="A172" s="10" t="s">
        <v>43</v>
      </c>
      <c r="B172" s="8"/>
      <c r="C172" s="8"/>
      <c r="D172" s="8">
        <f t="shared" si="2"/>
        <v>0</v>
      </c>
    </row>
    <row r="173" spans="1:4" ht="18" hidden="1" x14ac:dyDescent="0.3">
      <c r="A173" s="10" t="s">
        <v>44</v>
      </c>
      <c r="B173" s="8"/>
      <c r="C173" s="8"/>
      <c r="D173" s="8">
        <f t="shared" si="2"/>
        <v>0</v>
      </c>
    </row>
    <row r="174" spans="1:4" ht="18" hidden="1" x14ac:dyDescent="0.3">
      <c r="A174" s="10" t="s">
        <v>45</v>
      </c>
      <c r="B174" s="8"/>
      <c r="C174" s="8"/>
      <c r="D174" s="8">
        <f t="shared" si="2"/>
        <v>0</v>
      </c>
    </row>
    <row r="175" spans="1:4" ht="18" hidden="1" x14ac:dyDescent="0.3">
      <c r="A175" s="10" t="s">
        <v>46</v>
      </c>
      <c r="B175" s="8"/>
      <c r="C175" s="8"/>
      <c r="D175" s="8">
        <f t="shared" si="2"/>
        <v>0</v>
      </c>
    </row>
    <row r="176" spans="1:4" ht="18" hidden="1" x14ac:dyDescent="0.3">
      <c r="A176" s="14" t="s">
        <v>47</v>
      </c>
      <c r="B176" s="8"/>
      <c r="C176" s="8"/>
      <c r="D176" s="8">
        <f t="shared" si="2"/>
        <v>0</v>
      </c>
    </row>
    <row r="177" spans="1:4" ht="18" hidden="1" x14ac:dyDescent="0.3">
      <c r="A177" s="12" t="s">
        <v>48</v>
      </c>
      <c r="B177" s="8"/>
      <c r="C177" s="8"/>
      <c r="D177" s="8">
        <f t="shared" si="2"/>
        <v>0</v>
      </c>
    </row>
    <row r="178" spans="1:4" ht="18" hidden="1" x14ac:dyDescent="0.3">
      <c r="A178" s="14" t="s">
        <v>49</v>
      </c>
      <c r="B178" s="8"/>
      <c r="C178" s="8"/>
      <c r="D178" s="8">
        <f t="shared" si="2"/>
        <v>0</v>
      </c>
    </row>
    <row r="179" spans="1:4" ht="18" hidden="1" x14ac:dyDescent="0.3">
      <c r="A179" s="10" t="s">
        <v>50</v>
      </c>
      <c r="B179" s="8"/>
      <c r="C179" s="8"/>
      <c r="D179" s="8">
        <f t="shared" si="2"/>
        <v>0</v>
      </c>
    </row>
    <row r="180" spans="1:4" ht="18" hidden="1" x14ac:dyDescent="0.3">
      <c r="A180" s="10" t="s">
        <v>51</v>
      </c>
      <c r="B180" s="8"/>
      <c r="C180" s="8"/>
      <c r="D180" s="8">
        <f t="shared" si="2"/>
        <v>0</v>
      </c>
    </row>
    <row r="181" spans="1:4" ht="18" x14ac:dyDescent="0.3">
      <c r="A181" s="13" t="s">
        <v>52</v>
      </c>
      <c r="B181" s="8">
        <v>280</v>
      </c>
      <c r="C181" s="8">
        <v>24000</v>
      </c>
      <c r="D181" s="8">
        <f t="shared" si="2"/>
        <v>6720000</v>
      </c>
    </row>
    <row r="182" spans="1:4" ht="18" hidden="1" x14ac:dyDescent="0.3">
      <c r="A182" s="31" t="s">
        <v>53</v>
      </c>
      <c r="B182" s="8"/>
      <c r="C182" s="8"/>
      <c r="D182" s="8">
        <f t="shared" si="2"/>
        <v>0</v>
      </c>
    </row>
    <row r="183" spans="1:4" ht="18" hidden="1" x14ac:dyDescent="0.3">
      <c r="A183" s="18" t="s">
        <v>54</v>
      </c>
      <c r="B183" s="8"/>
      <c r="C183" s="8"/>
      <c r="D183" s="8">
        <f t="shared" si="2"/>
        <v>0</v>
      </c>
    </row>
    <row r="184" spans="1:4" ht="18" hidden="1" x14ac:dyDescent="0.3">
      <c r="A184" s="18" t="s">
        <v>55</v>
      </c>
      <c r="B184" s="8"/>
      <c r="C184" s="8"/>
      <c r="D184" s="8">
        <f t="shared" si="2"/>
        <v>0</v>
      </c>
    </row>
    <row r="185" spans="1:4" ht="18" hidden="1" x14ac:dyDescent="0.3">
      <c r="A185" s="18" t="s">
        <v>56</v>
      </c>
      <c r="B185" s="8"/>
      <c r="C185" s="8"/>
      <c r="D185" s="8">
        <f t="shared" si="2"/>
        <v>0</v>
      </c>
    </row>
    <row r="186" spans="1:4" ht="18" hidden="1" x14ac:dyDescent="0.3">
      <c r="A186" s="10" t="s">
        <v>57</v>
      </c>
      <c r="B186" s="8"/>
      <c r="C186" s="8"/>
      <c r="D186" s="8">
        <f t="shared" si="2"/>
        <v>0</v>
      </c>
    </row>
    <row r="187" spans="1:4" ht="18" hidden="1" x14ac:dyDescent="0.3">
      <c r="A187" s="12" t="s">
        <v>58</v>
      </c>
      <c r="B187" s="8"/>
      <c r="C187" s="8"/>
      <c r="D187" s="8">
        <f t="shared" si="2"/>
        <v>0</v>
      </c>
    </row>
    <row r="188" spans="1:4" ht="18" hidden="1" x14ac:dyDescent="0.3">
      <c r="A188" s="10" t="s">
        <v>59</v>
      </c>
      <c r="B188" s="8"/>
      <c r="C188" s="8"/>
      <c r="D188" s="8">
        <f t="shared" si="2"/>
        <v>0</v>
      </c>
    </row>
    <row r="189" spans="1:4" ht="18" hidden="1" x14ac:dyDescent="0.3">
      <c r="A189" s="10" t="s">
        <v>60</v>
      </c>
      <c r="B189" s="8"/>
      <c r="C189" s="8"/>
      <c r="D189" s="8">
        <f t="shared" si="2"/>
        <v>0</v>
      </c>
    </row>
    <row r="190" spans="1:4" ht="18" hidden="1" x14ac:dyDescent="0.3">
      <c r="A190" s="18" t="s">
        <v>61</v>
      </c>
      <c r="B190" s="8"/>
      <c r="C190" s="8"/>
      <c r="D190" s="8">
        <f t="shared" si="2"/>
        <v>0</v>
      </c>
    </row>
    <row r="191" spans="1:4" ht="18" hidden="1" x14ac:dyDescent="0.3">
      <c r="A191" s="10" t="s">
        <v>62</v>
      </c>
      <c r="B191" s="8"/>
      <c r="C191" s="8"/>
      <c r="D191" s="8">
        <f t="shared" si="2"/>
        <v>0</v>
      </c>
    </row>
    <row r="192" spans="1:4" ht="18" hidden="1" x14ac:dyDescent="0.3">
      <c r="A192" s="21" t="s">
        <v>63</v>
      </c>
      <c r="B192" s="8"/>
      <c r="C192" s="8"/>
      <c r="D192" s="8">
        <f t="shared" si="2"/>
        <v>0</v>
      </c>
    </row>
    <row r="193" spans="1:4" ht="18" hidden="1" x14ac:dyDescent="0.3">
      <c r="A193" s="10" t="s">
        <v>64</v>
      </c>
      <c r="B193" s="8"/>
      <c r="C193" s="8"/>
      <c r="D193" s="8">
        <f t="shared" si="2"/>
        <v>0</v>
      </c>
    </row>
    <row r="194" spans="1:4" ht="18" hidden="1" x14ac:dyDescent="0.3">
      <c r="A194" s="10" t="s">
        <v>65</v>
      </c>
      <c r="B194" s="8"/>
      <c r="C194" s="8"/>
      <c r="D194" s="8">
        <f t="shared" si="2"/>
        <v>0</v>
      </c>
    </row>
    <row r="195" spans="1:4" ht="18" hidden="1" x14ac:dyDescent="0.3">
      <c r="A195" s="22" t="s">
        <v>66</v>
      </c>
      <c r="B195" s="8"/>
      <c r="C195" s="8"/>
      <c r="D195" s="8">
        <f t="shared" si="2"/>
        <v>0</v>
      </c>
    </row>
    <row r="196" spans="1:4" ht="18" hidden="1" x14ac:dyDescent="0.3">
      <c r="A196" s="45" t="s">
        <v>67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13" t="s">
        <v>68</v>
      </c>
      <c r="B197" s="8"/>
      <c r="C197" s="8"/>
      <c r="D197" s="8">
        <f t="shared" si="3"/>
        <v>0</v>
      </c>
    </row>
    <row r="198" spans="1:4" ht="18" hidden="1" x14ac:dyDescent="0.3">
      <c r="A198" s="12" t="s">
        <v>69</v>
      </c>
      <c r="B198" s="8"/>
      <c r="C198" s="8"/>
      <c r="D198" s="8">
        <f t="shared" si="3"/>
        <v>0</v>
      </c>
    </row>
    <row r="199" spans="1:4" ht="18" hidden="1" x14ac:dyDescent="0.3">
      <c r="A199" s="13" t="s">
        <v>70</v>
      </c>
      <c r="B199" s="8"/>
      <c r="C199" s="8"/>
      <c r="D199" s="8">
        <f t="shared" si="3"/>
        <v>0</v>
      </c>
    </row>
    <row r="200" spans="1:4" ht="18" hidden="1" x14ac:dyDescent="0.3">
      <c r="A200" s="13" t="s">
        <v>71</v>
      </c>
      <c r="B200" s="8"/>
      <c r="C200" s="8"/>
      <c r="D200" s="8">
        <f t="shared" si="3"/>
        <v>0</v>
      </c>
    </row>
    <row r="201" spans="1:4" ht="18" hidden="1" x14ac:dyDescent="0.3">
      <c r="A201" s="13" t="s">
        <v>72</v>
      </c>
      <c r="B201" s="8"/>
      <c r="C201" s="8"/>
      <c r="D201" s="8">
        <f t="shared" si="3"/>
        <v>0</v>
      </c>
    </row>
    <row r="202" spans="1:4" ht="18" hidden="1" x14ac:dyDescent="0.3">
      <c r="A202" s="22" t="s">
        <v>73</v>
      </c>
      <c r="B202" s="8"/>
      <c r="C202" s="8"/>
      <c r="D202" s="8">
        <f t="shared" si="3"/>
        <v>0</v>
      </c>
    </row>
    <row r="203" spans="1:4" ht="18" hidden="1" x14ac:dyDescent="0.3">
      <c r="A203" s="10" t="s">
        <v>74</v>
      </c>
      <c r="B203" s="8"/>
      <c r="C203" s="8"/>
      <c r="D203" s="8">
        <f t="shared" si="3"/>
        <v>0</v>
      </c>
    </row>
    <row r="204" spans="1:4" ht="18" hidden="1" x14ac:dyDescent="0.3">
      <c r="A204" s="10" t="s">
        <v>75</v>
      </c>
      <c r="B204" s="8"/>
      <c r="C204" s="8"/>
      <c r="D204" s="8">
        <f t="shared" si="3"/>
        <v>0</v>
      </c>
    </row>
    <row r="205" spans="1:4" ht="18" hidden="1" x14ac:dyDescent="0.3">
      <c r="A205" s="13" t="s">
        <v>76</v>
      </c>
      <c r="B205" s="8"/>
      <c r="C205" s="8"/>
      <c r="D205" s="8">
        <f t="shared" si="3"/>
        <v>0</v>
      </c>
    </row>
    <row r="206" spans="1:4" ht="18" x14ac:dyDescent="0.3">
      <c r="A206" s="10" t="s">
        <v>77</v>
      </c>
      <c r="B206" s="8">
        <v>60</v>
      </c>
      <c r="C206" s="8">
        <v>28000</v>
      </c>
      <c r="D206" s="8">
        <f t="shared" si="3"/>
        <v>1680000</v>
      </c>
    </row>
    <row r="207" spans="1:4" ht="18" hidden="1" x14ac:dyDescent="0.3">
      <c r="A207" s="14" t="s">
        <v>78</v>
      </c>
      <c r="B207" s="8"/>
      <c r="C207" s="8"/>
      <c r="D207" s="8">
        <f t="shared" si="3"/>
        <v>0</v>
      </c>
    </row>
    <row r="208" spans="1:4" ht="18" hidden="1" x14ac:dyDescent="0.3">
      <c r="A208" s="10" t="s">
        <v>79</v>
      </c>
      <c r="B208" s="8"/>
      <c r="C208" s="8"/>
      <c r="D208" s="8">
        <f t="shared" si="3"/>
        <v>0</v>
      </c>
    </row>
    <row r="209" spans="1:4" ht="18" hidden="1" x14ac:dyDescent="0.3">
      <c r="A209" s="10" t="s">
        <v>80</v>
      </c>
      <c r="B209" s="8"/>
      <c r="C209" s="8"/>
      <c r="D209" s="8">
        <f t="shared" si="3"/>
        <v>0</v>
      </c>
    </row>
    <row r="210" spans="1:4" ht="18" hidden="1" x14ac:dyDescent="0.3">
      <c r="A210" s="10" t="s">
        <v>81</v>
      </c>
      <c r="B210" s="8"/>
      <c r="C210" s="8"/>
      <c r="D210" s="8">
        <f t="shared" si="3"/>
        <v>0</v>
      </c>
    </row>
    <row r="211" spans="1:4" ht="18" hidden="1" x14ac:dyDescent="0.3">
      <c r="A211" s="13" t="s">
        <v>82</v>
      </c>
      <c r="B211" s="17"/>
      <c r="C211" s="17"/>
      <c r="D211" s="8">
        <f t="shared" si="3"/>
        <v>0</v>
      </c>
    </row>
    <row r="212" spans="1:4" ht="18" hidden="1" x14ac:dyDescent="0.3">
      <c r="A212" s="13" t="s">
        <v>83</v>
      </c>
      <c r="B212" s="17"/>
      <c r="C212" s="17"/>
      <c r="D212" s="8">
        <f t="shared" si="3"/>
        <v>0</v>
      </c>
    </row>
    <row r="213" spans="1:4" ht="18" hidden="1" x14ac:dyDescent="0.3">
      <c r="A213" s="13" t="s">
        <v>84</v>
      </c>
      <c r="B213" s="17"/>
      <c r="C213" s="17"/>
      <c r="D213" s="8">
        <f t="shared" si="3"/>
        <v>0</v>
      </c>
    </row>
    <row r="214" spans="1:4" ht="18" hidden="1" x14ac:dyDescent="0.3">
      <c r="A214" s="10" t="s">
        <v>85</v>
      </c>
      <c r="B214" s="8"/>
      <c r="C214" s="8"/>
      <c r="D214" s="8">
        <f t="shared" si="3"/>
        <v>0</v>
      </c>
    </row>
    <row r="215" spans="1:4" ht="18" hidden="1" x14ac:dyDescent="0.3">
      <c r="A215" s="10" t="s">
        <v>86</v>
      </c>
      <c r="B215" s="8"/>
      <c r="C215" s="8"/>
      <c r="D215" s="8">
        <f t="shared" si="3"/>
        <v>0</v>
      </c>
    </row>
    <row r="216" spans="1:4" ht="18" hidden="1" x14ac:dyDescent="0.3">
      <c r="A216" s="10" t="s">
        <v>87</v>
      </c>
      <c r="B216" s="8"/>
      <c r="C216" s="8"/>
      <c r="D216" s="8">
        <f t="shared" si="3"/>
        <v>0</v>
      </c>
    </row>
    <row r="217" spans="1:4" ht="18" hidden="1" x14ac:dyDescent="0.3">
      <c r="A217" s="10" t="s">
        <v>88</v>
      </c>
      <c r="B217" s="8"/>
      <c r="C217" s="8"/>
      <c r="D217" s="8">
        <f t="shared" si="3"/>
        <v>0</v>
      </c>
    </row>
    <row r="218" spans="1:4" ht="18" hidden="1" x14ac:dyDescent="0.3">
      <c r="A218" s="10" t="s">
        <v>89</v>
      </c>
      <c r="B218" s="8"/>
      <c r="C218" s="8"/>
      <c r="D218" s="8">
        <f t="shared" si="3"/>
        <v>0</v>
      </c>
    </row>
    <row r="219" spans="1:4" ht="18" x14ac:dyDescent="0.3">
      <c r="A219" s="10" t="s">
        <v>90</v>
      </c>
      <c r="B219" s="8">
        <v>80</v>
      </c>
      <c r="C219" s="8">
        <v>6000</v>
      </c>
      <c r="D219" s="8">
        <f t="shared" si="3"/>
        <v>480000</v>
      </c>
    </row>
    <row r="220" spans="1:4" ht="18" hidden="1" x14ac:dyDescent="0.3">
      <c r="A220" s="23" t="s">
        <v>91</v>
      </c>
      <c r="B220" s="8"/>
      <c r="C220" s="8"/>
      <c r="D220" s="8">
        <f t="shared" si="3"/>
        <v>0</v>
      </c>
    </row>
    <row r="221" spans="1:4" ht="18" hidden="1" x14ac:dyDescent="0.3">
      <c r="A221" s="23" t="s">
        <v>92</v>
      </c>
      <c r="B221" s="8"/>
      <c r="C221" s="8"/>
      <c r="D221" s="8">
        <f t="shared" si="3"/>
        <v>0</v>
      </c>
    </row>
    <row r="222" spans="1:4" ht="18" hidden="1" x14ac:dyDescent="0.3">
      <c r="A222" s="23" t="s">
        <v>93</v>
      </c>
      <c r="B222" s="8"/>
      <c r="C222" s="8"/>
      <c r="D222" s="8">
        <f t="shared" si="3"/>
        <v>0</v>
      </c>
    </row>
    <row r="223" spans="1:4" ht="18" hidden="1" x14ac:dyDescent="0.3">
      <c r="A223" s="12" t="s">
        <v>94</v>
      </c>
      <c r="B223" s="8"/>
      <c r="C223" s="8"/>
      <c r="D223" s="8">
        <f t="shared" si="3"/>
        <v>0</v>
      </c>
    </row>
    <row r="224" spans="1:4" ht="18" hidden="1" x14ac:dyDescent="0.3">
      <c r="A224" s="14" t="s">
        <v>95</v>
      </c>
      <c r="B224" s="8"/>
      <c r="C224" s="8"/>
      <c r="D224" s="8">
        <f t="shared" si="3"/>
        <v>0</v>
      </c>
    </row>
    <row r="225" spans="1:4" ht="18" hidden="1" x14ac:dyDescent="0.3">
      <c r="A225" s="12" t="s">
        <v>343</v>
      </c>
      <c r="B225" s="8"/>
      <c r="C225" s="8"/>
      <c r="D225" s="8">
        <f t="shared" si="3"/>
        <v>0</v>
      </c>
    </row>
    <row r="226" spans="1:4" ht="18" hidden="1" x14ac:dyDescent="0.3">
      <c r="A226" s="10" t="s">
        <v>96</v>
      </c>
      <c r="B226" s="8"/>
      <c r="C226" s="8"/>
      <c r="D226" s="8">
        <f t="shared" si="3"/>
        <v>0</v>
      </c>
    </row>
    <row r="227" spans="1:4" ht="18" hidden="1" x14ac:dyDescent="0.3">
      <c r="A227" s="10" t="s">
        <v>97</v>
      </c>
      <c r="B227" s="8"/>
      <c r="C227" s="8"/>
      <c r="D227" s="8">
        <f t="shared" si="3"/>
        <v>0</v>
      </c>
    </row>
    <row r="228" spans="1:4" ht="18" hidden="1" x14ac:dyDescent="0.3">
      <c r="A228" s="12" t="s">
        <v>344</v>
      </c>
      <c r="B228" s="8"/>
      <c r="C228" s="8"/>
      <c r="D228" s="8">
        <f t="shared" si="3"/>
        <v>0</v>
      </c>
    </row>
    <row r="229" spans="1:4" ht="18" hidden="1" x14ac:dyDescent="0.3">
      <c r="A229" s="12" t="s">
        <v>345</v>
      </c>
      <c r="B229" s="8"/>
      <c r="C229" s="8"/>
      <c r="D229" s="8">
        <f t="shared" si="3"/>
        <v>0</v>
      </c>
    </row>
    <row r="230" spans="1:4" ht="18" hidden="1" x14ac:dyDescent="0.3">
      <c r="A230" s="10" t="s">
        <v>99</v>
      </c>
      <c r="B230" s="17"/>
      <c r="C230" s="17"/>
      <c r="D230" s="8">
        <f t="shared" si="3"/>
        <v>0</v>
      </c>
    </row>
    <row r="231" spans="1:4" ht="18" hidden="1" x14ac:dyDescent="0.3">
      <c r="A231" s="23" t="s">
        <v>101</v>
      </c>
      <c r="B231" s="8"/>
      <c r="C231" s="8"/>
      <c r="D231" s="8">
        <f t="shared" si="3"/>
        <v>0</v>
      </c>
    </row>
    <row r="232" spans="1:4" ht="18" hidden="1" x14ac:dyDescent="0.3">
      <c r="A232" s="12" t="s">
        <v>102</v>
      </c>
      <c r="B232" s="8"/>
      <c r="C232" s="8"/>
      <c r="D232" s="8">
        <f t="shared" si="3"/>
        <v>0</v>
      </c>
    </row>
    <row r="233" spans="1:4" ht="18" hidden="1" x14ac:dyDescent="0.3">
      <c r="A233" s="12" t="s">
        <v>346</v>
      </c>
      <c r="B233" s="8"/>
      <c r="C233" s="8"/>
      <c r="D233" s="8">
        <f t="shared" si="3"/>
        <v>0</v>
      </c>
    </row>
    <row r="234" spans="1:4" ht="18" hidden="1" x14ac:dyDescent="0.3">
      <c r="A234" s="10" t="s">
        <v>103</v>
      </c>
      <c r="B234" s="8"/>
      <c r="C234" s="8"/>
      <c r="D234" s="8">
        <f t="shared" si="3"/>
        <v>0</v>
      </c>
    </row>
    <row r="235" spans="1:4" ht="18" hidden="1" x14ac:dyDescent="0.3">
      <c r="A235" s="18" t="s">
        <v>104</v>
      </c>
      <c r="B235" s="8"/>
      <c r="C235" s="8"/>
      <c r="D235" s="8">
        <f t="shared" si="3"/>
        <v>0</v>
      </c>
    </row>
    <row r="236" spans="1:4" ht="18" hidden="1" x14ac:dyDescent="0.3">
      <c r="A236" s="26" t="s">
        <v>105</v>
      </c>
      <c r="B236" s="8"/>
      <c r="C236" s="8"/>
      <c r="D236" s="8">
        <f t="shared" si="3"/>
        <v>0</v>
      </c>
    </row>
    <row r="237" spans="1:4" ht="18" hidden="1" x14ac:dyDescent="0.3">
      <c r="A237" s="26" t="s">
        <v>106</v>
      </c>
      <c r="B237" s="8"/>
      <c r="C237" s="8"/>
      <c r="D237" s="8">
        <f t="shared" si="3"/>
        <v>0</v>
      </c>
    </row>
    <row r="238" spans="1:4" ht="18" hidden="1" x14ac:dyDescent="0.3">
      <c r="A238" s="25" t="s">
        <v>107</v>
      </c>
      <c r="B238" s="8"/>
      <c r="C238" s="8"/>
      <c r="D238" s="8">
        <f t="shared" si="3"/>
        <v>0</v>
      </c>
    </row>
    <row r="239" spans="1:4" ht="18" hidden="1" x14ac:dyDescent="0.3">
      <c r="A239" s="27" t="s">
        <v>108</v>
      </c>
      <c r="B239" s="8"/>
      <c r="C239" s="8"/>
      <c r="D239" s="8">
        <f t="shared" si="3"/>
        <v>0</v>
      </c>
    </row>
    <row r="240" spans="1:4" ht="18" hidden="1" x14ac:dyDescent="0.3">
      <c r="A240" s="10" t="s">
        <v>109</v>
      </c>
      <c r="B240" s="8"/>
      <c r="C240" s="8"/>
      <c r="D240" s="8">
        <f t="shared" si="3"/>
        <v>0</v>
      </c>
    </row>
    <row r="241" spans="1:4" ht="18" hidden="1" x14ac:dyDescent="0.3">
      <c r="A241" s="10" t="s">
        <v>110</v>
      </c>
      <c r="B241" s="8"/>
      <c r="C241" s="8"/>
      <c r="D241" s="8">
        <f t="shared" si="3"/>
        <v>0</v>
      </c>
    </row>
    <row r="242" spans="1:4" ht="18" hidden="1" x14ac:dyDescent="0.3">
      <c r="A242" s="10" t="s">
        <v>111</v>
      </c>
      <c r="B242" s="8"/>
      <c r="C242" s="8"/>
      <c r="D242" s="8">
        <f t="shared" si="3"/>
        <v>0</v>
      </c>
    </row>
    <row r="243" spans="1:4" ht="18" hidden="1" x14ac:dyDescent="0.3">
      <c r="A243" s="10" t="s">
        <v>112</v>
      </c>
      <c r="B243" s="8"/>
      <c r="C243" s="8"/>
      <c r="D243" s="8">
        <f t="shared" si="3"/>
        <v>0</v>
      </c>
    </row>
    <row r="244" spans="1:4" ht="18" hidden="1" x14ac:dyDescent="0.3">
      <c r="A244" s="10" t="s">
        <v>114</v>
      </c>
      <c r="B244" s="8"/>
      <c r="C244" s="8"/>
      <c r="D244" s="8">
        <f t="shared" si="3"/>
        <v>0</v>
      </c>
    </row>
    <row r="245" spans="1:4" ht="18" hidden="1" x14ac:dyDescent="0.3">
      <c r="A245" s="10" t="s">
        <v>115</v>
      </c>
      <c r="B245" s="8"/>
      <c r="C245" s="8"/>
      <c r="D245" s="8">
        <f t="shared" si="3"/>
        <v>0</v>
      </c>
    </row>
    <row r="246" spans="1:4" ht="18" hidden="1" x14ac:dyDescent="0.3">
      <c r="A246" s="10" t="s">
        <v>347</v>
      </c>
      <c r="B246" s="8"/>
      <c r="C246" s="8"/>
      <c r="D246" s="8">
        <f t="shared" si="3"/>
        <v>0</v>
      </c>
    </row>
    <row r="247" spans="1:4" ht="18" hidden="1" x14ac:dyDescent="0.3">
      <c r="A247" s="10" t="s">
        <v>116</v>
      </c>
      <c r="B247" s="8"/>
      <c r="C247" s="8"/>
      <c r="D247" s="8">
        <f t="shared" si="3"/>
        <v>0</v>
      </c>
    </row>
    <row r="248" spans="1:4" ht="18" hidden="1" x14ac:dyDescent="0.3">
      <c r="A248" s="12" t="s">
        <v>117</v>
      </c>
      <c r="B248" s="8"/>
      <c r="C248" s="8"/>
      <c r="D248" s="8">
        <f t="shared" si="3"/>
        <v>0</v>
      </c>
    </row>
    <row r="249" spans="1:4" ht="18" hidden="1" x14ac:dyDescent="0.3">
      <c r="A249" s="23" t="s">
        <v>118</v>
      </c>
      <c r="B249" s="8"/>
      <c r="C249" s="8"/>
      <c r="D249" s="8">
        <f t="shared" si="3"/>
        <v>0</v>
      </c>
    </row>
    <row r="250" spans="1:4" ht="18" hidden="1" x14ac:dyDescent="0.3">
      <c r="A250" s="10" t="s">
        <v>119</v>
      </c>
      <c r="B250" s="8"/>
      <c r="C250" s="8"/>
      <c r="D250" s="8">
        <f t="shared" si="3"/>
        <v>0</v>
      </c>
    </row>
    <row r="251" spans="1:4" ht="18" hidden="1" x14ac:dyDescent="0.3">
      <c r="A251" s="12" t="s">
        <v>120</v>
      </c>
      <c r="B251" s="8"/>
      <c r="C251" s="8"/>
      <c r="D251" s="8">
        <f t="shared" si="3"/>
        <v>0</v>
      </c>
    </row>
    <row r="252" spans="1:4" ht="18" hidden="1" x14ac:dyDescent="0.3">
      <c r="A252" s="12" t="s">
        <v>121</v>
      </c>
      <c r="B252" s="8"/>
      <c r="C252" s="8"/>
      <c r="D252" s="8">
        <f t="shared" si="3"/>
        <v>0</v>
      </c>
    </row>
    <row r="253" spans="1:4" ht="18" hidden="1" x14ac:dyDescent="0.3">
      <c r="A253" s="10" t="s">
        <v>122</v>
      </c>
      <c r="B253" s="8"/>
      <c r="C253" s="8"/>
      <c r="D253" s="8">
        <f t="shared" si="3"/>
        <v>0</v>
      </c>
    </row>
    <row r="254" spans="1:4" ht="18" hidden="1" x14ac:dyDescent="0.3">
      <c r="A254" s="11" t="s">
        <v>124</v>
      </c>
      <c r="B254" s="8"/>
      <c r="C254" s="8"/>
      <c r="D254" s="8">
        <f t="shared" si="3"/>
        <v>0</v>
      </c>
    </row>
    <row r="255" spans="1:4" ht="18" hidden="1" x14ac:dyDescent="0.3">
      <c r="A255" s="14" t="s">
        <v>125</v>
      </c>
      <c r="B255" s="8"/>
      <c r="C255" s="8"/>
      <c r="D255" s="8">
        <f t="shared" si="3"/>
        <v>0</v>
      </c>
    </row>
    <row r="256" spans="1:4" ht="18" hidden="1" x14ac:dyDescent="0.3">
      <c r="A256" s="13" t="s">
        <v>126</v>
      </c>
      <c r="B256" s="17"/>
      <c r="C256" s="17"/>
      <c r="D256" s="8">
        <f t="shared" si="3"/>
        <v>0</v>
      </c>
    </row>
    <row r="257" spans="1:4" ht="18" hidden="1" x14ac:dyDescent="0.3">
      <c r="A257" s="13" t="s">
        <v>127</v>
      </c>
      <c r="B257" s="17"/>
      <c r="C257" s="17"/>
      <c r="D257" s="8">
        <f t="shared" si="3"/>
        <v>0</v>
      </c>
    </row>
    <row r="258" spans="1:4" ht="18" hidden="1" x14ac:dyDescent="0.3">
      <c r="A258" s="13" t="s">
        <v>128</v>
      </c>
      <c r="B258" s="17"/>
      <c r="C258" s="17"/>
      <c r="D258" s="8">
        <f t="shared" si="3"/>
        <v>0</v>
      </c>
    </row>
    <row r="259" spans="1:4" ht="18" hidden="1" x14ac:dyDescent="0.3">
      <c r="A259" s="13" t="s">
        <v>129</v>
      </c>
      <c r="B259" s="29"/>
      <c r="C259" s="29"/>
      <c r="D259" s="8">
        <f t="shared" si="3"/>
        <v>0</v>
      </c>
    </row>
    <row r="260" spans="1:4" ht="18" hidden="1" x14ac:dyDescent="0.3">
      <c r="A260" s="30" t="s">
        <v>130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3" t="s">
        <v>131</v>
      </c>
      <c r="B261" s="17"/>
      <c r="C261" s="17"/>
      <c r="D261" s="8">
        <f t="shared" si="4"/>
        <v>0</v>
      </c>
    </row>
    <row r="262" spans="1:4" ht="18" hidden="1" x14ac:dyDescent="0.3">
      <c r="A262" s="10" t="s">
        <v>132</v>
      </c>
      <c r="B262" s="8"/>
      <c r="C262" s="8"/>
      <c r="D262" s="8">
        <f t="shared" si="4"/>
        <v>0</v>
      </c>
    </row>
    <row r="263" spans="1:4" ht="18" hidden="1" x14ac:dyDescent="0.3">
      <c r="A263" s="10" t="s">
        <v>133</v>
      </c>
      <c r="B263" s="8"/>
      <c r="C263" s="8"/>
      <c r="D263" s="8">
        <f t="shared" si="4"/>
        <v>0</v>
      </c>
    </row>
    <row r="264" spans="1:4" ht="18" x14ac:dyDescent="0.3">
      <c r="A264" s="10" t="s">
        <v>135</v>
      </c>
      <c r="B264" s="8">
        <v>70</v>
      </c>
      <c r="C264" s="8">
        <v>5500</v>
      </c>
      <c r="D264" s="8">
        <f t="shared" si="4"/>
        <v>385000</v>
      </c>
    </row>
    <row r="265" spans="1:4" ht="18" hidden="1" x14ac:dyDescent="0.3">
      <c r="A265" s="18" t="s">
        <v>136</v>
      </c>
      <c r="B265" s="8"/>
      <c r="C265" s="8"/>
      <c r="D265" s="8">
        <f t="shared" si="4"/>
        <v>0</v>
      </c>
    </row>
    <row r="266" spans="1:4" ht="18" hidden="1" x14ac:dyDescent="0.3">
      <c r="A266" s="13" t="s">
        <v>137</v>
      </c>
      <c r="B266" s="8"/>
      <c r="C266" s="8"/>
      <c r="D266" s="8">
        <f t="shared" si="4"/>
        <v>0</v>
      </c>
    </row>
    <row r="267" spans="1:4" ht="18" hidden="1" x14ac:dyDescent="0.3">
      <c r="A267" s="13" t="s">
        <v>138</v>
      </c>
      <c r="B267" s="8"/>
      <c r="C267" s="8"/>
      <c r="D267" s="8">
        <f t="shared" si="4"/>
        <v>0</v>
      </c>
    </row>
    <row r="268" spans="1:4" ht="18" hidden="1" x14ac:dyDescent="0.3">
      <c r="A268" s="10" t="s">
        <v>139</v>
      </c>
      <c r="B268" s="8"/>
      <c r="C268" s="8"/>
      <c r="D268" s="8">
        <f t="shared" si="4"/>
        <v>0</v>
      </c>
    </row>
    <row r="269" spans="1:4" ht="18" hidden="1" x14ac:dyDescent="0.3">
      <c r="A269" s="10" t="s">
        <v>348</v>
      </c>
      <c r="B269" s="8"/>
      <c r="C269" s="8"/>
      <c r="D269" s="8">
        <f t="shared" si="4"/>
        <v>0</v>
      </c>
    </row>
    <row r="270" spans="1:4" ht="18" hidden="1" x14ac:dyDescent="0.3">
      <c r="A270" s="10" t="s">
        <v>141</v>
      </c>
      <c r="B270" s="17"/>
      <c r="C270" s="17"/>
      <c r="D270" s="8">
        <f t="shared" si="4"/>
        <v>0</v>
      </c>
    </row>
    <row r="271" spans="1:4" ht="18" hidden="1" x14ac:dyDescent="0.3">
      <c r="A271" s="10" t="s">
        <v>142</v>
      </c>
      <c r="B271" s="17"/>
      <c r="C271" s="17"/>
      <c r="D271" s="8">
        <f t="shared" si="4"/>
        <v>0</v>
      </c>
    </row>
    <row r="272" spans="1:4" ht="18" hidden="1" x14ac:dyDescent="0.3">
      <c r="A272" s="10" t="s">
        <v>143</v>
      </c>
      <c r="B272" s="8"/>
      <c r="C272" s="8"/>
      <c r="D272" s="8">
        <f t="shared" si="4"/>
        <v>0</v>
      </c>
    </row>
    <row r="273" spans="1:4" ht="18" hidden="1" x14ac:dyDescent="0.3">
      <c r="A273" s="10" t="s">
        <v>144</v>
      </c>
      <c r="B273" s="17"/>
      <c r="C273" s="17"/>
      <c r="D273" s="8">
        <f t="shared" si="4"/>
        <v>0</v>
      </c>
    </row>
    <row r="274" spans="1:4" ht="18" hidden="1" x14ac:dyDescent="0.3">
      <c r="A274" s="10" t="s">
        <v>145</v>
      </c>
      <c r="B274" s="17"/>
      <c r="C274" s="17"/>
      <c r="D274" s="8">
        <f t="shared" si="4"/>
        <v>0</v>
      </c>
    </row>
    <row r="275" spans="1:4" ht="18" hidden="1" x14ac:dyDescent="0.3">
      <c r="A275" s="10" t="s">
        <v>146</v>
      </c>
      <c r="B275" s="17"/>
      <c r="C275" s="17"/>
      <c r="D275" s="8">
        <f t="shared" si="4"/>
        <v>0</v>
      </c>
    </row>
    <row r="276" spans="1:4" ht="18" hidden="1" x14ac:dyDescent="0.3">
      <c r="A276" s="10" t="s">
        <v>147</v>
      </c>
      <c r="B276" s="17"/>
      <c r="C276" s="17"/>
      <c r="D276" s="8">
        <f t="shared" si="4"/>
        <v>0</v>
      </c>
    </row>
    <row r="277" spans="1:4" ht="18" hidden="1" x14ac:dyDescent="0.3">
      <c r="A277" s="10" t="s">
        <v>148</v>
      </c>
      <c r="B277" s="17"/>
      <c r="C277" s="17"/>
      <c r="D277" s="8">
        <f t="shared" si="4"/>
        <v>0</v>
      </c>
    </row>
    <row r="278" spans="1:4" ht="18" hidden="1" x14ac:dyDescent="0.3">
      <c r="A278" s="10" t="s">
        <v>149</v>
      </c>
      <c r="B278" s="17"/>
      <c r="C278" s="17"/>
      <c r="D278" s="8">
        <f t="shared" si="4"/>
        <v>0</v>
      </c>
    </row>
    <row r="279" spans="1:4" ht="18" hidden="1" x14ac:dyDescent="0.3">
      <c r="A279" s="10" t="s">
        <v>150</v>
      </c>
      <c r="B279" s="17"/>
      <c r="C279" s="17"/>
      <c r="D279" s="8">
        <f t="shared" si="4"/>
        <v>0</v>
      </c>
    </row>
    <row r="280" spans="1:4" ht="18" hidden="1" x14ac:dyDescent="0.3">
      <c r="A280" s="10" t="s">
        <v>151</v>
      </c>
      <c r="B280" s="17"/>
      <c r="C280" s="17"/>
      <c r="D280" s="8">
        <f t="shared" si="4"/>
        <v>0</v>
      </c>
    </row>
    <row r="281" spans="1:4" ht="18" hidden="1" x14ac:dyDescent="0.3">
      <c r="A281" s="10" t="s">
        <v>152</v>
      </c>
      <c r="B281" s="8"/>
      <c r="C281" s="8"/>
      <c r="D281" s="8">
        <f t="shared" si="4"/>
        <v>0</v>
      </c>
    </row>
    <row r="282" spans="1:4" ht="18" hidden="1" x14ac:dyDescent="0.3">
      <c r="A282" s="10" t="s">
        <v>349</v>
      </c>
      <c r="B282" s="8"/>
      <c r="C282" s="8"/>
      <c r="D282" s="8">
        <f t="shared" si="4"/>
        <v>0</v>
      </c>
    </row>
    <row r="283" spans="1:4" ht="18" hidden="1" x14ac:dyDescent="0.3">
      <c r="A283" s="10" t="s">
        <v>153</v>
      </c>
      <c r="B283" s="8"/>
      <c r="C283" s="8"/>
      <c r="D283" s="8">
        <f t="shared" si="4"/>
        <v>0</v>
      </c>
    </row>
    <row r="284" spans="1:4" ht="18" hidden="1" x14ac:dyDescent="0.3">
      <c r="A284" s="10" t="s">
        <v>154</v>
      </c>
      <c r="B284" s="8"/>
      <c r="C284" s="8"/>
      <c r="D284" s="8">
        <f t="shared" si="4"/>
        <v>0</v>
      </c>
    </row>
    <row r="285" spans="1:4" ht="18" hidden="1" x14ac:dyDescent="0.3">
      <c r="A285" s="10" t="s">
        <v>155</v>
      </c>
      <c r="B285" s="8"/>
      <c r="C285" s="8"/>
      <c r="D285" s="8">
        <f t="shared" si="4"/>
        <v>0</v>
      </c>
    </row>
    <row r="286" spans="1:4" ht="18" hidden="1" x14ac:dyDescent="0.3">
      <c r="A286" s="18" t="s">
        <v>156</v>
      </c>
      <c r="B286" s="8"/>
      <c r="C286" s="8"/>
      <c r="D286" s="8">
        <f t="shared" si="4"/>
        <v>0</v>
      </c>
    </row>
    <row r="287" spans="1:4" ht="18" hidden="1" x14ac:dyDescent="0.3">
      <c r="A287" s="10" t="s">
        <v>157</v>
      </c>
      <c r="B287" s="8"/>
      <c r="C287" s="8"/>
      <c r="D287" s="8">
        <f t="shared" si="4"/>
        <v>0</v>
      </c>
    </row>
    <row r="288" spans="1:4" ht="18" hidden="1" x14ac:dyDescent="0.3">
      <c r="A288" s="10" t="s">
        <v>158</v>
      </c>
      <c r="B288" s="8"/>
      <c r="C288" s="8"/>
      <c r="D288" s="8">
        <f t="shared" si="4"/>
        <v>0</v>
      </c>
    </row>
    <row r="289" spans="1:4" ht="18" hidden="1" x14ac:dyDescent="0.3">
      <c r="A289" s="10" t="s">
        <v>159</v>
      </c>
      <c r="B289" s="8"/>
      <c r="C289" s="8"/>
      <c r="D289" s="8">
        <f t="shared" si="4"/>
        <v>0</v>
      </c>
    </row>
    <row r="290" spans="1:4" ht="18" hidden="1" x14ac:dyDescent="0.3">
      <c r="A290" s="10" t="s">
        <v>160</v>
      </c>
      <c r="B290" s="8"/>
      <c r="C290" s="8"/>
      <c r="D290" s="8">
        <f t="shared" si="4"/>
        <v>0</v>
      </c>
    </row>
    <row r="291" spans="1:4" ht="18" hidden="1" x14ac:dyDescent="0.3">
      <c r="A291" s="10" t="s">
        <v>161</v>
      </c>
      <c r="B291" s="17"/>
      <c r="C291" s="17"/>
      <c r="D291" s="8">
        <f t="shared" si="4"/>
        <v>0</v>
      </c>
    </row>
    <row r="292" spans="1:4" ht="18" hidden="1" x14ac:dyDescent="0.3">
      <c r="A292" s="31" t="s">
        <v>162</v>
      </c>
      <c r="B292" s="17"/>
      <c r="C292" s="17"/>
      <c r="D292" s="8">
        <f t="shared" si="4"/>
        <v>0</v>
      </c>
    </row>
    <row r="293" spans="1:4" ht="18" hidden="1" x14ac:dyDescent="0.3">
      <c r="A293" s="10" t="s">
        <v>163</v>
      </c>
      <c r="B293" s="17"/>
      <c r="C293" s="17"/>
      <c r="D293" s="8">
        <f t="shared" si="4"/>
        <v>0</v>
      </c>
    </row>
    <row r="294" spans="1:4" ht="18" hidden="1" x14ac:dyDescent="0.3">
      <c r="A294" s="10" t="s">
        <v>165</v>
      </c>
      <c r="B294" s="8"/>
      <c r="C294" s="8"/>
      <c r="D294" s="8">
        <f t="shared" si="4"/>
        <v>0</v>
      </c>
    </row>
    <row r="295" spans="1:4" ht="18" hidden="1" x14ac:dyDescent="0.3">
      <c r="A295" s="18" t="s">
        <v>166</v>
      </c>
      <c r="B295" s="8"/>
      <c r="C295" s="8"/>
      <c r="D295" s="8">
        <f t="shared" si="4"/>
        <v>0</v>
      </c>
    </row>
    <row r="296" spans="1:4" ht="18" x14ac:dyDescent="0.3">
      <c r="A296" s="10" t="s">
        <v>350</v>
      </c>
      <c r="B296" s="8">
        <v>154</v>
      </c>
      <c r="C296" s="8">
        <v>6500</v>
      </c>
      <c r="D296" s="8">
        <f t="shared" si="4"/>
        <v>1001000</v>
      </c>
    </row>
    <row r="297" spans="1:4" ht="18" hidden="1" x14ac:dyDescent="0.3">
      <c r="A297" s="13" t="s">
        <v>167</v>
      </c>
      <c r="B297" s="8"/>
      <c r="C297" s="8"/>
      <c r="D297" s="8">
        <f t="shared" si="4"/>
        <v>0</v>
      </c>
    </row>
    <row r="298" spans="1:4" ht="18" hidden="1" x14ac:dyDescent="0.3">
      <c r="A298" s="10" t="s">
        <v>168</v>
      </c>
      <c r="B298" s="8"/>
      <c r="C298" s="8"/>
      <c r="D298" s="8">
        <f t="shared" si="4"/>
        <v>0</v>
      </c>
    </row>
    <row r="299" spans="1:4" ht="18" hidden="1" x14ac:dyDescent="0.3">
      <c r="A299" s="10" t="s">
        <v>170</v>
      </c>
      <c r="B299" s="8"/>
      <c r="C299" s="8"/>
      <c r="D299" s="8">
        <f t="shared" si="4"/>
        <v>0</v>
      </c>
    </row>
    <row r="300" spans="1:4" ht="18" hidden="1" x14ac:dyDescent="0.3">
      <c r="A300" s="10" t="s">
        <v>171</v>
      </c>
      <c r="B300" s="8"/>
      <c r="C300" s="8"/>
      <c r="D300" s="8">
        <f t="shared" si="4"/>
        <v>0</v>
      </c>
    </row>
    <row r="301" spans="1:4" ht="18" hidden="1" x14ac:dyDescent="0.3">
      <c r="A301" s="22" t="s">
        <v>172</v>
      </c>
      <c r="B301" s="8"/>
      <c r="C301" s="8"/>
      <c r="D301" s="8">
        <f t="shared" si="4"/>
        <v>0</v>
      </c>
    </row>
    <row r="302" spans="1:4" ht="18" hidden="1" x14ac:dyDescent="0.3">
      <c r="A302" s="10" t="s">
        <v>173</v>
      </c>
      <c r="B302" s="8"/>
      <c r="C302" s="8"/>
      <c r="D302" s="8">
        <f t="shared" si="4"/>
        <v>0</v>
      </c>
    </row>
    <row r="303" spans="1:4" ht="18" hidden="1" x14ac:dyDescent="0.3">
      <c r="A303" s="34" t="s">
        <v>174</v>
      </c>
      <c r="B303" s="36"/>
      <c r="C303" s="36"/>
      <c r="D303" s="8">
        <f t="shared" si="4"/>
        <v>0</v>
      </c>
    </row>
    <row r="304" spans="1:4" ht="18" hidden="1" x14ac:dyDescent="0.3">
      <c r="A304" s="12" t="s">
        <v>175</v>
      </c>
      <c r="B304" s="8"/>
      <c r="C304" s="8"/>
      <c r="D304" s="8">
        <f t="shared" si="4"/>
        <v>0</v>
      </c>
    </row>
    <row r="305" spans="1:4" ht="18" hidden="1" x14ac:dyDescent="0.3">
      <c r="A305" s="10" t="s">
        <v>176</v>
      </c>
      <c r="B305" s="8"/>
      <c r="C305" s="8"/>
      <c r="D305" s="8">
        <f t="shared" si="4"/>
        <v>0</v>
      </c>
    </row>
    <row r="306" spans="1:4" ht="18" hidden="1" x14ac:dyDescent="0.3">
      <c r="A306" s="10" t="s">
        <v>177</v>
      </c>
      <c r="B306" s="8"/>
      <c r="C306" s="8"/>
      <c r="D306" s="8">
        <f t="shared" si="4"/>
        <v>0</v>
      </c>
    </row>
    <row r="307" spans="1:4" ht="18" hidden="1" x14ac:dyDescent="0.3">
      <c r="A307" s="13" t="s">
        <v>178</v>
      </c>
      <c r="B307" s="8"/>
      <c r="C307" s="8"/>
      <c r="D307" s="8">
        <f t="shared" si="4"/>
        <v>0</v>
      </c>
    </row>
    <row r="308" spans="1:4" ht="18" hidden="1" x14ac:dyDescent="0.3">
      <c r="A308" s="10" t="s">
        <v>179</v>
      </c>
      <c r="B308" s="8"/>
      <c r="C308" s="8"/>
      <c r="D308" s="8">
        <f t="shared" si="4"/>
        <v>0</v>
      </c>
    </row>
    <row r="309" spans="1:4" ht="18" hidden="1" x14ac:dyDescent="0.3">
      <c r="A309" s="10" t="s">
        <v>180</v>
      </c>
      <c r="B309" s="8"/>
      <c r="C309" s="8"/>
      <c r="D309" s="8">
        <f t="shared" si="4"/>
        <v>0</v>
      </c>
    </row>
    <row r="310" spans="1:4" ht="18" hidden="1" x14ac:dyDescent="0.3">
      <c r="A310" s="13" t="s">
        <v>181</v>
      </c>
      <c r="B310" s="8"/>
      <c r="C310" s="8"/>
      <c r="D310" s="8">
        <f t="shared" si="4"/>
        <v>0</v>
      </c>
    </row>
    <row r="311" spans="1:4" ht="18" hidden="1" x14ac:dyDescent="0.3">
      <c r="A311" s="13" t="s">
        <v>182</v>
      </c>
      <c r="B311" s="8"/>
      <c r="C311" s="8"/>
      <c r="D311" s="8">
        <f t="shared" si="4"/>
        <v>0</v>
      </c>
    </row>
    <row r="312" spans="1:4" ht="18" x14ac:dyDescent="0.3">
      <c r="A312" s="13" t="s">
        <v>183</v>
      </c>
      <c r="B312" s="8">
        <f>460+320+900+400-150</f>
        <v>1930</v>
      </c>
      <c r="C312" s="8">
        <v>7700</v>
      </c>
      <c r="D312" s="8">
        <f t="shared" si="4"/>
        <v>14861000</v>
      </c>
    </row>
    <row r="313" spans="1:4" ht="18" hidden="1" x14ac:dyDescent="0.3">
      <c r="A313" s="10" t="s">
        <v>184</v>
      </c>
      <c r="B313" s="8"/>
      <c r="C313" s="8"/>
      <c r="D313" s="8">
        <f t="shared" si="4"/>
        <v>0</v>
      </c>
    </row>
    <row r="314" spans="1:4" ht="18" hidden="1" x14ac:dyDescent="0.3">
      <c r="A314" s="13" t="s">
        <v>185</v>
      </c>
      <c r="B314" s="8"/>
      <c r="C314" s="8"/>
      <c r="D314" s="8">
        <f t="shared" si="4"/>
        <v>0</v>
      </c>
    </row>
    <row r="315" spans="1:4" ht="18" hidden="1" x14ac:dyDescent="0.3">
      <c r="A315" s="13" t="s">
        <v>186</v>
      </c>
      <c r="B315" s="8"/>
      <c r="C315" s="8"/>
      <c r="D315" s="8">
        <f t="shared" si="4"/>
        <v>0</v>
      </c>
    </row>
    <row r="316" spans="1:4" ht="18" hidden="1" x14ac:dyDescent="0.3">
      <c r="A316" s="13" t="s">
        <v>187</v>
      </c>
      <c r="B316" s="8"/>
      <c r="C316" s="8"/>
      <c r="D316" s="8">
        <f t="shared" si="4"/>
        <v>0</v>
      </c>
    </row>
    <row r="317" spans="1:4" ht="18" hidden="1" x14ac:dyDescent="0.3">
      <c r="A317" s="10" t="s">
        <v>188</v>
      </c>
      <c r="B317" s="8"/>
      <c r="C317" s="8"/>
      <c r="D317" s="8">
        <f t="shared" si="4"/>
        <v>0</v>
      </c>
    </row>
    <row r="318" spans="1:4" ht="18" hidden="1" x14ac:dyDescent="0.3">
      <c r="A318" s="18" t="s">
        <v>189</v>
      </c>
      <c r="B318" s="8"/>
      <c r="C318" s="8"/>
      <c r="D318" s="8">
        <f t="shared" si="4"/>
        <v>0</v>
      </c>
    </row>
    <row r="319" spans="1:4" ht="18" hidden="1" x14ac:dyDescent="0.3">
      <c r="A319" s="18" t="s">
        <v>190</v>
      </c>
      <c r="B319" s="8"/>
      <c r="C319" s="8"/>
      <c r="D319" s="8">
        <f t="shared" si="4"/>
        <v>0</v>
      </c>
    </row>
    <row r="320" spans="1:4" ht="18" hidden="1" x14ac:dyDescent="0.3">
      <c r="A320" s="18" t="s">
        <v>191</v>
      </c>
      <c r="B320" s="8"/>
      <c r="C320" s="8"/>
      <c r="D320" s="8">
        <f t="shared" si="4"/>
        <v>0</v>
      </c>
    </row>
    <row r="321" spans="1:4" ht="18" hidden="1" x14ac:dyDescent="0.3">
      <c r="A321" s="18" t="s">
        <v>192</v>
      </c>
      <c r="B321" s="8"/>
      <c r="C321" s="8"/>
      <c r="D321" s="8">
        <f t="shared" si="4"/>
        <v>0</v>
      </c>
    </row>
    <row r="322" spans="1:4" ht="18" hidden="1" x14ac:dyDescent="0.3">
      <c r="A322" s="13" t="s">
        <v>193</v>
      </c>
      <c r="B322" s="8"/>
      <c r="C322" s="8"/>
      <c r="D322" s="8">
        <f t="shared" si="4"/>
        <v>0</v>
      </c>
    </row>
    <row r="323" spans="1:4" ht="18" hidden="1" x14ac:dyDescent="0.3">
      <c r="A323" s="10" t="s">
        <v>194</v>
      </c>
      <c r="B323" s="8"/>
      <c r="C323" s="8"/>
      <c r="D323" s="8">
        <f t="shared" si="4"/>
        <v>0</v>
      </c>
    </row>
    <row r="324" spans="1:4" ht="18" hidden="1" x14ac:dyDescent="0.3">
      <c r="A324" s="37" t="s">
        <v>195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37" t="s">
        <v>196</v>
      </c>
      <c r="B325" s="8"/>
      <c r="C325" s="8"/>
      <c r="D325" s="8">
        <f t="shared" si="5"/>
        <v>0</v>
      </c>
    </row>
    <row r="326" spans="1:4" ht="18" hidden="1" x14ac:dyDescent="0.3">
      <c r="A326" s="37" t="s">
        <v>197</v>
      </c>
      <c r="B326" s="8"/>
      <c r="C326" s="8"/>
      <c r="D326" s="8">
        <f t="shared" si="5"/>
        <v>0</v>
      </c>
    </row>
    <row r="327" spans="1:4" ht="18" hidden="1" x14ac:dyDescent="0.3">
      <c r="A327" s="37" t="s">
        <v>198</v>
      </c>
      <c r="B327" s="8"/>
      <c r="C327" s="8"/>
      <c r="D327" s="8">
        <f t="shared" si="5"/>
        <v>0</v>
      </c>
    </row>
    <row r="328" spans="1:4" ht="18" hidden="1" x14ac:dyDescent="0.3">
      <c r="A328" s="10" t="s">
        <v>199</v>
      </c>
      <c r="B328" s="8"/>
      <c r="C328" s="8"/>
      <c r="D328" s="8">
        <f t="shared" si="5"/>
        <v>0</v>
      </c>
    </row>
    <row r="329" spans="1:4" ht="18" hidden="1" x14ac:dyDescent="0.3">
      <c r="A329" s="38" t="s">
        <v>200</v>
      </c>
      <c r="B329" s="8"/>
      <c r="C329" s="8"/>
      <c r="D329" s="8">
        <f t="shared" si="5"/>
        <v>0</v>
      </c>
    </row>
    <row r="330" spans="1:4" ht="18" hidden="1" x14ac:dyDescent="0.3">
      <c r="A330" s="10" t="s">
        <v>201</v>
      </c>
      <c r="B330" s="8"/>
      <c r="C330" s="8"/>
      <c r="D330" s="8">
        <f t="shared" si="5"/>
        <v>0</v>
      </c>
    </row>
    <row r="331" spans="1:4" ht="18" hidden="1" x14ac:dyDescent="0.3">
      <c r="A331" s="13" t="s">
        <v>202</v>
      </c>
      <c r="B331" s="8"/>
      <c r="C331" s="8"/>
      <c r="D331" s="8">
        <f t="shared" si="5"/>
        <v>0</v>
      </c>
    </row>
    <row r="332" spans="1:4" ht="18" hidden="1" x14ac:dyDescent="0.3">
      <c r="A332" s="10" t="s">
        <v>351</v>
      </c>
      <c r="B332" s="8"/>
      <c r="C332" s="8"/>
      <c r="D332" s="8">
        <f t="shared" si="5"/>
        <v>0</v>
      </c>
    </row>
    <row r="333" spans="1:4" ht="18" hidden="1" x14ac:dyDescent="0.3">
      <c r="A333" s="10" t="s">
        <v>203</v>
      </c>
      <c r="B333" s="8"/>
      <c r="C333" s="8"/>
      <c r="D333" s="8">
        <f t="shared" si="5"/>
        <v>0</v>
      </c>
    </row>
    <row r="334" spans="1:4" ht="18" x14ac:dyDescent="0.3">
      <c r="A334" s="10" t="s">
        <v>204</v>
      </c>
      <c r="B334" s="8">
        <f>90+180+120+110+30</f>
        <v>530</v>
      </c>
      <c r="C334" s="8">
        <v>11500</v>
      </c>
      <c r="D334" s="8">
        <f t="shared" si="5"/>
        <v>6095000</v>
      </c>
    </row>
    <row r="335" spans="1:4" ht="18" hidden="1" x14ac:dyDescent="0.3">
      <c r="A335" s="39" t="s">
        <v>205</v>
      </c>
      <c r="B335" s="8"/>
      <c r="C335" s="8"/>
      <c r="D335" s="8">
        <f t="shared" si="5"/>
        <v>0</v>
      </c>
    </row>
    <row r="336" spans="1:4" ht="18" hidden="1" x14ac:dyDescent="0.3">
      <c r="A336" s="39" t="s">
        <v>206</v>
      </c>
      <c r="B336" s="8"/>
      <c r="C336" s="8"/>
      <c r="D336" s="8">
        <f t="shared" si="5"/>
        <v>0</v>
      </c>
    </row>
    <row r="337" spans="1:4" ht="18" hidden="1" x14ac:dyDescent="0.3">
      <c r="A337" s="10" t="s">
        <v>207</v>
      </c>
      <c r="B337" s="8"/>
      <c r="C337" s="8"/>
      <c r="D337" s="8">
        <f t="shared" si="5"/>
        <v>0</v>
      </c>
    </row>
    <row r="338" spans="1:4" ht="18" hidden="1" x14ac:dyDescent="0.3">
      <c r="A338" s="12" t="s">
        <v>208</v>
      </c>
      <c r="B338" s="8"/>
      <c r="C338" s="8"/>
      <c r="D338" s="8">
        <f t="shared" si="5"/>
        <v>0</v>
      </c>
    </row>
    <row r="339" spans="1:4" ht="18" hidden="1" x14ac:dyDescent="0.3">
      <c r="A339" s="10" t="s">
        <v>209</v>
      </c>
      <c r="B339" s="8"/>
      <c r="C339" s="8"/>
      <c r="D339" s="8">
        <f t="shared" si="5"/>
        <v>0</v>
      </c>
    </row>
    <row r="340" spans="1:4" ht="18" hidden="1" x14ac:dyDescent="0.3">
      <c r="A340" s="12" t="s">
        <v>352</v>
      </c>
      <c r="B340" s="8"/>
      <c r="C340" s="8"/>
      <c r="D340" s="8">
        <f t="shared" si="5"/>
        <v>0</v>
      </c>
    </row>
    <row r="341" spans="1:4" ht="18" hidden="1" x14ac:dyDescent="0.3">
      <c r="A341" s="10" t="s">
        <v>210</v>
      </c>
      <c r="B341" s="8"/>
      <c r="C341" s="8"/>
      <c r="D341" s="8">
        <f t="shared" si="5"/>
        <v>0</v>
      </c>
    </row>
    <row r="342" spans="1:4" ht="18" hidden="1" x14ac:dyDescent="0.3">
      <c r="A342" s="10" t="s">
        <v>211</v>
      </c>
      <c r="B342" s="8"/>
      <c r="C342" s="8"/>
      <c r="D342" s="8">
        <f t="shared" si="5"/>
        <v>0</v>
      </c>
    </row>
    <row r="343" spans="1:4" ht="18" hidden="1" x14ac:dyDescent="0.3">
      <c r="A343" s="10" t="s">
        <v>353</v>
      </c>
      <c r="B343" s="8"/>
      <c r="C343" s="8"/>
      <c r="D343" s="8">
        <f t="shared" si="5"/>
        <v>0</v>
      </c>
    </row>
    <row r="344" spans="1:4" ht="18" hidden="1" x14ac:dyDescent="0.3">
      <c r="A344" s="10" t="s">
        <v>354</v>
      </c>
      <c r="B344" s="8"/>
      <c r="C344" s="8"/>
      <c r="D344" s="8">
        <f t="shared" si="5"/>
        <v>0</v>
      </c>
    </row>
    <row r="345" spans="1:4" ht="18" x14ac:dyDescent="0.3">
      <c r="A345" s="10" t="s">
        <v>212</v>
      </c>
      <c r="B345" s="8">
        <v>15</v>
      </c>
      <c r="C345" s="8">
        <v>17000</v>
      </c>
      <c r="D345" s="8">
        <f t="shared" si="5"/>
        <v>255000</v>
      </c>
    </row>
    <row r="346" spans="1:4" ht="18" hidden="1" x14ac:dyDescent="0.3">
      <c r="A346" s="40" t="s">
        <v>213</v>
      </c>
      <c r="B346" s="8"/>
      <c r="C346" s="8"/>
      <c r="D346" s="8">
        <f t="shared" si="5"/>
        <v>0</v>
      </c>
    </row>
    <row r="347" spans="1:4" ht="18" hidden="1" x14ac:dyDescent="0.3">
      <c r="A347" s="10" t="s">
        <v>214</v>
      </c>
      <c r="B347" s="8"/>
      <c r="C347" s="8"/>
      <c r="D347" s="8">
        <f t="shared" si="5"/>
        <v>0</v>
      </c>
    </row>
    <row r="348" spans="1:4" ht="18" x14ac:dyDescent="0.3">
      <c r="A348" s="10" t="s">
        <v>215</v>
      </c>
      <c r="B348" s="8">
        <f>30+13+100+15+200-250</f>
        <v>108</v>
      </c>
      <c r="C348" s="8">
        <v>16000</v>
      </c>
      <c r="D348" s="8">
        <f t="shared" si="5"/>
        <v>1728000</v>
      </c>
    </row>
    <row r="349" spans="1:4" ht="18" hidden="1" x14ac:dyDescent="0.3">
      <c r="A349" s="10" t="s">
        <v>216</v>
      </c>
      <c r="B349" s="8"/>
      <c r="C349" s="8"/>
      <c r="D349" s="8">
        <f t="shared" si="5"/>
        <v>0</v>
      </c>
    </row>
    <row r="350" spans="1:4" ht="18" hidden="1" x14ac:dyDescent="0.3">
      <c r="A350" s="10" t="s">
        <v>355</v>
      </c>
      <c r="B350" s="8"/>
      <c r="C350" s="8"/>
      <c r="D350" s="8">
        <f t="shared" si="5"/>
        <v>0</v>
      </c>
    </row>
    <row r="351" spans="1:4" ht="18" hidden="1" x14ac:dyDescent="0.3">
      <c r="A351" s="10" t="s">
        <v>217</v>
      </c>
      <c r="B351" s="8"/>
      <c r="C351" s="8"/>
      <c r="D351" s="8">
        <f t="shared" si="5"/>
        <v>0</v>
      </c>
    </row>
    <row r="352" spans="1:4" ht="18" hidden="1" x14ac:dyDescent="0.3">
      <c r="A352" s="18" t="s">
        <v>218</v>
      </c>
      <c r="B352" s="8"/>
      <c r="C352" s="8"/>
      <c r="D352" s="8">
        <f t="shared" si="5"/>
        <v>0</v>
      </c>
    </row>
    <row r="353" spans="1:4" ht="18" hidden="1" x14ac:dyDescent="0.3">
      <c r="A353" s="18" t="s">
        <v>219</v>
      </c>
      <c r="B353" s="8"/>
      <c r="C353" s="8"/>
      <c r="D353" s="8">
        <f t="shared" si="5"/>
        <v>0</v>
      </c>
    </row>
    <row r="354" spans="1:4" ht="18" hidden="1" x14ac:dyDescent="0.3">
      <c r="A354" s="18" t="s">
        <v>220</v>
      </c>
      <c r="B354" s="8"/>
      <c r="C354" s="8"/>
      <c r="D354" s="8">
        <f t="shared" si="5"/>
        <v>0</v>
      </c>
    </row>
    <row r="355" spans="1:4" ht="18" hidden="1" x14ac:dyDescent="0.3">
      <c r="A355" s="18" t="s">
        <v>221</v>
      </c>
      <c r="B355" s="8"/>
      <c r="C355" s="8"/>
      <c r="D355" s="8">
        <f t="shared" si="5"/>
        <v>0</v>
      </c>
    </row>
    <row r="356" spans="1:4" ht="18" hidden="1" x14ac:dyDescent="0.3">
      <c r="A356" s="10" t="s">
        <v>222</v>
      </c>
      <c r="B356" s="8"/>
      <c r="C356" s="8"/>
      <c r="D356" s="8">
        <f t="shared" si="5"/>
        <v>0</v>
      </c>
    </row>
    <row r="357" spans="1:4" ht="18" hidden="1" x14ac:dyDescent="0.3">
      <c r="A357" s="10" t="s">
        <v>223</v>
      </c>
      <c r="B357" s="8"/>
      <c r="C357" s="8"/>
      <c r="D357" s="8">
        <f t="shared" si="5"/>
        <v>0</v>
      </c>
    </row>
    <row r="358" spans="1:4" ht="18" hidden="1" x14ac:dyDescent="0.3">
      <c r="A358" s="18" t="s">
        <v>224</v>
      </c>
      <c r="B358" s="8"/>
      <c r="C358" s="8"/>
      <c r="D358" s="8">
        <f t="shared" si="5"/>
        <v>0</v>
      </c>
    </row>
    <row r="359" spans="1:4" ht="18" hidden="1" x14ac:dyDescent="0.3">
      <c r="A359" s="18" t="s">
        <v>225</v>
      </c>
      <c r="B359" s="8"/>
      <c r="C359" s="8"/>
      <c r="D359" s="8">
        <f t="shared" si="5"/>
        <v>0</v>
      </c>
    </row>
    <row r="360" spans="1:4" ht="18" hidden="1" x14ac:dyDescent="0.3">
      <c r="A360" s="12" t="s">
        <v>226</v>
      </c>
      <c r="B360" s="8"/>
      <c r="C360" s="8"/>
      <c r="D360" s="8">
        <f t="shared" si="5"/>
        <v>0</v>
      </c>
    </row>
    <row r="361" spans="1:4" ht="18" hidden="1" x14ac:dyDescent="0.3">
      <c r="A361" s="13" t="s">
        <v>227</v>
      </c>
      <c r="B361" s="8"/>
      <c r="C361" s="8"/>
      <c r="D361" s="8">
        <f t="shared" si="5"/>
        <v>0</v>
      </c>
    </row>
    <row r="362" spans="1:4" ht="18" hidden="1" x14ac:dyDescent="0.3">
      <c r="A362" s="23" t="s">
        <v>356</v>
      </c>
      <c r="B362" s="8"/>
      <c r="C362" s="8"/>
      <c r="D362" s="8">
        <f t="shared" si="5"/>
        <v>0</v>
      </c>
    </row>
    <row r="363" spans="1:4" ht="18" hidden="1" x14ac:dyDescent="0.3">
      <c r="A363" s="23" t="s">
        <v>357</v>
      </c>
      <c r="B363" s="8"/>
      <c r="C363" s="8"/>
      <c r="D363" s="8">
        <f t="shared" si="5"/>
        <v>0</v>
      </c>
    </row>
    <row r="364" spans="1:4" ht="18" hidden="1" x14ac:dyDescent="0.3">
      <c r="A364" s="12" t="s">
        <v>232</v>
      </c>
      <c r="B364" s="8"/>
      <c r="C364" s="8"/>
      <c r="D364" s="8">
        <f t="shared" si="5"/>
        <v>0</v>
      </c>
    </row>
    <row r="365" spans="1:4" ht="18" hidden="1" x14ac:dyDescent="0.3">
      <c r="A365" s="10" t="s">
        <v>237</v>
      </c>
      <c r="B365" s="8"/>
      <c r="C365" s="8"/>
      <c r="D365" s="8">
        <f t="shared" si="5"/>
        <v>0</v>
      </c>
    </row>
    <row r="366" spans="1:4" ht="18" hidden="1" x14ac:dyDescent="0.3">
      <c r="A366" s="10" t="s">
        <v>238</v>
      </c>
      <c r="B366" s="8"/>
      <c r="C366" s="8"/>
      <c r="D366" s="8">
        <f t="shared" si="5"/>
        <v>0</v>
      </c>
    </row>
    <row r="367" spans="1:4" ht="18" hidden="1" x14ac:dyDescent="0.3">
      <c r="A367" s="14" t="s">
        <v>239</v>
      </c>
      <c r="B367" s="8"/>
      <c r="C367" s="8"/>
      <c r="D367" s="8">
        <f t="shared" si="5"/>
        <v>0</v>
      </c>
    </row>
    <row r="368" spans="1:4" ht="18" hidden="1" x14ac:dyDescent="0.3">
      <c r="A368" s="14" t="s">
        <v>240</v>
      </c>
      <c r="B368" s="8"/>
      <c r="C368" s="8"/>
      <c r="D368" s="8">
        <f t="shared" si="5"/>
        <v>0</v>
      </c>
    </row>
    <row r="369" spans="1:4" ht="18" hidden="1" x14ac:dyDescent="0.3">
      <c r="A369" s="37" t="s">
        <v>241</v>
      </c>
      <c r="B369" s="8"/>
      <c r="C369" s="8"/>
      <c r="D369" s="8">
        <f t="shared" si="5"/>
        <v>0</v>
      </c>
    </row>
    <row r="370" spans="1:4" ht="18" hidden="1" x14ac:dyDescent="0.3">
      <c r="A370" s="10" t="s">
        <v>242</v>
      </c>
      <c r="B370" s="8"/>
      <c r="C370" s="8"/>
      <c r="D370" s="8">
        <f t="shared" si="5"/>
        <v>0</v>
      </c>
    </row>
    <row r="371" spans="1:4" ht="18" hidden="1" x14ac:dyDescent="0.3">
      <c r="A371" s="10" t="s">
        <v>243</v>
      </c>
      <c r="B371" s="8"/>
      <c r="C371" s="8"/>
      <c r="D371" s="8">
        <f t="shared" si="5"/>
        <v>0</v>
      </c>
    </row>
    <row r="372" spans="1:4" ht="18" hidden="1" x14ac:dyDescent="0.3">
      <c r="A372" s="10" t="s">
        <v>244</v>
      </c>
      <c r="B372" s="17"/>
      <c r="C372" s="17"/>
      <c r="D372" s="8">
        <f t="shared" si="5"/>
        <v>0</v>
      </c>
    </row>
    <row r="373" spans="1:4" ht="18" hidden="1" x14ac:dyDescent="0.3">
      <c r="A373" s="37" t="s">
        <v>245</v>
      </c>
      <c r="B373" s="8"/>
      <c r="C373" s="8"/>
      <c r="D373" s="8">
        <f t="shared" si="5"/>
        <v>0</v>
      </c>
    </row>
    <row r="374" spans="1:4" ht="18" hidden="1" x14ac:dyDescent="0.3">
      <c r="A374" s="10" t="s">
        <v>246</v>
      </c>
      <c r="B374" s="17"/>
      <c r="C374" s="17"/>
      <c r="D374" s="8">
        <f t="shared" si="5"/>
        <v>0</v>
      </c>
    </row>
    <row r="375" spans="1:4" ht="18" hidden="1" x14ac:dyDescent="0.3">
      <c r="A375" s="10" t="s">
        <v>247</v>
      </c>
      <c r="B375" s="8"/>
      <c r="C375" s="8"/>
      <c r="D375" s="8">
        <f t="shared" si="5"/>
        <v>0</v>
      </c>
    </row>
    <row r="376" spans="1:4" ht="18" hidden="1" x14ac:dyDescent="0.3">
      <c r="A376" s="12" t="s">
        <v>249</v>
      </c>
      <c r="B376" s="8"/>
      <c r="C376" s="8"/>
      <c r="D376" s="8">
        <f t="shared" si="5"/>
        <v>0</v>
      </c>
    </row>
    <row r="377" spans="1:4" ht="18" hidden="1" x14ac:dyDescent="0.3">
      <c r="A377" s="10" t="s">
        <v>250</v>
      </c>
      <c r="B377" s="8"/>
      <c r="C377" s="8"/>
      <c r="D377" s="8">
        <f t="shared" si="5"/>
        <v>0</v>
      </c>
    </row>
    <row r="378" spans="1:4" ht="18" hidden="1" x14ac:dyDescent="0.3">
      <c r="A378" s="10" t="s">
        <v>251</v>
      </c>
      <c r="B378" s="8"/>
      <c r="C378" s="8"/>
      <c r="D378" s="8">
        <f t="shared" si="5"/>
        <v>0</v>
      </c>
    </row>
    <row r="379" spans="1:4" ht="18" hidden="1" x14ac:dyDescent="0.3">
      <c r="A379" s="10" t="s">
        <v>252</v>
      </c>
      <c r="B379" s="8"/>
      <c r="C379" s="8"/>
      <c r="D379" s="8">
        <f t="shared" si="5"/>
        <v>0</v>
      </c>
    </row>
    <row r="380" spans="1:4" ht="18" hidden="1" x14ac:dyDescent="0.3">
      <c r="A380" s="10" t="s">
        <v>253</v>
      </c>
      <c r="B380" s="8"/>
      <c r="C380" s="8"/>
      <c r="D380" s="8">
        <f t="shared" si="5"/>
        <v>0</v>
      </c>
    </row>
    <row r="381" spans="1:4" ht="18" hidden="1" x14ac:dyDescent="0.3">
      <c r="A381" s="10" t="s">
        <v>254</v>
      </c>
      <c r="B381" s="8"/>
      <c r="C381" s="8"/>
      <c r="D381" s="8">
        <f t="shared" si="5"/>
        <v>0</v>
      </c>
    </row>
    <row r="382" spans="1:4" ht="18" hidden="1" x14ac:dyDescent="0.3">
      <c r="A382" s="18" t="s">
        <v>255</v>
      </c>
      <c r="B382" s="8"/>
      <c r="C382" s="8"/>
      <c r="D382" s="8">
        <f t="shared" si="5"/>
        <v>0</v>
      </c>
    </row>
    <row r="383" spans="1:4" ht="18" hidden="1" x14ac:dyDescent="0.3">
      <c r="A383" s="23" t="s">
        <v>256</v>
      </c>
      <c r="B383" s="8"/>
      <c r="C383" s="8"/>
      <c r="D383" s="8">
        <f t="shared" si="5"/>
        <v>0</v>
      </c>
    </row>
    <row r="384" spans="1:4" ht="18" hidden="1" x14ac:dyDescent="0.3">
      <c r="A384" s="23" t="s">
        <v>257</v>
      </c>
      <c r="B384" s="8"/>
      <c r="C384" s="8"/>
      <c r="D384" s="8">
        <f t="shared" si="5"/>
        <v>0</v>
      </c>
    </row>
    <row r="385" spans="1:4" ht="18" hidden="1" x14ac:dyDescent="0.3">
      <c r="A385" s="10" t="s">
        <v>258</v>
      </c>
      <c r="B385" s="8"/>
      <c r="C385" s="8"/>
      <c r="D385" s="8">
        <f t="shared" si="5"/>
        <v>0</v>
      </c>
    </row>
    <row r="386" spans="1:4" ht="18" hidden="1" x14ac:dyDescent="0.3">
      <c r="A386" s="10" t="s">
        <v>259</v>
      </c>
      <c r="B386" s="8"/>
      <c r="C386" s="8"/>
      <c r="D386" s="8">
        <f t="shared" si="5"/>
        <v>0</v>
      </c>
    </row>
    <row r="387" spans="1:4" ht="18" hidden="1" x14ac:dyDescent="0.3">
      <c r="A387" s="10" t="s">
        <v>260</v>
      </c>
      <c r="B387" s="8"/>
      <c r="C387" s="8"/>
      <c r="D387" s="8">
        <f t="shared" si="5"/>
        <v>0</v>
      </c>
    </row>
    <row r="388" spans="1:4" ht="18" hidden="1" x14ac:dyDescent="0.3">
      <c r="A388" s="10" t="s">
        <v>261</v>
      </c>
      <c r="B388" s="8"/>
      <c r="C388" s="8"/>
      <c r="D388" s="8">
        <f t="shared" ref="D388:D451" si="6">B388*C388</f>
        <v>0</v>
      </c>
    </row>
    <row r="389" spans="1:4" ht="18" x14ac:dyDescent="0.3">
      <c r="A389" s="10" t="s">
        <v>262</v>
      </c>
      <c r="B389" s="8">
        <v>8</v>
      </c>
      <c r="C389" s="8">
        <v>18000</v>
      </c>
      <c r="D389" s="8">
        <f t="shared" si="6"/>
        <v>144000</v>
      </c>
    </row>
    <row r="390" spans="1:4" ht="18" hidden="1" x14ac:dyDescent="0.3">
      <c r="A390" s="10" t="s">
        <v>263</v>
      </c>
      <c r="B390" s="8"/>
      <c r="C390" s="8"/>
      <c r="D390" s="8">
        <f t="shared" si="6"/>
        <v>0</v>
      </c>
    </row>
    <row r="391" spans="1:4" ht="18" hidden="1" x14ac:dyDescent="0.3">
      <c r="A391" s="10" t="s">
        <v>264</v>
      </c>
      <c r="B391" s="8"/>
      <c r="C391" s="8"/>
      <c r="D391" s="8">
        <f t="shared" si="6"/>
        <v>0</v>
      </c>
    </row>
    <row r="392" spans="1:4" ht="18" hidden="1" x14ac:dyDescent="0.3">
      <c r="A392" s="10" t="s">
        <v>265</v>
      </c>
      <c r="B392" s="17"/>
      <c r="C392" s="17"/>
      <c r="D392" s="8">
        <f t="shared" si="6"/>
        <v>0</v>
      </c>
    </row>
    <row r="393" spans="1:4" ht="18" hidden="1" x14ac:dyDescent="0.3">
      <c r="A393" s="14" t="s">
        <v>266</v>
      </c>
      <c r="B393" s="8"/>
      <c r="C393" s="8"/>
      <c r="D393" s="8">
        <f t="shared" si="6"/>
        <v>0</v>
      </c>
    </row>
    <row r="394" spans="1:4" ht="18" hidden="1" x14ac:dyDescent="0.3">
      <c r="A394" s="10" t="s">
        <v>267</v>
      </c>
      <c r="B394" s="8"/>
      <c r="C394" s="8"/>
      <c r="D394" s="8">
        <f t="shared" si="6"/>
        <v>0</v>
      </c>
    </row>
    <row r="395" spans="1:4" ht="18" hidden="1" x14ac:dyDescent="0.3">
      <c r="A395" s="12" t="s">
        <v>268</v>
      </c>
      <c r="B395" s="8"/>
      <c r="C395" s="8"/>
      <c r="D395" s="8">
        <f t="shared" si="6"/>
        <v>0</v>
      </c>
    </row>
    <row r="396" spans="1:4" ht="18" hidden="1" x14ac:dyDescent="0.3">
      <c r="A396" s="12" t="s">
        <v>269</v>
      </c>
      <c r="B396" s="8"/>
      <c r="C396" s="8"/>
      <c r="D396" s="8">
        <f t="shared" si="6"/>
        <v>0</v>
      </c>
    </row>
    <row r="397" spans="1:4" ht="18" hidden="1" x14ac:dyDescent="0.3">
      <c r="A397" s="10" t="s">
        <v>270</v>
      </c>
      <c r="B397" s="8"/>
      <c r="C397" s="8"/>
      <c r="D397" s="8">
        <f t="shared" si="6"/>
        <v>0</v>
      </c>
    </row>
    <row r="398" spans="1:4" ht="18" hidden="1" x14ac:dyDescent="0.3">
      <c r="A398" s="10" t="s">
        <v>358</v>
      </c>
      <c r="B398" s="8"/>
      <c r="C398" s="8"/>
      <c r="D398" s="8">
        <f t="shared" si="6"/>
        <v>0</v>
      </c>
    </row>
    <row r="399" spans="1:4" ht="18" hidden="1" x14ac:dyDescent="0.3">
      <c r="A399" s="10" t="s">
        <v>271</v>
      </c>
      <c r="B399" s="8"/>
      <c r="C399" s="8"/>
      <c r="D399" s="8">
        <f t="shared" si="6"/>
        <v>0</v>
      </c>
    </row>
    <row r="400" spans="1:4" ht="18" hidden="1" x14ac:dyDescent="0.3">
      <c r="A400" s="10" t="s">
        <v>359</v>
      </c>
      <c r="B400" s="8"/>
      <c r="C400" s="8"/>
      <c r="D400" s="8">
        <f t="shared" si="6"/>
        <v>0</v>
      </c>
    </row>
    <row r="401" spans="1:4" ht="18" hidden="1" x14ac:dyDescent="0.3">
      <c r="A401" s="10" t="s">
        <v>273</v>
      </c>
      <c r="B401" s="8"/>
      <c r="C401" s="8"/>
      <c r="D401" s="8">
        <f t="shared" si="6"/>
        <v>0</v>
      </c>
    </row>
    <row r="402" spans="1:4" ht="18" hidden="1" x14ac:dyDescent="0.3">
      <c r="A402" s="10" t="s">
        <v>274</v>
      </c>
      <c r="B402" s="8"/>
      <c r="C402" s="8"/>
      <c r="D402" s="8">
        <f t="shared" si="6"/>
        <v>0</v>
      </c>
    </row>
    <row r="403" spans="1:4" ht="18" hidden="1" x14ac:dyDescent="0.3">
      <c r="A403" s="10" t="s">
        <v>275</v>
      </c>
      <c r="B403" s="8"/>
      <c r="C403" s="8"/>
      <c r="D403" s="8">
        <f t="shared" si="6"/>
        <v>0</v>
      </c>
    </row>
    <row r="404" spans="1:4" ht="18" hidden="1" x14ac:dyDescent="0.3">
      <c r="A404" s="37" t="s">
        <v>277</v>
      </c>
      <c r="B404" s="8"/>
      <c r="C404" s="8"/>
      <c r="D404" s="8">
        <f t="shared" si="6"/>
        <v>0</v>
      </c>
    </row>
    <row r="405" spans="1:4" ht="18" hidden="1" x14ac:dyDescent="0.3">
      <c r="A405" s="10" t="s">
        <v>278</v>
      </c>
      <c r="B405" s="8"/>
      <c r="C405" s="8"/>
      <c r="D405" s="8">
        <f t="shared" si="6"/>
        <v>0</v>
      </c>
    </row>
    <row r="406" spans="1:4" ht="18" hidden="1" x14ac:dyDescent="0.3">
      <c r="A406" s="37" t="s">
        <v>279</v>
      </c>
      <c r="B406" s="8"/>
      <c r="C406" s="8"/>
      <c r="D406" s="8">
        <f t="shared" si="6"/>
        <v>0</v>
      </c>
    </row>
    <row r="407" spans="1:4" ht="18" hidden="1" x14ac:dyDescent="0.3">
      <c r="A407" s="12" t="s">
        <v>360</v>
      </c>
      <c r="B407" s="8"/>
      <c r="C407" s="8"/>
      <c r="D407" s="8">
        <f t="shared" si="6"/>
        <v>0</v>
      </c>
    </row>
    <row r="408" spans="1:4" ht="18" hidden="1" x14ac:dyDescent="0.3">
      <c r="A408" s="37" t="s">
        <v>280</v>
      </c>
      <c r="B408" s="8"/>
      <c r="C408" s="8"/>
      <c r="D408" s="8">
        <f t="shared" si="6"/>
        <v>0</v>
      </c>
    </row>
    <row r="409" spans="1:4" ht="18" hidden="1" x14ac:dyDescent="0.3">
      <c r="A409" s="13" t="s">
        <v>281</v>
      </c>
      <c r="B409" s="17"/>
      <c r="C409" s="17"/>
      <c r="D409" s="8">
        <f t="shared" si="6"/>
        <v>0</v>
      </c>
    </row>
    <row r="410" spans="1:4" ht="18" hidden="1" x14ac:dyDescent="0.3">
      <c r="A410" s="18" t="s">
        <v>284</v>
      </c>
      <c r="B410" s="8"/>
      <c r="C410" s="8"/>
      <c r="D410" s="8">
        <f t="shared" si="6"/>
        <v>0</v>
      </c>
    </row>
    <row r="411" spans="1:4" ht="18" hidden="1" x14ac:dyDescent="0.3">
      <c r="A411" s="18" t="s">
        <v>285</v>
      </c>
      <c r="B411" s="8"/>
      <c r="C411" s="8"/>
      <c r="D411" s="8">
        <f t="shared" si="6"/>
        <v>0</v>
      </c>
    </row>
    <row r="412" spans="1:4" ht="18" hidden="1" x14ac:dyDescent="0.3">
      <c r="A412" s="18" t="s">
        <v>286</v>
      </c>
      <c r="B412" s="8"/>
      <c r="C412" s="8"/>
      <c r="D412" s="8">
        <f t="shared" si="6"/>
        <v>0</v>
      </c>
    </row>
    <row r="413" spans="1:4" ht="18" hidden="1" x14ac:dyDescent="0.3">
      <c r="A413" s="10" t="s">
        <v>287</v>
      </c>
      <c r="B413" s="8"/>
      <c r="C413" s="8"/>
      <c r="D413" s="8">
        <f t="shared" si="6"/>
        <v>0</v>
      </c>
    </row>
    <row r="414" spans="1:4" ht="18" hidden="1" x14ac:dyDescent="0.3">
      <c r="A414" s="18" t="s">
        <v>288</v>
      </c>
      <c r="B414" s="8"/>
      <c r="C414" s="8"/>
      <c r="D414" s="8">
        <f t="shared" si="6"/>
        <v>0</v>
      </c>
    </row>
    <row r="415" spans="1:4" ht="18" hidden="1" x14ac:dyDescent="0.3">
      <c r="A415" s="10" t="s">
        <v>289</v>
      </c>
      <c r="B415" s="8"/>
      <c r="C415" s="8"/>
      <c r="D415" s="8">
        <f t="shared" si="6"/>
        <v>0</v>
      </c>
    </row>
    <row r="416" spans="1:4" ht="18" hidden="1" x14ac:dyDescent="0.3">
      <c r="A416" s="10" t="s">
        <v>290</v>
      </c>
      <c r="B416" s="8"/>
      <c r="C416" s="8"/>
      <c r="D416" s="8">
        <f t="shared" si="6"/>
        <v>0</v>
      </c>
    </row>
    <row r="417" spans="1:4" ht="18" hidden="1" x14ac:dyDescent="0.3">
      <c r="A417" s="18" t="s">
        <v>291</v>
      </c>
      <c r="B417" s="8"/>
      <c r="C417" s="8"/>
      <c r="D417" s="8">
        <f t="shared" si="6"/>
        <v>0</v>
      </c>
    </row>
    <row r="418" spans="1:4" ht="18" hidden="1" x14ac:dyDescent="0.3">
      <c r="A418" s="27" t="s">
        <v>292</v>
      </c>
      <c r="B418" s="8"/>
      <c r="C418" s="8"/>
      <c r="D418" s="8">
        <f t="shared" si="6"/>
        <v>0</v>
      </c>
    </row>
    <row r="419" spans="1:4" ht="18" hidden="1" x14ac:dyDescent="0.3">
      <c r="A419" s="10" t="s">
        <v>293</v>
      </c>
      <c r="B419" s="8"/>
      <c r="C419" s="8"/>
      <c r="D419" s="8">
        <f t="shared" si="6"/>
        <v>0</v>
      </c>
    </row>
    <row r="420" spans="1:4" ht="18" hidden="1" x14ac:dyDescent="0.3">
      <c r="A420" s="14" t="s">
        <v>294</v>
      </c>
      <c r="B420" s="8"/>
      <c r="C420" s="8"/>
      <c r="D420" s="8">
        <f t="shared" si="6"/>
        <v>0</v>
      </c>
    </row>
    <row r="421" spans="1:4" ht="18" hidden="1" x14ac:dyDescent="0.3">
      <c r="A421" s="13" t="s">
        <v>296</v>
      </c>
      <c r="B421" s="8"/>
      <c r="C421" s="8"/>
      <c r="D421" s="8">
        <f t="shared" si="6"/>
        <v>0</v>
      </c>
    </row>
    <row r="422" spans="1:4" ht="18" hidden="1" x14ac:dyDescent="0.3">
      <c r="A422" s="18" t="s">
        <v>297</v>
      </c>
      <c r="B422" s="8"/>
      <c r="C422" s="8"/>
      <c r="D422" s="8">
        <f t="shared" si="6"/>
        <v>0</v>
      </c>
    </row>
    <row r="423" spans="1:4" ht="18" hidden="1" x14ac:dyDescent="0.3">
      <c r="A423" s="14" t="s">
        <v>298</v>
      </c>
      <c r="B423" s="8"/>
      <c r="C423" s="8"/>
      <c r="D423" s="8">
        <f t="shared" si="6"/>
        <v>0</v>
      </c>
    </row>
    <row r="424" spans="1:4" ht="18" hidden="1" x14ac:dyDescent="0.3">
      <c r="A424" s="10" t="s">
        <v>299</v>
      </c>
      <c r="B424" s="8"/>
      <c r="C424" s="8"/>
      <c r="D424" s="8">
        <f t="shared" si="6"/>
        <v>0</v>
      </c>
    </row>
    <row r="425" spans="1:4" ht="18" hidden="1" x14ac:dyDescent="0.3">
      <c r="A425" s="18" t="s">
        <v>300</v>
      </c>
      <c r="B425" s="8"/>
      <c r="C425" s="8"/>
      <c r="D425" s="8">
        <f t="shared" si="6"/>
        <v>0</v>
      </c>
    </row>
    <row r="426" spans="1:4" ht="18" hidden="1" x14ac:dyDescent="0.3">
      <c r="A426" s="13" t="s">
        <v>361</v>
      </c>
      <c r="B426" s="8"/>
      <c r="C426" s="8"/>
      <c r="D426" s="8">
        <f t="shared" si="6"/>
        <v>0</v>
      </c>
    </row>
    <row r="427" spans="1:4" ht="18" hidden="1" x14ac:dyDescent="0.3">
      <c r="A427" s="10" t="s">
        <v>362</v>
      </c>
      <c r="B427" s="8"/>
      <c r="C427" s="8"/>
      <c r="D427" s="8">
        <f t="shared" si="6"/>
        <v>0</v>
      </c>
    </row>
    <row r="428" spans="1:4" ht="18" hidden="1" x14ac:dyDescent="0.3">
      <c r="A428" s="12" t="s">
        <v>303</v>
      </c>
      <c r="B428" s="8"/>
      <c r="C428" s="8"/>
      <c r="D428" s="8">
        <f t="shared" si="6"/>
        <v>0</v>
      </c>
    </row>
    <row r="429" spans="1:4" ht="18" hidden="1" x14ac:dyDescent="0.3">
      <c r="A429" s="10" t="s">
        <v>363</v>
      </c>
      <c r="B429" s="8"/>
      <c r="C429" s="8"/>
      <c r="D429" s="8">
        <f t="shared" si="6"/>
        <v>0</v>
      </c>
    </row>
    <row r="430" spans="1:4" ht="18" hidden="1" x14ac:dyDescent="0.3">
      <c r="A430" s="13" t="s">
        <v>304</v>
      </c>
      <c r="B430" s="8"/>
      <c r="C430" s="8"/>
      <c r="D430" s="8">
        <f t="shared" si="6"/>
        <v>0</v>
      </c>
    </row>
    <row r="431" spans="1:4" ht="18" hidden="1" x14ac:dyDescent="0.3">
      <c r="A431" s="13" t="s">
        <v>305</v>
      </c>
      <c r="B431" s="8"/>
      <c r="C431" s="8"/>
      <c r="D431" s="8">
        <f t="shared" si="6"/>
        <v>0</v>
      </c>
    </row>
    <row r="432" spans="1:4" ht="18" hidden="1" x14ac:dyDescent="0.3">
      <c r="A432" s="10" t="s">
        <v>306</v>
      </c>
      <c r="B432" s="8"/>
      <c r="C432" s="8"/>
      <c r="D432" s="8">
        <f t="shared" si="6"/>
        <v>0</v>
      </c>
    </row>
    <row r="433" spans="1:4" ht="18" hidden="1" x14ac:dyDescent="0.3">
      <c r="A433" s="10" t="s">
        <v>307</v>
      </c>
      <c r="B433" s="8"/>
      <c r="C433" s="8"/>
      <c r="D433" s="8">
        <f t="shared" si="6"/>
        <v>0</v>
      </c>
    </row>
    <row r="434" spans="1:4" ht="18" hidden="1" x14ac:dyDescent="0.3">
      <c r="A434" s="10" t="s">
        <v>308</v>
      </c>
      <c r="B434" s="8"/>
      <c r="C434" s="8"/>
      <c r="D434" s="8">
        <f t="shared" si="6"/>
        <v>0</v>
      </c>
    </row>
    <row r="435" spans="1:4" ht="18" hidden="1" x14ac:dyDescent="0.3">
      <c r="A435" s="14" t="s">
        <v>309</v>
      </c>
      <c r="B435" s="8"/>
      <c r="C435" s="8"/>
      <c r="D435" s="8">
        <f t="shared" si="6"/>
        <v>0</v>
      </c>
    </row>
    <row r="436" spans="1:4" ht="18" hidden="1" x14ac:dyDescent="0.3">
      <c r="A436" s="14" t="s">
        <v>310</v>
      </c>
      <c r="B436" s="8"/>
      <c r="C436" s="8"/>
      <c r="D436" s="8">
        <f t="shared" si="6"/>
        <v>0</v>
      </c>
    </row>
    <row r="437" spans="1:4" ht="18" hidden="1" x14ac:dyDescent="0.3">
      <c r="A437" s="23" t="s">
        <v>311</v>
      </c>
      <c r="B437" s="8"/>
      <c r="C437" s="8"/>
      <c r="D437" s="8">
        <f t="shared" si="6"/>
        <v>0</v>
      </c>
    </row>
    <row r="438" spans="1:4" ht="18" hidden="1" x14ac:dyDescent="0.3">
      <c r="A438" s="14" t="s">
        <v>312</v>
      </c>
      <c r="B438" s="8"/>
      <c r="C438" s="8"/>
      <c r="D438" s="8">
        <f t="shared" si="6"/>
        <v>0</v>
      </c>
    </row>
    <row r="439" spans="1:4" ht="18" hidden="1" x14ac:dyDescent="0.3">
      <c r="A439" s="10" t="s">
        <v>313</v>
      </c>
      <c r="B439" s="8"/>
      <c r="C439" s="8"/>
      <c r="D439" s="8">
        <f t="shared" si="6"/>
        <v>0</v>
      </c>
    </row>
    <row r="440" spans="1:4" ht="18" hidden="1" x14ac:dyDescent="0.3">
      <c r="A440" s="10" t="s">
        <v>314</v>
      </c>
      <c r="B440" s="8"/>
      <c r="C440" s="8"/>
      <c r="D440" s="8">
        <f t="shared" si="6"/>
        <v>0</v>
      </c>
    </row>
    <row r="441" spans="1:4" ht="18" hidden="1" x14ac:dyDescent="0.3">
      <c r="A441" s="10" t="s">
        <v>315</v>
      </c>
      <c r="B441" s="8"/>
      <c r="C441" s="8"/>
      <c r="D441" s="8">
        <f t="shared" si="6"/>
        <v>0</v>
      </c>
    </row>
    <row r="442" spans="1:4" ht="18" hidden="1" x14ac:dyDescent="0.3">
      <c r="A442" s="10" t="s">
        <v>316</v>
      </c>
      <c r="B442" s="8"/>
      <c r="C442" s="8"/>
      <c r="D442" s="8">
        <f t="shared" si="6"/>
        <v>0</v>
      </c>
    </row>
    <row r="443" spans="1:4" ht="18" hidden="1" x14ac:dyDescent="0.3">
      <c r="A443" s="23" t="s">
        <v>317</v>
      </c>
      <c r="B443" s="8"/>
      <c r="C443" s="8"/>
      <c r="D443" s="8">
        <f t="shared" si="6"/>
        <v>0</v>
      </c>
    </row>
    <row r="444" spans="1:4" ht="18" hidden="1" x14ac:dyDescent="0.3">
      <c r="A444" s="10" t="s">
        <v>318</v>
      </c>
      <c r="B444" s="8"/>
      <c r="C444" s="8"/>
      <c r="D444" s="8">
        <f t="shared" si="6"/>
        <v>0</v>
      </c>
    </row>
    <row r="445" spans="1:4" ht="18" hidden="1" x14ac:dyDescent="0.3">
      <c r="A445" s="10" t="s">
        <v>319</v>
      </c>
      <c r="B445" s="8"/>
      <c r="C445" s="8"/>
      <c r="D445" s="8">
        <f t="shared" si="6"/>
        <v>0</v>
      </c>
    </row>
    <row r="446" spans="1:4" ht="18" hidden="1" x14ac:dyDescent="0.3">
      <c r="A446" s="13" t="s">
        <v>320</v>
      </c>
      <c r="B446" s="8"/>
      <c r="C446" s="8"/>
      <c r="D446" s="8">
        <f t="shared" si="6"/>
        <v>0</v>
      </c>
    </row>
    <row r="447" spans="1:4" ht="18" hidden="1" x14ac:dyDescent="0.3">
      <c r="A447" s="10" t="s">
        <v>321</v>
      </c>
      <c r="B447" s="42"/>
      <c r="C447" s="42"/>
      <c r="D447" s="8">
        <f t="shared" si="6"/>
        <v>0</v>
      </c>
    </row>
    <row r="448" spans="1:4" ht="18" hidden="1" x14ac:dyDescent="0.3">
      <c r="A448" s="10" t="s">
        <v>322</v>
      </c>
      <c r="B448" s="8"/>
      <c r="C448" s="8"/>
      <c r="D448" s="8">
        <f t="shared" si="6"/>
        <v>0</v>
      </c>
    </row>
    <row r="449" spans="1:4" ht="18" hidden="1" x14ac:dyDescent="0.3">
      <c r="A449" s="10" t="s">
        <v>323</v>
      </c>
      <c r="B449" s="8"/>
      <c r="C449" s="8"/>
      <c r="D449" s="8">
        <f t="shared" si="6"/>
        <v>0</v>
      </c>
    </row>
    <row r="450" spans="1:4" ht="18" hidden="1" x14ac:dyDescent="0.3">
      <c r="A450" s="23" t="s">
        <v>324</v>
      </c>
      <c r="B450" s="8"/>
      <c r="C450" s="8"/>
      <c r="D450" s="8">
        <f t="shared" si="6"/>
        <v>0</v>
      </c>
    </row>
    <row r="451" spans="1:4" ht="18" hidden="1" x14ac:dyDescent="0.3">
      <c r="A451" s="23" t="s">
        <v>325</v>
      </c>
      <c r="B451" s="8"/>
      <c r="C451" s="8"/>
      <c r="D451" s="8">
        <f t="shared" si="6"/>
        <v>0</v>
      </c>
    </row>
    <row r="452" spans="1:4" ht="18" hidden="1" x14ac:dyDescent="0.3">
      <c r="A452" s="10" t="s">
        <v>326</v>
      </c>
      <c r="B452" s="8"/>
      <c r="C452" s="8"/>
      <c r="D452" s="8">
        <f t="shared" ref="D452:D463" si="7">B452*C452</f>
        <v>0</v>
      </c>
    </row>
    <row r="453" spans="1:4" ht="18" hidden="1" x14ac:dyDescent="0.3">
      <c r="A453" s="10" t="s">
        <v>327</v>
      </c>
      <c r="B453" s="8"/>
      <c r="C453" s="8"/>
      <c r="D453" s="8">
        <f t="shared" si="7"/>
        <v>0</v>
      </c>
    </row>
    <row r="454" spans="1:4" ht="18" hidden="1" x14ac:dyDescent="0.3">
      <c r="A454" s="23" t="s">
        <v>328</v>
      </c>
      <c r="B454" s="8"/>
      <c r="C454" s="8"/>
      <c r="D454" s="8">
        <f t="shared" si="7"/>
        <v>0</v>
      </c>
    </row>
    <row r="455" spans="1:4" ht="18" hidden="1" x14ac:dyDescent="0.3">
      <c r="A455" s="10" t="s">
        <v>329</v>
      </c>
      <c r="B455" s="8"/>
      <c r="C455" s="8"/>
      <c r="D455" s="8">
        <f t="shared" si="7"/>
        <v>0</v>
      </c>
    </row>
    <row r="456" spans="1:4" ht="18" hidden="1" x14ac:dyDescent="0.3">
      <c r="A456" s="10" t="s">
        <v>330</v>
      </c>
      <c r="B456" s="8"/>
      <c r="C456" s="8"/>
      <c r="D456" s="8">
        <f t="shared" si="7"/>
        <v>0</v>
      </c>
    </row>
    <row r="457" spans="1:4" ht="18" hidden="1" x14ac:dyDescent="0.3">
      <c r="A457" s="10" t="s">
        <v>331</v>
      </c>
      <c r="B457" s="8"/>
      <c r="C457" s="8"/>
      <c r="D457" s="8">
        <f t="shared" si="7"/>
        <v>0</v>
      </c>
    </row>
    <row r="458" spans="1:4" ht="18" hidden="1" x14ac:dyDescent="0.3">
      <c r="A458" s="10" t="s">
        <v>332</v>
      </c>
      <c r="B458" s="8"/>
      <c r="C458" s="8"/>
      <c r="D458" s="8">
        <f t="shared" si="7"/>
        <v>0</v>
      </c>
    </row>
    <row r="459" spans="1:4" ht="18" hidden="1" x14ac:dyDescent="0.3">
      <c r="A459" s="10" t="s">
        <v>333</v>
      </c>
      <c r="B459" s="8"/>
      <c r="C459" s="8"/>
      <c r="D459" s="8">
        <f t="shared" si="7"/>
        <v>0</v>
      </c>
    </row>
    <row r="460" spans="1:4" ht="18" hidden="1" x14ac:dyDescent="0.3">
      <c r="A460" s="10" t="s">
        <v>334</v>
      </c>
      <c r="B460" s="8"/>
      <c r="C460" s="8"/>
      <c r="D460" s="8">
        <f t="shared" si="7"/>
        <v>0</v>
      </c>
    </row>
    <row r="461" spans="1:4" ht="18" hidden="1" x14ac:dyDescent="0.3">
      <c r="A461" s="10" t="s">
        <v>335</v>
      </c>
      <c r="B461" s="8"/>
      <c r="C461" s="8"/>
      <c r="D461" s="8">
        <f t="shared" si="7"/>
        <v>0</v>
      </c>
    </row>
    <row r="462" spans="1:4" ht="18" hidden="1" x14ac:dyDescent="0.3">
      <c r="A462" s="10" t="s">
        <v>336</v>
      </c>
      <c r="B462" s="8"/>
      <c r="C462" s="8"/>
      <c r="D462" s="8">
        <f t="shared" si="7"/>
        <v>0</v>
      </c>
    </row>
    <row r="463" spans="1:4" ht="18" hidden="1" x14ac:dyDescent="0.3">
      <c r="A463" s="12" t="s">
        <v>338</v>
      </c>
      <c r="B463" s="8"/>
      <c r="C463" s="8"/>
      <c r="D463" s="8">
        <f t="shared" si="7"/>
        <v>0</v>
      </c>
    </row>
    <row r="464" spans="1:4" ht="17.399999999999999" x14ac:dyDescent="0.3">
      <c r="A464" s="43"/>
      <c r="B464" s="46">
        <f>SUM(B137:B463)</f>
        <v>5975</v>
      </c>
      <c r="C464" s="46"/>
      <c r="D464" s="46">
        <f t="shared" ref="D464" si="8">SUM(D137:D463)</f>
        <v>82134000</v>
      </c>
    </row>
    <row r="466" spans="4:4" x14ac:dyDescent="0.3">
      <c r="D466" s="49">
        <f>D464+D132</f>
        <v>130826500</v>
      </c>
    </row>
  </sheetData>
  <protectedRanges>
    <protectedRange password="CF71" sqref="B3:C3 B1:D2" name="tho"/>
    <protectedRange password="CF71" sqref="D3:D463" name="tho_2"/>
    <protectedRange password="CF71" sqref="B4:C4" name="tho_1"/>
    <protectedRange password="CF71" sqref="B5:C5" name="tho_3"/>
    <protectedRange password="CF71" sqref="B6:C6" name="tho_4"/>
    <protectedRange password="CF71" sqref="B7:C7" name="tho_5"/>
    <protectedRange password="CF71" sqref="B8:C9" name="tho_6"/>
    <protectedRange password="CF71" sqref="B10:C12" name="tho_7"/>
    <protectedRange password="CF71" sqref="B13:C13" name="tho_8"/>
    <protectedRange password="CF71" sqref="B14:C16" name="tho_9"/>
    <protectedRange password="CF71" sqref="B17:C21" name="tho_10"/>
    <protectedRange password="CF71" sqref="B22:C22" name="tho_11"/>
    <protectedRange password="CF71" sqref="B23:C24" name="tho_12"/>
    <protectedRange password="CF71" sqref="B25:C25" name="tho_13"/>
    <protectedRange password="CF71" sqref="B26:C26" name="tho_14"/>
    <protectedRange password="CF71" sqref="B27:C27" name="tho_15"/>
    <protectedRange password="CF71" sqref="B28:C30" name="tho_16"/>
    <protectedRange password="CF71" sqref="B31:C37" name="tho_17"/>
    <protectedRange password="CF71" sqref="B38:C40" name="tho_18"/>
    <protectedRange password="CF71" sqref="B41:C43" name="tho_19"/>
    <protectedRange password="CF71" sqref="B44:C44" name="tho_20"/>
    <protectedRange password="CF71" sqref="B45:C47" name="tho_21"/>
    <protectedRange password="CF71" sqref="B48:C48" name="tho_22"/>
    <protectedRange password="CF71" sqref="B49:C49" name="tho_23"/>
    <protectedRange password="CF71" sqref="B50:C50" name="tho_24"/>
    <protectedRange password="CF71" sqref="B51:C51" name="tho_25"/>
    <protectedRange password="CF71" sqref="B52:C54" name="tho_26"/>
    <protectedRange password="CF71" sqref="B55:C61" name="tho_27"/>
    <protectedRange password="CF71" sqref="B62:C63" name="tho_28"/>
    <protectedRange password="CF71" sqref="B64:C64" name="tho_29"/>
    <protectedRange password="CF71" sqref="B65:C66" name="tho_30"/>
    <protectedRange password="CF71" sqref="B67:C68" name="tho_31"/>
    <protectedRange password="CF71" sqref="B69:C69" name="tho_32"/>
    <protectedRange password="CF71" sqref="B70:C70" name="tho_33"/>
    <protectedRange password="CF71" sqref="B71:C71" name="tho_34"/>
    <protectedRange password="CF71" sqref="B72:C72" name="tho_35"/>
    <protectedRange password="CF71" sqref="B73:C73" name="tho_36"/>
    <protectedRange password="CF71" sqref="B74:C78" name="tho_37"/>
    <protectedRange password="CF71" sqref="B79:C79" name="tho_38"/>
    <protectedRange password="CF71" sqref="B80:C80" name="tho_39"/>
    <protectedRange password="CF71" sqref="B81:C81" name="tho_40"/>
    <protectedRange password="CF71" sqref="B82:C83" name="tho_41"/>
    <protectedRange password="CF71" sqref="B84:C85" name="tho_42"/>
    <protectedRange password="CF71" sqref="B86:C88" name="tho_43"/>
    <protectedRange password="CF71" sqref="B89:C89" name="tho_44"/>
    <protectedRange password="CF71" sqref="B90:C90" name="tho_45"/>
    <protectedRange password="CF71" sqref="B91:C93" name="tho_46"/>
    <protectedRange password="CF71" sqref="B94:C94" name="tho_47"/>
    <protectedRange password="CF71" sqref="B95:C95" name="tho_48"/>
    <protectedRange password="CF71" sqref="B96:C97" name="tho_49"/>
    <protectedRange password="CF71" sqref="B98:C98" name="tho_50"/>
    <protectedRange password="CF71" sqref="B99:C99" name="tho_51"/>
    <protectedRange password="CF71" sqref="B100:C101" name="tho_52"/>
    <protectedRange password="CF71" sqref="B102:C102" name="tho_53"/>
    <protectedRange password="CF71" sqref="B103:C103" name="tho_54"/>
    <protectedRange password="CF71" sqref="B104:C104" name="tho_55"/>
    <protectedRange password="CF71" sqref="B105:C105" name="tho_56"/>
    <protectedRange password="CF71" sqref="B106:C106" name="tho_57"/>
    <protectedRange password="CF71" sqref="B107:C108" name="tho_58"/>
    <protectedRange password="CF71" sqref="B109:C109" name="tho_59"/>
    <protectedRange password="CF71" sqref="B110:C110" name="tho_60"/>
    <protectedRange password="CF71" sqref="B111:C112" name="tho_61"/>
    <protectedRange password="CF71" sqref="B113:C113" name="tho_62"/>
    <protectedRange password="CF71" sqref="B114:C115" name="tho_63"/>
    <protectedRange password="CF71" sqref="B116:C117" name="tho_64"/>
    <protectedRange password="CF71" sqref="B118:C118" name="tho_65"/>
    <protectedRange password="CF71" sqref="B119:C120" name="tho_66"/>
    <protectedRange password="CF71" sqref="B121:C121" name="tho_67"/>
    <protectedRange password="CF71" sqref="B122:C122" name="tho_68"/>
    <protectedRange password="CF71" sqref="B123:C123" name="tho_69"/>
    <protectedRange password="CF71" sqref="B124:C124" name="tho_70"/>
    <protectedRange password="CF71" sqref="B125:C125" name="tho_71"/>
    <protectedRange password="CF71" sqref="B126:C126" name="tho_72"/>
    <protectedRange password="CF71" sqref="B127:C129" name="tho_73"/>
    <protectedRange password="CF71" sqref="B130:C130" name="tho_74"/>
    <protectedRange password="CF71" sqref="B131:C131" name="tho_75"/>
    <protectedRange password="CF71" sqref="B134:C463" name="tho_76"/>
  </protectedRanges>
  <autoFilter ref="A2:D464" xr:uid="{00000000-0009-0000-0000-000010000000}">
    <filterColumn colId="1">
      <customFilters>
        <customFilter operator="notEqual" val=" "/>
      </customFilters>
    </filterColumn>
  </autoFilter>
  <mergeCells count="1">
    <mergeCell ref="A135:A13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D674"/>
  <sheetViews>
    <sheetView topLeftCell="A348" workbookViewId="0">
      <selection activeCell="D674" sqref="D674"/>
    </sheetView>
  </sheetViews>
  <sheetFormatPr defaultRowHeight="14.4" x14ac:dyDescent="0.3"/>
  <cols>
    <col min="1" max="1" width="34.6640625" customWidth="1"/>
    <col min="3" max="3" width="13.88671875" customWidth="1"/>
    <col min="4" max="4" width="18.109375" customWidth="1"/>
  </cols>
  <sheetData>
    <row r="1" spans="1:4" x14ac:dyDescent="0.3">
      <c r="A1" s="1" t="s">
        <v>414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24</v>
      </c>
      <c r="C3" s="8">
        <v>10000</v>
      </c>
      <c r="D3" s="8">
        <f>B3*C3</f>
        <v>240000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x14ac:dyDescent="0.3">
      <c r="A12" s="10" t="s">
        <v>11</v>
      </c>
      <c r="B12" s="8">
        <v>1</v>
      </c>
      <c r="C12" s="8">
        <v>10000</v>
      </c>
      <c r="D12" s="8">
        <f t="shared" si="0"/>
        <v>10000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x14ac:dyDescent="0.3">
      <c r="A15" s="13" t="s">
        <v>14</v>
      </c>
      <c r="B15" s="8">
        <v>20</v>
      </c>
      <c r="C15" s="8">
        <v>19000</v>
      </c>
      <c r="D15" s="8">
        <f t="shared" si="0"/>
        <v>380000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hidden="1" x14ac:dyDescent="0.3">
      <c r="A18" s="14" t="s">
        <v>17</v>
      </c>
      <c r="B18" s="8"/>
      <c r="C18" s="8"/>
      <c r="D18" s="8">
        <f t="shared" si="0"/>
        <v>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270</v>
      </c>
      <c r="C20" s="8">
        <v>18000</v>
      </c>
      <c r="D20" s="8">
        <f t="shared" si="0"/>
        <v>4860000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10+30+18+30+30</f>
        <v>118</v>
      </c>
      <c r="C25" s="8">
        <v>11000</v>
      </c>
      <c r="D25" s="8">
        <f t="shared" si="0"/>
        <v>1298000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v>68</v>
      </c>
      <c r="C28" s="8">
        <v>12500</v>
      </c>
      <c r="D28" s="8">
        <f t="shared" si="0"/>
        <v>850000</v>
      </c>
    </row>
    <row r="29" spans="1:4" ht="18" hidden="1" x14ac:dyDescent="0.3">
      <c r="A29" s="12" t="s">
        <v>412</v>
      </c>
      <c r="B29" s="17"/>
      <c r="C29" s="17"/>
      <c r="D29" s="8">
        <f t="shared" si="0"/>
        <v>0</v>
      </c>
    </row>
    <row r="30" spans="1:4" ht="18" x14ac:dyDescent="0.3">
      <c r="A30" s="13" t="s">
        <v>28</v>
      </c>
      <c r="B30" s="8">
        <v>8</v>
      </c>
      <c r="C30" s="8">
        <v>20000</v>
      </c>
      <c r="D30" s="8">
        <f t="shared" si="0"/>
        <v>160000</v>
      </c>
    </row>
    <row r="31" spans="1:4" ht="18" hidden="1" x14ac:dyDescent="0.3">
      <c r="A31" s="12" t="s">
        <v>29</v>
      </c>
      <c r="B31" s="8"/>
      <c r="C31" s="8"/>
      <c r="D31" s="8">
        <f t="shared" si="0"/>
        <v>0</v>
      </c>
    </row>
    <row r="32" spans="1:4" ht="18" hidden="1" x14ac:dyDescent="0.3">
      <c r="A32" s="12" t="s">
        <v>30</v>
      </c>
      <c r="B32" s="8"/>
      <c r="C32" s="8"/>
      <c r="D32" s="8">
        <f t="shared" si="0"/>
        <v>0</v>
      </c>
    </row>
    <row r="33" spans="1:4" ht="18" hidden="1" x14ac:dyDescent="0.3">
      <c r="A33" s="12" t="s">
        <v>31</v>
      </c>
      <c r="B33" s="8"/>
      <c r="C33" s="8"/>
      <c r="D33" s="8">
        <f t="shared" si="0"/>
        <v>0</v>
      </c>
    </row>
    <row r="34" spans="1:4" ht="18" hidden="1" x14ac:dyDescent="0.3">
      <c r="A34" s="13" t="s">
        <v>367</v>
      </c>
      <c r="B34" s="8"/>
      <c r="C34" s="8"/>
      <c r="D34" s="8">
        <f t="shared" si="0"/>
        <v>0</v>
      </c>
    </row>
    <row r="35" spans="1:4" ht="18" hidden="1" x14ac:dyDescent="0.3">
      <c r="A35" s="12" t="s">
        <v>32</v>
      </c>
      <c r="B35" s="8"/>
      <c r="C35" s="8"/>
      <c r="D35" s="8">
        <f t="shared" si="0"/>
        <v>0</v>
      </c>
    </row>
    <row r="36" spans="1:4" ht="18" hidden="1" x14ac:dyDescent="0.3">
      <c r="A36" s="12" t="s">
        <v>33</v>
      </c>
      <c r="B36" s="8"/>
      <c r="C36" s="8"/>
      <c r="D36" s="8">
        <f t="shared" si="0"/>
        <v>0</v>
      </c>
    </row>
    <row r="37" spans="1:4" ht="18" hidden="1" x14ac:dyDescent="0.3">
      <c r="A37" s="12" t="s">
        <v>34</v>
      </c>
      <c r="B37" s="8"/>
      <c r="C37" s="8"/>
      <c r="D37" s="8">
        <f t="shared" si="0"/>
        <v>0</v>
      </c>
    </row>
    <row r="38" spans="1:4" ht="18" x14ac:dyDescent="0.3">
      <c r="A38" s="13" t="s">
        <v>35</v>
      </c>
      <c r="B38" s="8">
        <f>17+17+22+110</f>
        <v>166</v>
      </c>
      <c r="C38" s="8">
        <v>11500</v>
      </c>
      <c r="D38" s="8">
        <f t="shared" si="0"/>
        <v>1909000</v>
      </c>
    </row>
    <row r="39" spans="1:4" ht="18" hidden="1" x14ac:dyDescent="0.3">
      <c r="A39" s="10" t="s">
        <v>36</v>
      </c>
      <c r="B39" s="8"/>
      <c r="C39" s="8"/>
      <c r="D39" s="8">
        <f t="shared" si="0"/>
        <v>0</v>
      </c>
    </row>
    <row r="40" spans="1:4" ht="18" x14ac:dyDescent="0.3">
      <c r="A40" s="10" t="s">
        <v>37</v>
      </c>
      <c r="B40" s="8">
        <v>4</v>
      </c>
      <c r="C40" s="8">
        <v>13000</v>
      </c>
      <c r="D40" s="8">
        <f t="shared" si="0"/>
        <v>52000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x14ac:dyDescent="0.3">
      <c r="A47" s="10" t="s">
        <v>45</v>
      </c>
      <c r="B47" s="8">
        <v>34</v>
      </c>
      <c r="C47" s="8">
        <v>24000</v>
      </c>
      <c r="D47" s="8">
        <f t="shared" si="0"/>
        <v>816000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f>20+125+70</f>
        <v>215</v>
      </c>
      <c r="C64" s="8">
        <v>21000</v>
      </c>
      <c r="D64" s="8">
        <f t="shared" si="0"/>
        <v>4515000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x14ac:dyDescent="0.3">
      <c r="A70" s="13" t="s">
        <v>68</v>
      </c>
      <c r="B70" s="8">
        <f>44+68+30+26+45</f>
        <v>213</v>
      </c>
      <c r="C70" s="8">
        <v>12000</v>
      </c>
      <c r="D70" s="8">
        <f t="shared" si="1"/>
        <v>2556000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15</v>
      </c>
      <c r="C80" s="8">
        <v>29000</v>
      </c>
      <c r="D80" s="8">
        <f t="shared" si="1"/>
        <v>435000</v>
      </c>
    </row>
    <row r="81" spans="1:4" ht="18" hidden="1" x14ac:dyDescent="0.3">
      <c r="A81" s="10" t="s">
        <v>80</v>
      </c>
      <c r="B81" s="8"/>
      <c r="C81" s="8"/>
      <c r="D81" s="8">
        <f t="shared" si="1"/>
        <v>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x14ac:dyDescent="0.3">
      <c r="A87" s="10" t="s">
        <v>86</v>
      </c>
      <c r="B87" s="8">
        <v>20</v>
      </c>
      <c r="C87" s="8">
        <v>15000</v>
      </c>
      <c r="D87" s="8">
        <f t="shared" si="1"/>
        <v>300000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hidden="1" x14ac:dyDescent="0.3">
      <c r="A111" s="10" t="s">
        <v>110</v>
      </c>
      <c r="B111" s="8"/>
      <c r="C111" s="8"/>
      <c r="D111" s="8">
        <f t="shared" si="1"/>
        <v>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x14ac:dyDescent="0.3">
      <c r="A132" s="13" t="s">
        <v>131</v>
      </c>
      <c r="B132" s="17">
        <v>5</v>
      </c>
      <c r="C132" s="17">
        <v>16000</v>
      </c>
      <c r="D132" s="8">
        <f t="shared" ref="D132:D195" si="2">B132*C132</f>
        <v>80000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x14ac:dyDescent="0.3">
      <c r="A154" s="10" t="s">
        <v>153</v>
      </c>
      <c r="B154" s="8">
        <v>8</v>
      </c>
      <c r="C154" s="8">
        <v>10000</v>
      </c>
      <c r="D154" s="8">
        <f t="shared" si="2"/>
        <v>80000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hidden="1" x14ac:dyDescent="0.3">
      <c r="A171" s="10" t="s">
        <v>170</v>
      </c>
      <c r="B171" s="8"/>
      <c r="C171" s="8"/>
      <c r="D171" s="8">
        <f t="shared" si="2"/>
        <v>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x14ac:dyDescent="0.3">
      <c r="A177" s="10" t="s">
        <v>176</v>
      </c>
      <c r="B177" s="8">
        <v>3</v>
      </c>
      <c r="C177" s="8">
        <v>42000</v>
      </c>
      <c r="D177" s="8">
        <f t="shared" si="2"/>
        <v>126000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240</v>
      </c>
      <c r="C184" s="8">
        <v>7700</v>
      </c>
      <c r="D184" s="8">
        <f t="shared" si="2"/>
        <v>1848000</v>
      </c>
    </row>
    <row r="185" spans="1:4" ht="18" x14ac:dyDescent="0.3">
      <c r="A185" s="10" t="s">
        <v>184</v>
      </c>
      <c r="B185" s="8">
        <v>45</v>
      </c>
      <c r="C185" s="8">
        <v>2100</v>
      </c>
      <c r="D185" s="8">
        <f t="shared" si="2"/>
        <v>94500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hidden="1" x14ac:dyDescent="0.3">
      <c r="A187" s="13" t="s">
        <v>186</v>
      </c>
      <c r="B187" s="8"/>
      <c r="C187" s="8"/>
      <c r="D187" s="8">
        <f t="shared" si="2"/>
        <v>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100+100+160</f>
        <v>360</v>
      </c>
      <c r="C202" s="8">
        <v>20000</v>
      </c>
      <c r="D202" s="8">
        <f t="shared" si="3"/>
        <v>7200000</v>
      </c>
    </row>
    <row r="203" spans="1:4" ht="18" x14ac:dyDescent="0.3">
      <c r="A203" s="13" t="s">
        <v>202</v>
      </c>
      <c r="B203" s="8">
        <f>140+150+80</f>
        <v>370</v>
      </c>
      <c r="C203" s="8">
        <v>19000</v>
      </c>
      <c r="D203" s="8">
        <f t="shared" si="3"/>
        <v>7030000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x14ac:dyDescent="0.3">
      <c r="A208" s="10" t="s">
        <v>207</v>
      </c>
      <c r="B208" s="8">
        <v>10</v>
      </c>
      <c r="C208" s="8">
        <v>25000</v>
      </c>
      <c r="D208" s="8">
        <f t="shared" si="3"/>
        <v>250000</v>
      </c>
    </row>
    <row r="209" spans="1:4" ht="18" x14ac:dyDescent="0.3">
      <c r="A209" s="12" t="s">
        <v>208</v>
      </c>
      <c r="B209" s="8">
        <v>8</v>
      </c>
      <c r="C209" s="8">
        <v>35000</v>
      </c>
      <c r="D209" s="8">
        <f t="shared" si="3"/>
        <v>280000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60</v>
      </c>
      <c r="C211" s="8">
        <v>10000</v>
      </c>
      <c r="D211" s="8">
        <f t="shared" si="3"/>
        <v>600000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300</v>
      </c>
      <c r="C216" s="8">
        <v>16000</v>
      </c>
      <c r="D216" s="8">
        <f t="shared" si="3"/>
        <v>4800000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x14ac:dyDescent="0.3">
      <c r="A221" s="18" t="s">
        <v>220</v>
      </c>
      <c r="B221" s="8">
        <v>1</v>
      </c>
      <c r="C221" s="8">
        <v>45000</v>
      </c>
      <c r="D221" s="8">
        <f t="shared" si="3"/>
        <v>45000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2</v>
      </c>
      <c r="C248" s="8">
        <v>14000</v>
      </c>
      <c r="D248" s="8">
        <f t="shared" si="3"/>
        <v>28000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v>10</v>
      </c>
      <c r="C251" s="8">
        <v>26000</v>
      </c>
      <c r="D251" s="8">
        <f t="shared" si="3"/>
        <v>260000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hidden="1" x14ac:dyDescent="0.3">
      <c r="A254" s="10" t="s">
        <v>253</v>
      </c>
      <c r="B254" s="8"/>
      <c r="C254" s="8"/>
      <c r="D254" s="8">
        <f t="shared" si="3"/>
        <v>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44</v>
      </c>
      <c r="C259" s="8">
        <v>36000</v>
      </c>
      <c r="D259" s="8">
        <f t="shared" si="3"/>
        <v>1584000</v>
      </c>
    </row>
    <row r="260" spans="1:4" ht="18" x14ac:dyDescent="0.3">
      <c r="A260" s="10" t="s">
        <v>259</v>
      </c>
      <c r="B260" s="8">
        <v>5</v>
      </c>
      <c r="C260" s="8">
        <v>30000</v>
      </c>
      <c r="D260" s="8">
        <f t="shared" ref="D260:D323" si="4">B260*C260</f>
        <v>150000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26+6+26</f>
        <v>58</v>
      </c>
      <c r="C263" s="8">
        <v>18000</v>
      </c>
      <c r="D263" s="8">
        <f t="shared" si="4"/>
        <v>1044000</v>
      </c>
    </row>
    <row r="264" spans="1:4" ht="18" x14ac:dyDescent="0.3">
      <c r="A264" s="10" t="s">
        <v>263</v>
      </c>
      <c r="B264" s="8">
        <v>13</v>
      </c>
      <c r="C264" s="8">
        <v>10000</v>
      </c>
      <c r="D264" s="8">
        <f t="shared" si="4"/>
        <v>130000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hidden="1" x14ac:dyDescent="0.3">
      <c r="A270" s="10" t="s">
        <v>270</v>
      </c>
      <c r="B270" s="8"/>
      <c r="C270" s="8"/>
      <c r="D270" s="8">
        <f t="shared" si="4"/>
        <v>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v>18</v>
      </c>
      <c r="C274" s="8">
        <v>16000</v>
      </c>
      <c r="D274" s="8">
        <f t="shared" si="4"/>
        <v>288000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hidden="1" x14ac:dyDescent="0.3">
      <c r="A284" s="12" t="s">
        <v>401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47</v>
      </c>
      <c r="C288" s="8">
        <v>9000</v>
      </c>
      <c r="D288" s="8">
        <f t="shared" si="4"/>
        <v>423000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47</v>
      </c>
      <c r="C294" s="8">
        <v>10000</v>
      </c>
      <c r="D294" s="8">
        <f t="shared" si="4"/>
        <v>470000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x14ac:dyDescent="0.3">
      <c r="A310" s="14" t="s">
        <v>309</v>
      </c>
      <c r="B310" s="8">
        <v>9</v>
      </c>
      <c r="C310" s="8">
        <v>35000</v>
      </c>
      <c r="D310" s="8">
        <f t="shared" si="4"/>
        <v>315000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2839</v>
      </c>
      <c r="C340" s="46"/>
      <c r="D340" s="8">
        <f>SUM(D3:D310)</f>
        <v>45506500</v>
      </c>
    </row>
    <row r="341" spans="1:4" ht="18" hidden="1" x14ac:dyDescent="0.3">
      <c r="A341" s="95"/>
      <c r="B341" s="95"/>
      <c r="C341" s="95"/>
      <c r="D341" s="8">
        <f t="shared" si="5"/>
        <v>0</v>
      </c>
    </row>
    <row r="342" spans="1:4" ht="18" x14ac:dyDescent="0.3">
      <c r="A342" s="1" t="s">
        <v>415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f>450+105</f>
        <v>555</v>
      </c>
      <c r="C348" s="8">
        <v>7300</v>
      </c>
      <c r="D348" s="8">
        <f t="shared" si="5"/>
        <v>4051500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25</v>
      </c>
      <c r="C355" s="8">
        <v>10000</v>
      </c>
      <c r="D355" s="8">
        <f t="shared" si="5"/>
        <v>250000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v>1800</v>
      </c>
      <c r="C362" s="8">
        <v>18000</v>
      </c>
      <c r="D362" s="8">
        <f t="shared" si="5"/>
        <v>32400000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220+320</f>
        <v>540</v>
      </c>
      <c r="C389" s="8">
        <v>22000</v>
      </c>
      <c r="D389" s="8">
        <f t="shared" si="6"/>
        <v>11880000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90+80</f>
        <v>170</v>
      </c>
      <c r="C414" s="8">
        <v>28000</v>
      </c>
      <c r="D414" s="8">
        <f t="shared" si="6"/>
        <v>4760000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v>20</v>
      </c>
      <c r="C427" s="8">
        <v>6000</v>
      </c>
      <c r="D427" s="8">
        <f t="shared" si="6"/>
        <v>120000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x14ac:dyDescent="0.3">
      <c r="A444" s="26" t="s">
        <v>105</v>
      </c>
      <c r="B444" s="8">
        <v>6</v>
      </c>
      <c r="C444" s="8">
        <v>15000</v>
      </c>
      <c r="D444" s="8">
        <f t="shared" si="6"/>
        <v>90000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x14ac:dyDescent="0.3">
      <c r="A454" s="10" t="s">
        <v>347</v>
      </c>
      <c r="B454" s="8">
        <v>8</v>
      </c>
      <c r="C454" s="8">
        <v>21000</v>
      </c>
      <c r="D454" s="8">
        <f t="shared" si="7"/>
        <v>168000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14</v>
      </c>
      <c r="C461" s="8">
        <v>10000</v>
      </c>
      <c r="D461" s="8">
        <f t="shared" si="7"/>
        <v>140000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73</v>
      </c>
      <c r="C472" s="8">
        <v>5500</v>
      </c>
      <c r="D472" s="8">
        <f t="shared" si="7"/>
        <v>401500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hidden="1" x14ac:dyDescent="0.3">
      <c r="A504" s="10" t="s">
        <v>350</v>
      </c>
      <c r="B504" s="8"/>
      <c r="C504" s="8"/>
      <c r="D504" s="8">
        <f t="shared" si="7"/>
        <v>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200+1280+380+880</f>
        <v>2740</v>
      </c>
      <c r="C520" s="8">
        <v>7700</v>
      </c>
      <c r="D520" s="8">
        <f t="shared" si="8"/>
        <v>21098000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30+200+230+60+280</f>
        <v>800</v>
      </c>
      <c r="C542" s="8">
        <v>11500</v>
      </c>
      <c r="D542" s="8">
        <f t="shared" si="8"/>
        <v>9200000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x14ac:dyDescent="0.3">
      <c r="A553" s="10" t="s">
        <v>212</v>
      </c>
      <c r="B553" s="8">
        <v>20</v>
      </c>
      <c r="C553" s="8">
        <v>17000</v>
      </c>
      <c r="D553" s="8">
        <f t="shared" si="8"/>
        <v>340000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540+80-300</f>
        <v>320</v>
      </c>
      <c r="C556" s="8">
        <v>16000</v>
      </c>
      <c r="D556" s="8">
        <f t="shared" si="8"/>
        <v>5120000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7091</v>
      </c>
      <c r="C672" s="46"/>
      <c r="D672" s="46">
        <f t="shared" ref="D672" si="11">SUM(D345:D671)</f>
        <v>90019000</v>
      </c>
    </row>
    <row r="674" spans="4:4" x14ac:dyDescent="0.3">
      <c r="D674" s="49">
        <f>D672+D340</f>
        <v>135525500</v>
      </c>
    </row>
  </sheetData>
  <protectedRanges>
    <protectedRange password="CF71" sqref="B341:C341 B3:C339 B1:D2" name="tho"/>
    <protectedRange password="CF71" sqref="D3:D671" name="tho_2"/>
    <protectedRange password="CF71" sqref="B342:C671" name="tho_1"/>
  </protectedRanges>
  <autoFilter ref="A2:D672" xr:uid="{00000000-0009-0000-0000-000011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D674"/>
  <sheetViews>
    <sheetView topLeftCell="A327" workbookViewId="0">
      <selection activeCell="D674" sqref="D674"/>
    </sheetView>
  </sheetViews>
  <sheetFormatPr defaultRowHeight="14.4" x14ac:dyDescent="0.3"/>
  <cols>
    <col min="1" max="1" width="32.88671875" customWidth="1"/>
    <col min="2" max="2" width="10.33203125" customWidth="1"/>
    <col min="3" max="3" width="11.6640625" customWidth="1"/>
    <col min="4" max="4" width="17" customWidth="1"/>
  </cols>
  <sheetData>
    <row r="1" spans="1:4" x14ac:dyDescent="0.3">
      <c r="A1" s="1" t="s">
        <v>413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4</v>
      </c>
      <c r="C3" s="8">
        <v>10000</v>
      </c>
      <c r="D3" s="8">
        <f>B3*C3</f>
        <v>40000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x14ac:dyDescent="0.3">
      <c r="A15" s="13" t="s">
        <v>14</v>
      </c>
      <c r="B15" s="8">
        <v>8</v>
      </c>
      <c r="C15" s="8">
        <v>19000</v>
      </c>
      <c r="D15" s="8">
        <f t="shared" si="0"/>
        <v>152000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hidden="1" x14ac:dyDescent="0.3">
      <c r="A18" s="14" t="s">
        <v>17</v>
      </c>
      <c r="B18" s="8"/>
      <c r="C18" s="8"/>
      <c r="D18" s="8">
        <f t="shared" si="0"/>
        <v>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160</v>
      </c>
      <c r="C20" s="8">
        <v>18000</v>
      </c>
      <c r="D20" s="8">
        <f t="shared" si="0"/>
        <v>2880000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25+12</f>
        <v>37</v>
      </c>
      <c r="C25" s="8">
        <v>11000</v>
      </c>
      <c r="D25" s="8">
        <f t="shared" si="0"/>
        <v>407000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3+20</f>
        <v>23</v>
      </c>
      <c r="C28" s="8">
        <v>12500</v>
      </c>
      <c r="D28" s="8">
        <f t="shared" si="0"/>
        <v>287500</v>
      </c>
    </row>
    <row r="29" spans="1:4" ht="18" x14ac:dyDescent="0.3">
      <c r="A29" s="12" t="s">
        <v>412</v>
      </c>
      <c r="B29" s="17">
        <v>12</v>
      </c>
      <c r="C29" s="17">
        <v>11000</v>
      </c>
      <c r="D29" s="8">
        <f t="shared" si="0"/>
        <v>132000</v>
      </c>
    </row>
    <row r="30" spans="1:4" ht="18" x14ac:dyDescent="0.3">
      <c r="A30" s="13" t="s">
        <v>28</v>
      </c>
      <c r="B30" s="8">
        <v>30</v>
      </c>
      <c r="C30" s="8">
        <v>20000</v>
      </c>
      <c r="D30" s="8">
        <f t="shared" si="0"/>
        <v>600000</v>
      </c>
    </row>
    <row r="31" spans="1:4" ht="18" hidden="1" x14ac:dyDescent="0.3">
      <c r="A31" s="12" t="s">
        <v>29</v>
      </c>
      <c r="B31" s="8"/>
      <c r="C31" s="8"/>
      <c r="D31" s="8">
        <f t="shared" si="0"/>
        <v>0</v>
      </c>
    </row>
    <row r="32" spans="1:4" ht="18" hidden="1" x14ac:dyDescent="0.3">
      <c r="A32" s="12" t="s">
        <v>30</v>
      </c>
      <c r="B32" s="8"/>
      <c r="C32" s="8"/>
      <c r="D32" s="8">
        <f t="shared" si="0"/>
        <v>0</v>
      </c>
    </row>
    <row r="33" spans="1:4" ht="18" hidden="1" x14ac:dyDescent="0.3">
      <c r="A33" s="12" t="s">
        <v>31</v>
      </c>
      <c r="B33" s="8"/>
      <c r="C33" s="8"/>
      <c r="D33" s="8">
        <f t="shared" si="0"/>
        <v>0</v>
      </c>
    </row>
    <row r="34" spans="1:4" ht="18" hidden="1" x14ac:dyDescent="0.3">
      <c r="A34" s="13" t="s">
        <v>367</v>
      </c>
      <c r="B34" s="8"/>
      <c r="C34" s="8"/>
      <c r="D34" s="8">
        <f t="shared" si="0"/>
        <v>0</v>
      </c>
    </row>
    <row r="35" spans="1:4" ht="18" hidden="1" x14ac:dyDescent="0.3">
      <c r="A35" s="12" t="s">
        <v>32</v>
      </c>
      <c r="B35" s="8"/>
      <c r="C35" s="8"/>
      <c r="D35" s="8">
        <f t="shared" si="0"/>
        <v>0</v>
      </c>
    </row>
    <row r="36" spans="1:4" ht="18" hidden="1" x14ac:dyDescent="0.3">
      <c r="A36" s="12" t="s">
        <v>33</v>
      </c>
      <c r="B36" s="8"/>
      <c r="C36" s="8"/>
      <c r="D36" s="8">
        <f t="shared" si="0"/>
        <v>0</v>
      </c>
    </row>
    <row r="37" spans="1:4" ht="18" hidden="1" x14ac:dyDescent="0.3">
      <c r="A37" s="12" t="s">
        <v>34</v>
      </c>
      <c r="B37" s="8"/>
      <c r="C37" s="8"/>
      <c r="D37" s="8">
        <f t="shared" si="0"/>
        <v>0</v>
      </c>
    </row>
    <row r="38" spans="1:4" ht="18" x14ac:dyDescent="0.3">
      <c r="A38" s="13" t="s">
        <v>35</v>
      </c>
      <c r="B38" s="8">
        <v>20</v>
      </c>
      <c r="C38" s="8">
        <v>11500</v>
      </c>
      <c r="D38" s="8">
        <f t="shared" si="0"/>
        <v>230000</v>
      </c>
    </row>
    <row r="39" spans="1:4" ht="18" hidden="1" x14ac:dyDescent="0.3">
      <c r="A39" s="10" t="s">
        <v>36</v>
      </c>
      <c r="B39" s="8"/>
      <c r="C39" s="8"/>
      <c r="D39" s="8">
        <f t="shared" si="0"/>
        <v>0</v>
      </c>
    </row>
    <row r="40" spans="1:4" ht="18" hidden="1" x14ac:dyDescent="0.3">
      <c r="A40" s="10" t="s">
        <v>37</v>
      </c>
      <c r="B40" s="8"/>
      <c r="C40" s="8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x14ac:dyDescent="0.3">
      <c r="A45" s="10" t="s">
        <v>43</v>
      </c>
      <c r="B45" s="8">
        <v>13</v>
      </c>
      <c r="C45" s="8">
        <v>13000</v>
      </c>
      <c r="D45" s="8">
        <f t="shared" si="0"/>
        <v>169000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f>20+140</f>
        <v>160</v>
      </c>
      <c r="C64" s="8">
        <v>21000</v>
      </c>
      <c r="D64" s="8">
        <f t="shared" si="0"/>
        <v>3360000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x14ac:dyDescent="0.3">
      <c r="A70" s="13" t="s">
        <v>68</v>
      </c>
      <c r="B70" s="8">
        <v>15</v>
      </c>
      <c r="C70" s="8">
        <v>12000</v>
      </c>
      <c r="D70" s="8">
        <f t="shared" si="1"/>
        <v>180000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20</v>
      </c>
      <c r="C80" s="8">
        <v>29000</v>
      </c>
      <c r="D80" s="8">
        <f t="shared" si="1"/>
        <v>580000</v>
      </c>
    </row>
    <row r="81" spans="1:4" ht="18" hidden="1" x14ac:dyDescent="0.3">
      <c r="A81" s="10" t="s">
        <v>80</v>
      </c>
      <c r="B81" s="8"/>
      <c r="C81" s="8"/>
      <c r="D81" s="8">
        <f t="shared" si="1"/>
        <v>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x14ac:dyDescent="0.3">
      <c r="A87" s="10" t="s">
        <v>86</v>
      </c>
      <c r="B87" s="8">
        <f>50+5</f>
        <v>55</v>
      </c>
      <c r="C87" s="8">
        <v>15000</v>
      </c>
      <c r="D87" s="8">
        <f t="shared" si="1"/>
        <v>825000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x14ac:dyDescent="0.3">
      <c r="A91" s="10" t="s">
        <v>90</v>
      </c>
      <c r="B91" s="8">
        <v>15</v>
      </c>
      <c r="C91" s="8">
        <v>6000</v>
      </c>
      <c r="D91" s="8">
        <f t="shared" si="1"/>
        <v>90000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x14ac:dyDescent="0.3">
      <c r="A96" s="14" t="s">
        <v>95</v>
      </c>
      <c r="B96" s="8">
        <v>56</v>
      </c>
      <c r="C96" s="8">
        <v>30000</v>
      </c>
      <c r="D96" s="8">
        <f t="shared" si="1"/>
        <v>1680000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x14ac:dyDescent="0.3">
      <c r="A104" s="26" t="s">
        <v>103</v>
      </c>
      <c r="B104" s="8">
        <v>8</v>
      </c>
      <c r="C104" s="8">
        <v>7000</v>
      </c>
      <c r="D104" s="8">
        <f t="shared" si="1"/>
        <v>56000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f>2+30</f>
        <v>32</v>
      </c>
      <c r="C111" s="8">
        <v>22000</v>
      </c>
      <c r="D111" s="8">
        <f t="shared" si="1"/>
        <v>704000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x14ac:dyDescent="0.3">
      <c r="A154" s="10" t="s">
        <v>153</v>
      </c>
      <c r="B154" s="8">
        <v>2</v>
      </c>
      <c r="C154" s="8">
        <v>10000</v>
      </c>
      <c r="D154" s="8">
        <f t="shared" si="2"/>
        <v>20000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3</v>
      </c>
      <c r="C171" s="8">
        <v>11000</v>
      </c>
      <c r="D171" s="8">
        <f t="shared" si="2"/>
        <v>33000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x14ac:dyDescent="0.3">
      <c r="A175" s="34" t="s">
        <v>174</v>
      </c>
      <c r="B175" s="36">
        <v>16</v>
      </c>
      <c r="C175" s="36">
        <v>16000</v>
      </c>
      <c r="D175" s="8">
        <f t="shared" si="2"/>
        <v>256000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200</v>
      </c>
      <c r="C184" s="8">
        <v>7700</v>
      </c>
      <c r="D184" s="8">
        <f t="shared" si="2"/>
        <v>1540000</v>
      </c>
    </row>
    <row r="185" spans="1:4" ht="18" hidden="1" x14ac:dyDescent="0.3">
      <c r="A185" s="10" t="s">
        <v>184</v>
      </c>
      <c r="B185" s="8"/>
      <c r="C185" s="8"/>
      <c r="D185" s="8">
        <f t="shared" si="2"/>
        <v>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8</v>
      </c>
      <c r="C187" s="8">
        <v>20000</v>
      </c>
      <c r="D187" s="8">
        <f t="shared" si="2"/>
        <v>160000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v>380</v>
      </c>
      <c r="C202" s="8">
        <v>20000</v>
      </c>
      <c r="D202" s="8">
        <f t="shared" si="3"/>
        <v>7600000</v>
      </c>
    </row>
    <row r="203" spans="1:4" ht="18" x14ac:dyDescent="0.3">
      <c r="A203" s="13" t="s">
        <v>202</v>
      </c>
      <c r="B203" s="8">
        <f>30+40+20</f>
        <v>90</v>
      </c>
      <c r="C203" s="8">
        <v>19000</v>
      </c>
      <c r="D203" s="8">
        <f t="shared" si="3"/>
        <v>1710000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2" t="s">
        <v>208</v>
      </c>
      <c r="B209" s="8">
        <v>6</v>
      </c>
      <c r="C209" s="8">
        <v>35000</v>
      </c>
      <c r="D209" s="8">
        <f t="shared" si="3"/>
        <v>210000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x14ac:dyDescent="0.3">
      <c r="A211" s="10" t="s">
        <v>210</v>
      </c>
      <c r="B211" s="8">
        <v>15</v>
      </c>
      <c r="C211" s="8">
        <v>10000</v>
      </c>
      <c r="D211" s="8">
        <f t="shared" si="3"/>
        <v>150000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255</v>
      </c>
      <c r="C216" s="8">
        <v>16000</v>
      </c>
      <c r="D216" s="8">
        <f t="shared" si="3"/>
        <v>4080000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x14ac:dyDescent="0.3">
      <c r="A218" s="10" t="s">
        <v>217</v>
      </c>
      <c r="B218" s="8">
        <v>60</v>
      </c>
      <c r="C218" s="8">
        <v>11000</v>
      </c>
      <c r="D218" s="8">
        <f t="shared" si="3"/>
        <v>660000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5</v>
      </c>
      <c r="C248" s="8">
        <v>14000</v>
      </c>
      <c r="D248" s="8">
        <f t="shared" si="3"/>
        <v>70000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v>25</v>
      </c>
      <c r="C251" s="8">
        <v>24000</v>
      </c>
      <c r="D251" s="8">
        <f t="shared" si="3"/>
        <v>600000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f>7+6</f>
        <v>13</v>
      </c>
      <c r="C254" s="8">
        <v>11000</v>
      </c>
      <c r="D254" s="8">
        <f t="shared" si="3"/>
        <v>143000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10</v>
      </c>
      <c r="C259" s="8">
        <v>36000</v>
      </c>
      <c r="D259" s="8">
        <f t="shared" si="3"/>
        <v>360000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66+5+20+20</f>
        <v>111</v>
      </c>
      <c r="C263" s="8">
        <v>18000</v>
      </c>
      <c r="D263" s="8">
        <f t="shared" si="4"/>
        <v>1998000</v>
      </c>
    </row>
    <row r="264" spans="1:4" ht="18" x14ac:dyDescent="0.3">
      <c r="A264" s="10" t="s">
        <v>263</v>
      </c>
      <c r="B264" s="8">
        <v>4</v>
      </c>
      <c r="C264" s="8">
        <v>10000</v>
      </c>
      <c r="D264" s="8">
        <f t="shared" si="4"/>
        <v>40000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x14ac:dyDescent="0.3">
      <c r="A270" s="10" t="s">
        <v>270</v>
      </c>
      <c r="B270" s="8">
        <v>10</v>
      </c>
      <c r="C270" s="8">
        <v>12500</v>
      </c>
      <c r="D270" s="8">
        <f t="shared" si="4"/>
        <v>125000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v>40</v>
      </c>
      <c r="C274" s="8">
        <v>16000</v>
      </c>
      <c r="D274" s="8">
        <f t="shared" si="4"/>
        <v>640000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hidden="1" x14ac:dyDescent="0.3">
      <c r="A284" s="12" t="s">
        <v>401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hidden="1" x14ac:dyDescent="0.3">
      <c r="A288" s="10" t="s">
        <v>287</v>
      </c>
      <c r="B288" s="8"/>
      <c r="C288" s="8"/>
      <c r="D288" s="8">
        <f t="shared" si="4"/>
        <v>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v>15</v>
      </c>
      <c r="C291" s="8">
        <v>7000</v>
      </c>
      <c r="D291" s="8">
        <f t="shared" si="4"/>
        <v>105000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hidden="1" x14ac:dyDescent="0.3">
      <c r="A294" s="10" t="s">
        <v>293</v>
      </c>
      <c r="B294" s="8"/>
      <c r="C294" s="8"/>
      <c r="D294" s="8">
        <f t="shared" si="4"/>
        <v>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x14ac:dyDescent="0.3">
      <c r="A310" s="14" t="s">
        <v>309</v>
      </c>
      <c r="B310" s="8">
        <v>19</v>
      </c>
      <c r="C310" s="8">
        <v>36000</v>
      </c>
      <c r="D310" s="8">
        <f t="shared" si="4"/>
        <v>684000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x14ac:dyDescent="0.3">
      <c r="A327" s="10" t="s">
        <v>326</v>
      </c>
      <c r="B327" s="8">
        <v>5</v>
      </c>
      <c r="C327" s="8">
        <v>28000</v>
      </c>
      <c r="D327" s="8">
        <f t="shared" si="5"/>
        <v>140000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1960</v>
      </c>
      <c r="C340" s="46"/>
      <c r="D340" s="8">
        <f>SUM(D3:D327)</f>
        <v>33696500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416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f>80+15</f>
        <v>95</v>
      </c>
      <c r="C348" s="8">
        <v>7300</v>
      </c>
      <c r="D348" s="8">
        <f t="shared" si="5"/>
        <v>693500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14</v>
      </c>
      <c r="C355" s="8">
        <v>10000</v>
      </c>
      <c r="D355" s="8">
        <f t="shared" si="5"/>
        <v>140000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1530-160</f>
        <v>1370</v>
      </c>
      <c r="C362" s="8">
        <v>18000</v>
      </c>
      <c r="D362" s="8">
        <f t="shared" si="5"/>
        <v>24660000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10+280+65</f>
        <v>355</v>
      </c>
      <c r="C389" s="8">
        <v>18000</v>
      </c>
      <c r="D389" s="8">
        <f t="shared" si="6"/>
        <v>6390000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140+90</f>
        <v>230</v>
      </c>
      <c r="C414" s="8">
        <v>28000</v>
      </c>
      <c r="D414" s="8">
        <f t="shared" si="6"/>
        <v>6440000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v>12</v>
      </c>
      <c r="C427" s="8">
        <v>6000</v>
      </c>
      <c r="D427" s="8">
        <f t="shared" si="6"/>
        <v>72000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x14ac:dyDescent="0.3">
      <c r="A454" s="10" t="s">
        <v>347</v>
      </c>
      <c r="B454" s="8">
        <v>2</v>
      </c>
      <c r="C454" s="8">
        <v>21000</v>
      </c>
      <c r="D454" s="8">
        <f t="shared" si="7"/>
        <v>42000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x14ac:dyDescent="0.3">
      <c r="A461" s="10" t="s">
        <v>122</v>
      </c>
      <c r="B461" s="8">
        <v>9</v>
      </c>
      <c r="C461" s="8">
        <v>10000</v>
      </c>
      <c r="D461" s="8">
        <f t="shared" si="7"/>
        <v>90000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f>80+11</f>
        <v>91</v>
      </c>
      <c r="C472" s="8">
        <v>9000</v>
      </c>
      <c r="D472" s="8">
        <f t="shared" si="7"/>
        <v>819000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hidden="1" x14ac:dyDescent="0.3">
      <c r="A492" s="10" t="s">
        <v>154</v>
      </c>
      <c r="B492" s="8"/>
      <c r="C492" s="8"/>
      <c r="D492" s="8">
        <f t="shared" si="7"/>
        <v>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x14ac:dyDescent="0.3">
      <c r="A497" s="10" t="s">
        <v>159</v>
      </c>
      <c r="B497" s="8">
        <v>3</v>
      </c>
      <c r="C497" s="8">
        <v>10000</v>
      </c>
      <c r="D497" s="8">
        <f t="shared" si="7"/>
        <v>30000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hidden="1" x14ac:dyDescent="0.3">
      <c r="A504" s="10" t="s">
        <v>350</v>
      </c>
      <c r="B504" s="8"/>
      <c r="C504" s="8"/>
      <c r="D504" s="8">
        <f t="shared" si="7"/>
        <v>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1800+760+140-200</f>
        <v>2500</v>
      </c>
      <c r="C520" s="8">
        <v>7700</v>
      </c>
      <c r="D520" s="8">
        <f t="shared" si="8"/>
        <v>19250000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460+140</f>
        <v>600</v>
      </c>
      <c r="C542" s="8">
        <v>11500</v>
      </c>
      <c r="D542" s="8">
        <f t="shared" si="8"/>
        <v>6900000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x14ac:dyDescent="0.3">
      <c r="A551" s="10" t="s">
        <v>353</v>
      </c>
      <c r="B551" s="8">
        <f>20/0.5</f>
        <v>40</v>
      </c>
      <c r="C551" s="8">
        <v>10000</v>
      </c>
      <c r="D551" s="8">
        <f t="shared" si="8"/>
        <v>400000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v>270</v>
      </c>
      <c r="C556" s="8">
        <v>16000</v>
      </c>
      <c r="D556" s="8">
        <f t="shared" si="8"/>
        <v>4320000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5591</v>
      </c>
      <c r="C672" s="46"/>
      <c r="D672" s="46">
        <f t="shared" ref="D672" si="11">SUM(D345:D671)</f>
        <v>70246500</v>
      </c>
    </row>
    <row r="674" spans="4:4" x14ac:dyDescent="0.3">
      <c r="D674" s="49">
        <f>D672+D340</f>
        <v>103943000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12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D194"/>
  <sheetViews>
    <sheetView topLeftCell="A136" workbookViewId="0">
      <selection activeCell="L195" sqref="L195"/>
    </sheetView>
  </sheetViews>
  <sheetFormatPr defaultRowHeight="14.4" x14ac:dyDescent="0.3"/>
  <cols>
    <col min="1" max="1" width="42" customWidth="1"/>
    <col min="3" max="3" width="15.6640625" customWidth="1"/>
    <col min="4" max="4" width="20.33203125" customWidth="1"/>
  </cols>
  <sheetData>
    <row r="1" spans="1:4" x14ac:dyDescent="0.3">
      <c r="A1" s="1" t="s">
        <v>419</v>
      </c>
      <c r="B1" s="2" t="s">
        <v>388</v>
      </c>
      <c r="C1" s="2"/>
      <c r="D1" s="2" t="s">
        <v>417</v>
      </c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13" t="s">
        <v>68</v>
      </c>
      <c r="B3" s="8">
        <v>39</v>
      </c>
      <c r="C3" s="8">
        <v>10000</v>
      </c>
      <c r="D3" s="8">
        <f>B3*C3</f>
        <v>390000</v>
      </c>
    </row>
    <row r="4" spans="1:4" ht="18" hidden="1" x14ac:dyDescent="0.3">
      <c r="A4" s="13" t="s">
        <v>70</v>
      </c>
      <c r="B4" s="8"/>
      <c r="C4" s="8"/>
      <c r="D4" s="8">
        <f t="shared" ref="D4:D67" si="0">B4*C4</f>
        <v>0</v>
      </c>
    </row>
    <row r="5" spans="1:4" ht="18" hidden="1" x14ac:dyDescent="0.3">
      <c r="A5" s="13" t="s">
        <v>72</v>
      </c>
      <c r="B5" s="8"/>
      <c r="C5" s="8"/>
      <c r="D5" s="8">
        <f t="shared" si="0"/>
        <v>0</v>
      </c>
    </row>
    <row r="6" spans="1:4" ht="18" hidden="1" x14ac:dyDescent="0.3">
      <c r="A6" s="13" t="s">
        <v>82</v>
      </c>
      <c r="B6" s="17"/>
      <c r="C6" s="17"/>
      <c r="D6" s="8">
        <f t="shared" si="0"/>
        <v>0</v>
      </c>
    </row>
    <row r="7" spans="1:4" ht="18" hidden="1" x14ac:dyDescent="0.3">
      <c r="A7" s="13" t="s">
        <v>84</v>
      </c>
      <c r="B7" s="17"/>
      <c r="C7" s="17"/>
      <c r="D7" s="8">
        <f t="shared" si="0"/>
        <v>0</v>
      </c>
    </row>
    <row r="8" spans="1:4" ht="18" hidden="1" x14ac:dyDescent="0.3">
      <c r="A8" s="10" t="s">
        <v>96</v>
      </c>
      <c r="B8" s="8"/>
      <c r="C8" s="8"/>
      <c r="D8" s="8">
        <f t="shared" si="0"/>
        <v>0</v>
      </c>
    </row>
    <row r="9" spans="1:4" ht="18" hidden="1" x14ac:dyDescent="0.3">
      <c r="A9" s="10" t="s">
        <v>97</v>
      </c>
      <c r="B9" s="8"/>
      <c r="C9" s="8"/>
      <c r="D9" s="8">
        <f t="shared" si="0"/>
        <v>0</v>
      </c>
    </row>
    <row r="10" spans="1:4" ht="18" hidden="1" x14ac:dyDescent="0.3">
      <c r="A10" s="23" t="s">
        <v>101</v>
      </c>
      <c r="B10" s="8"/>
      <c r="C10" s="8"/>
      <c r="D10" s="8">
        <f t="shared" si="0"/>
        <v>0</v>
      </c>
    </row>
    <row r="11" spans="1:4" ht="18" hidden="1" x14ac:dyDescent="0.3">
      <c r="A11" s="23" t="s">
        <v>118</v>
      </c>
      <c r="B11" s="8"/>
      <c r="C11" s="8"/>
      <c r="D11" s="8">
        <f t="shared" si="0"/>
        <v>0</v>
      </c>
    </row>
    <row r="12" spans="1:4" ht="18" x14ac:dyDescent="0.3">
      <c r="A12" s="10" t="s">
        <v>110</v>
      </c>
      <c r="B12" s="8">
        <v>18</v>
      </c>
      <c r="C12" s="8">
        <v>21000</v>
      </c>
      <c r="D12" s="8">
        <f t="shared" si="0"/>
        <v>378000</v>
      </c>
    </row>
    <row r="13" spans="1:4" ht="18" hidden="1" x14ac:dyDescent="0.3">
      <c r="A13" s="10" t="s">
        <v>112</v>
      </c>
      <c r="B13" s="8"/>
      <c r="C13" s="8"/>
      <c r="D13" s="8">
        <f t="shared" si="0"/>
        <v>0</v>
      </c>
    </row>
    <row r="14" spans="1:4" ht="18" x14ac:dyDescent="0.3">
      <c r="A14" s="10" t="s">
        <v>250</v>
      </c>
      <c r="B14" s="8">
        <v>75</v>
      </c>
      <c r="C14" s="8">
        <v>24000</v>
      </c>
      <c r="D14" s="8">
        <f t="shared" si="0"/>
        <v>1800000</v>
      </c>
    </row>
    <row r="15" spans="1:4" ht="18" hidden="1" x14ac:dyDescent="0.3">
      <c r="A15" s="10" t="s">
        <v>252</v>
      </c>
      <c r="B15" s="8"/>
      <c r="C15" s="8"/>
      <c r="D15" s="8">
        <f t="shared" si="0"/>
        <v>0</v>
      </c>
    </row>
    <row r="16" spans="1:4" ht="18" x14ac:dyDescent="0.3">
      <c r="A16" s="10" t="s">
        <v>253</v>
      </c>
      <c r="B16" s="8">
        <v>45</v>
      </c>
      <c r="C16" s="8">
        <v>11000</v>
      </c>
      <c r="D16" s="8">
        <f t="shared" si="0"/>
        <v>495000</v>
      </c>
    </row>
    <row r="17" spans="1:4" ht="18" x14ac:dyDescent="0.3">
      <c r="A17" s="10" t="s">
        <v>258</v>
      </c>
      <c r="B17" s="8">
        <v>44</v>
      </c>
      <c r="C17" s="8">
        <v>36000</v>
      </c>
      <c r="D17" s="8">
        <f t="shared" si="0"/>
        <v>1584000</v>
      </c>
    </row>
    <row r="18" spans="1:4" ht="18" hidden="1" x14ac:dyDescent="0.3">
      <c r="A18" s="10" t="s">
        <v>260</v>
      </c>
      <c r="B18" s="8"/>
      <c r="C18" s="8"/>
      <c r="D18" s="8">
        <f t="shared" si="0"/>
        <v>0</v>
      </c>
    </row>
    <row r="19" spans="1:4" ht="18" x14ac:dyDescent="0.3">
      <c r="A19" s="10" t="s">
        <v>262</v>
      </c>
      <c r="B19" s="8">
        <v>105</v>
      </c>
      <c r="C19" s="8">
        <v>20000</v>
      </c>
      <c r="D19" s="8">
        <f t="shared" si="0"/>
        <v>2100000</v>
      </c>
    </row>
    <row r="20" spans="1:4" ht="18" hidden="1" x14ac:dyDescent="0.3">
      <c r="A20" s="10" t="s">
        <v>264</v>
      </c>
      <c r="B20" s="8"/>
      <c r="C20" s="8"/>
      <c r="D20" s="8">
        <f t="shared" si="0"/>
        <v>0</v>
      </c>
    </row>
    <row r="21" spans="1:4" ht="18" hidden="1" x14ac:dyDescent="0.3">
      <c r="A21" s="10" t="s">
        <v>135</v>
      </c>
      <c r="B21" s="8"/>
      <c r="C21" s="8"/>
      <c r="D21" s="8">
        <f t="shared" si="0"/>
        <v>0</v>
      </c>
    </row>
    <row r="22" spans="1:4" ht="18" hidden="1" x14ac:dyDescent="0.3">
      <c r="A22" s="18" t="s">
        <v>136</v>
      </c>
      <c r="B22" s="8"/>
      <c r="C22" s="8"/>
      <c r="D22" s="8">
        <f t="shared" si="0"/>
        <v>0</v>
      </c>
    </row>
    <row r="23" spans="1:4" ht="18" hidden="1" x14ac:dyDescent="0.3">
      <c r="A23" s="10" t="s">
        <v>319</v>
      </c>
      <c r="B23" s="8"/>
      <c r="C23" s="8"/>
      <c r="D23" s="8">
        <f t="shared" si="0"/>
        <v>0</v>
      </c>
    </row>
    <row r="24" spans="1:4" ht="18" hidden="1" x14ac:dyDescent="0.3">
      <c r="A24" s="10" t="s">
        <v>212</v>
      </c>
      <c r="B24" s="8"/>
      <c r="C24" s="8"/>
      <c r="D24" s="8">
        <f t="shared" si="0"/>
        <v>0</v>
      </c>
    </row>
    <row r="25" spans="1:4" ht="18" x14ac:dyDescent="0.3">
      <c r="A25" s="10" t="s">
        <v>215</v>
      </c>
      <c r="B25" s="8">
        <v>245</v>
      </c>
      <c r="C25" s="8">
        <v>16000</v>
      </c>
      <c r="D25" s="8">
        <f t="shared" si="0"/>
        <v>3920000</v>
      </c>
    </row>
    <row r="26" spans="1:4" ht="18" hidden="1" x14ac:dyDescent="0.3">
      <c r="A26" s="10" t="s">
        <v>216</v>
      </c>
      <c r="B26" s="8"/>
      <c r="C26" s="8"/>
      <c r="D26" s="8">
        <f t="shared" si="0"/>
        <v>0</v>
      </c>
    </row>
    <row r="27" spans="1:4" ht="18" x14ac:dyDescent="0.3">
      <c r="A27" s="10" t="s">
        <v>217</v>
      </c>
      <c r="B27" s="8">
        <v>30</v>
      </c>
      <c r="C27" s="8">
        <v>11000</v>
      </c>
      <c r="D27" s="8">
        <f t="shared" si="0"/>
        <v>330000</v>
      </c>
    </row>
    <row r="28" spans="1:4" ht="18" hidden="1" x14ac:dyDescent="0.3">
      <c r="A28" s="10" t="s">
        <v>103</v>
      </c>
      <c r="B28" s="8"/>
      <c r="C28" s="8"/>
      <c r="D28" s="8">
        <f t="shared" si="0"/>
        <v>0</v>
      </c>
    </row>
    <row r="29" spans="1:4" ht="18" hidden="1" x14ac:dyDescent="0.3">
      <c r="A29" s="10" t="s">
        <v>11</v>
      </c>
      <c r="B29" s="8"/>
      <c r="C29" s="8"/>
      <c r="D29" s="8">
        <f t="shared" si="0"/>
        <v>0</v>
      </c>
    </row>
    <row r="30" spans="1:4" ht="18" hidden="1" x14ac:dyDescent="0.3">
      <c r="A30" s="10" t="s">
        <v>12</v>
      </c>
      <c r="B30" s="8"/>
      <c r="C30" s="8"/>
      <c r="D30" s="8">
        <f t="shared" si="0"/>
        <v>0</v>
      </c>
    </row>
    <row r="31" spans="1:4" ht="18" hidden="1" x14ac:dyDescent="0.3">
      <c r="A31" s="10" t="s">
        <v>165</v>
      </c>
      <c r="B31" s="8"/>
      <c r="C31" s="8"/>
      <c r="D31" s="8">
        <f t="shared" si="0"/>
        <v>0</v>
      </c>
    </row>
    <row r="32" spans="1:4" ht="18" hidden="1" x14ac:dyDescent="0.3">
      <c r="A32" s="31" t="s">
        <v>173</v>
      </c>
      <c r="B32" s="8"/>
      <c r="C32" s="8"/>
      <c r="D32" s="8">
        <f t="shared" si="0"/>
        <v>0</v>
      </c>
    </row>
    <row r="33" spans="1:4" ht="18" hidden="1" x14ac:dyDescent="0.3">
      <c r="A33" s="34" t="s">
        <v>174</v>
      </c>
      <c r="B33" s="36"/>
      <c r="C33" s="36"/>
      <c r="D33" s="8">
        <f t="shared" si="0"/>
        <v>0</v>
      </c>
    </row>
    <row r="34" spans="1:4" ht="18" x14ac:dyDescent="0.3">
      <c r="A34" s="10" t="s">
        <v>27</v>
      </c>
      <c r="B34" s="8">
        <v>5</v>
      </c>
      <c r="C34" s="8">
        <v>12500</v>
      </c>
      <c r="D34" s="8">
        <f t="shared" si="0"/>
        <v>62500</v>
      </c>
    </row>
    <row r="35" spans="1:4" ht="18" x14ac:dyDescent="0.3">
      <c r="A35" s="13" t="s">
        <v>35</v>
      </c>
      <c r="B35" s="8">
        <v>98</v>
      </c>
      <c r="C35" s="8">
        <v>11000</v>
      </c>
      <c r="D35" s="8">
        <f t="shared" si="0"/>
        <v>1078000</v>
      </c>
    </row>
    <row r="36" spans="1:4" ht="18" x14ac:dyDescent="0.3">
      <c r="A36" s="10" t="s">
        <v>201</v>
      </c>
      <c r="B36" s="8">
        <v>210</v>
      </c>
      <c r="C36" s="8">
        <v>20000</v>
      </c>
      <c r="D36" s="8">
        <f t="shared" si="0"/>
        <v>4200000</v>
      </c>
    </row>
    <row r="37" spans="1:4" ht="18" x14ac:dyDescent="0.3">
      <c r="A37" s="13" t="s">
        <v>202</v>
      </c>
      <c r="B37" s="8">
        <v>600</v>
      </c>
      <c r="C37" s="8">
        <v>19000</v>
      </c>
      <c r="D37" s="8">
        <f t="shared" si="0"/>
        <v>11400000</v>
      </c>
    </row>
    <row r="38" spans="1:4" ht="18" hidden="1" x14ac:dyDescent="0.3">
      <c r="A38" s="10" t="s">
        <v>203</v>
      </c>
      <c r="B38" s="8"/>
      <c r="C38" s="8"/>
      <c r="D38" s="8">
        <f t="shared" si="0"/>
        <v>0</v>
      </c>
    </row>
    <row r="39" spans="1:4" ht="18" x14ac:dyDescent="0.3">
      <c r="A39" s="10" t="s">
        <v>274</v>
      </c>
      <c r="B39" s="8">
        <v>25</v>
      </c>
      <c r="C39" s="8">
        <v>16000</v>
      </c>
      <c r="D39" s="8">
        <f t="shared" si="0"/>
        <v>400000</v>
      </c>
    </row>
    <row r="40" spans="1:4" ht="18" hidden="1" x14ac:dyDescent="0.3">
      <c r="A40" s="10" t="s">
        <v>275</v>
      </c>
      <c r="B40" s="8"/>
      <c r="C40" s="8"/>
      <c r="D40" s="8">
        <f t="shared" si="0"/>
        <v>0</v>
      </c>
    </row>
    <row r="41" spans="1:4" ht="18" x14ac:dyDescent="0.3">
      <c r="A41" s="6" t="s">
        <v>2</v>
      </c>
      <c r="B41" s="8">
        <v>14</v>
      </c>
      <c r="C41" s="8">
        <v>10000</v>
      </c>
      <c r="D41" s="8">
        <f t="shared" si="0"/>
        <v>140000</v>
      </c>
    </row>
    <row r="42" spans="1:4" ht="18" hidden="1" x14ac:dyDescent="0.3">
      <c r="A42" s="18" t="s">
        <v>61</v>
      </c>
      <c r="B42" s="8"/>
      <c r="C42" s="8"/>
      <c r="D42" s="8">
        <f t="shared" si="0"/>
        <v>0</v>
      </c>
    </row>
    <row r="43" spans="1:4" ht="18" hidden="1" x14ac:dyDescent="0.3">
      <c r="A43" s="14" t="s">
        <v>298</v>
      </c>
      <c r="B43" s="8"/>
      <c r="C43" s="8"/>
      <c r="D43" s="8">
        <f t="shared" si="0"/>
        <v>0</v>
      </c>
    </row>
    <row r="44" spans="1:4" ht="18" x14ac:dyDescent="0.3">
      <c r="A44" s="14" t="s">
        <v>309</v>
      </c>
      <c r="B44" s="8">
        <v>12</v>
      </c>
      <c r="C44" s="8">
        <v>35000</v>
      </c>
      <c r="D44" s="8">
        <f t="shared" si="0"/>
        <v>420000</v>
      </c>
    </row>
    <row r="45" spans="1:4" ht="18" hidden="1" x14ac:dyDescent="0.3">
      <c r="A45" s="10" t="s">
        <v>321</v>
      </c>
      <c r="B45" s="42"/>
      <c r="C45" s="42"/>
      <c r="D45" s="8">
        <f t="shared" si="0"/>
        <v>0</v>
      </c>
    </row>
    <row r="46" spans="1:4" ht="18" x14ac:dyDescent="0.3">
      <c r="A46" s="10" t="s">
        <v>86</v>
      </c>
      <c r="B46" s="8">
        <v>5</v>
      </c>
      <c r="C46" s="8">
        <v>17000</v>
      </c>
      <c r="D46" s="8">
        <f t="shared" si="0"/>
        <v>85000</v>
      </c>
    </row>
    <row r="47" spans="1:4" ht="18" hidden="1" x14ac:dyDescent="0.3">
      <c r="A47" s="10" t="s">
        <v>87</v>
      </c>
      <c r="B47" s="8"/>
      <c r="C47" s="8"/>
      <c r="D47" s="8">
        <f t="shared" si="0"/>
        <v>0</v>
      </c>
    </row>
    <row r="48" spans="1:4" ht="18" x14ac:dyDescent="0.3">
      <c r="A48" s="10" t="s">
        <v>176</v>
      </c>
      <c r="B48" s="8">
        <v>2</v>
      </c>
      <c r="C48" s="8">
        <v>42000</v>
      </c>
      <c r="D48" s="8">
        <f t="shared" si="0"/>
        <v>84000</v>
      </c>
    </row>
    <row r="49" spans="1:4" ht="18" hidden="1" x14ac:dyDescent="0.3">
      <c r="A49" s="10" t="s">
        <v>243</v>
      </c>
      <c r="B49" s="8"/>
      <c r="C49" s="8"/>
      <c r="D49" s="8">
        <f t="shared" si="0"/>
        <v>0</v>
      </c>
    </row>
    <row r="50" spans="1:4" ht="18" hidden="1" x14ac:dyDescent="0.3">
      <c r="A50" s="10" t="s">
        <v>265</v>
      </c>
      <c r="B50" s="17"/>
      <c r="C50" s="17"/>
      <c r="D50" s="8">
        <f t="shared" si="0"/>
        <v>0</v>
      </c>
    </row>
    <row r="51" spans="1:4" ht="18" hidden="1" x14ac:dyDescent="0.3">
      <c r="A51" s="13" t="s">
        <v>296</v>
      </c>
      <c r="B51" s="8"/>
      <c r="C51" s="8"/>
      <c r="D51" s="8">
        <f t="shared" si="0"/>
        <v>0</v>
      </c>
    </row>
    <row r="52" spans="1:4" ht="18" hidden="1" x14ac:dyDescent="0.3">
      <c r="A52" s="10" t="s">
        <v>122</v>
      </c>
      <c r="B52" s="8"/>
      <c r="C52" s="8"/>
      <c r="D52" s="8">
        <f t="shared" si="0"/>
        <v>0</v>
      </c>
    </row>
    <row r="53" spans="1:4" ht="18" hidden="1" x14ac:dyDescent="0.3">
      <c r="A53" s="10" t="s">
        <v>43</v>
      </c>
      <c r="B53" s="8"/>
      <c r="C53" s="8"/>
      <c r="D53" s="8">
        <f t="shared" si="0"/>
        <v>0</v>
      </c>
    </row>
    <row r="54" spans="1:4" ht="18" hidden="1" x14ac:dyDescent="0.3">
      <c r="A54" s="18" t="s">
        <v>284</v>
      </c>
      <c r="B54" s="8"/>
      <c r="C54" s="8"/>
      <c r="D54" s="8">
        <f t="shared" si="0"/>
        <v>0</v>
      </c>
    </row>
    <row r="55" spans="1:4" ht="18" hidden="1" x14ac:dyDescent="0.3">
      <c r="A55" s="26" t="s">
        <v>141</v>
      </c>
      <c r="B55" s="17"/>
      <c r="C55" s="17"/>
      <c r="D55" s="8">
        <f t="shared" si="0"/>
        <v>0</v>
      </c>
    </row>
    <row r="56" spans="1:4" ht="18" x14ac:dyDescent="0.3">
      <c r="A56" s="26" t="s">
        <v>144</v>
      </c>
      <c r="B56" s="17">
        <v>1</v>
      </c>
      <c r="C56" s="17">
        <v>70000</v>
      </c>
      <c r="D56" s="8">
        <f t="shared" si="0"/>
        <v>70000</v>
      </c>
    </row>
    <row r="57" spans="1:4" ht="18" hidden="1" x14ac:dyDescent="0.3">
      <c r="A57" s="10" t="s">
        <v>146</v>
      </c>
      <c r="B57" s="17"/>
      <c r="C57" s="17"/>
      <c r="D57" s="8">
        <f t="shared" si="0"/>
        <v>0</v>
      </c>
    </row>
    <row r="58" spans="1:4" ht="18" hidden="1" x14ac:dyDescent="0.3">
      <c r="A58" s="10" t="s">
        <v>150</v>
      </c>
      <c r="B58" s="17"/>
      <c r="C58" s="17"/>
      <c r="D58" s="8">
        <f t="shared" si="0"/>
        <v>0</v>
      </c>
    </row>
    <row r="59" spans="1:4" ht="18" hidden="1" x14ac:dyDescent="0.3">
      <c r="A59" s="10" t="s">
        <v>162</v>
      </c>
      <c r="B59" s="17"/>
      <c r="C59" s="17"/>
      <c r="D59" s="8">
        <f t="shared" si="0"/>
        <v>0</v>
      </c>
    </row>
    <row r="60" spans="1:4" ht="18" hidden="1" x14ac:dyDescent="0.3">
      <c r="A60" s="13" t="s">
        <v>52</v>
      </c>
      <c r="B60" s="8"/>
      <c r="C60" s="8"/>
      <c r="D60" s="8">
        <f t="shared" si="0"/>
        <v>0</v>
      </c>
    </row>
    <row r="61" spans="1:4" ht="18" x14ac:dyDescent="0.3">
      <c r="A61" s="10" t="s">
        <v>62</v>
      </c>
      <c r="B61" s="8">
        <v>106</v>
      </c>
      <c r="C61" s="8">
        <v>10000</v>
      </c>
      <c r="D61" s="8">
        <f t="shared" si="0"/>
        <v>1060000</v>
      </c>
    </row>
    <row r="62" spans="1:4" ht="18" hidden="1" x14ac:dyDescent="0.3">
      <c r="A62" s="10" t="s">
        <v>75</v>
      </c>
      <c r="B62" s="8"/>
      <c r="C62" s="8"/>
      <c r="D62" s="8">
        <f t="shared" si="0"/>
        <v>0</v>
      </c>
    </row>
    <row r="63" spans="1:4" ht="18" x14ac:dyDescent="0.3">
      <c r="A63" s="10" t="s">
        <v>19</v>
      </c>
      <c r="B63" s="8">
        <v>170</v>
      </c>
      <c r="C63" s="8">
        <v>18000</v>
      </c>
      <c r="D63" s="8">
        <f t="shared" si="0"/>
        <v>3060000</v>
      </c>
    </row>
    <row r="64" spans="1:4" ht="18" hidden="1" x14ac:dyDescent="0.3">
      <c r="A64" s="10" t="s">
        <v>40</v>
      </c>
      <c r="B64" s="8"/>
      <c r="C64" s="8"/>
      <c r="D64" s="8">
        <f t="shared" si="0"/>
        <v>0</v>
      </c>
    </row>
    <row r="65" spans="1:4" ht="18" hidden="1" x14ac:dyDescent="0.3">
      <c r="A65" s="12" t="s">
        <v>48</v>
      </c>
      <c r="B65" s="8"/>
      <c r="C65" s="8"/>
      <c r="D65" s="8">
        <f t="shared" si="0"/>
        <v>0</v>
      </c>
    </row>
    <row r="66" spans="1:4" ht="18" hidden="1" x14ac:dyDescent="0.3">
      <c r="A66" s="14" t="s">
        <v>49</v>
      </c>
      <c r="B66" s="8"/>
      <c r="C66" s="8"/>
      <c r="D66" s="8">
        <f t="shared" si="0"/>
        <v>0</v>
      </c>
    </row>
    <row r="67" spans="1:4" ht="18" hidden="1" x14ac:dyDescent="0.3">
      <c r="A67" s="11" t="s">
        <v>124</v>
      </c>
      <c r="B67" s="8"/>
      <c r="C67" s="8"/>
      <c r="D67" s="8">
        <f t="shared" si="0"/>
        <v>0</v>
      </c>
    </row>
    <row r="68" spans="1:4" ht="18" hidden="1" x14ac:dyDescent="0.3">
      <c r="A68" s="14" t="s">
        <v>125</v>
      </c>
      <c r="B68" s="8"/>
      <c r="C68" s="8"/>
      <c r="D68" s="8">
        <f t="shared" ref="D68:D131" si="1">B68*C68</f>
        <v>0</v>
      </c>
    </row>
    <row r="69" spans="1:4" ht="18" hidden="1" x14ac:dyDescent="0.3">
      <c r="A69" s="10" t="s">
        <v>148</v>
      </c>
      <c r="B69" s="17"/>
      <c r="C69" s="17"/>
      <c r="D69" s="8">
        <f t="shared" si="1"/>
        <v>0</v>
      </c>
    </row>
    <row r="70" spans="1:4" ht="18" hidden="1" x14ac:dyDescent="0.3">
      <c r="A70" s="18" t="s">
        <v>219</v>
      </c>
      <c r="B70" s="8"/>
      <c r="C70" s="8"/>
      <c r="D70" s="8">
        <f t="shared" si="1"/>
        <v>0</v>
      </c>
    </row>
    <row r="71" spans="1:4" ht="18" hidden="1" x14ac:dyDescent="0.3">
      <c r="A71" s="18" t="s">
        <v>220</v>
      </c>
      <c r="B71" s="8"/>
      <c r="C71" s="8"/>
      <c r="D71" s="8">
        <f t="shared" si="1"/>
        <v>0</v>
      </c>
    </row>
    <row r="72" spans="1:4" ht="18" hidden="1" x14ac:dyDescent="0.3">
      <c r="A72" s="10" t="s">
        <v>222</v>
      </c>
      <c r="B72" s="8"/>
      <c r="C72" s="8"/>
      <c r="D72" s="8">
        <f t="shared" si="1"/>
        <v>0</v>
      </c>
    </row>
    <row r="73" spans="1:4" ht="18" hidden="1" x14ac:dyDescent="0.3">
      <c r="A73" s="18" t="s">
        <v>224</v>
      </c>
      <c r="B73" s="8"/>
      <c r="C73" s="8"/>
      <c r="D73" s="8">
        <f t="shared" si="1"/>
        <v>0</v>
      </c>
    </row>
    <row r="74" spans="1:4" ht="18" hidden="1" x14ac:dyDescent="0.3">
      <c r="A74" s="13" t="s">
        <v>281</v>
      </c>
      <c r="B74" s="17"/>
      <c r="C74" s="17"/>
      <c r="D74" s="8">
        <f t="shared" si="1"/>
        <v>0</v>
      </c>
    </row>
    <row r="75" spans="1:4" ht="18" hidden="1" x14ac:dyDescent="0.3">
      <c r="A75" s="13" t="s">
        <v>282</v>
      </c>
      <c r="B75" s="8"/>
      <c r="C75" s="8"/>
      <c r="D75" s="8">
        <f t="shared" si="1"/>
        <v>0</v>
      </c>
    </row>
    <row r="76" spans="1:4" ht="18" hidden="1" x14ac:dyDescent="0.3">
      <c r="A76" s="10" t="s">
        <v>293</v>
      </c>
      <c r="B76" s="8"/>
      <c r="C76" s="8"/>
      <c r="D76" s="8">
        <f t="shared" si="1"/>
        <v>0</v>
      </c>
    </row>
    <row r="77" spans="1:4" ht="18" hidden="1" x14ac:dyDescent="0.3">
      <c r="A77" s="10" t="s">
        <v>204</v>
      </c>
      <c r="B77" s="8"/>
      <c r="C77" s="8"/>
      <c r="D77" s="8">
        <f t="shared" si="1"/>
        <v>0</v>
      </c>
    </row>
    <row r="78" spans="1:4" ht="18" hidden="1" x14ac:dyDescent="0.3">
      <c r="A78" s="10" t="s">
        <v>41</v>
      </c>
      <c r="B78" s="8"/>
      <c r="C78" s="8"/>
      <c r="D78" s="8">
        <f t="shared" si="1"/>
        <v>0</v>
      </c>
    </row>
    <row r="79" spans="1:4" ht="18" hidden="1" x14ac:dyDescent="0.3">
      <c r="A79" s="10" t="s">
        <v>53</v>
      </c>
      <c r="B79" s="8"/>
      <c r="C79" s="8"/>
      <c r="D79" s="8">
        <f t="shared" si="1"/>
        <v>0</v>
      </c>
    </row>
    <row r="80" spans="1:4" ht="18" hidden="1" x14ac:dyDescent="0.3">
      <c r="A80" s="18" t="s">
        <v>55</v>
      </c>
      <c r="B80" s="8"/>
      <c r="C80" s="8"/>
      <c r="D80" s="8">
        <f t="shared" si="1"/>
        <v>0</v>
      </c>
    </row>
    <row r="81" spans="1:4" ht="18" x14ac:dyDescent="0.3">
      <c r="A81" s="10" t="s">
        <v>59</v>
      </c>
      <c r="B81" s="8">
        <v>10</v>
      </c>
      <c r="C81" s="8">
        <v>24000</v>
      </c>
      <c r="D81" s="8">
        <f t="shared" si="1"/>
        <v>240000</v>
      </c>
    </row>
    <row r="82" spans="1:4" ht="18" hidden="1" x14ac:dyDescent="0.3">
      <c r="A82" s="10" t="s">
        <v>153</v>
      </c>
      <c r="B82" s="8"/>
      <c r="C82" s="8"/>
      <c r="D82" s="8">
        <f t="shared" si="1"/>
        <v>0</v>
      </c>
    </row>
    <row r="83" spans="1:4" ht="18" hidden="1" x14ac:dyDescent="0.3">
      <c r="A83" s="18" t="s">
        <v>156</v>
      </c>
      <c r="B83" s="8"/>
      <c r="C83" s="8"/>
      <c r="D83" s="8">
        <f t="shared" si="1"/>
        <v>0</v>
      </c>
    </row>
    <row r="84" spans="1:4" ht="18" hidden="1" x14ac:dyDescent="0.3">
      <c r="A84" s="10" t="s">
        <v>77</v>
      </c>
      <c r="B84" s="8"/>
      <c r="C84" s="8"/>
      <c r="D84" s="8">
        <f t="shared" si="1"/>
        <v>0</v>
      </c>
    </row>
    <row r="85" spans="1:4" ht="18" hidden="1" x14ac:dyDescent="0.3">
      <c r="A85" s="14" t="s">
        <v>78</v>
      </c>
      <c r="B85" s="8"/>
      <c r="C85" s="8"/>
      <c r="D85" s="8">
        <f t="shared" si="1"/>
        <v>0</v>
      </c>
    </row>
    <row r="86" spans="1:4" ht="18" x14ac:dyDescent="0.3">
      <c r="A86" s="10" t="s">
        <v>79</v>
      </c>
      <c r="B86" s="8">
        <v>60</v>
      </c>
      <c r="C86" s="8">
        <v>29000</v>
      </c>
      <c r="D86" s="8">
        <f t="shared" si="1"/>
        <v>1740000</v>
      </c>
    </row>
    <row r="87" spans="1:4" ht="18" x14ac:dyDescent="0.3">
      <c r="A87" s="10" t="s">
        <v>80</v>
      </c>
      <c r="B87" s="8">
        <v>66</v>
      </c>
      <c r="C87" s="8">
        <v>23000</v>
      </c>
      <c r="D87" s="8">
        <f t="shared" si="1"/>
        <v>1518000</v>
      </c>
    </row>
    <row r="88" spans="1:4" ht="18" hidden="1" x14ac:dyDescent="0.3">
      <c r="A88" s="14" t="s">
        <v>95</v>
      </c>
      <c r="B88" s="8"/>
      <c r="C88" s="8"/>
      <c r="D88" s="8">
        <f t="shared" si="1"/>
        <v>0</v>
      </c>
    </row>
    <row r="89" spans="1:4" ht="18" hidden="1" x14ac:dyDescent="0.3">
      <c r="A89" s="10" t="s">
        <v>306</v>
      </c>
      <c r="B89" s="8"/>
      <c r="C89" s="8"/>
      <c r="D89" s="8">
        <f t="shared" si="1"/>
        <v>0</v>
      </c>
    </row>
    <row r="90" spans="1:4" ht="18" hidden="1" x14ac:dyDescent="0.3">
      <c r="A90" s="13" t="s">
        <v>320</v>
      </c>
      <c r="B90" s="8"/>
      <c r="C90" s="8"/>
      <c r="D90" s="8">
        <f t="shared" si="1"/>
        <v>0</v>
      </c>
    </row>
    <row r="91" spans="1:4" ht="18" hidden="1" x14ac:dyDescent="0.3">
      <c r="A91" s="23" t="s">
        <v>93</v>
      </c>
      <c r="B91" s="8"/>
      <c r="C91" s="8"/>
      <c r="D91" s="8">
        <f t="shared" si="1"/>
        <v>0</v>
      </c>
    </row>
    <row r="92" spans="1:4" ht="18" x14ac:dyDescent="0.3">
      <c r="A92" s="13" t="s">
        <v>183</v>
      </c>
      <c r="B92" s="8">
        <v>200</v>
      </c>
      <c r="C92" s="8">
        <v>7700</v>
      </c>
      <c r="D92" s="8">
        <f t="shared" si="1"/>
        <v>1540000</v>
      </c>
    </row>
    <row r="93" spans="1:4" ht="18" x14ac:dyDescent="0.3">
      <c r="A93" s="10" t="s">
        <v>184</v>
      </c>
      <c r="B93" s="8">
        <v>50</v>
      </c>
      <c r="C93" s="8">
        <v>2100</v>
      </c>
      <c r="D93" s="8">
        <f t="shared" si="1"/>
        <v>105000</v>
      </c>
    </row>
    <row r="94" spans="1:4" ht="18" x14ac:dyDescent="0.3">
      <c r="A94" s="13" t="s">
        <v>186</v>
      </c>
      <c r="B94" s="8">
        <v>10</v>
      </c>
      <c r="C94" s="8">
        <v>20000</v>
      </c>
      <c r="D94" s="8">
        <f t="shared" si="1"/>
        <v>200000</v>
      </c>
    </row>
    <row r="95" spans="1:4" ht="18" hidden="1" x14ac:dyDescent="0.3">
      <c r="A95" s="10" t="s">
        <v>210</v>
      </c>
      <c r="B95" s="8"/>
      <c r="C95" s="8"/>
      <c r="D95" s="8">
        <f t="shared" si="1"/>
        <v>0</v>
      </c>
    </row>
    <row r="96" spans="1:4" ht="18" hidden="1" x14ac:dyDescent="0.3">
      <c r="A96" s="10" t="s">
        <v>211</v>
      </c>
      <c r="B96" s="8"/>
      <c r="C96" s="8"/>
      <c r="D96" s="8">
        <f t="shared" si="1"/>
        <v>0</v>
      </c>
    </row>
    <row r="97" spans="1:4" ht="18" hidden="1" x14ac:dyDescent="0.3">
      <c r="A97" s="10" t="s">
        <v>105</v>
      </c>
      <c r="B97" s="8"/>
      <c r="C97" s="8"/>
      <c r="D97" s="8">
        <f t="shared" si="1"/>
        <v>0</v>
      </c>
    </row>
    <row r="98" spans="1:4" ht="18" x14ac:dyDescent="0.3">
      <c r="A98" s="10" t="s">
        <v>90</v>
      </c>
      <c r="B98" s="8">
        <v>34</v>
      </c>
      <c r="C98" s="8">
        <v>6000</v>
      </c>
      <c r="D98" s="8">
        <f t="shared" si="1"/>
        <v>204000</v>
      </c>
    </row>
    <row r="99" spans="1:4" ht="18" hidden="1" x14ac:dyDescent="0.3">
      <c r="A99" s="23" t="s">
        <v>91</v>
      </c>
      <c r="B99" s="8"/>
      <c r="C99" s="8"/>
      <c r="D99" s="8">
        <f t="shared" si="1"/>
        <v>0</v>
      </c>
    </row>
    <row r="100" spans="1:4" ht="18" hidden="1" x14ac:dyDescent="0.3">
      <c r="A100" s="6" t="s">
        <v>5</v>
      </c>
      <c r="B100" s="8"/>
      <c r="C100" s="8"/>
      <c r="D100" s="8">
        <f t="shared" si="1"/>
        <v>0</v>
      </c>
    </row>
    <row r="101" spans="1:4" ht="18" hidden="1" x14ac:dyDescent="0.3">
      <c r="A101" s="10" t="s">
        <v>168</v>
      </c>
      <c r="B101" s="8"/>
      <c r="C101" s="48"/>
      <c r="D101" s="8">
        <f t="shared" si="1"/>
        <v>0</v>
      </c>
    </row>
    <row r="102" spans="1:4" ht="18" hidden="1" x14ac:dyDescent="0.3">
      <c r="A102" s="10" t="s">
        <v>170</v>
      </c>
      <c r="B102" s="8"/>
      <c r="C102" s="8"/>
      <c r="D102" s="8">
        <f t="shared" si="1"/>
        <v>0</v>
      </c>
    </row>
    <row r="103" spans="1:4" ht="18" hidden="1" x14ac:dyDescent="0.3">
      <c r="A103" s="10" t="s">
        <v>171</v>
      </c>
      <c r="B103" s="8"/>
      <c r="C103" s="8"/>
      <c r="D103" s="8">
        <f t="shared" si="1"/>
        <v>0</v>
      </c>
    </row>
    <row r="104" spans="1:4" ht="18" hidden="1" x14ac:dyDescent="0.3">
      <c r="A104" s="13" t="s">
        <v>227</v>
      </c>
      <c r="B104" s="8"/>
      <c r="C104" s="8"/>
      <c r="D104" s="8">
        <f t="shared" si="1"/>
        <v>0</v>
      </c>
    </row>
    <row r="105" spans="1:4" ht="18" x14ac:dyDescent="0.3">
      <c r="A105" s="13" t="s">
        <v>14</v>
      </c>
      <c r="B105" s="8">
        <v>18</v>
      </c>
      <c r="C105" s="8">
        <v>19000</v>
      </c>
      <c r="D105" s="8">
        <f t="shared" si="1"/>
        <v>342000</v>
      </c>
    </row>
    <row r="106" spans="1:4" ht="18" hidden="1" x14ac:dyDescent="0.3">
      <c r="A106" s="12" t="s">
        <v>98</v>
      </c>
      <c r="B106" s="8"/>
      <c r="C106" s="8"/>
      <c r="D106" s="8">
        <f t="shared" si="1"/>
        <v>0</v>
      </c>
    </row>
    <row r="107" spans="1:4" ht="18" hidden="1" x14ac:dyDescent="0.3">
      <c r="A107" s="10" t="s">
        <v>116</v>
      </c>
      <c r="B107" s="8"/>
      <c r="C107" s="8"/>
      <c r="D107" s="8">
        <f t="shared" si="1"/>
        <v>0</v>
      </c>
    </row>
    <row r="108" spans="1:4" ht="18" hidden="1" x14ac:dyDescent="0.3">
      <c r="A108" s="13" t="s">
        <v>137</v>
      </c>
      <c r="B108" s="8"/>
      <c r="C108" s="8"/>
      <c r="D108" s="8">
        <f t="shared" si="1"/>
        <v>0</v>
      </c>
    </row>
    <row r="109" spans="1:4" ht="18" hidden="1" x14ac:dyDescent="0.3">
      <c r="A109" s="10" t="s">
        <v>207</v>
      </c>
      <c r="B109" s="8"/>
      <c r="C109" s="8"/>
      <c r="D109" s="8">
        <f t="shared" si="1"/>
        <v>0</v>
      </c>
    </row>
    <row r="110" spans="1:4" ht="18" x14ac:dyDescent="0.3">
      <c r="A110" s="12" t="s">
        <v>208</v>
      </c>
      <c r="B110" s="17">
        <v>2.5</v>
      </c>
      <c r="C110" s="8">
        <v>35000</v>
      </c>
      <c r="D110" s="8">
        <f t="shared" si="1"/>
        <v>87500</v>
      </c>
    </row>
    <row r="111" spans="1:4" ht="18" x14ac:dyDescent="0.3">
      <c r="A111" s="10" t="s">
        <v>247</v>
      </c>
      <c r="B111" s="8">
        <v>8</v>
      </c>
      <c r="C111" s="8">
        <v>14000</v>
      </c>
      <c r="D111" s="8">
        <f t="shared" si="1"/>
        <v>112000</v>
      </c>
    </row>
    <row r="112" spans="1:4" ht="18" hidden="1" x14ac:dyDescent="0.3">
      <c r="A112" s="10" t="s">
        <v>299</v>
      </c>
      <c r="B112" s="8"/>
      <c r="C112" s="8"/>
      <c r="D112" s="8">
        <f t="shared" si="1"/>
        <v>0</v>
      </c>
    </row>
    <row r="113" spans="1:4" ht="18" hidden="1" x14ac:dyDescent="0.3">
      <c r="A113" s="12" t="s">
        <v>10</v>
      </c>
      <c r="B113" s="8"/>
      <c r="C113" s="8"/>
      <c r="D113" s="8">
        <f t="shared" si="1"/>
        <v>0</v>
      </c>
    </row>
    <row r="114" spans="1:4" ht="18" hidden="1" x14ac:dyDescent="0.3">
      <c r="A114" s="10" t="s">
        <v>36</v>
      </c>
      <c r="B114" s="8"/>
      <c r="C114" s="8"/>
      <c r="D114" s="8">
        <f t="shared" si="1"/>
        <v>0</v>
      </c>
    </row>
    <row r="115" spans="1:4" ht="18" hidden="1" x14ac:dyDescent="0.3">
      <c r="A115" s="10" t="s">
        <v>37</v>
      </c>
      <c r="B115" s="8"/>
      <c r="C115" s="8"/>
      <c r="D115" s="8">
        <f t="shared" si="1"/>
        <v>0</v>
      </c>
    </row>
    <row r="116" spans="1:4" ht="18" hidden="1" x14ac:dyDescent="0.3">
      <c r="A116" s="12" t="s">
        <v>39</v>
      </c>
      <c r="B116" s="17"/>
      <c r="C116" s="17"/>
      <c r="D116" s="8">
        <f t="shared" si="1"/>
        <v>0</v>
      </c>
    </row>
    <row r="117" spans="1:4" ht="18" hidden="1" x14ac:dyDescent="0.3">
      <c r="A117" s="18" t="s">
        <v>255</v>
      </c>
      <c r="B117" s="8"/>
      <c r="C117" s="8"/>
      <c r="D117" s="8">
        <f t="shared" si="1"/>
        <v>0</v>
      </c>
    </row>
    <row r="118" spans="1:4" ht="18" x14ac:dyDescent="0.3">
      <c r="A118" s="10" t="s">
        <v>270</v>
      </c>
      <c r="B118" s="8">
        <v>4</v>
      </c>
      <c r="C118" s="8">
        <v>12500</v>
      </c>
      <c r="D118" s="8">
        <f t="shared" si="1"/>
        <v>50000</v>
      </c>
    </row>
    <row r="119" spans="1:4" ht="18" x14ac:dyDescent="0.3">
      <c r="A119" s="12" t="s">
        <v>418</v>
      </c>
      <c r="B119" s="8">
        <v>27</v>
      </c>
      <c r="C119" s="8">
        <v>15000</v>
      </c>
      <c r="D119" s="8">
        <f t="shared" si="1"/>
        <v>405000</v>
      </c>
    </row>
    <row r="120" spans="1:4" ht="18" hidden="1" x14ac:dyDescent="0.3">
      <c r="A120" s="13" t="s">
        <v>305</v>
      </c>
      <c r="B120" s="8"/>
      <c r="C120" s="8"/>
      <c r="D120" s="8">
        <f t="shared" si="1"/>
        <v>0</v>
      </c>
    </row>
    <row r="121" spans="1:4" ht="18" hidden="1" x14ac:dyDescent="0.3">
      <c r="A121" s="10" t="s">
        <v>314</v>
      </c>
      <c r="B121" s="8"/>
      <c r="C121" s="8"/>
      <c r="D121" s="8">
        <f t="shared" si="1"/>
        <v>0</v>
      </c>
    </row>
    <row r="122" spans="1:4" ht="18" hidden="1" x14ac:dyDescent="0.3">
      <c r="A122" s="10" t="s">
        <v>315</v>
      </c>
      <c r="B122" s="8"/>
      <c r="C122" s="8"/>
      <c r="D122" s="8">
        <f t="shared" si="1"/>
        <v>0</v>
      </c>
    </row>
    <row r="123" spans="1:4" ht="18" hidden="1" x14ac:dyDescent="0.3">
      <c r="A123" s="23" t="s">
        <v>317</v>
      </c>
      <c r="B123" s="8"/>
      <c r="C123" s="8"/>
      <c r="D123" s="8">
        <f t="shared" si="1"/>
        <v>0</v>
      </c>
    </row>
    <row r="124" spans="1:4" ht="18" hidden="1" x14ac:dyDescent="0.3">
      <c r="A124" s="10" t="s">
        <v>326</v>
      </c>
      <c r="B124" s="8"/>
      <c r="C124" s="8"/>
      <c r="D124" s="8">
        <f t="shared" si="1"/>
        <v>0</v>
      </c>
    </row>
    <row r="125" spans="1:4" ht="18" hidden="1" x14ac:dyDescent="0.3">
      <c r="A125" s="23" t="s">
        <v>328</v>
      </c>
      <c r="B125" s="8"/>
      <c r="C125" s="8"/>
      <c r="D125" s="8">
        <f t="shared" si="1"/>
        <v>0</v>
      </c>
    </row>
    <row r="126" spans="1:4" ht="18" hidden="1" x14ac:dyDescent="0.3">
      <c r="A126" s="10" t="s">
        <v>330</v>
      </c>
      <c r="B126" s="8"/>
      <c r="C126" s="8"/>
      <c r="D126" s="8">
        <f t="shared" si="1"/>
        <v>0</v>
      </c>
    </row>
    <row r="127" spans="1:4" ht="18" hidden="1" x14ac:dyDescent="0.3">
      <c r="A127" s="10" t="s">
        <v>333</v>
      </c>
      <c r="B127" s="8"/>
      <c r="C127" s="8"/>
      <c r="D127" s="8">
        <f t="shared" si="1"/>
        <v>0</v>
      </c>
    </row>
    <row r="128" spans="1:4" ht="18" hidden="1" x14ac:dyDescent="0.3">
      <c r="A128" s="10" t="s">
        <v>334</v>
      </c>
      <c r="B128" s="8"/>
      <c r="C128" s="8"/>
      <c r="D128" s="8">
        <f t="shared" si="1"/>
        <v>0</v>
      </c>
    </row>
    <row r="129" spans="1:4" ht="18" hidden="1" x14ac:dyDescent="0.3">
      <c r="A129" s="10" t="s">
        <v>287</v>
      </c>
      <c r="B129" s="8"/>
      <c r="C129" s="8"/>
      <c r="D129" s="8">
        <f t="shared" si="1"/>
        <v>0</v>
      </c>
    </row>
    <row r="130" spans="1:4" ht="18" hidden="1" x14ac:dyDescent="0.3">
      <c r="A130" s="10" t="s">
        <v>22</v>
      </c>
      <c r="B130" s="8"/>
      <c r="C130" s="8"/>
      <c r="D130" s="8">
        <f t="shared" si="1"/>
        <v>0</v>
      </c>
    </row>
    <row r="131" spans="1:4" ht="18" x14ac:dyDescent="0.3">
      <c r="A131" s="10" t="s">
        <v>24</v>
      </c>
      <c r="B131" s="8">
        <v>65</v>
      </c>
      <c r="C131" s="8">
        <v>11000</v>
      </c>
      <c r="D131" s="8">
        <f t="shared" si="1"/>
        <v>715000</v>
      </c>
    </row>
    <row r="132" spans="1:4" ht="18" hidden="1" x14ac:dyDescent="0.3">
      <c r="A132" s="10" t="s">
        <v>25</v>
      </c>
      <c r="B132" s="8"/>
      <c r="C132" s="8"/>
      <c r="D132" s="8">
        <f t="shared" ref="D132:D191" si="2">B132*C132</f>
        <v>0</v>
      </c>
    </row>
    <row r="133" spans="1:4" ht="18" x14ac:dyDescent="0.3">
      <c r="A133" s="10" t="s">
        <v>45</v>
      </c>
      <c r="B133" s="8">
        <v>20</v>
      </c>
      <c r="C133" s="8">
        <v>28000</v>
      </c>
      <c r="D133" s="8">
        <f t="shared" si="2"/>
        <v>560000</v>
      </c>
    </row>
    <row r="134" spans="1:4" ht="18" hidden="1" x14ac:dyDescent="0.3">
      <c r="A134" s="10" t="s">
        <v>46</v>
      </c>
      <c r="B134" s="8"/>
      <c r="C134" s="8"/>
      <c r="D134" s="8">
        <f t="shared" si="2"/>
        <v>0</v>
      </c>
    </row>
    <row r="135" spans="1:4" ht="18" hidden="1" x14ac:dyDescent="0.3">
      <c r="A135" s="10" t="s">
        <v>51</v>
      </c>
      <c r="B135" s="8"/>
      <c r="C135" s="8"/>
      <c r="D135" s="8">
        <f t="shared" si="2"/>
        <v>0</v>
      </c>
    </row>
    <row r="136" spans="1:4" ht="18" x14ac:dyDescent="0.3">
      <c r="A136" s="13" t="s">
        <v>131</v>
      </c>
      <c r="B136" s="17">
        <v>2</v>
      </c>
      <c r="C136" s="17">
        <v>16000</v>
      </c>
      <c r="D136" s="8">
        <f t="shared" si="2"/>
        <v>32000</v>
      </c>
    </row>
    <row r="137" spans="1:4" ht="18" hidden="1" x14ac:dyDescent="0.3">
      <c r="A137" s="10" t="s">
        <v>132</v>
      </c>
      <c r="B137" s="8"/>
      <c r="C137" s="8"/>
      <c r="D137" s="8">
        <f t="shared" si="2"/>
        <v>0</v>
      </c>
    </row>
    <row r="138" spans="1:4" ht="18" hidden="1" x14ac:dyDescent="0.3">
      <c r="A138" s="10" t="s">
        <v>290</v>
      </c>
      <c r="B138" s="8"/>
      <c r="C138" s="8"/>
      <c r="D138" s="8">
        <f t="shared" si="2"/>
        <v>0</v>
      </c>
    </row>
    <row r="139" spans="1:4" ht="18" hidden="1" x14ac:dyDescent="0.3">
      <c r="A139" s="14" t="s">
        <v>17</v>
      </c>
      <c r="B139" s="8"/>
      <c r="C139" s="8"/>
      <c r="D139" s="8">
        <f t="shared" si="2"/>
        <v>0</v>
      </c>
    </row>
    <row r="140" spans="1:4" ht="18" hidden="1" x14ac:dyDescent="0.3">
      <c r="A140" s="12" t="s">
        <v>18</v>
      </c>
      <c r="B140" s="8"/>
      <c r="C140" s="47"/>
      <c r="D140" s="8">
        <f t="shared" si="2"/>
        <v>0</v>
      </c>
    </row>
    <row r="141" spans="1:4" ht="18" hidden="1" x14ac:dyDescent="0.3">
      <c r="A141" s="10" t="s">
        <v>158</v>
      </c>
      <c r="B141" s="8"/>
      <c r="C141" s="8"/>
      <c r="D141" s="8">
        <f t="shared" si="2"/>
        <v>0</v>
      </c>
    </row>
    <row r="142" spans="1:4" ht="18" hidden="1" x14ac:dyDescent="0.3">
      <c r="A142" s="10" t="s">
        <v>160</v>
      </c>
      <c r="B142" s="8"/>
      <c r="C142" s="8"/>
      <c r="D142" s="8">
        <f t="shared" si="2"/>
        <v>0</v>
      </c>
    </row>
    <row r="143" spans="1:4" ht="18" hidden="1" x14ac:dyDescent="0.3">
      <c r="A143" s="12" t="s">
        <v>226</v>
      </c>
      <c r="B143" s="8"/>
      <c r="C143" s="8"/>
      <c r="D143" s="8">
        <f t="shared" si="2"/>
        <v>0</v>
      </c>
    </row>
    <row r="144" spans="1:4" ht="18" hidden="1" x14ac:dyDescent="0.3">
      <c r="A144" s="12" t="s">
        <v>232</v>
      </c>
      <c r="B144" s="8"/>
      <c r="C144" s="8"/>
      <c r="D144" s="8">
        <f t="shared" si="2"/>
        <v>0</v>
      </c>
    </row>
    <row r="145" spans="1:4" ht="18" hidden="1" x14ac:dyDescent="0.3">
      <c r="A145" s="37" t="s">
        <v>277</v>
      </c>
      <c r="B145" s="8"/>
      <c r="C145" s="8"/>
      <c r="D145" s="8">
        <f t="shared" si="2"/>
        <v>0</v>
      </c>
    </row>
    <row r="146" spans="1:4" ht="18" hidden="1" x14ac:dyDescent="0.3">
      <c r="A146" s="12" t="s">
        <v>338</v>
      </c>
      <c r="B146" s="8"/>
      <c r="C146" s="8"/>
      <c r="D146" s="8">
        <f t="shared" si="2"/>
        <v>0</v>
      </c>
    </row>
    <row r="147" spans="1:4" ht="18" x14ac:dyDescent="0.3">
      <c r="A147" s="43"/>
      <c r="B147" s="46">
        <v>2425.5</v>
      </c>
      <c r="C147" s="46"/>
      <c r="D147" s="8">
        <f>SUM(D3:D136)</f>
        <v>40907000</v>
      </c>
    </row>
    <row r="148" spans="1:4" ht="18" hidden="1" x14ac:dyDescent="0.3">
      <c r="D148" s="8">
        <f t="shared" si="2"/>
        <v>0</v>
      </c>
    </row>
    <row r="149" spans="1:4" ht="18" x14ac:dyDescent="0.3">
      <c r="A149" s="1" t="s">
        <v>420</v>
      </c>
      <c r="B149" s="2"/>
      <c r="C149" s="2"/>
      <c r="D149" s="8"/>
    </row>
    <row r="150" spans="1:4" ht="26.4" x14ac:dyDescent="0.3">
      <c r="A150" s="152" t="s">
        <v>0</v>
      </c>
      <c r="B150" s="4" t="s">
        <v>1</v>
      </c>
      <c r="C150" s="4" t="s">
        <v>340</v>
      </c>
      <c r="D150" s="8" t="s">
        <v>341</v>
      </c>
    </row>
    <row r="151" spans="1:4" ht="18" hidden="1" x14ac:dyDescent="0.3">
      <c r="A151" s="153"/>
      <c r="B151" s="5"/>
      <c r="C151" s="5"/>
      <c r="D151" s="8">
        <f t="shared" si="2"/>
        <v>0</v>
      </c>
    </row>
    <row r="152" spans="1:4" ht="18" hidden="1" x14ac:dyDescent="0.3">
      <c r="A152" s="10" t="s">
        <v>110</v>
      </c>
      <c r="B152" s="8"/>
      <c r="C152" s="8"/>
      <c r="D152" s="8">
        <f t="shared" si="2"/>
        <v>0</v>
      </c>
    </row>
    <row r="153" spans="1:4" ht="18" hidden="1" x14ac:dyDescent="0.3">
      <c r="A153" s="10" t="s">
        <v>250</v>
      </c>
      <c r="B153" s="8"/>
      <c r="C153" s="8"/>
      <c r="D153" s="8">
        <f t="shared" si="2"/>
        <v>0</v>
      </c>
    </row>
    <row r="154" spans="1:4" ht="18" hidden="1" x14ac:dyDescent="0.3">
      <c r="A154" s="10" t="s">
        <v>258</v>
      </c>
      <c r="B154" s="8"/>
      <c r="C154" s="8"/>
      <c r="D154" s="8">
        <f t="shared" si="2"/>
        <v>0</v>
      </c>
    </row>
    <row r="155" spans="1:4" ht="18" hidden="1" x14ac:dyDescent="0.3">
      <c r="A155" s="10" t="s">
        <v>262</v>
      </c>
      <c r="B155" s="8"/>
      <c r="C155" s="8"/>
      <c r="D155" s="8">
        <f t="shared" si="2"/>
        <v>0</v>
      </c>
    </row>
    <row r="156" spans="1:4" ht="18" x14ac:dyDescent="0.3">
      <c r="A156" s="10" t="s">
        <v>135</v>
      </c>
      <c r="B156" s="8">
        <v>150</v>
      </c>
      <c r="C156" s="8">
        <v>9000</v>
      </c>
      <c r="D156" s="8">
        <f t="shared" si="2"/>
        <v>1350000</v>
      </c>
    </row>
    <row r="157" spans="1:4" ht="18" hidden="1" x14ac:dyDescent="0.3">
      <c r="A157" s="10" t="s">
        <v>212</v>
      </c>
      <c r="B157" s="8"/>
      <c r="C157" s="8"/>
      <c r="D157" s="8">
        <f t="shared" si="2"/>
        <v>0</v>
      </c>
    </row>
    <row r="158" spans="1:4" ht="18" hidden="1" x14ac:dyDescent="0.3">
      <c r="A158" s="10" t="s">
        <v>215</v>
      </c>
      <c r="B158" s="8"/>
      <c r="C158" s="8"/>
      <c r="D158" s="8">
        <f t="shared" si="2"/>
        <v>0</v>
      </c>
    </row>
    <row r="159" spans="1:4" ht="18" hidden="1" x14ac:dyDescent="0.3">
      <c r="A159" s="10" t="s">
        <v>103</v>
      </c>
      <c r="B159" s="8"/>
      <c r="C159" s="8"/>
      <c r="D159" s="8">
        <f t="shared" si="2"/>
        <v>0</v>
      </c>
    </row>
    <row r="160" spans="1:4" ht="18" x14ac:dyDescent="0.3">
      <c r="A160" s="10" t="s">
        <v>12</v>
      </c>
      <c r="B160" s="8">
        <v>21</v>
      </c>
      <c r="C160" s="8">
        <v>10000</v>
      </c>
      <c r="D160" s="8">
        <f t="shared" si="2"/>
        <v>210000</v>
      </c>
    </row>
    <row r="161" spans="1:4" ht="18" hidden="1" x14ac:dyDescent="0.3">
      <c r="A161" s="10" t="s">
        <v>274</v>
      </c>
      <c r="B161" s="8"/>
      <c r="C161" s="8"/>
      <c r="D161" s="8">
        <f t="shared" si="2"/>
        <v>0</v>
      </c>
    </row>
    <row r="162" spans="1:4" ht="18" hidden="1" x14ac:dyDescent="0.3">
      <c r="A162" s="6" t="s">
        <v>2</v>
      </c>
      <c r="B162" s="8"/>
      <c r="C162" s="8"/>
      <c r="D162" s="8">
        <f t="shared" si="2"/>
        <v>0</v>
      </c>
    </row>
    <row r="163" spans="1:4" ht="18" hidden="1" x14ac:dyDescent="0.3">
      <c r="A163" s="10" t="s">
        <v>86</v>
      </c>
      <c r="B163" s="8"/>
      <c r="C163" s="8"/>
      <c r="D163" s="8">
        <f t="shared" si="2"/>
        <v>0</v>
      </c>
    </row>
    <row r="164" spans="1:4" ht="18" hidden="1" x14ac:dyDescent="0.3">
      <c r="A164" s="10" t="s">
        <v>122</v>
      </c>
      <c r="B164" s="8"/>
      <c r="C164" s="8"/>
      <c r="D164" s="8">
        <f t="shared" si="2"/>
        <v>0</v>
      </c>
    </row>
    <row r="165" spans="1:4" ht="18" x14ac:dyDescent="0.3">
      <c r="A165" s="10" t="s">
        <v>43</v>
      </c>
      <c r="B165" s="8">
        <v>12</v>
      </c>
      <c r="C165" s="8">
        <v>13000</v>
      </c>
      <c r="D165" s="8">
        <f t="shared" si="2"/>
        <v>156000</v>
      </c>
    </row>
    <row r="166" spans="1:4" ht="18" x14ac:dyDescent="0.3">
      <c r="A166" s="13" t="s">
        <v>52</v>
      </c>
      <c r="B166" s="8">
        <v>407</v>
      </c>
      <c r="C166" s="8">
        <v>17000</v>
      </c>
      <c r="D166" s="8">
        <f t="shared" si="2"/>
        <v>6919000</v>
      </c>
    </row>
    <row r="167" spans="1:4" ht="18" x14ac:dyDescent="0.3">
      <c r="A167" s="10" t="s">
        <v>19</v>
      </c>
      <c r="B167" s="8">
        <v>1180</v>
      </c>
      <c r="C167" s="8">
        <v>18000</v>
      </c>
      <c r="D167" s="8">
        <f t="shared" si="2"/>
        <v>21240000</v>
      </c>
    </row>
    <row r="168" spans="1:4" ht="18" hidden="1" x14ac:dyDescent="0.3">
      <c r="A168" s="10" t="s">
        <v>293</v>
      </c>
      <c r="B168" s="8"/>
      <c r="C168" s="8"/>
      <c r="D168" s="8">
        <f t="shared" si="2"/>
        <v>0</v>
      </c>
    </row>
    <row r="169" spans="1:4" ht="18" x14ac:dyDescent="0.3">
      <c r="A169" s="10" t="s">
        <v>204</v>
      </c>
      <c r="B169" s="8">
        <v>840</v>
      </c>
      <c r="C169" s="8">
        <v>11500</v>
      </c>
      <c r="D169" s="8">
        <f t="shared" si="2"/>
        <v>9660000</v>
      </c>
    </row>
    <row r="170" spans="1:4" ht="18" x14ac:dyDescent="0.3">
      <c r="A170" s="10" t="s">
        <v>154</v>
      </c>
      <c r="B170" s="8">
        <v>30</v>
      </c>
      <c r="C170" s="8">
        <v>11000</v>
      </c>
      <c r="D170" s="8">
        <f t="shared" si="2"/>
        <v>330000</v>
      </c>
    </row>
    <row r="171" spans="1:4" ht="18" hidden="1" x14ac:dyDescent="0.3">
      <c r="A171" s="10" t="s">
        <v>77</v>
      </c>
      <c r="B171" s="8"/>
      <c r="C171" s="8"/>
      <c r="D171" s="8">
        <f t="shared" si="2"/>
        <v>0</v>
      </c>
    </row>
    <row r="172" spans="1:4" ht="18" x14ac:dyDescent="0.3">
      <c r="A172" s="13" t="s">
        <v>183</v>
      </c>
      <c r="B172" s="8">
        <v>1920</v>
      </c>
      <c r="C172" s="8">
        <v>7700</v>
      </c>
      <c r="D172" s="8">
        <f t="shared" si="2"/>
        <v>14784000</v>
      </c>
    </row>
    <row r="173" spans="1:4" ht="18" x14ac:dyDescent="0.3">
      <c r="A173" s="10" t="s">
        <v>353</v>
      </c>
      <c r="B173" s="8">
        <v>32</v>
      </c>
      <c r="C173" s="8">
        <v>10000</v>
      </c>
      <c r="D173" s="8">
        <f t="shared" si="2"/>
        <v>320000</v>
      </c>
    </row>
    <row r="174" spans="1:4" ht="18" hidden="1" x14ac:dyDescent="0.3">
      <c r="A174" s="10" t="s">
        <v>105</v>
      </c>
      <c r="B174" s="8"/>
      <c r="C174" s="8"/>
      <c r="D174" s="8">
        <f t="shared" si="2"/>
        <v>0</v>
      </c>
    </row>
    <row r="175" spans="1:4" ht="18" hidden="1" x14ac:dyDescent="0.3">
      <c r="A175" s="10" t="s">
        <v>90</v>
      </c>
      <c r="B175" s="8"/>
      <c r="C175" s="8"/>
      <c r="D175" s="8">
        <f t="shared" si="2"/>
        <v>0</v>
      </c>
    </row>
    <row r="176" spans="1:4" ht="18" hidden="1" x14ac:dyDescent="0.3">
      <c r="A176" s="6" t="s">
        <v>5</v>
      </c>
      <c r="B176" s="8"/>
      <c r="C176" s="8"/>
      <c r="D176" s="8">
        <f t="shared" si="2"/>
        <v>0</v>
      </c>
    </row>
    <row r="177" spans="1:4" ht="18" hidden="1" x14ac:dyDescent="0.3">
      <c r="A177" s="10" t="s">
        <v>350</v>
      </c>
      <c r="B177" s="8"/>
      <c r="C177" s="8"/>
      <c r="D177" s="8">
        <f t="shared" si="2"/>
        <v>0</v>
      </c>
    </row>
    <row r="178" spans="1:4" ht="18" x14ac:dyDescent="0.3">
      <c r="A178" s="10" t="s">
        <v>347</v>
      </c>
      <c r="B178" s="8">
        <v>2</v>
      </c>
      <c r="C178" s="8">
        <v>21000</v>
      </c>
      <c r="D178" s="8">
        <f t="shared" si="2"/>
        <v>42000</v>
      </c>
    </row>
    <row r="179" spans="1:4" ht="18" hidden="1" x14ac:dyDescent="0.3">
      <c r="A179" s="10" t="s">
        <v>313</v>
      </c>
      <c r="B179" s="8"/>
      <c r="C179" s="8"/>
      <c r="D179" s="8">
        <f t="shared" si="2"/>
        <v>0</v>
      </c>
    </row>
    <row r="180" spans="1:4" ht="18" hidden="1" x14ac:dyDescent="0.3">
      <c r="A180" s="10" t="s">
        <v>329</v>
      </c>
      <c r="B180" s="8"/>
      <c r="C180" s="8"/>
      <c r="D180" s="8">
        <f t="shared" si="2"/>
        <v>0</v>
      </c>
    </row>
    <row r="181" spans="1:4" ht="18" hidden="1" x14ac:dyDescent="0.3">
      <c r="A181" s="10" t="s">
        <v>332</v>
      </c>
      <c r="B181" s="8"/>
      <c r="C181" s="8"/>
      <c r="D181" s="8">
        <f t="shared" si="2"/>
        <v>0</v>
      </c>
    </row>
    <row r="182" spans="1:4" ht="18" hidden="1" x14ac:dyDescent="0.3">
      <c r="A182" s="10" t="s">
        <v>287</v>
      </c>
      <c r="B182" s="8"/>
      <c r="C182" s="8"/>
      <c r="D182" s="8">
        <f t="shared" si="2"/>
        <v>0</v>
      </c>
    </row>
    <row r="183" spans="1:4" ht="18" hidden="1" x14ac:dyDescent="0.3">
      <c r="A183" s="10" t="s">
        <v>22</v>
      </c>
      <c r="B183" s="8"/>
      <c r="C183" s="8"/>
      <c r="D183" s="8">
        <f t="shared" si="2"/>
        <v>0</v>
      </c>
    </row>
    <row r="184" spans="1:4" ht="18" hidden="1" x14ac:dyDescent="0.3">
      <c r="A184" s="10" t="s">
        <v>24</v>
      </c>
      <c r="B184" s="8"/>
      <c r="C184" s="8"/>
      <c r="D184" s="8">
        <f t="shared" si="2"/>
        <v>0</v>
      </c>
    </row>
    <row r="185" spans="1:4" ht="18" hidden="1" x14ac:dyDescent="0.3">
      <c r="A185" s="10" t="s">
        <v>50</v>
      </c>
      <c r="B185" s="8"/>
      <c r="C185" s="8"/>
      <c r="D185" s="8">
        <f t="shared" si="2"/>
        <v>0</v>
      </c>
    </row>
    <row r="186" spans="1:4" ht="18" hidden="1" x14ac:dyDescent="0.3">
      <c r="A186" s="10" t="s">
        <v>132</v>
      </c>
      <c r="B186" s="8"/>
      <c r="C186" s="8"/>
      <c r="D186" s="8">
        <f t="shared" si="2"/>
        <v>0</v>
      </c>
    </row>
    <row r="187" spans="1:4" ht="18" x14ac:dyDescent="0.3">
      <c r="A187" s="10" t="s">
        <v>290</v>
      </c>
      <c r="B187" s="8">
        <v>5</v>
      </c>
      <c r="C187" s="8">
        <v>7000</v>
      </c>
      <c r="D187" s="8">
        <f t="shared" si="2"/>
        <v>35000</v>
      </c>
    </row>
    <row r="188" spans="1:4" ht="18" hidden="1" x14ac:dyDescent="0.3">
      <c r="A188" s="10" t="s">
        <v>159</v>
      </c>
      <c r="B188" s="8"/>
      <c r="C188" s="8"/>
      <c r="D188" s="8">
        <f t="shared" si="2"/>
        <v>0</v>
      </c>
    </row>
    <row r="189" spans="1:4" ht="18" x14ac:dyDescent="0.3">
      <c r="A189" s="12" t="s">
        <v>226</v>
      </c>
      <c r="B189" s="8">
        <v>17</v>
      </c>
      <c r="C189" s="8">
        <v>38000</v>
      </c>
      <c r="D189" s="8">
        <f t="shared" si="2"/>
        <v>646000</v>
      </c>
    </row>
    <row r="190" spans="1:4" ht="18" hidden="1" x14ac:dyDescent="0.3">
      <c r="A190" s="23" t="s">
        <v>356</v>
      </c>
      <c r="B190" s="8"/>
      <c r="C190" s="8"/>
      <c r="D190" s="8">
        <f t="shared" si="2"/>
        <v>0</v>
      </c>
    </row>
    <row r="191" spans="1:4" ht="18" hidden="1" x14ac:dyDescent="0.3">
      <c r="A191" s="23" t="s">
        <v>357</v>
      </c>
      <c r="B191" s="8"/>
      <c r="C191" s="8"/>
      <c r="D191" s="8">
        <f t="shared" si="2"/>
        <v>0</v>
      </c>
    </row>
    <row r="192" spans="1:4" ht="18" x14ac:dyDescent="0.3">
      <c r="A192" s="43"/>
      <c r="B192" s="46">
        <v>4616</v>
      </c>
      <c r="C192" s="46"/>
      <c r="D192" s="8">
        <f>SUM(D156:D189)</f>
        <v>55692000</v>
      </c>
    </row>
    <row r="194" spans="4:4" x14ac:dyDescent="0.3">
      <c r="D194" s="49">
        <f>D192+D147</f>
        <v>96599000</v>
      </c>
    </row>
  </sheetData>
  <protectedRanges>
    <protectedRange password="CF71" sqref="B164:C191 B3:C3 B1:D2" name="tho"/>
    <protectedRange password="CF71" sqref="D3:D192" name="tho_2"/>
    <protectedRange password="CF71" sqref="B4:C4" name="tho_1"/>
    <protectedRange password="CF71" sqref="B5:C5" name="tho_3"/>
    <protectedRange password="CF71" sqref="B6:C6" name="tho_4"/>
    <protectedRange password="CF71" sqref="B7:C9" name="tho_5"/>
    <protectedRange password="CF71" sqref="B10:C10" name="tho_6"/>
    <protectedRange password="CF71" sqref="B11:C12" name="tho_7"/>
    <protectedRange password="CF71" sqref="B13:C13" name="tho_8"/>
    <protectedRange password="CF71" sqref="B14:C14" name="tho_9"/>
    <protectedRange password="CF71" sqref="B15:C16" name="tho_10"/>
    <protectedRange password="CF71" sqref="B17:C17" name="tho_11"/>
    <protectedRange password="CF71" sqref="B18:C18" name="tho_12"/>
    <protectedRange password="CF71" sqref="B19:C19" name="tho_13"/>
    <protectedRange password="CF71" sqref="B20:C22" name="tho_14"/>
    <protectedRange password="CF71" sqref="B23:C24" name="tho_15"/>
    <protectedRange password="CF71" sqref="B25:C28" name="tho_16"/>
    <protectedRange password="CF71" sqref="B29:C30" name="tho_17"/>
    <protectedRange password="CF71" sqref="B31:C31" name="tho_18"/>
    <protectedRange password="CF71" sqref="B32:C34" name="tho_19"/>
    <protectedRange password="CF71" sqref="B35:C41" name="tho_20"/>
    <protectedRange password="CF71" sqref="B42:C44" name="tho_21"/>
    <protectedRange password="CF71" sqref="B45:C45" name="tho_22"/>
    <protectedRange password="CF71" sqref="B46:C47" name="tho_23"/>
    <protectedRange password="CF71" sqref="B48:C48" name="tho_24"/>
    <protectedRange password="CF71" sqref="B49:C50" name="tho_25"/>
    <protectedRange password="CF71" sqref="B51:C51" name="tho_26"/>
    <protectedRange password="CF71" sqref="B52:C52" name="tho_27"/>
    <protectedRange password="CF71" sqref="B53:C53" name="tho_28"/>
    <protectedRange password="CF71" sqref="B54:C54" name="tho_29"/>
    <protectedRange password="CF71" sqref="B55:C55" name="tho_30"/>
    <protectedRange password="CF71" sqref="B56:C56" name="tho_31"/>
    <protectedRange password="CF71" sqref="B57:C57" name="tho_32"/>
    <protectedRange password="CF71" sqref="B58:C58" name="tho_33"/>
    <protectedRange password="CF71" sqref="B59:C59" name="tho_34"/>
    <protectedRange password="CF71" sqref="B60:C62" name="tho_35"/>
    <protectedRange password="CF71" sqref="B63:C68" name="tho_36"/>
    <protectedRange password="CF71" sqref="B69:C69" name="tho_37"/>
    <protectedRange password="CF71" sqref="B70:C71" name="tho_38"/>
    <protectedRange password="CF71" sqref="B72:C72" name="tho_39"/>
    <protectedRange password="CF71" sqref="B73:C73" name="tho_40"/>
    <protectedRange password="CF71" sqref="B74:C76" name="tho_41"/>
    <protectedRange password="CF71" sqref="B77:C77" name="tho_42"/>
    <protectedRange password="CF71" sqref="B78:C78" name="tho_43"/>
    <protectedRange password="CF71" sqref="B79:C79" name="tho_44"/>
    <protectedRange password="CF71" sqref="B80:C80" name="tho_45"/>
    <protectedRange password="CF71" sqref="B81:C81" name="tho_46"/>
    <protectedRange password="CF71" sqref="B82:C82" name="tho_47"/>
    <protectedRange password="CF71" sqref="B83:C87" name="tho_48"/>
    <protectedRange password="CF71" sqref="B88:C90" name="tho_49"/>
    <protectedRange password="CF71" sqref="B91:C91" name="tho_50"/>
    <protectedRange password="CF71" sqref="B92:C93" name="tho_51"/>
    <protectedRange password="CF71" sqref="B94:C94" name="tho_52"/>
    <protectedRange password="CF71" sqref="B95:C97" name="tho_53"/>
    <protectedRange password="CF71" sqref="B98:C100" name="tho_54"/>
    <protectedRange password="CF71" sqref="B101:C101" name="tho_55"/>
    <protectedRange password="CF71" sqref="B102:C103" name="tho_56"/>
    <protectedRange password="CF71" sqref="B104:C106" name="tho_57"/>
    <protectedRange password="CF71" sqref="B107:C107" name="tho_58"/>
    <protectedRange password="CF71" sqref="B108:C108" name="tho_59"/>
    <protectedRange password="CF71" sqref="B109:C110" name="tho_60"/>
    <protectedRange password="CF71" sqref="B111:C111" name="tho_61"/>
    <protectedRange password="CF71" sqref="B112:C112" name="tho_62"/>
    <protectedRange password="CF71" sqref="B113:C117" name="tho_63"/>
    <protectedRange password="CF71" sqref="B118:C118" name="tho_64"/>
    <protectedRange password="CF71" sqref="B119:C119" name="tho_65"/>
    <protectedRange password="CF71" sqref="B120:C120" name="tho_66"/>
    <protectedRange password="CF71" sqref="B121:C122" name="tho_67"/>
    <protectedRange password="CF71" sqref="B123:C123" name="tho_68"/>
    <protectedRange password="CF71" sqref="B124:C124" name="tho_69"/>
    <protectedRange password="CF71" sqref="B125:C125" name="tho_70"/>
    <protectedRange password="CF71" sqref="B126:C126" name="tho_71"/>
    <protectedRange password="CF71" sqref="B127:C128" name="tho_72"/>
    <protectedRange password="CF71" sqref="B129:C129" name="tho_73"/>
    <protectedRange password="CF71" sqref="B130:C130" name="tho_74"/>
    <protectedRange password="CF71" sqref="B131:C132" name="tho_75"/>
    <protectedRange password="CF71" sqref="B133:C134" name="tho_76"/>
    <protectedRange password="CF71" sqref="B135:C135" name="tho_77"/>
    <protectedRange password="CF71" sqref="B136:C137" name="tho_78"/>
    <protectedRange password="CF71" sqref="B138:C138" name="tho_79"/>
    <protectedRange password="CF71" sqref="B139:C140" name="tho_80"/>
    <protectedRange password="CF71" sqref="B141:C141" name="tho_81"/>
    <protectedRange password="CF71" sqref="B142:C142" name="tho_82"/>
    <protectedRange password="CF71" sqref="B143:C143" name="tho_83"/>
    <protectedRange password="CF71" sqref="B144:C144" name="tho_84"/>
    <protectedRange password="CF71" sqref="B145:C145" name="tho_85"/>
    <protectedRange password="CF71" sqref="B146:C146" name="tho_86"/>
    <protectedRange password="CF71" sqref="B149:C151" name="tho_87"/>
    <protectedRange password="CF71" sqref="B152:C152" name="tho_88"/>
    <protectedRange password="CF71" sqref="B153:C153" name="tho_89"/>
    <protectedRange password="CF71" sqref="B154:C154" name="tho_90"/>
    <protectedRange password="CF71" sqref="B155:C155" name="tho_91"/>
    <protectedRange password="CF71" sqref="B156:C156" name="tho_92"/>
    <protectedRange password="CF71" sqref="B157:C157" name="tho_93"/>
    <protectedRange password="CF71" sqref="B158:C158" name="tho_94"/>
    <protectedRange password="CF71" sqref="B159:C159" name="tho_95"/>
    <protectedRange password="CF71" sqref="B160:C160" name="tho_96"/>
    <protectedRange password="CF71" sqref="B161:C161" name="tho_97"/>
    <protectedRange password="CF71" sqref="B162:C162" name="tho_98"/>
    <protectedRange password="CF71" sqref="B163:C163" name="tho_99"/>
  </protectedRanges>
  <autoFilter ref="A2:D192" xr:uid="{00000000-0009-0000-0000-000013000000}">
    <filterColumn colId="1">
      <customFilters>
        <customFilter operator="notEqual" val=" "/>
      </customFilters>
    </filterColumn>
  </autoFilter>
  <mergeCells count="1">
    <mergeCell ref="A150:A15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D386"/>
  <sheetViews>
    <sheetView topLeftCell="A356" workbookViewId="0">
      <selection activeCell="H352" sqref="H352"/>
    </sheetView>
  </sheetViews>
  <sheetFormatPr defaultRowHeight="14.4" x14ac:dyDescent="0.3"/>
  <cols>
    <col min="1" max="1" width="34.6640625" customWidth="1"/>
    <col min="3" max="3" width="13.21875" customWidth="1"/>
    <col min="4" max="4" width="19.77734375" customWidth="1"/>
  </cols>
  <sheetData>
    <row r="1" spans="1:4" x14ac:dyDescent="0.3">
      <c r="A1" s="1" t="s">
        <v>421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6" t="s">
        <v>2</v>
      </c>
      <c r="B3" s="8"/>
      <c r="C3" s="8"/>
      <c r="D3" s="8">
        <f>B3*C3</f>
        <v>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x14ac:dyDescent="0.3">
      <c r="A15" s="13" t="s">
        <v>14</v>
      </c>
      <c r="B15" s="8">
        <f>5+33+55</f>
        <v>93</v>
      </c>
      <c r="C15" s="8">
        <v>19000</v>
      </c>
      <c r="D15" s="8">
        <f t="shared" si="0"/>
        <v>1767000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f>50+120+15</f>
        <v>185</v>
      </c>
      <c r="C18" s="8">
        <v>4000</v>
      </c>
      <c r="D18" s="8">
        <f t="shared" si="0"/>
        <v>740000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160</v>
      </c>
      <c r="C20" s="8">
        <v>18000</v>
      </c>
      <c r="D20" s="8">
        <f t="shared" si="0"/>
        <v>2880000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18+30+23</f>
        <v>71</v>
      </c>
      <c r="C25" s="8">
        <v>11000</v>
      </c>
      <c r="D25" s="8">
        <f t="shared" si="0"/>
        <v>781000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35+6+18</f>
        <v>59</v>
      </c>
      <c r="C28" s="8">
        <v>12500</v>
      </c>
      <c r="D28" s="8">
        <f t="shared" si="0"/>
        <v>737500</v>
      </c>
    </row>
    <row r="29" spans="1:4" ht="18" hidden="1" x14ac:dyDescent="0.3">
      <c r="A29" s="12" t="s">
        <v>412</v>
      </c>
      <c r="B29" s="17"/>
      <c r="C29" s="17"/>
      <c r="D29" s="8">
        <f t="shared" si="0"/>
        <v>0</v>
      </c>
    </row>
    <row r="30" spans="1:4" ht="18" x14ac:dyDescent="0.3">
      <c r="A30" s="13" t="s">
        <v>28</v>
      </c>
      <c r="B30" s="8">
        <v>8</v>
      </c>
      <c r="C30" s="8">
        <v>20000</v>
      </c>
      <c r="D30" s="8">
        <f t="shared" si="0"/>
        <v>160000</v>
      </c>
    </row>
    <row r="31" spans="1:4" ht="18" hidden="1" x14ac:dyDescent="0.3">
      <c r="A31" s="12" t="s">
        <v>29</v>
      </c>
      <c r="B31" s="8"/>
      <c r="C31" s="8"/>
      <c r="D31" s="8">
        <f t="shared" si="0"/>
        <v>0</v>
      </c>
    </row>
    <row r="32" spans="1:4" ht="18" hidden="1" x14ac:dyDescent="0.3">
      <c r="A32" s="12" t="s">
        <v>30</v>
      </c>
      <c r="B32" s="8"/>
      <c r="C32" s="8"/>
      <c r="D32" s="8">
        <f t="shared" si="0"/>
        <v>0</v>
      </c>
    </row>
    <row r="33" spans="1:4" ht="18" hidden="1" x14ac:dyDescent="0.3">
      <c r="A33" s="12" t="s">
        <v>31</v>
      </c>
      <c r="B33" s="8"/>
      <c r="C33" s="8"/>
      <c r="D33" s="8">
        <f t="shared" si="0"/>
        <v>0</v>
      </c>
    </row>
    <row r="34" spans="1:4" ht="18" hidden="1" x14ac:dyDescent="0.3">
      <c r="A34" s="13" t="s">
        <v>367</v>
      </c>
      <c r="B34" s="8"/>
      <c r="C34" s="8"/>
      <c r="D34" s="8">
        <f t="shared" si="0"/>
        <v>0</v>
      </c>
    </row>
    <row r="35" spans="1:4" ht="18" hidden="1" x14ac:dyDescent="0.3">
      <c r="A35" s="12" t="s">
        <v>32</v>
      </c>
      <c r="B35" s="8"/>
      <c r="C35" s="8"/>
      <c r="D35" s="8">
        <f t="shared" si="0"/>
        <v>0</v>
      </c>
    </row>
    <row r="36" spans="1:4" ht="18" hidden="1" x14ac:dyDescent="0.3">
      <c r="A36" s="12" t="s">
        <v>33</v>
      </c>
      <c r="B36" s="8"/>
      <c r="C36" s="8"/>
      <c r="D36" s="8">
        <f t="shared" si="0"/>
        <v>0</v>
      </c>
    </row>
    <row r="37" spans="1:4" ht="18" hidden="1" x14ac:dyDescent="0.3">
      <c r="A37" s="12" t="s">
        <v>34</v>
      </c>
      <c r="B37" s="8"/>
      <c r="C37" s="8"/>
      <c r="D37" s="8">
        <f t="shared" si="0"/>
        <v>0</v>
      </c>
    </row>
    <row r="38" spans="1:4" ht="18" x14ac:dyDescent="0.3">
      <c r="A38" s="13" t="s">
        <v>35</v>
      </c>
      <c r="B38" s="8">
        <f>5+15+3</f>
        <v>23</v>
      </c>
      <c r="C38" s="8">
        <v>11500</v>
      </c>
      <c r="D38" s="8">
        <f t="shared" si="0"/>
        <v>264500</v>
      </c>
    </row>
    <row r="39" spans="1:4" ht="18" hidden="1" x14ac:dyDescent="0.3">
      <c r="A39" s="10" t="s">
        <v>36</v>
      </c>
      <c r="B39" s="8"/>
      <c r="C39" s="8"/>
      <c r="D39" s="8">
        <f t="shared" si="0"/>
        <v>0</v>
      </c>
    </row>
    <row r="40" spans="1:4" ht="18" hidden="1" x14ac:dyDescent="0.3">
      <c r="A40" s="10" t="s">
        <v>37</v>
      </c>
      <c r="B40" s="8"/>
      <c r="C40" s="8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x14ac:dyDescent="0.3">
      <c r="A44" s="18" t="s">
        <v>42</v>
      </c>
      <c r="B44" s="8">
        <v>1.2</v>
      </c>
      <c r="C44" s="8">
        <v>50000</v>
      </c>
      <c r="D44" s="8">
        <f t="shared" si="0"/>
        <v>60000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hidden="1" x14ac:dyDescent="0.3">
      <c r="A57" s="18" t="s">
        <v>55</v>
      </c>
      <c r="B57" s="8"/>
      <c r="C57" s="8"/>
      <c r="D57" s="8">
        <f t="shared" si="0"/>
        <v>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hidden="1" x14ac:dyDescent="0.3">
      <c r="A64" s="10" t="s">
        <v>62</v>
      </c>
      <c r="B64" s="8"/>
      <c r="C64" s="8"/>
      <c r="D64" s="8">
        <f t="shared" si="0"/>
        <v>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x14ac:dyDescent="0.3">
      <c r="A70" s="13" t="s">
        <v>68</v>
      </c>
      <c r="B70" s="8">
        <v>20</v>
      </c>
      <c r="C70" s="8">
        <v>10000</v>
      </c>
      <c r="D70" s="8">
        <f t="shared" si="1"/>
        <v>200000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x14ac:dyDescent="0.3">
      <c r="A81" s="10" t="s">
        <v>80</v>
      </c>
      <c r="B81" s="8">
        <f>8+24</f>
        <v>32</v>
      </c>
      <c r="C81" s="8">
        <v>21000</v>
      </c>
      <c r="D81" s="8">
        <f t="shared" si="1"/>
        <v>672000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x14ac:dyDescent="0.3">
      <c r="A87" s="10" t="s">
        <v>86</v>
      </c>
      <c r="B87" s="8">
        <v>14</v>
      </c>
      <c r="C87" s="8">
        <v>17000</v>
      </c>
      <c r="D87" s="8">
        <f t="shared" si="1"/>
        <v>238000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x14ac:dyDescent="0.3">
      <c r="A91" s="10" t="s">
        <v>90</v>
      </c>
      <c r="B91" s="8">
        <f>42+12</f>
        <v>54</v>
      </c>
      <c r="C91" s="8">
        <v>6000</v>
      </c>
      <c r="D91" s="8">
        <f t="shared" si="1"/>
        <v>324000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v>4</v>
      </c>
      <c r="C111" s="8">
        <v>22000</v>
      </c>
      <c r="D111" s="8">
        <f t="shared" si="1"/>
        <v>88000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x14ac:dyDescent="0.3">
      <c r="A132" s="13" t="s">
        <v>131</v>
      </c>
      <c r="B132" s="17">
        <v>1</v>
      </c>
      <c r="C132" s="17">
        <v>16000</v>
      </c>
      <c r="D132" s="8">
        <f t="shared" ref="D132:D195" si="2">B132*C132</f>
        <v>16000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x14ac:dyDescent="0.3">
      <c r="A138" s="13" t="s">
        <v>137</v>
      </c>
      <c r="B138" s="17">
        <v>1.5</v>
      </c>
      <c r="C138" s="8">
        <v>40000</v>
      </c>
      <c r="D138" s="8">
        <f t="shared" si="2"/>
        <v>60000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x14ac:dyDescent="0.3">
      <c r="A147" s="10" t="s">
        <v>146</v>
      </c>
      <c r="B147" s="17">
        <v>2</v>
      </c>
      <c r="C147" s="17">
        <v>80000</v>
      </c>
      <c r="D147" s="8">
        <f t="shared" si="2"/>
        <v>160000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x14ac:dyDescent="0.3">
      <c r="A157" s="18" t="s">
        <v>156</v>
      </c>
      <c r="B157" s="8">
        <v>3</v>
      </c>
      <c r="C157" s="8">
        <v>6000</v>
      </c>
      <c r="D157" s="8">
        <f t="shared" si="2"/>
        <v>18000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x14ac:dyDescent="0.3">
      <c r="A169" s="10" t="s">
        <v>168</v>
      </c>
      <c r="B169" s="8">
        <v>15</v>
      </c>
      <c r="C169" s="48">
        <v>6500</v>
      </c>
      <c r="D169" s="8">
        <f t="shared" si="2"/>
        <v>97500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hidden="1" x14ac:dyDescent="0.3">
      <c r="A171" s="10" t="s">
        <v>170</v>
      </c>
      <c r="B171" s="8"/>
      <c r="C171" s="8"/>
      <c r="D171" s="8">
        <f t="shared" si="2"/>
        <v>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160</v>
      </c>
      <c r="C184" s="8">
        <v>7700</v>
      </c>
      <c r="D184" s="8">
        <f t="shared" si="2"/>
        <v>1232000</v>
      </c>
    </row>
    <row r="185" spans="1:4" ht="18" hidden="1" x14ac:dyDescent="0.3">
      <c r="A185" s="10" t="s">
        <v>184</v>
      </c>
      <c r="B185" s="8"/>
      <c r="C185" s="8"/>
      <c r="D185" s="8">
        <f t="shared" si="2"/>
        <v>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10</v>
      </c>
      <c r="C187" s="8">
        <v>20000</v>
      </c>
      <c r="D187" s="8">
        <f t="shared" si="2"/>
        <v>200000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42+300+60</f>
        <v>402</v>
      </c>
      <c r="C202" s="8">
        <v>20000</v>
      </c>
      <c r="D202" s="8">
        <f t="shared" si="3"/>
        <v>8040000</v>
      </c>
    </row>
    <row r="203" spans="1:4" ht="18" x14ac:dyDescent="0.3">
      <c r="A203" s="13" t="s">
        <v>202</v>
      </c>
      <c r="B203" s="8">
        <v>100</v>
      </c>
      <c r="C203" s="8">
        <v>19000</v>
      </c>
      <c r="D203" s="8">
        <f t="shared" si="3"/>
        <v>1900000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2" t="s">
        <v>208</v>
      </c>
      <c r="B209" s="8">
        <v>2</v>
      </c>
      <c r="C209" s="8">
        <v>35000</v>
      </c>
      <c r="D209" s="8">
        <f t="shared" si="3"/>
        <v>70000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400</v>
      </c>
      <c r="C216" s="8">
        <v>16000</v>
      </c>
      <c r="D216" s="8">
        <f t="shared" si="3"/>
        <v>6400000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hidden="1" x14ac:dyDescent="0.3">
      <c r="A227" s="12" t="s">
        <v>226</v>
      </c>
      <c r="B227" s="8"/>
      <c r="C227" s="8"/>
      <c r="D227" s="8">
        <f t="shared" si="3"/>
        <v>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hidden="1" x14ac:dyDescent="0.3">
      <c r="A248" s="10" t="s">
        <v>247</v>
      </c>
      <c r="B248" s="8"/>
      <c r="C248" s="8"/>
      <c r="D248" s="8">
        <f t="shared" si="3"/>
        <v>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v>20</v>
      </c>
      <c r="C251" s="8">
        <v>32000</v>
      </c>
      <c r="D251" s="8">
        <f t="shared" si="3"/>
        <v>640000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v>6</v>
      </c>
      <c r="C254" s="8">
        <v>11000</v>
      </c>
      <c r="D254" s="8">
        <f t="shared" si="3"/>
        <v>66000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4+34+19+39+6</f>
        <v>102</v>
      </c>
      <c r="C259" s="8">
        <v>38000</v>
      </c>
      <c r="D259" s="8">
        <f t="shared" si="3"/>
        <v>3876000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18+22+11+7</f>
        <v>58</v>
      </c>
      <c r="C263" s="8">
        <v>20000</v>
      </c>
      <c r="D263" s="8">
        <f t="shared" si="4"/>
        <v>1160000</v>
      </c>
    </row>
    <row r="264" spans="1:4" ht="18" x14ac:dyDescent="0.3">
      <c r="A264" s="10" t="s">
        <v>263</v>
      </c>
      <c r="B264" s="17">
        <v>3.5</v>
      </c>
      <c r="C264" s="8">
        <v>10000</v>
      </c>
      <c r="D264" s="8">
        <f t="shared" si="4"/>
        <v>35000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x14ac:dyDescent="0.3">
      <c r="A270" s="10" t="s">
        <v>270</v>
      </c>
      <c r="B270" s="8">
        <v>27</v>
      </c>
      <c r="C270" s="8">
        <v>12500</v>
      </c>
      <c r="D270" s="8">
        <f t="shared" si="4"/>
        <v>337500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f>34-10</f>
        <v>24</v>
      </c>
      <c r="C274" s="8">
        <v>16000</v>
      </c>
      <c r="D274" s="8">
        <f t="shared" si="4"/>
        <v>384000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x14ac:dyDescent="0.3">
      <c r="A284" s="12" t="s">
        <v>418</v>
      </c>
      <c r="B284" s="8">
        <v>4</v>
      </c>
      <c r="C284" s="8">
        <v>15000</v>
      </c>
      <c r="D284" s="8">
        <f t="shared" si="4"/>
        <v>60000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hidden="1" x14ac:dyDescent="0.3">
      <c r="A288" s="10" t="s">
        <v>287</v>
      </c>
      <c r="B288" s="8"/>
      <c r="C288" s="8"/>
      <c r="D288" s="8">
        <f t="shared" si="4"/>
        <v>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hidden="1" x14ac:dyDescent="0.3">
      <c r="A294" s="10" t="s">
        <v>293</v>
      </c>
      <c r="B294" s="8"/>
      <c r="C294" s="8"/>
      <c r="D294" s="8">
        <f t="shared" si="4"/>
        <v>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x14ac:dyDescent="0.3">
      <c r="A310" s="14" t="s">
        <v>309</v>
      </c>
      <c r="B310" s="8">
        <v>11</v>
      </c>
      <c r="C310" s="8">
        <v>35000</v>
      </c>
      <c r="D310" s="8">
        <f t="shared" si="4"/>
        <v>385000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3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2076.1999999999998</v>
      </c>
      <c r="C340" s="46"/>
      <c r="D340" s="8">
        <f>SUM(D15:D310)</f>
        <v>34049000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422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10" t="s">
        <v>110</v>
      </c>
      <c r="B345" s="8"/>
      <c r="C345" s="8"/>
      <c r="D345" s="8">
        <f t="shared" si="5"/>
        <v>0</v>
      </c>
    </row>
    <row r="346" spans="1:4" ht="18" hidden="1" x14ac:dyDescent="0.3">
      <c r="A346" s="10" t="s">
        <v>250</v>
      </c>
      <c r="B346" s="8"/>
      <c r="C346" s="8"/>
      <c r="D346" s="8">
        <f t="shared" si="5"/>
        <v>0</v>
      </c>
    </row>
    <row r="347" spans="1:4" ht="18" hidden="1" x14ac:dyDescent="0.3">
      <c r="A347" s="10" t="s">
        <v>258</v>
      </c>
      <c r="B347" s="8"/>
      <c r="C347" s="8"/>
      <c r="D347" s="8">
        <f t="shared" si="5"/>
        <v>0</v>
      </c>
    </row>
    <row r="348" spans="1:4" ht="18" hidden="1" x14ac:dyDescent="0.3">
      <c r="A348" s="10" t="s">
        <v>262</v>
      </c>
      <c r="B348" s="8"/>
      <c r="C348" s="8"/>
      <c r="D348" s="8">
        <f t="shared" si="5"/>
        <v>0</v>
      </c>
    </row>
    <row r="349" spans="1:4" ht="18" x14ac:dyDescent="0.3">
      <c r="A349" s="10" t="s">
        <v>135</v>
      </c>
      <c r="B349" s="8">
        <v>150</v>
      </c>
      <c r="C349" s="8">
        <v>9000</v>
      </c>
      <c r="D349" s="8">
        <f t="shared" si="5"/>
        <v>1350000</v>
      </c>
    </row>
    <row r="350" spans="1:4" ht="18" hidden="1" x14ac:dyDescent="0.3">
      <c r="A350" s="10" t="s">
        <v>212</v>
      </c>
      <c r="B350" s="8"/>
      <c r="C350" s="8"/>
      <c r="D350" s="8">
        <f t="shared" si="5"/>
        <v>0</v>
      </c>
    </row>
    <row r="351" spans="1:4" ht="18" x14ac:dyDescent="0.3">
      <c r="A351" s="10" t="s">
        <v>215</v>
      </c>
      <c r="B351" s="8">
        <v>132</v>
      </c>
      <c r="C351" s="8">
        <v>16000</v>
      </c>
      <c r="D351" s="8">
        <f t="shared" si="5"/>
        <v>2112000</v>
      </c>
    </row>
    <row r="352" spans="1:4" ht="18" x14ac:dyDescent="0.3">
      <c r="A352" s="10" t="s">
        <v>103</v>
      </c>
      <c r="B352" s="8">
        <v>20</v>
      </c>
      <c r="C352" s="8">
        <v>7000</v>
      </c>
      <c r="D352" s="8">
        <f t="shared" si="5"/>
        <v>140000</v>
      </c>
    </row>
    <row r="353" spans="1:4" ht="18" hidden="1" x14ac:dyDescent="0.3">
      <c r="A353" s="10" t="s">
        <v>12</v>
      </c>
      <c r="B353" s="8"/>
      <c r="C353" s="8"/>
      <c r="D353" s="8">
        <f t="shared" si="5"/>
        <v>0</v>
      </c>
    </row>
    <row r="354" spans="1:4" ht="18" hidden="1" x14ac:dyDescent="0.3">
      <c r="A354" s="10" t="s">
        <v>274</v>
      </c>
      <c r="B354" s="8"/>
      <c r="C354" s="8"/>
      <c r="D354" s="8">
        <f t="shared" si="5"/>
        <v>0</v>
      </c>
    </row>
    <row r="355" spans="1:4" ht="18" hidden="1" x14ac:dyDescent="0.3">
      <c r="A355" s="6" t="s">
        <v>2</v>
      </c>
      <c r="B355" s="8"/>
      <c r="C355" s="8"/>
      <c r="D355" s="8">
        <f t="shared" si="5"/>
        <v>0</v>
      </c>
    </row>
    <row r="356" spans="1:4" ht="18" x14ac:dyDescent="0.3">
      <c r="A356" s="10" t="s">
        <v>122</v>
      </c>
      <c r="B356" s="8">
        <v>20</v>
      </c>
      <c r="C356" s="8">
        <v>10000</v>
      </c>
      <c r="D356" s="8">
        <f t="shared" si="5"/>
        <v>200000</v>
      </c>
    </row>
    <row r="357" spans="1:4" ht="18" hidden="1" x14ac:dyDescent="0.3">
      <c r="A357" s="10" t="s">
        <v>43</v>
      </c>
      <c r="B357" s="8"/>
      <c r="C357" s="8"/>
      <c r="D357" s="8">
        <f t="shared" si="5"/>
        <v>0</v>
      </c>
    </row>
    <row r="358" spans="1:4" ht="18" x14ac:dyDescent="0.3">
      <c r="A358" s="13" t="s">
        <v>52</v>
      </c>
      <c r="B358" s="8">
        <v>248</v>
      </c>
      <c r="C358" s="8">
        <v>16000</v>
      </c>
      <c r="D358" s="8">
        <f t="shared" si="5"/>
        <v>3968000</v>
      </c>
    </row>
    <row r="359" spans="1:4" ht="18" x14ac:dyDescent="0.3">
      <c r="A359" s="10" t="s">
        <v>19</v>
      </c>
      <c r="B359" s="8">
        <v>855</v>
      </c>
      <c r="C359" s="8">
        <v>18000</v>
      </c>
      <c r="D359" s="8">
        <f t="shared" si="5"/>
        <v>15390000</v>
      </c>
    </row>
    <row r="360" spans="1:4" ht="18" hidden="1" x14ac:dyDescent="0.3">
      <c r="A360" s="10" t="s">
        <v>293</v>
      </c>
      <c r="B360" s="8"/>
      <c r="C360" s="8"/>
      <c r="D360" s="8">
        <f t="shared" si="5"/>
        <v>0</v>
      </c>
    </row>
    <row r="361" spans="1:4" ht="18" x14ac:dyDescent="0.3">
      <c r="A361" s="10" t="s">
        <v>204</v>
      </c>
      <c r="B361" s="8">
        <v>770</v>
      </c>
      <c r="C361" s="8">
        <v>11000</v>
      </c>
      <c r="D361" s="8">
        <f t="shared" si="5"/>
        <v>8470000</v>
      </c>
    </row>
    <row r="362" spans="1:4" ht="18" x14ac:dyDescent="0.3">
      <c r="A362" s="10" t="s">
        <v>154</v>
      </c>
      <c r="B362" s="8">
        <v>17</v>
      </c>
      <c r="C362" s="8">
        <v>11000</v>
      </c>
      <c r="D362" s="8">
        <f t="shared" si="5"/>
        <v>187000</v>
      </c>
    </row>
    <row r="363" spans="1:4" ht="18" x14ac:dyDescent="0.3">
      <c r="A363" s="10" t="s">
        <v>77</v>
      </c>
      <c r="B363" s="8">
        <v>181</v>
      </c>
      <c r="C363" s="8">
        <v>27000</v>
      </c>
      <c r="D363" s="8">
        <f t="shared" si="5"/>
        <v>4887000</v>
      </c>
    </row>
    <row r="364" spans="1:4" ht="18" x14ac:dyDescent="0.3">
      <c r="A364" s="13" t="s">
        <v>183</v>
      </c>
      <c r="B364" s="8">
        <v>1410</v>
      </c>
      <c r="C364" s="8">
        <v>7700</v>
      </c>
      <c r="D364" s="8">
        <f t="shared" si="5"/>
        <v>10857000</v>
      </c>
    </row>
    <row r="365" spans="1:4" ht="18" hidden="1" x14ac:dyDescent="0.3">
      <c r="A365" s="10" t="s">
        <v>353</v>
      </c>
      <c r="B365" s="8"/>
      <c r="C365" s="8"/>
      <c r="D365" s="8">
        <f t="shared" si="5"/>
        <v>0</v>
      </c>
    </row>
    <row r="366" spans="1:4" ht="18" hidden="1" x14ac:dyDescent="0.3">
      <c r="A366" s="10" t="s">
        <v>105</v>
      </c>
      <c r="B366" s="8"/>
      <c r="C366" s="8"/>
      <c r="D366" s="8">
        <f t="shared" si="5"/>
        <v>0</v>
      </c>
    </row>
    <row r="367" spans="1:4" ht="18" hidden="1" x14ac:dyDescent="0.3">
      <c r="A367" s="10" t="s">
        <v>90</v>
      </c>
      <c r="B367" s="8"/>
      <c r="C367" s="8"/>
      <c r="D367" s="8">
        <f t="shared" si="5"/>
        <v>0</v>
      </c>
    </row>
    <row r="368" spans="1:4" ht="18" x14ac:dyDescent="0.3">
      <c r="A368" s="6" t="s">
        <v>5</v>
      </c>
      <c r="B368" s="8">
        <v>20</v>
      </c>
      <c r="C368" s="8">
        <v>7300</v>
      </c>
      <c r="D368" s="8">
        <f t="shared" si="5"/>
        <v>146000</v>
      </c>
    </row>
    <row r="369" spans="1:4" ht="18" hidden="1" x14ac:dyDescent="0.3">
      <c r="A369" s="10" t="s">
        <v>350</v>
      </c>
      <c r="B369" s="8"/>
      <c r="C369" s="8"/>
      <c r="D369" s="8">
        <f t="shared" si="5"/>
        <v>0</v>
      </c>
    </row>
    <row r="370" spans="1:4" ht="18" hidden="1" x14ac:dyDescent="0.3">
      <c r="A370" s="10" t="s">
        <v>347</v>
      </c>
      <c r="B370" s="8"/>
      <c r="C370" s="8"/>
      <c r="D370" s="8">
        <f t="shared" si="5"/>
        <v>0</v>
      </c>
    </row>
    <row r="371" spans="1:4" ht="18" hidden="1" x14ac:dyDescent="0.3">
      <c r="A371" s="10" t="s">
        <v>313</v>
      </c>
      <c r="B371" s="8"/>
      <c r="C371" s="8"/>
      <c r="D371" s="8">
        <f t="shared" si="5"/>
        <v>0</v>
      </c>
    </row>
    <row r="372" spans="1:4" ht="18" hidden="1" x14ac:dyDescent="0.3">
      <c r="A372" s="10" t="s">
        <v>329</v>
      </c>
      <c r="B372" s="8"/>
      <c r="C372" s="8"/>
      <c r="D372" s="8">
        <f t="shared" si="5"/>
        <v>0</v>
      </c>
    </row>
    <row r="373" spans="1:4" ht="18" hidden="1" x14ac:dyDescent="0.3">
      <c r="A373" s="10" t="s">
        <v>332</v>
      </c>
      <c r="B373" s="8"/>
      <c r="C373" s="8"/>
      <c r="D373" s="8">
        <f t="shared" si="5"/>
        <v>0</v>
      </c>
    </row>
    <row r="374" spans="1:4" ht="18" hidden="1" x14ac:dyDescent="0.3">
      <c r="A374" s="10" t="s">
        <v>287</v>
      </c>
      <c r="B374" s="8"/>
      <c r="C374" s="8"/>
      <c r="D374" s="8">
        <f t="shared" si="5"/>
        <v>0</v>
      </c>
    </row>
    <row r="375" spans="1:4" ht="18" hidden="1" x14ac:dyDescent="0.3">
      <c r="A375" s="10" t="s">
        <v>22</v>
      </c>
      <c r="B375" s="8"/>
      <c r="C375" s="8"/>
      <c r="D375" s="8">
        <f t="shared" si="5"/>
        <v>0</v>
      </c>
    </row>
    <row r="376" spans="1:4" ht="18" hidden="1" x14ac:dyDescent="0.3">
      <c r="A376" s="10" t="s">
        <v>24</v>
      </c>
      <c r="B376" s="8"/>
      <c r="C376" s="8"/>
      <c r="D376" s="8">
        <f t="shared" si="5"/>
        <v>0</v>
      </c>
    </row>
    <row r="377" spans="1:4" ht="18" x14ac:dyDescent="0.3">
      <c r="A377" s="10" t="s">
        <v>50</v>
      </c>
      <c r="B377" s="8">
        <v>4</v>
      </c>
      <c r="C377" s="8">
        <v>24000</v>
      </c>
      <c r="D377" s="8">
        <f t="shared" si="5"/>
        <v>96000</v>
      </c>
    </row>
    <row r="378" spans="1:4" ht="18" hidden="1" x14ac:dyDescent="0.3">
      <c r="A378" s="10" t="s">
        <v>132</v>
      </c>
      <c r="B378" s="8"/>
      <c r="C378" s="8"/>
      <c r="D378" s="8">
        <f t="shared" si="5"/>
        <v>0</v>
      </c>
    </row>
    <row r="379" spans="1:4" ht="18" x14ac:dyDescent="0.3">
      <c r="A379" s="10" t="s">
        <v>290</v>
      </c>
      <c r="B379" s="8">
        <v>13</v>
      </c>
      <c r="C379" s="8">
        <v>7000</v>
      </c>
      <c r="D379" s="8">
        <f t="shared" si="5"/>
        <v>91000</v>
      </c>
    </row>
    <row r="380" spans="1:4" ht="18" hidden="1" x14ac:dyDescent="0.3">
      <c r="A380" s="10" t="s">
        <v>159</v>
      </c>
      <c r="B380" s="8"/>
      <c r="C380" s="8"/>
      <c r="D380" s="8">
        <f t="shared" si="5"/>
        <v>0</v>
      </c>
    </row>
    <row r="381" spans="1:4" ht="18" hidden="1" x14ac:dyDescent="0.3">
      <c r="A381" s="12" t="s">
        <v>226</v>
      </c>
      <c r="B381" s="8"/>
      <c r="C381" s="8"/>
      <c r="D381" s="8">
        <f t="shared" si="5"/>
        <v>0</v>
      </c>
    </row>
    <row r="382" spans="1:4" ht="18" hidden="1" x14ac:dyDescent="0.3">
      <c r="A382" s="23" t="s">
        <v>356</v>
      </c>
      <c r="B382" s="8"/>
      <c r="C382" s="8"/>
      <c r="D382" s="8">
        <f t="shared" si="5"/>
        <v>0</v>
      </c>
    </row>
    <row r="383" spans="1:4" ht="18" hidden="1" x14ac:dyDescent="0.3">
      <c r="A383" s="23" t="s">
        <v>357</v>
      </c>
      <c r="B383" s="8"/>
      <c r="C383" s="8"/>
      <c r="D383" s="8">
        <f t="shared" si="5"/>
        <v>0</v>
      </c>
    </row>
    <row r="384" spans="1:4" ht="17.399999999999999" x14ac:dyDescent="0.3">
      <c r="A384" s="43"/>
      <c r="B384" s="46">
        <v>3840</v>
      </c>
      <c r="C384" s="46"/>
      <c r="D384" s="46">
        <f>SUM(D349:D379)</f>
        <v>47894000</v>
      </c>
    </row>
    <row r="386" spans="4:4" x14ac:dyDescent="0.3">
      <c r="D386" s="49">
        <f>D384+D340</f>
        <v>81943000</v>
      </c>
    </row>
  </sheetData>
  <protectedRanges>
    <protectedRange password="CF71" sqref="B3:C339 B1:D2" name="tho"/>
    <protectedRange password="CF71" sqref="D3:D383" name="tho_2"/>
    <protectedRange password="CF71" sqref="B342:C344" name="tho_1"/>
    <protectedRange password="CF71" sqref="B345:C345" name="tho_3"/>
    <protectedRange password="CF71" sqref="B346:C346" name="tho_4"/>
    <protectedRange password="CF71" sqref="B347:C347" name="tho_5"/>
    <protectedRange password="CF71" sqref="B348:C348" name="tho_6"/>
    <protectedRange password="CF71" sqref="B349:C349" name="tho_7"/>
    <protectedRange password="CF71" sqref="B350:C350" name="tho_8"/>
    <protectedRange password="CF71" sqref="B351:C351" name="tho_9"/>
    <protectedRange password="CF71" sqref="B352:C352" name="tho_10"/>
    <protectedRange password="CF71" sqref="B353:C353" name="tho_11"/>
    <protectedRange password="CF71" sqref="B354:C354" name="tho_12"/>
    <protectedRange password="CF71" sqref="B355:C355" name="tho_13"/>
    <protectedRange password="CF71" sqref="B356:C356" name="tho_14"/>
    <protectedRange password="CF71" sqref="B357:C357" name="tho_15"/>
    <protectedRange password="CF71" sqref="B358:C358" name="tho_16"/>
    <protectedRange password="CF71" sqref="B359:C359" name="tho_17"/>
    <protectedRange password="CF71" sqref="B360:C360" name="tho_18"/>
    <protectedRange password="CF71" sqref="B361:C361" name="tho_19"/>
    <protectedRange password="CF71" sqref="B362:C362" name="tho_20"/>
    <protectedRange password="CF71" sqref="B363:C363" name="tho_21"/>
    <protectedRange password="CF71" sqref="B364:C364" name="tho_22"/>
    <protectedRange password="CF71" sqref="B365:C365" name="tho_23"/>
    <protectedRange password="CF71" sqref="B366:C366" name="tho_24"/>
    <protectedRange password="CF71" sqref="B367:C367" name="tho_25"/>
    <protectedRange password="CF71" sqref="B368:C368" name="tho_26"/>
    <protectedRange password="CF71" sqref="B369:C369" name="tho_27"/>
    <protectedRange password="CF71" sqref="B370:C370" name="tho_28"/>
    <protectedRange password="CF71" sqref="B371:C371" name="tho_29"/>
    <protectedRange password="CF71" sqref="B372:C372" name="tho_30"/>
    <protectedRange password="CF71" sqref="B373:C373" name="tho_31"/>
    <protectedRange password="CF71" sqref="B374:C374" name="tho_32"/>
    <protectedRange password="CF71" sqref="B375:C375" name="tho_33"/>
    <protectedRange password="CF71" sqref="B376:C376" name="tho_34"/>
    <protectedRange password="CF71" sqref="B377:C377" name="tho_35"/>
    <protectedRange password="CF71" sqref="B378:C378" name="tho_36"/>
    <protectedRange password="CF71" sqref="B379:C379" name="tho_37"/>
    <protectedRange password="CF71" sqref="B380:C380" name="tho_38"/>
    <protectedRange password="CF71" sqref="B381:C383" name="tho_39"/>
  </protectedRanges>
  <autoFilter ref="A2:D384" xr:uid="{00000000-0009-0000-0000-000014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674"/>
  <sheetViews>
    <sheetView topLeftCell="A310" workbookViewId="0">
      <selection activeCell="D673" sqref="D673"/>
    </sheetView>
  </sheetViews>
  <sheetFormatPr defaultRowHeight="14.4" x14ac:dyDescent="0.3"/>
  <cols>
    <col min="1" max="1" width="31.5546875" customWidth="1"/>
    <col min="3" max="3" width="14.21875" customWidth="1"/>
    <col min="4" max="4" width="19.109375" customWidth="1"/>
  </cols>
  <sheetData>
    <row r="1" spans="1:4" x14ac:dyDescent="0.3">
      <c r="A1" s="1" t="s">
        <v>423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10</v>
      </c>
      <c r="C3" s="8">
        <v>10000</v>
      </c>
      <c r="D3" s="8">
        <f>B3*C3</f>
        <v>100000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hidden="1" x14ac:dyDescent="0.3">
      <c r="A18" s="14" t="s">
        <v>17</v>
      </c>
      <c r="B18" s="8"/>
      <c r="C18" s="8"/>
      <c r="D18" s="8">
        <f t="shared" si="0"/>
        <v>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175</v>
      </c>
      <c r="C20" s="8">
        <v>14500</v>
      </c>
      <c r="D20" s="8">
        <f t="shared" si="0"/>
        <v>2537500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x14ac:dyDescent="0.3">
      <c r="A23" s="10" t="s">
        <v>22</v>
      </c>
      <c r="B23" s="8">
        <v>1.5</v>
      </c>
      <c r="C23" s="8">
        <v>12000</v>
      </c>
      <c r="D23" s="8">
        <f t="shared" si="0"/>
        <v>18000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13+28+37+38+16+5+10</f>
        <v>147</v>
      </c>
      <c r="C25" s="8">
        <v>11000</v>
      </c>
      <c r="D25" s="8">
        <f t="shared" si="0"/>
        <v>1617000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v>90</v>
      </c>
      <c r="C28" s="8">
        <v>12500</v>
      </c>
      <c r="D28" s="8">
        <f t="shared" si="0"/>
        <v>1125000</v>
      </c>
    </row>
    <row r="29" spans="1:4" ht="18" hidden="1" x14ac:dyDescent="0.3">
      <c r="A29" s="12" t="s">
        <v>412</v>
      </c>
      <c r="B29" s="17"/>
      <c r="C29" s="17"/>
      <c r="D29" s="8">
        <f t="shared" si="0"/>
        <v>0</v>
      </c>
    </row>
    <row r="30" spans="1:4" ht="18" x14ac:dyDescent="0.3">
      <c r="A30" s="13" t="s">
        <v>28</v>
      </c>
      <c r="B30" s="8">
        <v>8</v>
      </c>
      <c r="C30" s="8">
        <v>20000</v>
      </c>
      <c r="D30" s="8">
        <f t="shared" si="0"/>
        <v>160000</v>
      </c>
    </row>
    <row r="31" spans="1:4" ht="18" hidden="1" x14ac:dyDescent="0.3">
      <c r="A31" s="12" t="s">
        <v>29</v>
      </c>
      <c r="B31" s="8"/>
      <c r="C31" s="8"/>
      <c r="D31" s="8">
        <f t="shared" si="0"/>
        <v>0</v>
      </c>
    </row>
    <row r="32" spans="1:4" ht="18" hidden="1" x14ac:dyDescent="0.3">
      <c r="A32" s="12" t="s">
        <v>30</v>
      </c>
      <c r="B32" s="8"/>
      <c r="C32" s="8"/>
      <c r="D32" s="8">
        <f t="shared" si="0"/>
        <v>0</v>
      </c>
    </row>
    <row r="33" spans="1:4" ht="18" hidden="1" x14ac:dyDescent="0.3">
      <c r="A33" s="12" t="s">
        <v>31</v>
      </c>
      <c r="B33" s="8"/>
      <c r="C33" s="8"/>
      <c r="D33" s="8">
        <f t="shared" si="0"/>
        <v>0</v>
      </c>
    </row>
    <row r="34" spans="1:4" ht="18" hidden="1" x14ac:dyDescent="0.3">
      <c r="A34" s="13" t="s">
        <v>367</v>
      </c>
      <c r="B34" s="8"/>
      <c r="C34" s="8"/>
      <c r="D34" s="8">
        <f t="shared" si="0"/>
        <v>0</v>
      </c>
    </row>
    <row r="35" spans="1:4" ht="18" hidden="1" x14ac:dyDescent="0.3">
      <c r="A35" s="12" t="s">
        <v>32</v>
      </c>
      <c r="B35" s="8"/>
      <c r="C35" s="8"/>
      <c r="D35" s="8">
        <f t="shared" si="0"/>
        <v>0</v>
      </c>
    </row>
    <row r="36" spans="1:4" ht="18" hidden="1" x14ac:dyDescent="0.3">
      <c r="A36" s="12" t="s">
        <v>33</v>
      </c>
      <c r="B36" s="8"/>
      <c r="C36" s="8"/>
      <c r="D36" s="8">
        <f t="shared" si="0"/>
        <v>0</v>
      </c>
    </row>
    <row r="37" spans="1:4" ht="18" hidden="1" x14ac:dyDescent="0.3">
      <c r="A37" s="12" t="s">
        <v>34</v>
      </c>
      <c r="B37" s="8"/>
      <c r="C37" s="8"/>
      <c r="D37" s="8">
        <f t="shared" si="0"/>
        <v>0</v>
      </c>
    </row>
    <row r="38" spans="1:4" ht="18" hidden="1" x14ac:dyDescent="0.3">
      <c r="A38" s="13" t="s">
        <v>35</v>
      </c>
      <c r="B38" s="8"/>
      <c r="C38" s="8"/>
      <c r="D38" s="8">
        <f t="shared" si="0"/>
        <v>0</v>
      </c>
    </row>
    <row r="39" spans="1:4" ht="18" hidden="1" x14ac:dyDescent="0.3">
      <c r="A39" s="10" t="s">
        <v>36</v>
      </c>
      <c r="B39" s="8"/>
      <c r="C39" s="8"/>
      <c r="D39" s="8">
        <f t="shared" si="0"/>
        <v>0</v>
      </c>
    </row>
    <row r="40" spans="1:4" ht="18" hidden="1" x14ac:dyDescent="0.3">
      <c r="A40" s="10" t="s">
        <v>37</v>
      </c>
      <c r="B40" s="8"/>
      <c r="C40" s="8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x14ac:dyDescent="0.3">
      <c r="A55" s="10" t="s">
        <v>53</v>
      </c>
      <c r="B55" s="8">
        <v>6</v>
      </c>
      <c r="C55" s="8">
        <v>24000</v>
      </c>
      <c r="D55" s="8">
        <f t="shared" si="0"/>
        <v>144000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x14ac:dyDescent="0.3">
      <c r="A57" s="18" t="s">
        <v>55</v>
      </c>
      <c r="B57" s="8">
        <v>40</v>
      </c>
      <c r="C57" s="8">
        <v>14400</v>
      </c>
      <c r="D57" s="8">
        <f t="shared" si="0"/>
        <v>576000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160</v>
      </c>
      <c r="C64" s="8">
        <v>12000</v>
      </c>
      <c r="D64" s="8">
        <f t="shared" si="0"/>
        <v>1920000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x14ac:dyDescent="0.3">
      <c r="A70" s="13" t="s">
        <v>68</v>
      </c>
      <c r="B70" s="8">
        <v>92</v>
      </c>
      <c r="C70" s="8">
        <v>10000</v>
      </c>
      <c r="D70" s="8">
        <f t="shared" si="1"/>
        <v>920000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x14ac:dyDescent="0.3">
      <c r="A81" s="10" t="s">
        <v>80</v>
      </c>
      <c r="B81" s="8">
        <f>6+12+22</f>
        <v>40</v>
      </c>
      <c r="C81" s="8">
        <v>21000</v>
      </c>
      <c r="D81" s="8">
        <f t="shared" si="1"/>
        <v>840000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x14ac:dyDescent="0.3">
      <c r="A104" s="26" t="s">
        <v>103</v>
      </c>
      <c r="B104" s="8">
        <v>50</v>
      </c>
      <c r="C104" s="8">
        <v>7500</v>
      </c>
      <c r="D104" s="8">
        <f t="shared" si="1"/>
        <v>375000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v>15</v>
      </c>
      <c r="C111" s="8">
        <v>22000</v>
      </c>
      <c r="D111" s="8">
        <f t="shared" si="1"/>
        <v>330000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x14ac:dyDescent="0.3">
      <c r="A133" s="10" t="s">
        <v>132</v>
      </c>
      <c r="B133" s="8">
        <v>19</v>
      </c>
      <c r="C133" s="8">
        <v>8000</v>
      </c>
      <c r="D133" s="8">
        <f t="shared" si="2"/>
        <v>152000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x14ac:dyDescent="0.3">
      <c r="A136" s="10" t="s">
        <v>135</v>
      </c>
      <c r="B136" s="8">
        <v>50</v>
      </c>
      <c r="C136" s="8">
        <v>9000</v>
      </c>
      <c r="D136" s="8">
        <f t="shared" si="2"/>
        <v>450000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hidden="1" x14ac:dyDescent="0.3">
      <c r="A171" s="10" t="s">
        <v>170</v>
      </c>
      <c r="B171" s="8"/>
      <c r="C171" s="8"/>
      <c r="D171" s="8">
        <f t="shared" si="2"/>
        <v>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x14ac:dyDescent="0.3">
      <c r="A175" s="34" t="s">
        <v>174</v>
      </c>
      <c r="B175" s="36">
        <v>33</v>
      </c>
      <c r="C175" s="36">
        <v>16000</v>
      </c>
      <c r="D175" s="8">
        <f t="shared" si="2"/>
        <v>528000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100</v>
      </c>
      <c r="C184" s="8">
        <v>7700</v>
      </c>
      <c r="D184" s="8">
        <f t="shared" si="2"/>
        <v>770000</v>
      </c>
    </row>
    <row r="185" spans="1:4" ht="18" hidden="1" x14ac:dyDescent="0.3">
      <c r="A185" s="10" t="s">
        <v>184</v>
      </c>
      <c r="B185" s="8"/>
      <c r="C185" s="8"/>
      <c r="D185" s="8">
        <f t="shared" si="2"/>
        <v>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15</v>
      </c>
      <c r="C187" s="8">
        <v>20000</v>
      </c>
      <c r="D187" s="8">
        <f t="shared" si="2"/>
        <v>300000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v>270</v>
      </c>
      <c r="C202" s="8">
        <v>20000</v>
      </c>
      <c r="D202" s="8">
        <f t="shared" si="3"/>
        <v>5400000</v>
      </c>
    </row>
    <row r="203" spans="1:4" ht="18" x14ac:dyDescent="0.3">
      <c r="A203" s="13" t="s">
        <v>202</v>
      </c>
      <c r="B203" s="8">
        <v>320</v>
      </c>
      <c r="C203" s="8">
        <v>19000</v>
      </c>
      <c r="D203" s="8">
        <f t="shared" si="3"/>
        <v>6080000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2" t="s">
        <v>208</v>
      </c>
      <c r="B209" s="8">
        <v>2</v>
      </c>
      <c r="C209" s="8">
        <v>35000</v>
      </c>
      <c r="D209" s="8">
        <f t="shared" si="3"/>
        <v>70000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200</v>
      </c>
      <c r="C216" s="8">
        <v>16000</v>
      </c>
      <c r="D216" s="8">
        <f t="shared" si="3"/>
        <v>3200000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x14ac:dyDescent="0.3">
      <c r="A221" s="18" t="s">
        <v>220</v>
      </c>
      <c r="B221" s="8">
        <v>0.4</v>
      </c>
      <c r="C221" s="8">
        <v>45000</v>
      </c>
      <c r="D221" s="8">
        <f t="shared" si="3"/>
        <v>18000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x14ac:dyDescent="0.3">
      <c r="A227" s="12" t="s">
        <v>226</v>
      </c>
      <c r="B227" s="8">
        <v>8</v>
      </c>
      <c r="C227" s="8">
        <v>38000</v>
      </c>
      <c r="D227" s="8">
        <f t="shared" si="3"/>
        <v>304000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10</v>
      </c>
      <c r="C248" s="8">
        <v>14000</v>
      </c>
      <c r="D248" s="8">
        <f t="shared" si="3"/>
        <v>140000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v>4</v>
      </c>
      <c r="C251" s="8">
        <v>26000</v>
      </c>
      <c r="D251" s="8">
        <f t="shared" si="3"/>
        <v>104000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hidden="1" x14ac:dyDescent="0.3">
      <c r="A254" s="10" t="s">
        <v>253</v>
      </c>
      <c r="B254" s="8"/>
      <c r="C254" s="8"/>
      <c r="D254" s="8">
        <f t="shared" si="3"/>
        <v>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hidden="1" x14ac:dyDescent="0.3">
      <c r="A259" s="10" t="s">
        <v>258</v>
      </c>
      <c r="B259" s="8"/>
      <c r="C259" s="8"/>
      <c r="D259" s="8">
        <f t="shared" si="3"/>
        <v>0</v>
      </c>
    </row>
    <row r="260" spans="1:4" ht="18" x14ac:dyDescent="0.3">
      <c r="A260" s="10" t="s">
        <v>259</v>
      </c>
      <c r="B260" s="8">
        <v>13</v>
      </c>
      <c r="C260" s="8">
        <v>32000</v>
      </c>
      <c r="D260" s="8">
        <f t="shared" ref="D260:D323" si="4">B260*C260</f>
        <v>416000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12+13+20</f>
        <v>45</v>
      </c>
      <c r="C263" s="8">
        <v>20000</v>
      </c>
      <c r="D263" s="8">
        <f t="shared" si="4"/>
        <v>900000</v>
      </c>
    </row>
    <row r="264" spans="1:4" ht="18" x14ac:dyDescent="0.3">
      <c r="A264" s="10" t="s">
        <v>263</v>
      </c>
      <c r="B264" s="8">
        <v>11</v>
      </c>
      <c r="C264" s="8">
        <v>12000</v>
      </c>
      <c r="D264" s="8">
        <f t="shared" si="4"/>
        <v>132000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hidden="1" x14ac:dyDescent="0.3">
      <c r="A270" s="10" t="s">
        <v>270</v>
      </c>
      <c r="B270" s="8"/>
      <c r="C270" s="8"/>
      <c r="D270" s="8">
        <f t="shared" si="4"/>
        <v>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v>14</v>
      </c>
      <c r="C274" s="8">
        <v>16000</v>
      </c>
      <c r="D274" s="8">
        <f t="shared" si="4"/>
        <v>224000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x14ac:dyDescent="0.3">
      <c r="A284" s="12" t="s">
        <v>418</v>
      </c>
      <c r="B284" s="8">
        <v>4</v>
      </c>
      <c r="C284" s="8">
        <v>15000</v>
      </c>
      <c r="D284" s="8">
        <f t="shared" si="4"/>
        <v>60000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25</v>
      </c>
      <c r="C288" s="8">
        <v>9000</v>
      </c>
      <c r="D288" s="8">
        <f t="shared" si="4"/>
        <v>225000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30</v>
      </c>
      <c r="C294" s="8">
        <v>10000</v>
      </c>
      <c r="D294" s="8">
        <f t="shared" si="4"/>
        <v>300000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x14ac:dyDescent="0.3">
      <c r="A310" s="14" t="s">
        <v>309</v>
      </c>
      <c r="B310" s="8">
        <v>10</v>
      </c>
      <c r="C310" s="8">
        <v>28000</v>
      </c>
      <c r="D310" s="8">
        <f t="shared" si="4"/>
        <v>280000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x14ac:dyDescent="0.3">
      <c r="A315" s="10" t="s">
        <v>314</v>
      </c>
      <c r="B315" s="8">
        <v>10</v>
      </c>
      <c r="C315" s="8">
        <v>6800</v>
      </c>
      <c r="D315" s="8">
        <f t="shared" si="4"/>
        <v>68000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x14ac:dyDescent="0.3">
      <c r="A327" s="10" t="s">
        <v>326</v>
      </c>
      <c r="B327" s="8">
        <v>21</v>
      </c>
      <c r="C327" s="8">
        <v>30000</v>
      </c>
      <c r="D327" s="8">
        <f t="shared" si="5"/>
        <v>630000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x14ac:dyDescent="0.3">
      <c r="A331" s="10" t="s">
        <v>330</v>
      </c>
      <c r="B331" s="8">
        <f>150+130</f>
        <v>280</v>
      </c>
      <c r="C331" s="8">
        <v>7000</v>
      </c>
      <c r="D331" s="8">
        <f t="shared" si="5"/>
        <v>1960000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2328.9</v>
      </c>
      <c r="C340" s="46"/>
      <c r="D340" s="8">
        <f>SUM(D3:D331)</f>
        <v>33373500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424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13" t="s">
        <v>68</v>
      </c>
      <c r="B345" s="8"/>
      <c r="C345" s="8"/>
      <c r="D345" s="8">
        <f t="shared" si="5"/>
        <v>0</v>
      </c>
    </row>
    <row r="346" spans="1:4" ht="18" hidden="1" x14ac:dyDescent="0.3">
      <c r="A346" s="12" t="s">
        <v>69</v>
      </c>
      <c r="B346" s="8"/>
      <c r="C346" s="8"/>
      <c r="D346" s="8">
        <f t="shared" si="5"/>
        <v>0</v>
      </c>
    </row>
    <row r="347" spans="1:4" ht="18" hidden="1" x14ac:dyDescent="0.3">
      <c r="A347" s="13" t="s">
        <v>70</v>
      </c>
      <c r="B347" s="8"/>
      <c r="C347" s="8"/>
      <c r="D347" s="8">
        <f t="shared" si="5"/>
        <v>0</v>
      </c>
    </row>
    <row r="348" spans="1:4" ht="18" hidden="1" x14ac:dyDescent="0.3">
      <c r="A348" s="13" t="s">
        <v>71</v>
      </c>
      <c r="B348" s="8"/>
      <c r="C348" s="8"/>
      <c r="D348" s="8">
        <f t="shared" si="5"/>
        <v>0</v>
      </c>
    </row>
    <row r="349" spans="1:4" ht="18" hidden="1" x14ac:dyDescent="0.3">
      <c r="A349" s="13" t="s">
        <v>72</v>
      </c>
      <c r="B349" s="8"/>
      <c r="C349" s="8"/>
      <c r="D349" s="8">
        <f t="shared" si="5"/>
        <v>0</v>
      </c>
    </row>
    <row r="350" spans="1:4" ht="18" hidden="1" x14ac:dyDescent="0.3">
      <c r="A350" s="22" t="s">
        <v>73</v>
      </c>
      <c r="B350" s="8"/>
      <c r="C350" s="8"/>
      <c r="D350" s="8">
        <f t="shared" si="5"/>
        <v>0</v>
      </c>
    </row>
    <row r="351" spans="1:4" ht="18" hidden="1" x14ac:dyDescent="0.3">
      <c r="A351" s="10" t="s">
        <v>74</v>
      </c>
      <c r="B351" s="8"/>
      <c r="C351" s="8"/>
      <c r="D351" s="8">
        <f t="shared" si="5"/>
        <v>0</v>
      </c>
    </row>
    <row r="352" spans="1:4" ht="18" hidden="1" x14ac:dyDescent="0.3">
      <c r="A352" s="13" t="s">
        <v>82</v>
      </c>
      <c r="B352" s="17"/>
      <c r="C352" s="17"/>
      <c r="D352" s="8">
        <f t="shared" si="5"/>
        <v>0</v>
      </c>
    </row>
    <row r="353" spans="1:4" ht="18" hidden="1" x14ac:dyDescent="0.3">
      <c r="A353" s="13" t="s">
        <v>83</v>
      </c>
      <c r="B353" s="17"/>
      <c r="C353" s="17"/>
      <c r="D353" s="8">
        <f t="shared" si="5"/>
        <v>0</v>
      </c>
    </row>
    <row r="354" spans="1:4" ht="18" hidden="1" x14ac:dyDescent="0.3">
      <c r="A354" s="13" t="s">
        <v>84</v>
      </c>
      <c r="B354" s="17"/>
      <c r="C354" s="17"/>
      <c r="D354" s="8">
        <f t="shared" si="5"/>
        <v>0</v>
      </c>
    </row>
    <row r="355" spans="1:4" ht="18" hidden="1" x14ac:dyDescent="0.3">
      <c r="A355" s="10" t="s">
        <v>96</v>
      </c>
      <c r="B355" s="8"/>
      <c r="C355" s="8"/>
      <c r="D355" s="8">
        <f t="shared" si="5"/>
        <v>0</v>
      </c>
    </row>
    <row r="356" spans="1:4" ht="18" hidden="1" x14ac:dyDescent="0.3">
      <c r="A356" s="10" t="s">
        <v>97</v>
      </c>
      <c r="B356" s="8"/>
      <c r="C356" s="8"/>
      <c r="D356" s="8">
        <f t="shared" si="5"/>
        <v>0</v>
      </c>
    </row>
    <row r="357" spans="1:4" ht="18" hidden="1" x14ac:dyDescent="0.3">
      <c r="A357" s="10" t="s">
        <v>99</v>
      </c>
      <c r="B357" s="17"/>
      <c r="C357" s="17"/>
      <c r="D357" s="8">
        <f t="shared" si="5"/>
        <v>0</v>
      </c>
    </row>
    <row r="358" spans="1:4" ht="18" hidden="1" x14ac:dyDescent="0.3">
      <c r="A358" s="23" t="s">
        <v>101</v>
      </c>
      <c r="B358" s="8"/>
      <c r="C358" s="8"/>
      <c r="D358" s="8">
        <f t="shared" si="5"/>
        <v>0</v>
      </c>
    </row>
    <row r="359" spans="1:4" ht="18" hidden="1" x14ac:dyDescent="0.3">
      <c r="A359" s="12" t="s">
        <v>117</v>
      </c>
      <c r="B359" s="8"/>
      <c r="C359" s="8"/>
      <c r="D359" s="8">
        <f t="shared" si="5"/>
        <v>0</v>
      </c>
    </row>
    <row r="360" spans="1:4" ht="18" hidden="1" x14ac:dyDescent="0.3">
      <c r="A360" s="23" t="s">
        <v>118</v>
      </c>
      <c r="B360" s="8"/>
      <c r="C360" s="8"/>
      <c r="D360" s="8">
        <f t="shared" si="5"/>
        <v>0</v>
      </c>
    </row>
    <row r="361" spans="1:4" ht="18" hidden="1" x14ac:dyDescent="0.3">
      <c r="A361" s="10" t="s">
        <v>110</v>
      </c>
      <c r="B361" s="8"/>
      <c r="C361" s="8"/>
      <c r="D361" s="8">
        <f t="shared" si="5"/>
        <v>0</v>
      </c>
    </row>
    <row r="362" spans="1:4" ht="18" hidden="1" x14ac:dyDescent="0.3">
      <c r="A362" s="10" t="s">
        <v>111</v>
      </c>
      <c r="B362" s="8"/>
      <c r="C362" s="8"/>
      <c r="D362" s="8">
        <f t="shared" si="5"/>
        <v>0</v>
      </c>
    </row>
    <row r="363" spans="1:4" ht="18" hidden="1" x14ac:dyDescent="0.3">
      <c r="A363" s="10" t="s">
        <v>112</v>
      </c>
      <c r="B363" s="8"/>
      <c r="C363" s="8"/>
      <c r="D363" s="8">
        <f t="shared" si="5"/>
        <v>0</v>
      </c>
    </row>
    <row r="364" spans="1:4" ht="18" hidden="1" x14ac:dyDescent="0.3">
      <c r="A364" s="12" t="s">
        <v>249</v>
      </c>
      <c r="B364" s="8"/>
      <c r="C364" s="8"/>
      <c r="D364" s="8">
        <f t="shared" si="5"/>
        <v>0</v>
      </c>
    </row>
    <row r="365" spans="1:4" ht="18" hidden="1" x14ac:dyDescent="0.3">
      <c r="A365" s="10" t="s">
        <v>250</v>
      </c>
      <c r="B365" s="8"/>
      <c r="C365" s="8"/>
      <c r="D365" s="8">
        <f t="shared" si="5"/>
        <v>0</v>
      </c>
    </row>
    <row r="366" spans="1:4" ht="18" hidden="1" x14ac:dyDescent="0.3">
      <c r="A366" s="10" t="s">
        <v>251</v>
      </c>
      <c r="B366" s="8"/>
      <c r="C366" s="8"/>
      <c r="D366" s="8">
        <f t="shared" si="5"/>
        <v>0</v>
      </c>
    </row>
    <row r="367" spans="1:4" ht="18" hidden="1" x14ac:dyDescent="0.3">
      <c r="A367" s="10" t="s">
        <v>252</v>
      </c>
      <c r="B367" s="8"/>
      <c r="C367" s="8"/>
      <c r="D367" s="8">
        <f t="shared" si="5"/>
        <v>0</v>
      </c>
    </row>
    <row r="368" spans="1:4" ht="18" hidden="1" x14ac:dyDescent="0.3">
      <c r="A368" s="10" t="s">
        <v>253</v>
      </c>
      <c r="B368" s="8"/>
      <c r="C368" s="8"/>
      <c r="D368" s="8">
        <f t="shared" si="5"/>
        <v>0</v>
      </c>
    </row>
    <row r="369" spans="1:4" ht="18" hidden="1" x14ac:dyDescent="0.3">
      <c r="A369" s="10" t="s">
        <v>254</v>
      </c>
      <c r="B369" s="8"/>
      <c r="C369" s="8"/>
      <c r="D369" s="8">
        <f t="shared" si="5"/>
        <v>0</v>
      </c>
    </row>
    <row r="370" spans="1:4" ht="18" hidden="1" x14ac:dyDescent="0.3">
      <c r="A370" s="10" t="s">
        <v>258</v>
      </c>
      <c r="B370" s="8"/>
      <c r="C370" s="8"/>
      <c r="D370" s="8">
        <f t="shared" si="5"/>
        <v>0</v>
      </c>
    </row>
    <row r="371" spans="1:4" ht="18" hidden="1" x14ac:dyDescent="0.3">
      <c r="A371" s="10" t="s">
        <v>259</v>
      </c>
      <c r="B371" s="8"/>
      <c r="C371" s="8"/>
      <c r="D371" s="8">
        <f t="shared" si="5"/>
        <v>0</v>
      </c>
    </row>
    <row r="372" spans="1:4" ht="18" hidden="1" x14ac:dyDescent="0.3">
      <c r="A372" s="10" t="s">
        <v>260</v>
      </c>
      <c r="B372" s="8"/>
      <c r="C372" s="8"/>
      <c r="D372" s="8">
        <f t="shared" si="5"/>
        <v>0</v>
      </c>
    </row>
    <row r="373" spans="1:4" ht="18" hidden="1" x14ac:dyDescent="0.3">
      <c r="A373" s="10" t="s">
        <v>261</v>
      </c>
      <c r="B373" s="8"/>
      <c r="C373" s="8"/>
      <c r="D373" s="8">
        <f t="shared" si="5"/>
        <v>0</v>
      </c>
    </row>
    <row r="374" spans="1:4" ht="18" hidden="1" x14ac:dyDescent="0.3">
      <c r="A374" s="10" t="s">
        <v>262</v>
      </c>
      <c r="B374" s="8"/>
      <c r="C374" s="8"/>
      <c r="D374" s="8">
        <f t="shared" si="5"/>
        <v>0</v>
      </c>
    </row>
    <row r="375" spans="1:4" ht="18" hidden="1" x14ac:dyDescent="0.3">
      <c r="A375" s="10" t="s">
        <v>263</v>
      </c>
      <c r="B375" s="8"/>
      <c r="C375" s="8"/>
      <c r="D375" s="8">
        <f t="shared" si="5"/>
        <v>0</v>
      </c>
    </row>
    <row r="376" spans="1:4" ht="18" hidden="1" x14ac:dyDescent="0.3">
      <c r="A376" s="10" t="s">
        <v>264</v>
      </c>
      <c r="B376" s="8"/>
      <c r="C376" s="8"/>
      <c r="D376" s="8">
        <f t="shared" si="5"/>
        <v>0</v>
      </c>
    </row>
    <row r="377" spans="1:4" ht="18" x14ac:dyDescent="0.3">
      <c r="A377" s="10" t="s">
        <v>135</v>
      </c>
      <c r="B377" s="8">
        <v>110</v>
      </c>
      <c r="C377" s="8">
        <v>9000</v>
      </c>
      <c r="D377" s="8">
        <f t="shared" si="5"/>
        <v>990000</v>
      </c>
    </row>
    <row r="378" spans="1:4" ht="18" hidden="1" x14ac:dyDescent="0.3">
      <c r="A378" s="18" t="s">
        <v>136</v>
      </c>
      <c r="B378" s="8"/>
      <c r="C378" s="8"/>
      <c r="D378" s="8">
        <f t="shared" si="5"/>
        <v>0</v>
      </c>
    </row>
    <row r="379" spans="1:4" ht="18" hidden="1" x14ac:dyDescent="0.3">
      <c r="A379" s="10" t="s">
        <v>177</v>
      </c>
      <c r="B379" s="8"/>
      <c r="C379" s="8"/>
      <c r="D379" s="8">
        <f t="shared" si="5"/>
        <v>0</v>
      </c>
    </row>
    <row r="380" spans="1:4" ht="18" hidden="1" x14ac:dyDescent="0.3">
      <c r="A380" s="13" t="s">
        <v>193</v>
      </c>
      <c r="B380" s="8"/>
      <c r="C380" s="8"/>
      <c r="D380" s="8">
        <f t="shared" si="5"/>
        <v>0</v>
      </c>
    </row>
    <row r="381" spans="1:4" ht="18" hidden="1" x14ac:dyDescent="0.3">
      <c r="A381" s="10" t="s">
        <v>319</v>
      </c>
      <c r="B381" s="8"/>
      <c r="C381" s="8"/>
      <c r="D381" s="8">
        <f t="shared" si="5"/>
        <v>0</v>
      </c>
    </row>
    <row r="382" spans="1:4" ht="18" hidden="1" x14ac:dyDescent="0.3">
      <c r="A382" s="10" t="s">
        <v>212</v>
      </c>
      <c r="B382" s="8"/>
      <c r="C382" s="8"/>
      <c r="D382" s="8">
        <f t="shared" si="5"/>
        <v>0</v>
      </c>
    </row>
    <row r="383" spans="1:4" ht="18" hidden="1" x14ac:dyDescent="0.3">
      <c r="A383" s="40" t="s">
        <v>213</v>
      </c>
      <c r="B383" s="8"/>
      <c r="C383" s="8"/>
      <c r="D383" s="8">
        <f t="shared" si="5"/>
        <v>0</v>
      </c>
    </row>
    <row r="384" spans="1:4" ht="18" hidden="1" x14ac:dyDescent="0.3">
      <c r="A384" s="10" t="s">
        <v>214</v>
      </c>
      <c r="B384" s="8"/>
      <c r="C384" s="8"/>
      <c r="D384" s="8">
        <f t="shared" si="5"/>
        <v>0</v>
      </c>
    </row>
    <row r="385" spans="1:4" ht="18" x14ac:dyDescent="0.3">
      <c r="A385" s="10" t="s">
        <v>215</v>
      </c>
      <c r="B385" s="8">
        <f>400+10+10+90-200</f>
        <v>310</v>
      </c>
      <c r="C385" s="8">
        <v>16000</v>
      </c>
      <c r="D385" s="8">
        <f t="shared" si="5"/>
        <v>4960000</v>
      </c>
    </row>
    <row r="386" spans="1:4" ht="18" hidden="1" x14ac:dyDescent="0.3">
      <c r="A386" s="10" t="s">
        <v>216</v>
      </c>
      <c r="B386" s="8"/>
      <c r="C386" s="8"/>
      <c r="D386" s="8">
        <f t="shared" si="5"/>
        <v>0</v>
      </c>
    </row>
    <row r="387" spans="1:4" ht="18" hidden="1" x14ac:dyDescent="0.3">
      <c r="A387" s="10" t="s">
        <v>355</v>
      </c>
      <c r="B387" s="8"/>
      <c r="C387" s="8"/>
      <c r="D387" s="8">
        <f t="shared" si="5"/>
        <v>0</v>
      </c>
    </row>
    <row r="388" spans="1:4" ht="18" hidden="1" x14ac:dyDescent="0.3">
      <c r="A388" s="10" t="s">
        <v>217</v>
      </c>
      <c r="B388" s="8"/>
      <c r="C388" s="8"/>
      <c r="D388" s="8">
        <f t="shared" ref="D388:D451" si="6">B388*C388</f>
        <v>0</v>
      </c>
    </row>
    <row r="389" spans="1:4" ht="18" hidden="1" x14ac:dyDescent="0.3">
      <c r="A389" s="10" t="s">
        <v>103</v>
      </c>
      <c r="B389" s="8"/>
      <c r="C389" s="8"/>
      <c r="D389" s="8">
        <f t="shared" si="6"/>
        <v>0</v>
      </c>
    </row>
    <row r="390" spans="1:4" ht="18" hidden="1" x14ac:dyDescent="0.3">
      <c r="A390" s="20" t="s">
        <v>104</v>
      </c>
      <c r="B390" s="8"/>
      <c r="C390" s="8"/>
      <c r="D390" s="8">
        <f t="shared" si="6"/>
        <v>0</v>
      </c>
    </row>
    <row r="391" spans="1:4" ht="18" hidden="1" x14ac:dyDescent="0.3">
      <c r="A391" s="12" t="s">
        <v>107</v>
      </c>
      <c r="B391" s="8"/>
      <c r="C391" s="8"/>
      <c r="D391" s="8">
        <f t="shared" si="6"/>
        <v>0</v>
      </c>
    </row>
    <row r="392" spans="1:4" ht="18" hidden="1" x14ac:dyDescent="0.3">
      <c r="A392" s="10" t="s">
        <v>109</v>
      </c>
      <c r="B392" s="8"/>
      <c r="C392" s="8"/>
      <c r="D392" s="8">
        <f t="shared" si="6"/>
        <v>0</v>
      </c>
    </row>
    <row r="393" spans="1:4" ht="18" hidden="1" x14ac:dyDescent="0.3">
      <c r="A393" s="10" t="s">
        <v>11</v>
      </c>
      <c r="B393" s="8"/>
      <c r="C393" s="8"/>
      <c r="D393" s="8">
        <f t="shared" si="6"/>
        <v>0</v>
      </c>
    </row>
    <row r="394" spans="1:4" ht="18" hidden="1" x14ac:dyDescent="0.3">
      <c r="A394" s="10" t="s">
        <v>12</v>
      </c>
      <c r="B394" s="8"/>
      <c r="C394" s="8"/>
      <c r="D394" s="8">
        <f t="shared" si="6"/>
        <v>0</v>
      </c>
    </row>
    <row r="395" spans="1:4" ht="18" hidden="1" x14ac:dyDescent="0.3">
      <c r="A395" s="13" t="s">
        <v>13</v>
      </c>
      <c r="B395" s="8"/>
      <c r="C395" s="8"/>
      <c r="D395" s="8">
        <f t="shared" si="6"/>
        <v>0</v>
      </c>
    </row>
    <row r="396" spans="1:4" ht="18" hidden="1" x14ac:dyDescent="0.3">
      <c r="A396" s="10" t="s">
        <v>165</v>
      </c>
      <c r="B396" s="8"/>
      <c r="C396" s="8"/>
      <c r="D396" s="8">
        <f t="shared" si="6"/>
        <v>0</v>
      </c>
    </row>
    <row r="397" spans="1:4" ht="18" hidden="1" x14ac:dyDescent="0.3">
      <c r="A397" s="18" t="s">
        <v>166</v>
      </c>
      <c r="B397" s="8"/>
      <c r="C397" s="8"/>
      <c r="D397" s="8">
        <f t="shared" si="6"/>
        <v>0</v>
      </c>
    </row>
    <row r="398" spans="1:4" ht="18" hidden="1" x14ac:dyDescent="0.3">
      <c r="A398" s="10" t="s">
        <v>199</v>
      </c>
      <c r="B398" s="8"/>
      <c r="C398" s="8"/>
      <c r="D398" s="8">
        <f t="shared" si="6"/>
        <v>0</v>
      </c>
    </row>
    <row r="399" spans="1:4" ht="18" hidden="1" x14ac:dyDescent="0.3">
      <c r="A399" s="38" t="s">
        <v>200</v>
      </c>
      <c r="B399" s="8"/>
      <c r="C399" s="8"/>
      <c r="D399" s="8">
        <f t="shared" si="6"/>
        <v>0</v>
      </c>
    </row>
    <row r="400" spans="1:4" ht="18" hidden="1" x14ac:dyDescent="0.3">
      <c r="A400" s="10" t="s">
        <v>237</v>
      </c>
      <c r="B400" s="8"/>
      <c r="C400" s="8"/>
      <c r="D400" s="8">
        <f t="shared" si="6"/>
        <v>0</v>
      </c>
    </row>
    <row r="401" spans="1:4" ht="18" hidden="1" x14ac:dyDescent="0.3">
      <c r="A401" s="10" t="s">
        <v>238</v>
      </c>
      <c r="B401" s="8"/>
      <c r="C401" s="8"/>
      <c r="D401" s="8">
        <f t="shared" si="6"/>
        <v>0</v>
      </c>
    </row>
    <row r="402" spans="1:4" ht="18" hidden="1" x14ac:dyDescent="0.3">
      <c r="A402" s="13" t="s">
        <v>20</v>
      </c>
      <c r="B402" s="8"/>
      <c r="C402" s="8"/>
      <c r="D402" s="8">
        <f t="shared" si="6"/>
        <v>0</v>
      </c>
    </row>
    <row r="403" spans="1:4" ht="18" hidden="1" x14ac:dyDescent="0.3">
      <c r="A403" s="13" t="s">
        <v>21</v>
      </c>
      <c r="B403" s="8"/>
      <c r="C403" s="8"/>
      <c r="D403" s="8">
        <f t="shared" si="6"/>
        <v>0</v>
      </c>
    </row>
    <row r="404" spans="1:4" ht="18" hidden="1" x14ac:dyDescent="0.3">
      <c r="A404" s="31" t="s">
        <v>173</v>
      </c>
      <c r="B404" s="8"/>
      <c r="C404" s="8"/>
      <c r="D404" s="8">
        <f t="shared" si="6"/>
        <v>0</v>
      </c>
    </row>
    <row r="405" spans="1:4" ht="18" hidden="1" x14ac:dyDescent="0.3">
      <c r="A405" s="34" t="s">
        <v>174</v>
      </c>
      <c r="B405" s="36"/>
      <c r="C405" s="36"/>
      <c r="D405" s="8">
        <f t="shared" si="6"/>
        <v>0</v>
      </c>
    </row>
    <row r="406" spans="1:4" ht="18" hidden="1" x14ac:dyDescent="0.3">
      <c r="A406" s="10" t="s">
        <v>27</v>
      </c>
      <c r="B406" s="8"/>
      <c r="C406" s="8"/>
      <c r="D406" s="8">
        <f t="shared" si="6"/>
        <v>0</v>
      </c>
    </row>
    <row r="407" spans="1:4" ht="18" hidden="1" x14ac:dyDescent="0.3">
      <c r="A407" s="13" t="s">
        <v>28</v>
      </c>
      <c r="B407" s="8"/>
      <c r="C407" s="8"/>
      <c r="D407" s="8">
        <f t="shared" si="6"/>
        <v>0</v>
      </c>
    </row>
    <row r="408" spans="1:4" ht="18" hidden="1" x14ac:dyDescent="0.3">
      <c r="A408" s="13" t="s">
        <v>35</v>
      </c>
      <c r="B408" s="8"/>
      <c r="C408" s="8"/>
      <c r="D408" s="8">
        <f t="shared" si="6"/>
        <v>0</v>
      </c>
    </row>
    <row r="409" spans="1:4" ht="18" hidden="1" x14ac:dyDescent="0.3">
      <c r="A409" s="10" t="s">
        <v>201</v>
      </c>
      <c r="B409" s="8"/>
      <c r="C409" s="8"/>
      <c r="D409" s="8">
        <f t="shared" si="6"/>
        <v>0</v>
      </c>
    </row>
    <row r="410" spans="1:4" ht="18" hidden="1" x14ac:dyDescent="0.3">
      <c r="A410" s="13" t="s">
        <v>202</v>
      </c>
      <c r="B410" s="8"/>
      <c r="C410" s="8"/>
      <c r="D410" s="8">
        <f t="shared" si="6"/>
        <v>0</v>
      </c>
    </row>
    <row r="411" spans="1:4" ht="18" hidden="1" x14ac:dyDescent="0.3">
      <c r="A411" s="10" t="s">
        <v>351</v>
      </c>
      <c r="B411" s="8"/>
      <c r="C411" s="8"/>
      <c r="D411" s="8">
        <f t="shared" si="6"/>
        <v>0</v>
      </c>
    </row>
    <row r="412" spans="1:4" ht="18" hidden="1" x14ac:dyDescent="0.3">
      <c r="A412" s="10" t="s">
        <v>203</v>
      </c>
      <c r="B412" s="8"/>
      <c r="C412" s="8"/>
      <c r="D412" s="8">
        <f t="shared" si="6"/>
        <v>0</v>
      </c>
    </row>
    <row r="413" spans="1:4" ht="18" hidden="1" x14ac:dyDescent="0.3">
      <c r="A413" s="10" t="s">
        <v>274</v>
      </c>
      <c r="B413" s="8"/>
      <c r="C413" s="8"/>
      <c r="D413" s="8">
        <f t="shared" si="6"/>
        <v>0</v>
      </c>
    </row>
    <row r="414" spans="1:4" ht="18" hidden="1" x14ac:dyDescent="0.3">
      <c r="A414" s="10" t="s">
        <v>275</v>
      </c>
      <c r="B414" s="8"/>
      <c r="C414" s="8"/>
      <c r="D414" s="8">
        <f t="shared" si="6"/>
        <v>0</v>
      </c>
    </row>
    <row r="415" spans="1:4" ht="18" hidden="1" x14ac:dyDescent="0.3">
      <c r="A415" s="6" t="s">
        <v>2</v>
      </c>
      <c r="B415" s="8"/>
      <c r="C415" s="8"/>
      <c r="D415" s="8">
        <f t="shared" si="6"/>
        <v>0</v>
      </c>
    </row>
    <row r="416" spans="1:4" ht="18" hidden="1" x14ac:dyDescent="0.3">
      <c r="A416" s="9" t="s">
        <v>3</v>
      </c>
      <c r="B416" s="8"/>
      <c r="C416" s="8"/>
      <c r="D416" s="8">
        <f t="shared" si="6"/>
        <v>0</v>
      </c>
    </row>
    <row r="417" spans="1:4" ht="18" hidden="1" x14ac:dyDescent="0.3">
      <c r="A417" s="6" t="s">
        <v>4</v>
      </c>
      <c r="B417" s="8"/>
      <c r="C417" s="8"/>
      <c r="D417" s="8">
        <f t="shared" si="6"/>
        <v>0</v>
      </c>
    </row>
    <row r="418" spans="1:4" ht="18" hidden="1" x14ac:dyDescent="0.3">
      <c r="A418" s="18" t="s">
        <v>61</v>
      </c>
      <c r="B418" s="8"/>
      <c r="C418" s="8"/>
      <c r="D418" s="8">
        <f t="shared" si="6"/>
        <v>0</v>
      </c>
    </row>
    <row r="419" spans="1:4" ht="18" hidden="1" x14ac:dyDescent="0.3">
      <c r="A419" s="14" t="s">
        <v>298</v>
      </c>
      <c r="B419" s="8"/>
      <c r="C419" s="8"/>
      <c r="D419" s="8">
        <f t="shared" si="6"/>
        <v>0</v>
      </c>
    </row>
    <row r="420" spans="1:4" ht="18" hidden="1" x14ac:dyDescent="0.3">
      <c r="A420" s="14" t="s">
        <v>309</v>
      </c>
      <c r="B420" s="8"/>
      <c r="C420" s="8"/>
      <c r="D420" s="8">
        <f t="shared" si="6"/>
        <v>0</v>
      </c>
    </row>
    <row r="421" spans="1:4" ht="18" hidden="1" x14ac:dyDescent="0.3">
      <c r="A421" s="14" t="s">
        <v>310</v>
      </c>
      <c r="B421" s="8"/>
      <c r="C421" s="8"/>
      <c r="D421" s="8">
        <f t="shared" si="6"/>
        <v>0</v>
      </c>
    </row>
    <row r="422" spans="1:4" ht="18" hidden="1" x14ac:dyDescent="0.3">
      <c r="A422" s="14" t="s">
        <v>312</v>
      </c>
      <c r="B422" s="8"/>
      <c r="C422" s="8"/>
      <c r="D422" s="8">
        <f t="shared" si="6"/>
        <v>0</v>
      </c>
    </row>
    <row r="423" spans="1:4" ht="18" hidden="1" x14ac:dyDescent="0.3">
      <c r="A423" s="10" t="s">
        <v>321</v>
      </c>
      <c r="B423" s="42"/>
      <c r="C423" s="42"/>
      <c r="D423" s="8">
        <f t="shared" si="6"/>
        <v>0</v>
      </c>
    </row>
    <row r="424" spans="1:4" ht="18" hidden="1" x14ac:dyDescent="0.3">
      <c r="A424" s="10" t="s">
        <v>85</v>
      </c>
      <c r="B424" s="8"/>
      <c r="C424" s="8"/>
      <c r="D424" s="8">
        <f t="shared" si="6"/>
        <v>0</v>
      </c>
    </row>
    <row r="425" spans="1:4" ht="18" hidden="1" x14ac:dyDescent="0.3">
      <c r="A425" s="10" t="s">
        <v>86</v>
      </c>
      <c r="B425" s="8"/>
      <c r="C425" s="8"/>
      <c r="D425" s="8">
        <f t="shared" si="6"/>
        <v>0</v>
      </c>
    </row>
    <row r="426" spans="1:4" ht="18" hidden="1" x14ac:dyDescent="0.3">
      <c r="A426" s="10" t="s">
        <v>87</v>
      </c>
      <c r="B426" s="8"/>
      <c r="C426" s="8"/>
      <c r="D426" s="8">
        <f t="shared" si="6"/>
        <v>0</v>
      </c>
    </row>
    <row r="427" spans="1:4" ht="18" hidden="1" x14ac:dyDescent="0.3">
      <c r="A427" s="10" t="s">
        <v>88</v>
      </c>
      <c r="B427" s="8"/>
      <c r="C427" s="8"/>
      <c r="D427" s="8">
        <f t="shared" si="6"/>
        <v>0</v>
      </c>
    </row>
    <row r="428" spans="1:4" ht="18" hidden="1" x14ac:dyDescent="0.3">
      <c r="A428" s="10" t="s">
        <v>89</v>
      </c>
      <c r="B428" s="8"/>
      <c r="C428" s="8"/>
      <c r="D428" s="8">
        <f t="shared" si="6"/>
        <v>0</v>
      </c>
    </row>
    <row r="429" spans="1:4" ht="18" hidden="1" x14ac:dyDescent="0.3">
      <c r="A429" s="10" t="s">
        <v>176</v>
      </c>
      <c r="B429" s="8"/>
      <c r="C429" s="8"/>
      <c r="D429" s="8">
        <f t="shared" si="6"/>
        <v>0</v>
      </c>
    </row>
    <row r="430" spans="1:4" ht="18" hidden="1" x14ac:dyDescent="0.3">
      <c r="A430" s="10" t="s">
        <v>242</v>
      </c>
      <c r="B430" s="8"/>
      <c r="C430" s="8"/>
      <c r="D430" s="8">
        <f t="shared" si="6"/>
        <v>0</v>
      </c>
    </row>
    <row r="431" spans="1:4" ht="18" hidden="1" x14ac:dyDescent="0.3">
      <c r="A431" s="10" t="s">
        <v>243</v>
      </c>
      <c r="B431" s="8"/>
      <c r="C431" s="8"/>
      <c r="D431" s="8">
        <f t="shared" si="6"/>
        <v>0</v>
      </c>
    </row>
    <row r="432" spans="1:4" ht="18" hidden="1" x14ac:dyDescent="0.3">
      <c r="A432" s="10" t="s">
        <v>265</v>
      </c>
      <c r="B432" s="17"/>
      <c r="C432" s="17"/>
      <c r="D432" s="8">
        <f t="shared" si="6"/>
        <v>0</v>
      </c>
    </row>
    <row r="433" spans="1:4" ht="18" hidden="1" x14ac:dyDescent="0.3">
      <c r="A433" s="14" t="s">
        <v>266</v>
      </c>
      <c r="B433" s="8"/>
      <c r="C433" s="8"/>
      <c r="D433" s="8">
        <f t="shared" si="6"/>
        <v>0</v>
      </c>
    </row>
    <row r="434" spans="1:4" ht="18" hidden="1" x14ac:dyDescent="0.3">
      <c r="A434" s="13" t="s">
        <v>296</v>
      </c>
      <c r="B434" s="8"/>
      <c r="C434" s="8"/>
      <c r="D434" s="8">
        <f t="shared" si="6"/>
        <v>0</v>
      </c>
    </row>
    <row r="435" spans="1:4" ht="18" hidden="1" x14ac:dyDescent="0.3">
      <c r="A435" s="18" t="s">
        <v>297</v>
      </c>
      <c r="B435" s="8"/>
      <c r="C435" s="8"/>
      <c r="D435" s="8">
        <f t="shared" si="6"/>
        <v>0</v>
      </c>
    </row>
    <row r="436" spans="1:4" ht="18" x14ac:dyDescent="0.3">
      <c r="A436" s="10" t="s">
        <v>122</v>
      </c>
      <c r="B436" s="8">
        <v>7</v>
      </c>
      <c r="C436" s="8">
        <v>10000</v>
      </c>
      <c r="D436" s="8">
        <f t="shared" si="6"/>
        <v>70000</v>
      </c>
    </row>
    <row r="437" spans="1:4" ht="18" hidden="1" x14ac:dyDescent="0.3">
      <c r="A437" s="18" t="s">
        <v>42</v>
      </c>
      <c r="B437" s="8"/>
      <c r="C437" s="8"/>
      <c r="D437" s="8">
        <f t="shared" si="6"/>
        <v>0</v>
      </c>
    </row>
    <row r="438" spans="1:4" ht="18" hidden="1" x14ac:dyDescent="0.3">
      <c r="A438" s="10" t="s">
        <v>43</v>
      </c>
      <c r="B438" s="8"/>
      <c r="C438" s="8"/>
      <c r="D438" s="8">
        <f t="shared" si="6"/>
        <v>0</v>
      </c>
    </row>
    <row r="439" spans="1:4" ht="18" hidden="1" x14ac:dyDescent="0.3">
      <c r="A439" s="10" t="s">
        <v>44</v>
      </c>
      <c r="B439" s="8"/>
      <c r="C439" s="8"/>
      <c r="D439" s="8">
        <f t="shared" si="6"/>
        <v>0</v>
      </c>
    </row>
    <row r="440" spans="1:4" ht="18" hidden="1" x14ac:dyDescent="0.3">
      <c r="A440" s="18" t="s">
        <v>285</v>
      </c>
      <c r="B440" s="8"/>
      <c r="C440" s="8"/>
      <c r="D440" s="8">
        <f t="shared" si="6"/>
        <v>0</v>
      </c>
    </row>
    <row r="441" spans="1:4" ht="18" hidden="1" x14ac:dyDescent="0.3">
      <c r="A441" s="18" t="s">
        <v>286</v>
      </c>
      <c r="B441" s="8"/>
      <c r="C441" s="8"/>
      <c r="D441" s="8">
        <f t="shared" si="6"/>
        <v>0</v>
      </c>
    </row>
    <row r="442" spans="1:4" ht="18" hidden="1" x14ac:dyDescent="0.3">
      <c r="A442" s="10" t="s">
        <v>141</v>
      </c>
      <c r="B442" s="17"/>
      <c r="C442" s="17"/>
      <c r="D442" s="8">
        <f t="shared" si="6"/>
        <v>0</v>
      </c>
    </row>
    <row r="443" spans="1:4" ht="18" hidden="1" x14ac:dyDescent="0.3">
      <c r="A443" s="10" t="s">
        <v>142</v>
      </c>
      <c r="B443" s="17"/>
      <c r="C443" s="17"/>
      <c r="D443" s="8">
        <f t="shared" si="6"/>
        <v>0</v>
      </c>
    </row>
    <row r="444" spans="1:4" ht="18" hidden="1" x14ac:dyDescent="0.3">
      <c r="A444" s="26" t="s">
        <v>144</v>
      </c>
      <c r="B444" s="17"/>
      <c r="C444" s="17"/>
      <c r="D444" s="8">
        <f t="shared" si="6"/>
        <v>0</v>
      </c>
    </row>
    <row r="445" spans="1:4" ht="18" hidden="1" x14ac:dyDescent="0.3">
      <c r="A445" s="26" t="s">
        <v>145</v>
      </c>
      <c r="B445" s="17"/>
      <c r="C445" s="17"/>
      <c r="D445" s="8">
        <f t="shared" si="6"/>
        <v>0</v>
      </c>
    </row>
    <row r="446" spans="1:4" ht="18" hidden="1" x14ac:dyDescent="0.3">
      <c r="A446" s="26" t="s">
        <v>146</v>
      </c>
      <c r="B446" s="17"/>
      <c r="C446" s="17"/>
      <c r="D446" s="8">
        <f t="shared" si="6"/>
        <v>0</v>
      </c>
    </row>
    <row r="447" spans="1:4" ht="18" hidden="1" x14ac:dyDescent="0.3">
      <c r="A447" s="10" t="s">
        <v>147</v>
      </c>
      <c r="B447" s="17"/>
      <c r="C447" s="17"/>
      <c r="D447" s="8">
        <f t="shared" si="6"/>
        <v>0</v>
      </c>
    </row>
    <row r="448" spans="1:4" ht="18" hidden="1" x14ac:dyDescent="0.3">
      <c r="A448" s="10" t="s">
        <v>149</v>
      </c>
      <c r="B448" s="17"/>
      <c r="C448" s="17"/>
      <c r="D448" s="8">
        <f t="shared" si="6"/>
        <v>0</v>
      </c>
    </row>
    <row r="449" spans="1:4" ht="18" hidden="1" x14ac:dyDescent="0.3">
      <c r="A449" s="10" t="s">
        <v>150</v>
      </c>
      <c r="B449" s="17"/>
      <c r="C449" s="17"/>
      <c r="D449" s="8">
        <f t="shared" si="6"/>
        <v>0</v>
      </c>
    </row>
    <row r="450" spans="1:4" ht="18" hidden="1" x14ac:dyDescent="0.3">
      <c r="A450" s="10" t="s">
        <v>151</v>
      </c>
      <c r="B450" s="17"/>
      <c r="C450" s="17"/>
      <c r="D450" s="8">
        <f t="shared" si="6"/>
        <v>0</v>
      </c>
    </row>
    <row r="451" spans="1:4" ht="18" hidden="1" x14ac:dyDescent="0.3">
      <c r="A451" s="10" t="s">
        <v>161</v>
      </c>
      <c r="B451" s="17"/>
      <c r="C451" s="17"/>
      <c r="D451" s="8">
        <f t="shared" si="6"/>
        <v>0</v>
      </c>
    </row>
    <row r="452" spans="1:4" ht="18" hidden="1" x14ac:dyDescent="0.3">
      <c r="A452" s="10" t="s">
        <v>162</v>
      </c>
      <c r="B452" s="17"/>
      <c r="C452" s="17"/>
      <c r="D452" s="8">
        <f t="shared" ref="D452:D515" si="7">B452*C452</f>
        <v>0</v>
      </c>
    </row>
    <row r="453" spans="1:4" ht="18" hidden="1" x14ac:dyDescent="0.3">
      <c r="A453" s="10" t="s">
        <v>163</v>
      </c>
      <c r="B453" s="17"/>
      <c r="C453" s="17"/>
      <c r="D453" s="8">
        <f t="shared" si="7"/>
        <v>0</v>
      </c>
    </row>
    <row r="454" spans="1:4" ht="18" x14ac:dyDescent="0.3">
      <c r="A454" s="13" t="s">
        <v>52</v>
      </c>
      <c r="B454" s="8">
        <f>80+120-60+100</f>
        <v>240</v>
      </c>
      <c r="C454" s="8">
        <v>16000</v>
      </c>
      <c r="D454" s="8">
        <f t="shared" si="7"/>
        <v>3840000</v>
      </c>
    </row>
    <row r="455" spans="1:4" ht="18" hidden="1" x14ac:dyDescent="0.3">
      <c r="A455" s="10" t="s">
        <v>62</v>
      </c>
      <c r="B455" s="8"/>
      <c r="C455" s="8"/>
      <c r="D455" s="8">
        <f t="shared" si="7"/>
        <v>0</v>
      </c>
    </row>
    <row r="456" spans="1:4" ht="18" hidden="1" x14ac:dyDescent="0.3">
      <c r="A456" s="10" t="s">
        <v>75</v>
      </c>
      <c r="B456" s="8"/>
      <c r="C456" s="8"/>
      <c r="D456" s="8">
        <f t="shared" si="7"/>
        <v>0</v>
      </c>
    </row>
    <row r="457" spans="1:4" ht="18" hidden="1" x14ac:dyDescent="0.3">
      <c r="A457" s="13" t="s">
        <v>76</v>
      </c>
      <c r="B457" s="8"/>
      <c r="C457" s="8"/>
      <c r="D457" s="8">
        <f t="shared" si="7"/>
        <v>0</v>
      </c>
    </row>
    <row r="458" spans="1:4" ht="18" hidden="1" x14ac:dyDescent="0.3">
      <c r="A458" s="10" t="s">
        <v>15</v>
      </c>
      <c r="B458" s="8"/>
      <c r="C458" s="8"/>
      <c r="D458" s="8">
        <f t="shared" si="7"/>
        <v>0</v>
      </c>
    </row>
    <row r="459" spans="1:4" ht="18" hidden="1" x14ac:dyDescent="0.3">
      <c r="A459" s="10" t="s">
        <v>359</v>
      </c>
      <c r="B459" s="8"/>
      <c r="C459" s="8"/>
      <c r="D459" s="8">
        <f t="shared" si="7"/>
        <v>0</v>
      </c>
    </row>
    <row r="460" spans="1:4" ht="18" hidden="1" x14ac:dyDescent="0.3">
      <c r="A460" s="10" t="s">
        <v>363</v>
      </c>
      <c r="B460" s="8"/>
      <c r="C460" s="8"/>
      <c r="D460" s="8">
        <f t="shared" si="7"/>
        <v>0</v>
      </c>
    </row>
    <row r="461" spans="1:4" ht="18" x14ac:dyDescent="0.3">
      <c r="A461" s="10" t="s">
        <v>19</v>
      </c>
      <c r="B461" s="8">
        <f>460+15+990</f>
        <v>1465</v>
      </c>
      <c r="C461" s="8">
        <v>18000</v>
      </c>
      <c r="D461" s="8">
        <f t="shared" si="7"/>
        <v>26370000</v>
      </c>
    </row>
    <row r="462" spans="1:4" ht="18" hidden="1" x14ac:dyDescent="0.3">
      <c r="A462" s="10" t="s">
        <v>40</v>
      </c>
      <c r="B462" s="8"/>
      <c r="C462" s="8"/>
      <c r="D462" s="8">
        <f t="shared" si="7"/>
        <v>0</v>
      </c>
    </row>
    <row r="463" spans="1:4" ht="18" hidden="1" x14ac:dyDescent="0.3">
      <c r="A463" s="12" t="s">
        <v>48</v>
      </c>
      <c r="B463" s="8"/>
      <c r="C463" s="8"/>
      <c r="D463" s="8">
        <f t="shared" si="7"/>
        <v>0</v>
      </c>
    </row>
    <row r="464" spans="1:4" ht="18" hidden="1" x14ac:dyDescent="0.3">
      <c r="A464" s="14" t="s">
        <v>49</v>
      </c>
      <c r="B464" s="8"/>
      <c r="C464" s="8"/>
      <c r="D464" s="8">
        <f t="shared" si="7"/>
        <v>0</v>
      </c>
    </row>
    <row r="465" spans="1:4" ht="18" hidden="1" x14ac:dyDescent="0.3">
      <c r="A465" s="11" t="s">
        <v>124</v>
      </c>
      <c r="B465" s="8"/>
      <c r="C465" s="8"/>
      <c r="D465" s="8">
        <f t="shared" si="7"/>
        <v>0</v>
      </c>
    </row>
    <row r="466" spans="1:4" ht="18" hidden="1" x14ac:dyDescent="0.3">
      <c r="A466" s="14" t="s">
        <v>125</v>
      </c>
      <c r="B466" s="8"/>
      <c r="C466" s="8"/>
      <c r="D466" s="8">
        <f t="shared" si="7"/>
        <v>0</v>
      </c>
    </row>
    <row r="467" spans="1:4" ht="18" hidden="1" x14ac:dyDescent="0.3">
      <c r="A467" s="13" t="s">
        <v>126</v>
      </c>
      <c r="B467" s="17"/>
      <c r="C467" s="17"/>
      <c r="D467" s="8">
        <f t="shared" si="7"/>
        <v>0</v>
      </c>
    </row>
    <row r="468" spans="1:4" ht="18" hidden="1" x14ac:dyDescent="0.3">
      <c r="A468" s="13" t="s">
        <v>127</v>
      </c>
      <c r="B468" s="17"/>
      <c r="C468" s="17"/>
      <c r="D468" s="8">
        <f t="shared" si="7"/>
        <v>0</v>
      </c>
    </row>
    <row r="469" spans="1:4" ht="18" hidden="1" x14ac:dyDescent="0.3">
      <c r="A469" s="13" t="s">
        <v>128</v>
      </c>
      <c r="B469" s="17"/>
      <c r="C469" s="17"/>
      <c r="D469" s="8">
        <f t="shared" si="7"/>
        <v>0</v>
      </c>
    </row>
    <row r="470" spans="1:4" ht="18" hidden="1" x14ac:dyDescent="0.3">
      <c r="A470" s="13" t="s">
        <v>129</v>
      </c>
      <c r="B470" s="29"/>
      <c r="C470" s="29"/>
      <c r="D470" s="8">
        <f t="shared" si="7"/>
        <v>0</v>
      </c>
    </row>
    <row r="471" spans="1:4" ht="18" hidden="1" x14ac:dyDescent="0.3">
      <c r="A471" s="10" t="s">
        <v>148</v>
      </c>
      <c r="B471" s="17"/>
      <c r="C471" s="17"/>
      <c r="D471" s="8">
        <f t="shared" si="7"/>
        <v>0</v>
      </c>
    </row>
    <row r="472" spans="1:4" ht="18" hidden="1" x14ac:dyDescent="0.3">
      <c r="A472" s="18" t="s">
        <v>218</v>
      </c>
      <c r="B472" s="8"/>
      <c r="C472" s="8"/>
      <c r="D472" s="8">
        <f t="shared" si="7"/>
        <v>0</v>
      </c>
    </row>
    <row r="473" spans="1:4" ht="18" hidden="1" x14ac:dyDescent="0.3">
      <c r="A473" s="18" t="s">
        <v>219</v>
      </c>
      <c r="B473" s="8"/>
      <c r="C473" s="8"/>
      <c r="D473" s="8">
        <f t="shared" si="7"/>
        <v>0</v>
      </c>
    </row>
    <row r="474" spans="1:4" ht="18" hidden="1" x14ac:dyDescent="0.3">
      <c r="A474" s="18" t="s">
        <v>220</v>
      </c>
      <c r="B474" s="8"/>
      <c r="C474" s="8"/>
      <c r="D474" s="8">
        <f t="shared" si="7"/>
        <v>0</v>
      </c>
    </row>
    <row r="475" spans="1:4" ht="18" hidden="1" x14ac:dyDescent="0.3">
      <c r="A475" s="18" t="s">
        <v>221</v>
      </c>
      <c r="B475" s="8"/>
      <c r="C475" s="8"/>
      <c r="D475" s="8">
        <f t="shared" si="7"/>
        <v>0</v>
      </c>
    </row>
    <row r="476" spans="1:4" ht="18" hidden="1" x14ac:dyDescent="0.3">
      <c r="A476" s="10" t="s">
        <v>222</v>
      </c>
      <c r="B476" s="8"/>
      <c r="C476" s="8"/>
      <c r="D476" s="8">
        <f t="shared" si="7"/>
        <v>0</v>
      </c>
    </row>
    <row r="477" spans="1:4" ht="18" hidden="1" x14ac:dyDescent="0.3">
      <c r="A477" s="10" t="s">
        <v>223</v>
      </c>
      <c r="B477" s="8"/>
      <c r="C477" s="8"/>
      <c r="D477" s="8">
        <f t="shared" si="7"/>
        <v>0</v>
      </c>
    </row>
    <row r="478" spans="1:4" ht="18" hidden="1" x14ac:dyDescent="0.3">
      <c r="A478" s="18" t="s">
        <v>224</v>
      </c>
      <c r="B478" s="8"/>
      <c r="C478" s="8"/>
      <c r="D478" s="8">
        <f t="shared" si="7"/>
        <v>0</v>
      </c>
    </row>
    <row r="479" spans="1:4" ht="18" hidden="1" x14ac:dyDescent="0.3">
      <c r="A479" s="18" t="s">
        <v>225</v>
      </c>
      <c r="B479" s="8"/>
      <c r="C479" s="8"/>
      <c r="D479" s="8">
        <f t="shared" si="7"/>
        <v>0</v>
      </c>
    </row>
    <row r="480" spans="1:4" ht="18" hidden="1" x14ac:dyDescent="0.3">
      <c r="A480" s="10" t="s">
        <v>244</v>
      </c>
      <c r="B480" s="17"/>
      <c r="C480" s="17"/>
      <c r="D480" s="8">
        <f t="shared" si="7"/>
        <v>0</v>
      </c>
    </row>
    <row r="481" spans="1:4" ht="18" hidden="1" x14ac:dyDescent="0.3">
      <c r="A481" s="10" t="s">
        <v>246</v>
      </c>
      <c r="B481" s="17"/>
      <c r="C481" s="17"/>
      <c r="D481" s="8">
        <f t="shared" si="7"/>
        <v>0</v>
      </c>
    </row>
    <row r="482" spans="1:4" ht="18" hidden="1" x14ac:dyDescent="0.3">
      <c r="A482" s="13" t="s">
        <v>281</v>
      </c>
      <c r="B482" s="17"/>
      <c r="C482" s="17"/>
      <c r="D482" s="8">
        <f t="shared" si="7"/>
        <v>0</v>
      </c>
    </row>
    <row r="483" spans="1:4" ht="18" hidden="1" x14ac:dyDescent="0.3">
      <c r="A483" s="10" t="s">
        <v>293</v>
      </c>
      <c r="B483" s="8"/>
      <c r="C483" s="8"/>
      <c r="D483" s="8">
        <f t="shared" si="7"/>
        <v>0</v>
      </c>
    </row>
    <row r="484" spans="1:4" ht="18" hidden="1" x14ac:dyDescent="0.3">
      <c r="A484" s="14" t="s">
        <v>294</v>
      </c>
      <c r="B484" s="8"/>
      <c r="C484" s="8"/>
      <c r="D484" s="8">
        <f t="shared" si="7"/>
        <v>0</v>
      </c>
    </row>
    <row r="485" spans="1:4" ht="18" hidden="1" x14ac:dyDescent="0.3">
      <c r="A485" s="13" t="s">
        <v>304</v>
      </c>
      <c r="B485" s="8"/>
      <c r="C485" s="8"/>
      <c r="D485" s="8">
        <f t="shared" si="7"/>
        <v>0</v>
      </c>
    </row>
    <row r="486" spans="1:4" ht="18" x14ac:dyDescent="0.3">
      <c r="A486" s="10" t="s">
        <v>204</v>
      </c>
      <c r="B486" s="8">
        <f>220+220+50</f>
        <v>490</v>
      </c>
      <c r="C486" s="8">
        <v>11000</v>
      </c>
      <c r="D486" s="8">
        <f t="shared" si="7"/>
        <v>5390000</v>
      </c>
    </row>
    <row r="487" spans="1:4" ht="18" hidden="1" x14ac:dyDescent="0.3">
      <c r="A487" s="39" t="s">
        <v>205</v>
      </c>
      <c r="B487" s="8"/>
      <c r="C487" s="8"/>
      <c r="D487" s="8">
        <f t="shared" si="7"/>
        <v>0</v>
      </c>
    </row>
    <row r="488" spans="1:4" ht="18" hidden="1" x14ac:dyDescent="0.3">
      <c r="A488" s="39" t="s">
        <v>206</v>
      </c>
      <c r="B488" s="8"/>
      <c r="C488" s="8"/>
      <c r="D488" s="8">
        <f t="shared" si="7"/>
        <v>0</v>
      </c>
    </row>
    <row r="489" spans="1:4" ht="18" hidden="1" x14ac:dyDescent="0.3">
      <c r="A489" s="10" t="s">
        <v>41</v>
      </c>
      <c r="B489" s="8"/>
      <c r="C489" s="8"/>
      <c r="D489" s="8">
        <f t="shared" si="7"/>
        <v>0</v>
      </c>
    </row>
    <row r="490" spans="1:4" ht="18" hidden="1" x14ac:dyDescent="0.3">
      <c r="A490" s="10" t="s">
        <v>278</v>
      </c>
      <c r="B490" s="8"/>
      <c r="C490" s="8"/>
      <c r="D490" s="8">
        <f t="shared" si="7"/>
        <v>0</v>
      </c>
    </row>
    <row r="491" spans="1:4" ht="18" hidden="1" x14ac:dyDescent="0.3">
      <c r="A491" s="10" t="s">
        <v>53</v>
      </c>
      <c r="B491" s="8"/>
      <c r="C491" s="8"/>
      <c r="D491" s="8">
        <f t="shared" si="7"/>
        <v>0</v>
      </c>
    </row>
    <row r="492" spans="1:4" ht="18" hidden="1" x14ac:dyDescent="0.3">
      <c r="A492" s="18" t="s">
        <v>54</v>
      </c>
      <c r="B492" s="8"/>
      <c r="C492" s="8"/>
      <c r="D492" s="8">
        <f t="shared" si="7"/>
        <v>0</v>
      </c>
    </row>
    <row r="493" spans="1:4" ht="18" hidden="1" x14ac:dyDescent="0.3">
      <c r="A493" s="18" t="s">
        <v>55</v>
      </c>
      <c r="B493" s="8"/>
      <c r="C493" s="8"/>
      <c r="D493" s="8">
        <f t="shared" si="7"/>
        <v>0</v>
      </c>
    </row>
    <row r="494" spans="1:4" ht="18" hidden="1" x14ac:dyDescent="0.3">
      <c r="A494" s="18" t="s">
        <v>56</v>
      </c>
      <c r="B494" s="8"/>
      <c r="C494" s="8"/>
      <c r="D494" s="8">
        <f t="shared" si="7"/>
        <v>0</v>
      </c>
    </row>
    <row r="495" spans="1:4" ht="18" hidden="1" x14ac:dyDescent="0.3">
      <c r="A495" s="10" t="s">
        <v>57</v>
      </c>
      <c r="B495" s="8"/>
      <c r="C495" s="8"/>
      <c r="D495" s="8">
        <f t="shared" si="7"/>
        <v>0</v>
      </c>
    </row>
    <row r="496" spans="1:4" ht="18" hidden="1" x14ac:dyDescent="0.3">
      <c r="A496" s="12" t="s">
        <v>58</v>
      </c>
      <c r="B496" s="8"/>
      <c r="C496" s="8"/>
      <c r="D496" s="8">
        <f t="shared" si="7"/>
        <v>0</v>
      </c>
    </row>
    <row r="497" spans="1:4" ht="18" hidden="1" x14ac:dyDescent="0.3">
      <c r="A497" s="10" t="s">
        <v>59</v>
      </c>
      <c r="B497" s="8"/>
      <c r="C497" s="8"/>
      <c r="D497" s="8">
        <f t="shared" si="7"/>
        <v>0</v>
      </c>
    </row>
    <row r="498" spans="1:4" ht="18" hidden="1" x14ac:dyDescent="0.3">
      <c r="A498" s="10" t="s">
        <v>60</v>
      </c>
      <c r="B498" s="8"/>
      <c r="C498" s="8"/>
      <c r="D498" s="8">
        <f t="shared" si="7"/>
        <v>0</v>
      </c>
    </row>
    <row r="499" spans="1:4" ht="18" hidden="1" x14ac:dyDescent="0.3">
      <c r="A499" s="10" t="s">
        <v>64</v>
      </c>
      <c r="B499" s="8"/>
      <c r="C499" s="8"/>
      <c r="D499" s="8">
        <f t="shared" si="7"/>
        <v>0</v>
      </c>
    </row>
    <row r="500" spans="1:4" ht="18" hidden="1" x14ac:dyDescent="0.3">
      <c r="A500" s="31" t="s">
        <v>65</v>
      </c>
      <c r="B500" s="8"/>
      <c r="C500" s="8"/>
      <c r="D500" s="8">
        <f t="shared" si="7"/>
        <v>0</v>
      </c>
    </row>
    <row r="501" spans="1:4" ht="18" hidden="1" x14ac:dyDescent="0.3">
      <c r="A501" s="22" t="s">
        <v>66</v>
      </c>
      <c r="B501" s="8"/>
      <c r="C501" s="8"/>
      <c r="D501" s="8">
        <f t="shared" si="7"/>
        <v>0</v>
      </c>
    </row>
    <row r="502" spans="1:4" ht="18" hidden="1" x14ac:dyDescent="0.3">
      <c r="A502" s="10" t="s">
        <v>152</v>
      </c>
      <c r="B502" s="8"/>
      <c r="C502" s="8"/>
      <c r="D502" s="8">
        <f t="shared" si="7"/>
        <v>0</v>
      </c>
    </row>
    <row r="503" spans="1:4" ht="18" hidden="1" x14ac:dyDescent="0.3">
      <c r="A503" s="10" t="s">
        <v>349</v>
      </c>
      <c r="B503" s="8"/>
      <c r="C503" s="8"/>
      <c r="D503" s="8">
        <f t="shared" si="7"/>
        <v>0</v>
      </c>
    </row>
    <row r="504" spans="1:4" ht="18" hidden="1" x14ac:dyDescent="0.3">
      <c r="A504" s="10" t="s">
        <v>153</v>
      </c>
      <c r="B504" s="8"/>
      <c r="C504" s="8"/>
      <c r="D504" s="8">
        <f t="shared" si="7"/>
        <v>0</v>
      </c>
    </row>
    <row r="505" spans="1:4" ht="18" x14ac:dyDescent="0.3">
      <c r="A505" s="10" t="s">
        <v>154</v>
      </c>
      <c r="B505" s="8">
        <v>2</v>
      </c>
      <c r="C505" s="8">
        <v>11000</v>
      </c>
      <c r="D505" s="8">
        <f t="shared" si="7"/>
        <v>22000</v>
      </c>
    </row>
    <row r="506" spans="1:4" ht="18" hidden="1" x14ac:dyDescent="0.3">
      <c r="A506" s="10" t="s">
        <v>155</v>
      </c>
      <c r="B506" s="8"/>
      <c r="C506" s="8"/>
      <c r="D506" s="8">
        <f t="shared" si="7"/>
        <v>0</v>
      </c>
    </row>
    <row r="507" spans="1:4" ht="18" hidden="1" x14ac:dyDescent="0.3">
      <c r="A507" s="18" t="s">
        <v>156</v>
      </c>
      <c r="B507" s="8"/>
      <c r="C507" s="8"/>
      <c r="D507" s="8">
        <f t="shared" si="7"/>
        <v>0</v>
      </c>
    </row>
    <row r="508" spans="1:4" ht="18" hidden="1" x14ac:dyDescent="0.3">
      <c r="A508" s="10" t="s">
        <v>77</v>
      </c>
      <c r="B508" s="8"/>
      <c r="C508" s="8"/>
      <c r="D508" s="8">
        <f t="shared" si="7"/>
        <v>0</v>
      </c>
    </row>
    <row r="509" spans="1:4" ht="18" hidden="1" x14ac:dyDescent="0.3">
      <c r="A509" s="14" t="s">
        <v>78</v>
      </c>
      <c r="B509" s="8"/>
      <c r="C509" s="8"/>
      <c r="D509" s="8">
        <f t="shared" si="7"/>
        <v>0</v>
      </c>
    </row>
    <row r="510" spans="1:4" ht="18" hidden="1" x14ac:dyDescent="0.3">
      <c r="A510" s="10" t="s">
        <v>79</v>
      </c>
      <c r="B510" s="8"/>
      <c r="C510" s="8"/>
      <c r="D510" s="8">
        <f t="shared" si="7"/>
        <v>0</v>
      </c>
    </row>
    <row r="511" spans="1:4" ht="18" hidden="1" x14ac:dyDescent="0.3">
      <c r="A511" s="10" t="s">
        <v>80</v>
      </c>
      <c r="B511" s="8"/>
      <c r="C511" s="8"/>
      <c r="D511" s="8">
        <f t="shared" si="7"/>
        <v>0</v>
      </c>
    </row>
    <row r="512" spans="1:4" ht="18" hidden="1" x14ac:dyDescent="0.3">
      <c r="A512" s="10" t="s">
        <v>81</v>
      </c>
      <c r="B512" s="8"/>
      <c r="C512" s="8"/>
      <c r="D512" s="8">
        <f t="shared" si="7"/>
        <v>0</v>
      </c>
    </row>
    <row r="513" spans="1:4" ht="18" hidden="1" x14ac:dyDescent="0.3">
      <c r="A513" s="14" t="s">
        <v>95</v>
      </c>
      <c r="B513" s="8"/>
      <c r="C513" s="8"/>
      <c r="D513" s="8">
        <f t="shared" si="7"/>
        <v>0</v>
      </c>
    </row>
    <row r="514" spans="1:4" ht="18" hidden="1" x14ac:dyDescent="0.3">
      <c r="A514" s="10" t="s">
        <v>306</v>
      </c>
      <c r="B514" s="8"/>
      <c r="C514" s="8"/>
      <c r="D514" s="8">
        <f t="shared" si="7"/>
        <v>0</v>
      </c>
    </row>
    <row r="515" spans="1:4" ht="18" hidden="1" x14ac:dyDescent="0.3">
      <c r="A515" s="13" t="s">
        <v>320</v>
      </c>
      <c r="B515" s="8"/>
      <c r="C515" s="8"/>
      <c r="D515" s="8">
        <f t="shared" si="7"/>
        <v>0</v>
      </c>
    </row>
    <row r="516" spans="1:4" ht="18" hidden="1" x14ac:dyDescent="0.3">
      <c r="A516" s="10" t="s">
        <v>323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23" t="s">
        <v>92</v>
      </c>
      <c r="B517" s="8"/>
      <c r="C517" s="8"/>
      <c r="D517" s="8">
        <f t="shared" si="8"/>
        <v>0</v>
      </c>
    </row>
    <row r="518" spans="1:4" ht="18" hidden="1" x14ac:dyDescent="0.3">
      <c r="A518" s="23" t="s">
        <v>93</v>
      </c>
      <c r="B518" s="8"/>
      <c r="C518" s="8"/>
      <c r="D518" s="8">
        <f t="shared" si="8"/>
        <v>0</v>
      </c>
    </row>
    <row r="519" spans="1:4" ht="18" hidden="1" x14ac:dyDescent="0.3">
      <c r="A519" s="12" t="s">
        <v>94</v>
      </c>
      <c r="B519" s="8"/>
      <c r="C519" s="8"/>
      <c r="D519" s="8">
        <f t="shared" si="8"/>
        <v>0</v>
      </c>
    </row>
    <row r="520" spans="1:4" ht="18" hidden="1" x14ac:dyDescent="0.3">
      <c r="A520" s="13" t="s">
        <v>181</v>
      </c>
      <c r="B520" s="8"/>
      <c r="C520" s="8"/>
      <c r="D520" s="8">
        <f t="shared" si="8"/>
        <v>0</v>
      </c>
    </row>
    <row r="521" spans="1:4" ht="18" hidden="1" x14ac:dyDescent="0.3">
      <c r="A521" s="13" t="s">
        <v>182</v>
      </c>
      <c r="B521" s="8"/>
      <c r="C521" s="8"/>
      <c r="D521" s="8">
        <f t="shared" si="8"/>
        <v>0</v>
      </c>
    </row>
    <row r="522" spans="1:4" ht="18" x14ac:dyDescent="0.3">
      <c r="A522" s="13" t="s">
        <v>183</v>
      </c>
      <c r="B522" s="8">
        <v>780</v>
      </c>
      <c r="C522" s="8">
        <v>7700</v>
      </c>
      <c r="D522" s="8">
        <f t="shared" si="8"/>
        <v>6006000</v>
      </c>
    </row>
    <row r="523" spans="1:4" ht="18" hidden="1" x14ac:dyDescent="0.3">
      <c r="A523" s="10" t="s">
        <v>184</v>
      </c>
      <c r="B523" s="8"/>
      <c r="C523" s="8"/>
      <c r="D523" s="8">
        <f t="shared" si="8"/>
        <v>0</v>
      </c>
    </row>
    <row r="524" spans="1:4" ht="18" hidden="1" x14ac:dyDescent="0.3">
      <c r="A524" s="13" t="s">
        <v>185</v>
      </c>
      <c r="B524" s="8"/>
      <c r="C524" s="8"/>
      <c r="D524" s="8">
        <f t="shared" si="8"/>
        <v>0</v>
      </c>
    </row>
    <row r="525" spans="1:4" ht="18" hidden="1" x14ac:dyDescent="0.3">
      <c r="A525" s="13" t="s">
        <v>186</v>
      </c>
      <c r="B525" s="8"/>
      <c r="C525" s="8"/>
      <c r="D525" s="8">
        <f t="shared" si="8"/>
        <v>0</v>
      </c>
    </row>
    <row r="526" spans="1:4" ht="18" hidden="1" x14ac:dyDescent="0.3">
      <c r="A526" s="13" t="s">
        <v>187</v>
      </c>
      <c r="B526" s="8"/>
      <c r="C526" s="8"/>
      <c r="D526" s="8">
        <f t="shared" si="8"/>
        <v>0</v>
      </c>
    </row>
    <row r="527" spans="1:4" ht="18" hidden="1" x14ac:dyDescent="0.3">
      <c r="A527" s="10" t="s">
        <v>188</v>
      </c>
      <c r="B527" s="8"/>
      <c r="C527" s="8"/>
      <c r="D527" s="8">
        <f t="shared" si="8"/>
        <v>0</v>
      </c>
    </row>
    <row r="528" spans="1:4" ht="18" hidden="1" x14ac:dyDescent="0.3">
      <c r="A528" s="10" t="s">
        <v>210</v>
      </c>
      <c r="B528" s="8"/>
      <c r="C528" s="8"/>
      <c r="D528" s="8">
        <f t="shared" si="8"/>
        <v>0</v>
      </c>
    </row>
    <row r="529" spans="1:4" ht="18" hidden="1" x14ac:dyDescent="0.3">
      <c r="A529" s="10" t="s">
        <v>211</v>
      </c>
      <c r="B529" s="8"/>
      <c r="C529" s="8"/>
      <c r="D529" s="8">
        <f t="shared" si="8"/>
        <v>0</v>
      </c>
    </row>
    <row r="530" spans="1:4" ht="18" hidden="1" x14ac:dyDescent="0.3">
      <c r="A530" s="10" t="s">
        <v>353</v>
      </c>
      <c r="B530" s="8"/>
      <c r="C530" s="8"/>
      <c r="D530" s="8">
        <f t="shared" si="8"/>
        <v>0</v>
      </c>
    </row>
    <row r="531" spans="1:4" ht="18" hidden="1" x14ac:dyDescent="0.3">
      <c r="A531" s="10" t="s">
        <v>354</v>
      </c>
      <c r="B531" s="8"/>
      <c r="C531" s="8"/>
      <c r="D531" s="8">
        <f t="shared" si="8"/>
        <v>0</v>
      </c>
    </row>
    <row r="532" spans="1:4" ht="18" hidden="1" x14ac:dyDescent="0.3">
      <c r="A532" s="10" t="s">
        <v>105</v>
      </c>
      <c r="B532" s="8"/>
      <c r="C532" s="8"/>
      <c r="D532" s="8">
        <f t="shared" si="8"/>
        <v>0</v>
      </c>
    </row>
    <row r="533" spans="1:4" ht="18" hidden="1" x14ac:dyDescent="0.3">
      <c r="A533" s="10" t="s">
        <v>106</v>
      </c>
      <c r="B533" s="8"/>
      <c r="C533" s="8"/>
      <c r="D533" s="8">
        <f t="shared" si="8"/>
        <v>0</v>
      </c>
    </row>
    <row r="534" spans="1:4" ht="18" x14ac:dyDescent="0.3">
      <c r="A534" s="10" t="s">
        <v>90</v>
      </c>
      <c r="B534" s="8">
        <v>25</v>
      </c>
      <c r="C534" s="8">
        <v>6000</v>
      </c>
      <c r="D534" s="8">
        <f t="shared" si="8"/>
        <v>150000</v>
      </c>
    </row>
    <row r="535" spans="1:4" ht="18" hidden="1" x14ac:dyDescent="0.3">
      <c r="A535" s="23" t="s">
        <v>91</v>
      </c>
      <c r="B535" s="8"/>
      <c r="C535" s="8"/>
      <c r="D535" s="8">
        <f t="shared" si="8"/>
        <v>0</v>
      </c>
    </row>
    <row r="536" spans="1:4" ht="18" x14ac:dyDescent="0.3">
      <c r="A536" s="6" t="s">
        <v>5</v>
      </c>
      <c r="B536" s="8">
        <v>110</v>
      </c>
      <c r="C536" s="8">
        <v>7300</v>
      </c>
      <c r="D536" s="8">
        <f t="shared" si="8"/>
        <v>803000</v>
      </c>
    </row>
    <row r="537" spans="1:4" ht="18" hidden="1" x14ac:dyDescent="0.3">
      <c r="A537" s="10" t="s">
        <v>6</v>
      </c>
      <c r="B537" s="8"/>
      <c r="C537" s="8"/>
      <c r="D537" s="8">
        <f t="shared" si="8"/>
        <v>0</v>
      </c>
    </row>
    <row r="538" spans="1:4" ht="18" hidden="1" x14ac:dyDescent="0.3">
      <c r="A538" s="6" t="s">
        <v>9</v>
      </c>
      <c r="B538" s="8"/>
      <c r="C538" s="8"/>
      <c r="D538" s="8">
        <f t="shared" si="8"/>
        <v>0</v>
      </c>
    </row>
    <row r="539" spans="1:4" ht="18" x14ac:dyDescent="0.3">
      <c r="A539" s="10" t="s">
        <v>350</v>
      </c>
      <c r="B539" s="8">
        <v>200</v>
      </c>
      <c r="C539" s="8">
        <v>6500</v>
      </c>
      <c r="D539" s="8">
        <f t="shared" si="8"/>
        <v>1300000</v>
      </c>
    </row>
    <row r="540" spans="1:4" ht="18" hidden="1" x14ac:dyDescent="0.3">
      <c r="A540" s="13" t="s">
        <v>167</v>
      </c>
      <c r="B540" s="8"/>
      <c r="C540" s="8"/>
      <c r="D540" s="8">
        <f t="shared" si="8"/>
        <v>0</v>
      </c>
    </row>
    <row r="541" spans="1:4" ht="18" hidden="1" x14ac:dyDescent="0.3">
      <c r="A541" s="10" t="s">
        <v>168</v>
      </c>
      <c r="B541" s="8"/>
      <c r="C541" s="8"/>
      <c r="D541" s="8">
        <f t="shared" si="8"/>
        <v>0</v>
      </c>
    </row>
    <row r="542" spans="1:4" ht="18" hidden="1" x14ac:dyDescent="0.3">
      <c r="A542" s="10" t="s">
        <v>170</v>
      </c>
      <c r="B542" s="8"/>
      <c r="C542" s="8"/>
      <c r="D542" s="8">
        <f t="shared" si="8"/>
        <v>0</v>
      </c>
    </row>
    <row r="543" spans="1:4" ht="18" hidden="1" x14ac:dyDescent="0.3">
      <c r="A543" s="10" t="s">
        <v>171</v>
      </c>
      <c r="B543" s="8"/>
      <c r="C543" s="8"/>
      <c r="D543" s="8">
        <f t="shared" si="8"/>
        <v>0</v>
      </c>
    </row>
    <row r="544" spans="1:4" ht="18" hidden="1" x14ac:dyDescent="0.3">
      <c r="A544" s="22" t="s">
        <v>172</v>
      </c>
      <c r="B544" s="8"/>
      <c r="C544" s="8"/>
      <c r="D544" s="8">
        <f t="shared" si="8"/>
        <v>0</v>
      </c>
    </row>
    <row r="545" spans="1:4" ht="18" hidden="1" x14ac:dyDescent="0.3">
      <c r="A545" s="13" t="s">
        <v>227</v>
      </c>
      <c r="B545" s="8"/>
      <c r="C545" s="8"/>
      <c r="D545" s="8">
        <f t="shared" si="8"/>
        <v>0</v>
      </c>
    </row>
    <row r="546" spans="1:4" ht="18" hidden="1" x14ac:dyDescent="0.3">
      <c r="A546" s="13" t="s">
        <v>14</v>
      </c>
      <c r="B546" s="8"/>
      <c r="C546" s="8"/>
      <c r="D546" s="8">
        <f t="shared" si="8"/>
        <v>0</v>
      </c>
    </row>
    <row r="547" spans="1:4" ht="18" hidden="1" x14ac:dyDescent="0.3">
      <c r="A547" s="12" t="s">
        <v>343</v>
      </c>
      <c r="B547" s="8"/>
      <c r="C547" s="8"/>
      <c r="D547" s="8">
        <f t="shared" si="8"/>
        <v>0</v>
      </c>
    </row>
    <row r="548" spans="1:4" ht="18" hidden="1" x14ac:dyDescent="0.3">
      <c r="A548" s="12" t="s">
        <v>344</v>
      </c>
      <c r="B548" s="8"/>
      <c r="C548" s="8"/>
      <c r="D548" s="8">
        <f t="shared" si="8"/>
        <v>0</v>
      </c>
    </row>
    <row r="549" spans="1:4" ht="18" hidden="1" x14ac:dyDescent="0.3">
      <c r="A549" s="12" t="s">
        <v>345</v>
      </c>
      <c r="B549" s="8"/>
      <c r="C549" s="8"/>
      <c r="D549" s="8">
        <f t="shared" si="8"/>
        <v>0</v>
      </c>
    </row>
    <row r="550" spans="1:4" ht="18" hidden="1" x14ac:dyDescent="0.3">
      <c r="A550" s="12" t="s">
        <v>346</v>
      </c>
      <c r="B550" s="8"/>
      <c r="C550" s="8"/>
      <c r="D550" s="8">
        <f t="shared" si="8"/>
        <v>0</v>
      </c>
    </row>
    <row r="551" spans="1:4" ht="18" hidden="1" x14ac:dyDescent="0.3">
      <c r="A551" s="10" t="s">
        <v>114</v>
      </c>
      <c r="B551" s="8"/>
      <c r="C551" s="8"/>
      <c r="D551" s="8">
        <f t="shared" si="8"/>
        <v>0</v>
      </c>
    </row>
    <row r="552" spans="1:4" ht="18" hidden="1" x14ac:dyDescent="0.3">
      <c r="A552" s="10" t="s">
        <v>115</v>
      </c>
      <c r="B552" s="8"/>
      <c r="C552" s="8"/>
      <c r="D552" s="8">
        <f t="shared" si="8"/>
        <v>0</v>
      </c>
    </row>
    <row r="553" spans="1:4" ht="18" hidden="1" x14ac:dyDescent="0.3">
      <c r="A553" s="10" t="s">
        <v>347</v>
      </c>
      <c r="B553" s="8"/>
      <c r="C553" s="8"/>
      <c r="D553" s="8">
        <f t="shared" si="8"/>
        <v>0</v>
      </c>
    </row>
    <row r="554" spans="1:4" ht="18" hidden="1" x14ac:dyDescent="0.3">
      <c r="A554" s="10" t="s">
        <v>116</v>
      </c>
      <c r="B554" s="8"/>
      <c r="C554" s="8"/>
      <c r="D554" s="8">
        <f t="shared" si="8"/>
        <v>0</v>
      </c>
    </row>
    <row r="555" spans="1:4" ht="18" hidden="1" x14ac:dyDescent="0.3">
      <c r="A555" s="13" t="s">
        <v>137</v>
      </c>
      <c r="B555" s="8"/>
      <c r="C555" s="8"/>
      <c r="D555" s="8">
        <f t="shared" si="8"/>
        <v>0</v>
      </c>
    </row>
    <row r="556" spans="1:4" ht="18" hidden="1" x14ac:dyDescent="0.3">
      <c r="A556" s="13" t="s">
        <v>138</v>
      </c>
      <c r="B556" s="8"/>
      <c r="C556" s="8"/>
      <c r="D556" s="8">
        <f t="shared" si="8"/>
        <v>0</v>
      </c>
    </row>
    <row r="557" spans="1:4" ht="18" hidden="1" x14ac:dyDescent="0.3">
      <c r="A557" s="10" t="s">
        <v>139</v>
      </c>
      <c r="B557" s="8"/>
      <c r="C557" s="8"/>
      <c r="D557" s="8">
        <f t="shared" si="8"/>
        <v>0</v>
      </c>
    </row>
    <row r="558" spans="1:4" ht="18" hidden="1" x14ac:dyDescent="0.3">
      <c r="A558" s="10" t="s">
        <v>348</v>
      </c>
      <c r="B558" s="8"/>
      <c r="C558" s="8"/>
      <c r="D558" s="8">
        <f t="shared" si="8"/>
        <v>0</v>
      </c>
    </row>
    <row r="559" spans="1:4" ht="18" hidden="1" x14ac:dyDescent="0.3">
      <c r="A559" s="10" t="s">
        <v>207</v>
      </c>
      <c r="B559" s="8"/>
      <c r="C559" s="8"/>
      <c r="D559" s="8">
        <f t="shared" si="8"/>
        <v>0</v>
      </c>
    </row>
    <row r="560" spans="1:4" ht="18" hidden="1" x14ac:dyDescent="0.3">
      <c r="A560" s="12" t="s">
        <v>208</v>
      </c>
      <c r="B560" s="8"/>
      <c r="C560" s="8"/>
      <c r="D560" s="8">
        <f t="shared" si="8"/>
        <v>0</v>
      </c>
    </row>
    <row r="561" spans="1:4" ht="18" hidden="1" x14ac:dyDescent="0.3">
      <c r="A561" s="10" t="s">
        <v>209</v>
      </c>
      <c r="B561" s="8"/>
      <c r="C561" s="8"/>
      <c r="D561" s="8">
        <f t="shared" si="8"/>
        <v>0</v>
      </c>
    </row>
    <row r="562" spans="1:4" ht="18" hidden="1" x14ac:dyDescent="0.3">
      <c r="A562" s="12" t="s">
        <v>352</v>
      </c>
      <c r="B562" s="8"/>
      <c r="C562" s="8"/>
      <c r="D562" s="8">
        <f t="shared" si="8"/>
        <v>0</v>
      </c>
    </row>
    <row r="563" spans="1:4" ht="18" hidden="1" x14ac:dyDescent="0.3">
      <c r="A563" s="10" t="s">
        <v>247</v>
      </c>
      <c r="B563" s="8"/>
      <c r="C563" s="8"/>
      <c r="D563" s="8">
        <f t="shared" si="8"/>
        <v>0</v>
      </c>
    </row>
    <row r="564" spans="1:4" ht="18" hidden="1" x14ac:dyDescent="0.3">
      <c r="A564" s="10" t="s">
        <v>267</v>
      </c>
      <c r="B564" s="8"/>
      <c r="C564" s="8"/>
      <c r="D564" s="8">
        <f t="shared" si="8"/>
        <v>0</v>
      </c>
    </row>
    <row r="565" spans="1:4" ht="18" hidden="1" x14ac:dyDescent="0.3">
      <c r="A565" s="10" t="s">
        <v>271</v>
      </c>
      <c r="B565" s="8"/>
      <c r="C565" s="8"/>
      <c r="D565" s="8">
        <f t="shared" si="8"/>
        <v>0</v>
      </c>
    </row>
    <row r="566" spans="1:4" ht="18" hidden="1" x14ac:dyDescent="0.3">
      <c r="A566" s="10" t="s">
        <v>299</v>
      </c>
      <c r="B566" s="8"/>
      <c r="C566" s="8"/>
      <c r="D566" s="8">
        <f t="shared" si="8"/>
        <v>0</v>
      </c>
    </row>
    <row r="567" spans="1:4" ht="18" hidden="1" x14ac:dyDescent="0.3">
      <c r="A567" s="18" t="s">
        <v>300</v>
      </c>
      <c r="B567" s="8"/>
      <c r="C567" s="8"/>
      <c r="D567" s="8">
        <f t="shared" si="8"/>
        <v>0</v>
      </c>
    </row>
    <row r="568" spans="1:4" ht="18" hidden="1" x14ac:dyDescent="0.3">
      <c r="A568" s="13" t="s">
        <v>361</v>
      </c>
      <c r="B568" s="8"/>
      <c r="C568" s="8"/>
      <c r="D568" s="8">
        <f t="shared" si="8"/>
        <v>0</v>
      </c>
    </row>
    <row r="569" spans="1:4" ht="18" hidden="1" x14ac:dyDescent="0.3">
      <c r="A569" s="12" t="s">
        <v>342</v>
      </c>
      <c r="B569" s="8"/>
      <c r="C569" s="8"/>
      <c r="D569" s="8">
        <f t="shared" si="8"/>
        <v>0</v>
      </c>
    </row>
    <row r="570" spans="1:4" ht="18" hidden="1" x14ac:dyDescent="0.3">
      <c r="A570" s="10" t="s">
        <v>36</v>
      </c>
      <c r="B570" s="8"/>
      <c r="C570" s="8"/>
      <c r="D570" s="8">
        <f t="shared" si="8"/>
        <v>0</v>
      </c>
    </row>
    <row r="571" spans="1:4" ht="18" hidden="1" x14ac:dyDescent="0.3">
      <c r="A571" s="10" t="s">
        <v>37</v>
      </c>
      <c r="B571" s="8"/>
      <c r="C571" s="8"/>
      <c r="D571" s="8">
        <f t="shared" si="8"/>
        <v>0</v>
      </c>
    </row>
    <row r="572" spans="1:4" ht="18" hidden="1" x14ac:dyDescent="0.3">
      <c r="A572" s="12" t="s">
        <v>38</v>
      </c>
      <c r="B572" s="17"/>
      <c r="C572" s="17"/>
      <c r="D572" s="8">
        <f t="shared" si="8"/>
        <v>0</v>
      </c>
    </row>
    <row r="573" spans="1:4" ht="18" hidden="1" x14ac:dyDescent="0.3">
      <c r="A573" s="12" t="s">
        <v>39</v>
      </c>
      <c r="B573" s="17"/>
      <c r="C573" s="17"/>
      <c r="D573" s="8">
        <f t="shared" si="8"/>
        <v>0</v>
      </c>
    </row>
    <row r="574" spans="1:4" ht="18" hidden="1" x14ac:dyDescent="0.3">
      <c r="A574" s="18" t="s">
        <v>255</v>
      </c>
      <c r="B574" s="8"/>
      <c r="C574" s="8"/>
      <c r="D574" s="8">
        <f t="shared" si="8"/>
        <v>0</v>
      </c>
    </row>
    <row r="575" spans="1:4" ht="18" hidden="1" x14ac:dyDescent="0.3">
      <c r="A575" s="23" t="s">
        <v>256</v>
      </c>
      <c r="B575" s="8"/>
      <c r="C575" s="8"/>
      <c r="D575" s="8">
        <f t="shared" si="8"/>
        <v>0</v>
      </c>
    </row>
    <row r="576" spans="1:4" ht="18" hidden="1" x14ac:dyDescent="0.3">
      <c r="A576" s="23" t="s">
        <v>257</v>
      </c>
      <c r="B576" s="8"/>
      <c r="C576" s="8"/>
      <c r="D576" s="8">
        <f t="shared" si="8"/>
        <v>0</v>
      </c>
    </row>
    <row r="577" spans="1:4" ht="18" hidden="1" x14ac:dyDescent="0.3">
      <c r="A577" s="12" t="s">
        <v>268</v>
      </c>
      <c r="B577" s="8"/>
      <c r="C577" s="8"/>
      <c r="D577" s="8">
        <f t="shared" si="8"/>
        <v>0</v>
      </c>
    </row>
    <row r="578" spans="1:4" ht="18" hidden="1" x14ac:dyDescent="0.3">
      <c r="A578" s="12" t="s">
        <v>269</v>
      </c>
      <c r="B578" s="8"/>
      <c r="C578" s="8"/>
      <c r="D578" s="8">
        <f t="shared" si="8"/>
        <v>0</v>
      </c>
    </row>
    <row r="579" spans="1:4" ht="18" hidden="1" x14ac:dyDescent="0.3">
      <c r="A579" s="10" t="s">
        <v>270</v>
      </c>
      <c r="B579" s="8"/>
      <c r="C579" s="8"/>
      <c r="D579" s="8">
        <f t="shared" si="8"/>
        <v>0</v>
      </c>
    </row>
    <row r="580" spans="1:4" ht="18" hidden="1" x14ac:dyDescent="0.3">
      <c r="A580" s="10" t="s">
        <v>358</v>
      </c>
      <c r="B580" s="8"/>
      <c r="C580" s="8"/>
      <c r="D580" s="8">
        <f t="shared" ref="D580:D643" si="9">B580*C580</f>
        <v>0</v>
      </c>
    </row>
    <row r="581" spans="1:4" ht="18" hidden="1" x14ac:dyDescent="0.3">
      <c r="A581" s="10" t="s">
        <v>273</v>
      </c>
      <c r="B581" s="8"/>
      <c r="C581" s="8"/>
      <c r="D581" s="8">
        <f t="shared" si="9"/>
        <v>0</v>
      </c>
    </row>
    <row r="582" spans="1:4" ht="18" hidden="1" x14ac:dyDescent="0.3">
      <c r="A582" s="18" t="s">
        <v>284</v>
      </c>
      <c r="B582" s="8"/>
      <c r="C582" s="8"/>
      <c r="D582" s="8">
        <f t="shared" si="9"/>
        <v>0</v>
      </c>
    </row>
    <row r="583" spans="1:4" ht="18" hidden="1" x14ac:dyDescent="0.3">
      <c r="A583" s="13" t="s">
        <v>178</v>
      </c>
      <c r="B583" s="8"/>
      <c r="C583" s="8"/>
      <c r="D583" s="8">
        <f t="shared" si="9"/>
        <v>0</v>
      </c>
    </row>
    <row r="584" spans="1:4" ht="18" hidden="1" x14ac:dyDescent="0.3">
      <c r="A584" s="10" t="s">
        <v>179</v>
      </c>
      <c r="B584" s="8"/>
      <c r="C584" s="8"/>
      <c r="D584" s="8">
        <f t="shared" si="9"/>
        <v>0</v>
      </c>
    </row>
    <row r="585" spans="1:4" ht="18" hidden="1" x14ac:dyDescent="0.3">
      <c r="A585" s="10" t="s">
        <v>180</v>
      </c>
      <c r="B585" s="8"/>
      <c r="C585" s="8"/>
      <c r="D585" s="8">
        <f t="shared" si="9"/>
        <v>0</v>
      </c>
    </row>
    <row r="586" spans="1:4" ht="18" hidden="1" x14ac:dyDescent="0.3">
      <c r="A586" s="13" t="s">
        <v>305</v>
      </c>
      <c r="B586" s="8"/>
      <c r="C586" s="8"/>
      <c r="D586" s="8">
        <f t="shared" si="9"/>
        <v>0</v>
      </c>
    </row>
    <row r="587" spans="1:4" ht="18" hidden="1" x14ac:dyDescent="0.3">
      <c r="A587" s="10" t="s">
        <v>307</v>
      </c>
      <c r="B587" s="8"/>
      <c r="C587" s="8"/>
      <c r="D587" s="8">
        <f t="shared" si="9"/>
        <v>0</v>
      </c>
    </row>
    <row r="588" spans="1:4" ht="18" hidden="1" x14ac:dyDescent="0.3">
      <c r="A588" s="10" t="s">
        <v>308</v>
      </c>
      <c r="B588" s="8"/>
      <c r="C588" s="8"/>
      <c r="D588" s="8">
        <f t="shared" si="9"/>
        <v>0</v>
      </c>
    </row>
    <row r="589" spans="1:4" ht="18" hidden="1" x14ac:dyDescent="0.3">
      <c r="A589" s="23" t="s">
        <v>311</v>
      </c>
      <c r="B589" s="8"/>
      <c r="C589" s="8"/>
      <c r="D589" s="8">
        <f t="shared" si="9"/>
        <v>0</v>
      </c>
    </row>
    <row r="590" spans="1:4" ht="18" hidden="1" x14ac:dyDescent="0.3">
      <c r="A590" s="10" t="s">
        <v>313</v>
      </c>
      <c r="B590" s="8"/>
      <c r="C590" s="8"/>
      <c r="D590" s="8">
        <f t="shared" si="9"/>
        <v>0</v>
      </c>
    </row>
    <row r="591" spans="1:4" ht="18" hidden="1" x14ac:dyDescent="0.3">
      <c r="A591" s="10" t="s">
        <v>314</v>
      </c>
      <c r="B591" s="8"/>
      <c r="C591" s="8"/>
      <c r="D591" s="8">
        <f t="shared" si="9"/>
        <v>0</v>
      </c>
    </row>
    <row r="592" spans="1:4" ht="18" hidden="1" x14ac:dyDescent="0.3">
      <c r="A592" s="10" t="s">
        <v>315</v>
      </c>
      <c r="B592" s="8"/>
      <c r="C592" s="8"/>
      <c r="D592" s="8">
        <f t="shared" si="9"/>
        <v>0</v>
      </c>
    </row>
    <row r="593" spans="1:4" ht="18" hidden="1" x14ac:dyDescent="0.3">
      <c r="A593" s="10" t="s">
        <v>316</v>
      </c>
      <c r="B593" s="8"/>
      <c r="C593" s="8"/>
      <c r="D593" s="8">
        <f t="shared" si="9"/>
        <v>0</v>
      </c>
    </row>
    <row r="594" spans="1:4" ht="18" hidden="1" x14ac:dyDescent="0.3">
      <c r="A594" s="23" t="s">
        <v>317</v>
      </c>
      <c r="B594" s="8"/>
      <c r="C594" s="8"/>
      <c r="D594" s="8">
        <f t="shared" si="9"/>
        <v>0</v>
      </c>
    </row>
    <row r="595" spans="1:4" ht="18" hidden="1" x14ac:dyDescent="0.3">
      <c r="A595" s="10" t="s">
        <v>318</v>
      </c>
      <c r="B595" s="8"/>
      <c r="C595" s="8"/>
      <c r="D595" s="8">
        <f t="shared" si="9"/>
        <v>0</v>
      </c>
    </row>
    <row r="596" spans="1:4" ht="18" hidden="1" x14ac:dyDescent="0.3">
      <c r="A596" s="10" t="s">
        <v>322</v>
      </c>
      <c r="B596" s="8"/>
      <c r="C596" s="8"/>
      <c r="D596" s="8">
        <f t="shared" si="9"/>
        <v>0</v>
      </c>
    </row>
    <row r="597" spans="1:4" ht="18" hidden="1" x14ac:dyDescent="0.3">
      <c r="A597" s="23" t="s">
        <v>324</v>
      </c>
      <c r="B597" s="8"/>
      <c r="C597" s="8"/>
      <c r="D597" s="8">
        <f t="shared" si="9"/>
        <v>0</v>
      </c>
    </row>
    <row r="598" spans="1:4" ht="18" hidden="1" x14ac:dyDescent="0.3">
      <c r="A598" s="23" t="s">
        <v>325</v>
      </c>
      <c r="B598" s="8"/>
      <c r="C598" s="8"/>
      <c r="D598" s="8">
        <f t="shared" si="9"/>
        <v>0</v>
      </c>
    </row>
    <row r="599" spans="1:4" ht="18" hidden="1" x14ac:dyDescent="0.3">
      <c r="A599" s="10" t="s">
        <v>326</v>
      </c>
      <c r="B599" s="8"/>
      <c r="C599" s="8"/>
      <c r="D599" s="8">
        <f t="shared" si="9"/>
        <v>0</v>
      </c>
    </row>
    <row r="600" spans="1:4" ht="18" hidden="1" x14ac:dyDescent="0.3">
      <c r="A600" s="10" t="s">
        <v>327</v>
      </c>
      <c r="B600" s="8"/>
      <c r="C600" s="8"/>
      <c r="D600" s="8">
        <f t="shared" si="9"/>
        <v>0</v>
      </c>
    </row>
    <row r="601" spans="1:4" ht="18" hidden="1" x14ac:dyDescent="0.3">
      <c r="A601" s="23" t="s">
        <v>328</v>
      </c>
      <c r="B601" s="8"/>
      <c r="C601" s="8"/>
      <c r="D601" s="8">
        <f t="shared" si="9"/>
        <v>0</v>
      </c>
    </row>
    <row r="602" spans="1:4" ht="18" hidden="1" x14ac:dyDescent="0.3">
      <c r="A602" s="10" t="s">
        <v>329</v>
      </c>
      <c r="B602" s="8"/>
      <c r="C602" s="8"/>
      <c r="D602" s="8">
        <f t="shared" si="9"/>
        <v>0</v>
      </c>
    </row>
    <row r="603" spans="1:4" ht="18" hidden="1" x14ac:dyDescent="0.3">
      <c r="A603" s="10" t="s">
        <v>330</v>
      </c>
      <c r="B603" s="8"/>
      <c r="C603" s="8"/>
      <c r="D603" s="8">
        <f t="shared" si="9"/>
        <v>0</v>
      </c>
    </row>
    <row r="604" spans="1:4" ht="18" hidden="1" x14ac:dyDescent="0.3">
      <c r="A604" s="10" t="s">
        <v>331</v>
      </c>
      <c r="B604" s="8"/>
      <c r="C604" s="8"/>
      <c r="D604" s="8">
        <f t="shared" si="9"/>
        <v>0</v>
      </c>
    </row>
    <row r="605" spans="1:4" ht="18" hidden="1" x14ac:dyDescent="0.3">
      <c r="A605" s="10" t="s">
        <v>332</v>
      </c>
      <c r="B605" s="8"/>
      <c r="C605" s="8"/>
      <c r="D605" s="8">
        <f t="shared" si="9"/>
        <v>0</v>
      </c>
    </row>
    <row r="606" spans="1:4" ht="18" hidden="1" x14ac:dyDescent="0.3">
      <c r="A606" s="10" t="s">
        <v>333</v>
      </c>
      <c r="B606" s="8"/>
      <c r="C606" s="8"/>
      <c r="D606" s="8">
        <f t="shared" si="9"/>
        <v>0</v>
      </c>
    </row>
    <row r="607" spans="1:4" ht="18" hidden="1" x14ac:dyDescent="0.3">
      <c r="A607" s="10" t="s">
        <v>334</v>
      </c>
      <c r="B607" s="8"/>
      <c r="C607" s="8"/>
      <c r="D607" s="8">
        <f t="shared" si="9"/>
        <v>0</v>
      </c>
    </row>
    <row r="608" spans="1:4" ht="18" hidden="1" x14ac:dyDescent="0.3">
      <c r="A608" s="10" t="s">
        <v>335</v>
      </c>
      <c r="B608" s="8"/>
      <c r="C608" s="8"/>
      <c r="D608" s="8">
        <f t="shared" si="9"/>
        <v>0</v>
      </c>
    </row>
    <row r="609" spans="1:4" ht="18" hidden="1" x14ac:dyDescent="0.3">
      <c r="A609" s="10" t="s">
        <v>336</v>
      </c>
      <c r="B609" s="8"/>
      <c r="C609" s="8"/>
      <c r="D609" s="8">
        <f t="shared" si="9"/>
        <v>0</v>
      </c>
    </row>
    <row r="610" spans="1:4" ht="18" hidden="1" x14ac:dyDescent="0.3">
      <c r="A610" s="10" t="s">
        <v>287</v>
      </c>
      <c r="B610" s="8"/>
      <c r="C610" s="8"/>
      <c r="D610" s="8">
        <f t="shared" si="9"/>
        <v>0</v>
      </c>
    </row>
    <row r="611" spans="1:4" ht="18" hidden="1" x14ac:dyDescent="0.3">
      <c r="A611" s="18" t="s">
        <v>288</v>
      </c>
      <c r="B611" s="8"/>
      <c r="C611" s="8"/>
      <c r="D611" s="8">
        <f t="shared" si="9"/>
        <v>0</v>
      </c>
    </row>
    <row r="612" spans="1:4" ht="18" hidden="1" x14ac:dyDescent="0.3">
      <c r="A612" s="10" t="s">
        <v>289</v>
      </c>
      <c r="B612" s="8"/>
      <c r="C612" s="8"/>
      <c r="D612" s="8">
        <f t="shared" si="9"/>
        <v>0</v>
      </c>
    </row>
    <row r="613" spans="1:4" ht="18" hidden="1" x14ac:dyDescent="0.3">
      <c r="A613" s="10" t="s">
        <v>22</v>
      </c>
      <c r="B613" s="8"/>
      <c r="C613" s="8"/>
      <c r="D613" s="8">
        <f t="shared" si="9"/>
        <v>0</v>
      </c>
    </row>
    <row r="614" spans="1:4" ht="18" hidden="1" x14ac:dyDescent="0.3">
      <c r="A614" s="10" t="s">
        <v>23</v>
      </c>
      <c r="B614" s="8"/>
      <c r="C614" s="8"/>
      <c r="D614" s="8">
        <f t="shared" si="9"/>
        <v>0</v>
      </c>
    </row>
    <row r="615" spans="1:4" ht="18" hidden="1" x14ac:dyDescent="0.3">
      <c r="A615" s="10" t="s">
        <v>24</v>
      </c>
      <c r="B615" s="8"/>
      <c r="C615" s="8"/>
      <c r="D615" s="8">
        <f t="shared" si="9"/>
        <v>0</v>
      </c>
    </row>
    <row r="616" spans="1:4" ht="18" hidden="1" x14ac:dyDescent="0.3">
      <c r="A616" s="10" t="s">
        <v>25</v>
      </c>
      <c r="B616" s="8"/>
      <c r="C616" s="8"/>
      <c r="D616" s="8">
        <f t="shared" si="9"/>
        <v>0</v>
      </c>
    </row>
    <row r="617" spans="1:4" ht="18" hidden="1" x14ac:dyDescent="0.3">
      <c r="A617" s="10" t="s">
        <v>26</v>
      </c>
      <c r="B617" s="8"/>
      <c r="C617" s="8"/>
      <c r="D617" s="8">
        <f t="shared" si="9"/>
        <v>0</v>
      </c>
    </row>
    <row r="618" spans="1:4" ht="18" hidden="1" x14ac:dyDescent="0.3">
      <c r="A618" s="10" t="s">
        <v>45</v>
      </c>
      <c r="B618" s="8"/>
      <c r="C618" s="8"/>
      <c r="D618" s="8">
        <f t="shared" si="9"/>
        <v>0</v>
      </c>
    </row>
    <row r="619" spans="1:4" ht="18" hidden="1" x14ac:dyDescent="0.3">
      <c r="A619" s="10" t="s">
        <v>46</v>
      </c>
      <c r="B619" s="8"/>
      <c r="C619" s="8"/>
      <c r="D619" s="8">
        <f t="shared" si="9"/>
        <v>0</v>
      </c>
    </row>
    <row r="620" spans="1:4" ht="18" hidden="1" x14ac:dyDescent="0.3">
      <c r="A620" s="14" t="s">
        <v>47</v>
      </c>
      <c r="B620" s="8"/>
      <c r="C620" s="8"/>
      <c r="D620" s="8">
        <f t="shared" si="9"/>
        <v>0</v>
      </c>
    </row>
    <row r="621" spans="1:4" ht="18" hidden="1" x14ac:dyDescent="0.3">
      <c r="A621" s="10" t="s">
        <v>50</v>
      </c>
      <c r="B621" s="8"/>
      <c r="C621" s="8"/>
      <c r="D621" s="8">
        <f t="shared" si="9"/>
        <v>0</v>
      </c>
    </row>
    <row r="622" spans="1:4" ht="18" hidden="1" x14ac:dyDescent="0.3">
      <c r="A622" s="10" t="s">
        <v>51</v>
      </c>
      <c r="B622" s="8"/>
      <c r="C622" s="8"/>
      <c r="D622" s="8">
        <f t="shared" si="9"/>
        <v>0</v>
      </c>
    </row>
    <row r="623" spans="1:4" ht="18" hidden="1" x14ac:dyDescent="0.3">
      <c r="A623" s="30" t="s">
        <v>130</v>
      </c>
      <c r="B623" s="8"/>
      <c r="C623" s="8"/>
      <c r="D623" s="8">
        <f t="shared" si="9"/>
        <v>0</v>
      </c>
    </row>
    <row r="624" spans="1:4" ht="18" hidden="1" x14ac:dyDescent="0.3">
      <c r="A624" s="13" t="s">
        <v>131</v>
      </c>
      <c r="B624" s="17"/>
      <c r="C624" s="17"/>
      <c r="D624" s="8">
        <f t="shared" si="9"/>
        <v>0</v>
      </c>
    </row>
    <row r="625" spans="1:4" ht="18" hidden="1" x14ac:dyDescent="0.3">
      <c r="A625" s="10" t="s">
        <v>132</v>
      </c>
      <c r="B625" s="8"/>
      <c r="C625" s="8"/>
      <c r="D625" s="8">
        <f t="shared" si="9"/>
        <v>0</v>
      </c>
    </row>
    <row r="626" spans="1:4" ht="18" hidden="1" x14ac:dyDescent="0.3">
      <c r="A626" s="10" t="s">
        <v>133</v>
      </c>
      <c r="B626" s="8"/>
      <c r="C626" s="8"/>
      <c r="D626" s="8">
        <f t="shared" si="9"/>
        <v>0</v>
      </c>
    </row>
    <row r="627" spans="1:4" ht="18" hidden="1" x14ac:dyDescent="0.3">
      <c r="A627" s="10" t="s">
        <v>290</v>
      </c>
      <c r="B627" s="8"/>
      <c r="C627" s="8"/>
      <c r="D627" s="8">
        <f t="shared" si="9"/>
        <v>0</v>
      </c>
    </row>
    <row r="628" spans="1:4" ht="18" hidden="1" x14ac:dyDescent="0.3">
      <c r="A628" s="18" t="s">
        <v>291</v>
      </c>
      <c r="B628" s="8"/>
      <c r="C628" s="8"/>
      <c r="D628" s="8">
        <f t="shared" si="9"/>
        <v>0</v>
      </c>
    </row>
    <row r="629" spans="1:4" ht="18" hidden="1" x14ac:dyDescent="0.3">
      <c r="A629" s="10" t="s">
        <v>16</v>
      </c>
      <c r="B629" s="8"/>
      <c r="C629" s="8"/>
      <c r="D629" s="8">
        <f t="shared" si="9"/>
        <v>0</v>
      </c>
    </row>
    <row r="630" spans="1:4" ht="18" hidden="1" x14ac:dyDescent="0.3">
      <c r="A630" s="14" t="s">
        <v>17</v>
      </c>
      <c r="B630" s="8"/>
      <c r="C630" s="8"/>
      <c r="D630" s="8">
        <f t="shared" si="9"/>
        <v>0</v>
      </c>
    </row>
    <row r="631" spans="1:4" ht="18" hidden="1" x14ac:dyDescent="0.3">
      <c r="A631" s="12" t="s">
        <v>18</v>
      </c>
      <c r="B631" s="8"/>
      <c r="C631" s="8"/>
      <c r="D631" s="8">
        <f t="shared" si="9"/>
        <v>0</v>
      </c>
    </row>
    <row r="632" spans="1:4" ht="18" hidden="1" x14ac:dyDescent="0.3">
      <c r="A632" s="10" t="s">
        <v>157</v>
      </c>
      <c r="B632" s="8"/>
      <c r="C632" s="8"/>
      <c r="D632" s="8">
        <f t="shared" si="9"/>
        <v>0</v>
      </c>
    </row>
    <row r="633" spans="1:4" ht="18" hidden="1" x14ac:dyDescent="0.3">
      <c r="A633" s="10" t="s">
        <v>158</v>
      </c>
      <c r="B633" s="8"/>
      <c r="C633" s="8"/>
      <c r="D633" s="8">
        <f t="shared" si="9"/>
        <v>0</v>
      </c>
    </row>
    <row r="634" spans="1:4" ht="18" hidden="1" x14ac:dyDescent="0.3">
      <c r="A634" s="10" t="s">
        <v>159</v>
      </c>
      <c r="B634" s="8"/>
      <c r="C634" s="8"/>
      <c r="D634" s="8">
        <f t="shared" si="9"/>
        <v>0</v>
      </c>
    </row>
    <row r="635" spans="1:4" ht="18" hidden="1" x14ac:dyDescent="0.3">
      <c r="A635" s="10" t="s">
        <v>160</v>
      </c>
      <c r="B635" s="8"/>
      <c r="C635" s="8"/>
      <c r="D635" s="8">
        <f t="shared" si="9"/>
        <v>0</v>
      </c>
    </row>
    <row r="636" spans="1:4" ht="18" hidden="1" x14ac:dyDescent="0.3">
      <c r="A636" s="11" t="s">
        <v>7</v>
      </c>
      <c r="B636" s="8"/>
      <c r="C636" s="8"/>
      <c r="D636" s="8">
        <f t="shared" si="9"/>
        <v>0</v>
      </c>
    </row>
    <row r="637" spans="1:4" ht="18" hidden="1" x14ac:dyDescent="0.3">
      <c r="A637" s="6" t="s">
        <v>8</v>
      </c>
      <c r="B637" s="8"/>
      <c r="C637" s="8"/>
      <c r="D637" s="8">
        <f t="shared" si="9"/>
        <v>0</v>
      </c>
    </row>
    <row r="638" spans="1:4" ht="18" hidden="1" x14ac:dyDescent="0.3">
      <c r="A638" s="21" t="s">
        <v>63</v>
      </c>
      <c r="B638" s="8"/>
      <c r="C638" s="8"/>
      <c r="D638" s="8">
        <f t="shared" si="9"/>
        <v>0</v>
      </c>
    </row>
    <row r="639" spans="1:4" ht="18" hidden="1" x14ac:dyDescent="0.3">
      <c r="A639" s="13" t="s">
        <v>67</v>
      </c>
      <c r="B639" s="8"/>
      <c r="C639" s="8"/>
      <c r="D639" s="8">
        <f t="shared" si="9"/>
        <v>0</v>
      </c>
    </row>
    <row r="640" spans="1:4" ht="18" hidden="1" x14ac:dyDescent="0.3">
      <c r="A640" s="12" t="s">
        <v>102</v>
      </c>
      <c r="B640" s="8"/>
      <c r="C640" s="8"/>
      <c r="D640" s="8">
        <f t="shared" si="9"/>
        <v>0</v>
      </c>
    </row>
    <row r="641" spans="1:4" ht="18" hidden="1" x14ac:dyDescent="0.3">
      <c r="A641" s="27" t="s">
        <v>108</v>
      </c>
      <c r="B641" s="8"/>
      <c r="C641" s="8"/>
      <c r="D641" s="8">
        <f t="shared" si="9"/>
        <v>0</v>
      </c>
    </row>
    <row r="642" spans="1:4" ht="18" hidden="1" x14ac:dyDescent="0.3">
      <c r="A642" s="10" t="s">
        <v>119</v>
      </c>
      <c r="B642" s="8"/>
      <c r="C642" s="8"/>
      <c r="D642" s="8">
        <f t="shared" si="9"/>
        <v>0</v>
      </c>
    </row>
    <row r="643" spans="1:4" ht="18" hidden="1" x14ac:dyDescent="0.3">
      <c r="A643" s="12" t="s">
        <v>120</v>
      </c>
      <c r="B643" s="8"/>
      <c r="C643" s="8"/>
      <c r="D643" s="8">
        <f t="shared" si="9"/>
        <v>0</v>
      </c>
    </row>
    <row r="644" spans="1:4" ht="18" hidden="1" x14ac:dyDescent="0.3">
      <c r="A644" s="12" t="s">
        <v>121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10" t="s">
        <v>143</v>
      </c>
      <c r="B645" s="8"/>
      <c r="C645" s="8"/>
      <c r="D645" s="8">
        <f t="shared" si="10"/>
        <v>0</v>
      </c>
    </row>
    <row r="646" spans="1:4" ht="18" hidden="1" x14ac:dyDescent="0.3">
      <c r="A646" s="12" t="s">
        <v>175</v>
      </c>
      <c r="B646" s="8"/>
      <c r="C646" s="8"/>
      <c r="D646" s="8">
        <f t="shared" si="10"/>
        <v>0</v>
      </c>
    </row>
    <row r="647" spans="1:4" ht="18" hidden="1" x14ac:dyDescent="0.3">
      <c r="A647" s="18" t="s">
        <v>189</v>
      </c>
      <c r="B647" s="8"/>
      <c r="C647" s="8"/>
      <c r="D647" s="8">
        <f t="shared" si="10"/>
        <v>0</v>
      </c>
    </row>
    <row r="648" spans="1:4" ht="18" hidden="1" x14ac:dyDescent="0.3">
      <c r="A648" s="18" t="s">
        <v>190</v>
      </c>
      <c r="B648" s="8"/>
      <c r="C648" s="8"/>
      <c r="D648" s="8">
        <f t="shared" si="10"/>
        <v>0</v>
      </c>
    </row>
    <row r="649" spans="1:4" ht="18" hidden="1" x14ac:dyDescent="0.3">
      <c r="A649" s="18" t="s">
        <v>191</v>
      </c>
      <c r="B649" s="8"/>
      <c r="C649" s="8"/>
      <c r="D649" s="8">
        <f t="shared" si="10"/>
        <v>0</v>
      </c>
    </row>
    <row r="650" spans="1:4" ht="18" hidden="1" x14ac:dyDescent="0.3">
      <c r="A650" s="18" t="s">
        <v>192</v>
      </c>
      <c r="B650" s="8"/>
      <c r="C650" s="8"/>
      <c r="D650" s="8">
        <f t="shared" si="10"/>
        <v>0</v>
      </c>
    </row>
    <row r="651" spans="1:4" ht="18" hidden="1" x14ac:dyDescent="0.3">
      <c r="A651" s="10" t="s">
        <v>194</v>
      </c>
      <c r="B651" s="8"/>
      <c r="C651" s="8"/>
      <c r="D651" s="8">
        <f t="shared" si="10"/>
        <v>0</v>
      </c>
    </row>
    <row r="652" spans="1:4" ht="18" hidden="1" x14ac:dyDescent="0.3">
      <c r="A652" s="37" t="s">
        <v>195</v>
      </c>
      <c r="B652" s="8"/>
      <c r="C652" s="8"/>
      <c r="D652" s="8">
        <f t="shared" si="10"/>
        <v>0</v>
      </c>
    </row>
    <row r="653" spans="1:4" ht="18" hidden="1" x14ac:dyDescent="0.3">
      <c r="A653" s="37" t="s">
        <v>196</v>
      </c>
      <c r="B653" s="8"/>
      <c r="C653" s="8"/>
      <c r="D653" s="8">
        <f t="shared" si="10"/>
        <v>0</v>
      </c>
    </row>
    <row r="654" spans="1:4" ht="18" hidden="1" x14ac:dyDescent="0.3">
      <c r="A654" s="37" t="s">
        <v>197</v>
      </c>
      <c r="B654" s="8"/>
      <c r="C654" s="8"/>
      <c r="D654" s="8">
        <f t="shared" si="10"/>
        <v>0</v>
      </c>
    </row>
    <row r="655" spans="1:4" ht="18" hidden="1" x14ac:dyDescent="0.3">
      <c r="A655" s="37" t="s">
        <v>198</v>
      </c>
      <c r="B655" s="8"/>
      <c r="C655" s="8"/>
      <c r="D655" s="8">
        <f t="shared" si="10"/>
        <v>0</v>
      </c>
    </row>
    <row r="656" spans="1:4" ht="18" hidden="1" x14ac:dyDescent="0.3">
      <c r="A656" s="12" t="s">
        <v>226</v>
      </c>
      <c r="B656" s="8"/>
      <c r="C656" s="8"/>
      <c r="D656" s="8">
        <f t="shared" si="10"/>
        <v>0</v>
      </c>
    </row>
    <row r="657" spans="1:4" ht="18" hidden="1" x14ac:dyDescent="0.3">
      <c r="A657" s="23" t="s">
        <v>356</v>
      </c>
      <c r="B657" s="8"/>
      <c r="C657" s="8"/>
      <c r="D657" s="8">
        <f t="shared" si="10"/>
        <v>0</v>
      </c>
    </row>
    <row r="658" spans="1:4" ht="18" hidden="1" x14ac:dyDescent="0.3">
      <c r="A658" s="23" t="s">
        <v>357</v>
      </c>
      <c r="B658" s="8"/>
      <c r="C658" s="8"/>
      <c r="D658" s="8">
        <f t="shared" si="10"/>
        <v>0</v>
      </c>
    </row>
    <row r="659" spans="1:4" ht="18" hidden="1" x14ac:dyDescent="0.3">
      <c r="A659" s="12" t="s">
        <v>232</v>
      </c>
      <c r="B659" s="8"/>
      <c r="C659" s="8"/>
      <c r="D659" s="8">
        <f t="shared" si="10"/>
        <v>0</v>
      </c>
    </row>
    <row r="660" spans="1:4" ht="18" hidden="1" x14ac:dyDescent="0.3">
      <c r="A660" s="14" t="s">
        <v>239</v>
      </c>
      <c r="B660" s="8"/>
      <c r="C660" s="8"/>
      <c r="D660" s="8">
        <f t="shared" si="10"/>
        <v>0</v>
      </c>
    </row>
    <row r="661" spans="1:4" ht="18" hidden="1" x14ac:dyDescent="0.3">
      <c r="A661" s="14" t="s">
        <v>240</v>
      </c>
      <c r="B661" s="8"/>
      <c r="C661" s="8"/>
      <c r="D661" s="8">
        <f t="shared" si="10"/>
        <v>0</v>
      </c>
    </row>
    <row r="662" spans="1:4" ht="18" hidden="1" x14ac:dyDescent="0.3">
      <c r="A662" s="37" t="s">
        <v>241</v>
      </c>
      <c r="B662" s="8"/>
      <c r="C662" s="8"/>
      <c r="D662" s="8">
        <f t="shared" si="10"/>
        <v>0</v>
      </c>
    </row>
    <row r="663" spans="1:4" ht="18" hidden="1" x14ac:dyDescent="0.3">
      <c r="A663" s="37" t="s">
        <v>245</v>
      </c>
      <c r="B663" s="8"/>
      <c r="C663" s="8"/>
      <c r="D663" s="8">
        <f t="shared" si="10"/>
        <v>0</v>
      </c>
    </row>
    <row r="664" spans="1:4" ht="18" hidden="1" x14ac:dyDescent="0.3">
      <c r="A664" s="37" t="s">
        <v>277</v>
      </c>
      <c r="B664" s="8"/>
      <c r="C664" s="8"/>
      <c r="D664" s="8">
        <f t="shared" si="10"/>
        <v>0</v>
      </c>
    </row>
    <row r="665" spans="1:4" ht="18" hidden="1" x14ac:dyDescent="0.3">
      <c r="A665" s="37" t="s">
        <v>279</v>
      </c>
      <c r="B665" s="8"/>
      <c r="C665" s="8"/>
      <c r="D665" s="8">
        <f t="shared" si="10"/>
        <v>0</v>
      </c>
    </row>
    <row r="666" spans="1:4" ht="18" hidden="1" x14ac:dyDescent="0.3">
      <c r="A666" s="12" t="s">
        <v>360</v>
      </c>
      <c r="B666" s="8"/>
      <c r="C666" s="8"/>
      <c r="D666" s="8">
        <f t="shared" si="10"/>
        <v>0</v>
      </c>
    </row>
    <row r="667" spans="1:4" ht="18" hidden="1" x14ac:dyDescent="0.3">
      <c r="A667" s="37" t="s">
        <v>280</v>
      </c>
      <c r="B667" s="8"/>
      <c r="C667" s="8"/>
      <c r="D667" s="8">
        <f t="shared" si="10"/>
        <v>0</v>
      </c>
    </row>
    <row r="668" spans="1:4" ht="18" hidden="1" x14ac:dyDescent="0.3">
      <c r="A668" s="27" t="s">
        <v>292</v>
      </c>
      <c r="B668" s="8"/>
      <c r="C668" s="8"/>
      <c r="D668" s="8">
        <f t="shared" si="10"/>
        <v>0</v>
      </c>
    </row>
    <row r="669" spans="1:4" ht="18" hidden="1" x14ac:dyDescent="0.3">
      <c r="A669" s="10" t="s">
        <v>362</v>
      </c>
      <c r="B669" s="8"/>
      <c r="C669" s="8"/>
      <c r="D669" s="8">
        <f t="shared" si="10"/>
        <v>0</v>
      </c>
    </row>
    <row r="670" spans="1:4" ht="18" hidden="1" x14ac:dyDescent="0.3">
      <c r="A670" s="12" t="s">
        <v>303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3739</v>
      </c>
      <c r="C672" s="46"/>
      <c r="D672" s="46">
        <f>SUM(D345:D671)</f>
        <v>49901000</v>
      </c>
    </row>
    <row r="674" spans="4:4" x14ac:dyDescent="0.3">
      <c r="D674" s="49">
        <f>D672+D340</f>
        <v>83274500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15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D674"/>
  <sheetViews>
    <sheetView topLeftCell="A572" workbookViewId="0">
      <selection activeCell="C219" sqref="C219"/>
    </sheetView>
  </sheetViews>
  <sheetFormatPr defaultRowHeight="14.4" x14ac:dyDescent="0.3"/>
  <cols>
    <col min="1" max="1" width="37.88671875" customWidth="1"/>
    <col min="2" max="2" width="10.44140625" customWidth="1"/>
    <col min="3" max="3" width="12.77734375" customWidth="1"/>
    <col min="4" max="4" width="20.21875" customWidth="1"/>
  </cols>
  <sheetData>
    <row r="1" spans="1:4" x14ac:dyDescent="0.3">
      <c r="A1" s="1" t="s">
        <v>425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13" t="s">
        <v>68</v>
      </c>
      <c r="B3" s="8"/>
      <c r="C3" s="8"/>
      <c r="D3" s="8">
        <f>B3*C3</f>
        <v>0</v>
      </c>
    </row>
    <row r="4" spans="1:4" ht="18" hidden="1" x14ac:dyDescent="0.3">
      <c r="A4" s="12" t="s">
        <v>69</v>
      </c>
      <c r="B4" s="8"/>
      <c r="C4" s="8"/>
      <c r="D4" s="8">
        <f t="shared" ref="D4:D67" si="0">B4*C4</f>
        <v>0</v>
      </c>
    </row>
    <row r="5" spans="1:4" ht="18" hidden="1" x14ac:dyDescent="0.3">
      <c r="A5" s="13" t="s">
        <v>70</v>
      </c>
      <c r="B5" s="8"/>
      <c r="C5" s="8"/>
      <c r="D5" s="8">
        <f t="shared" si="0"/>
        <v>0</v>
      </c>
    </row>
    <row r="6" spans="1:4" ht="18" hidden="1" x14ac:dyDescent="0.3">
      <c r="A6" s="13" t="s">
        <v>71</v>
      </c>
      <c r="B6" s="8"/>
      <c r="C6" s="8"/>
      <c r="D6" s="8">
        <f t="shared" si="0"/>
        <v>0</v>
      </c>
    </row>
    <row r="7" spans="1:4" ht="18" hidden="1" x14ac:dyDescent="0.3">
      <c r="A7" s="13" t="s">
        <v>72</v>
      </c>
      <c r="B7" s="8"/>
      <c r="C7" s="8"/>
      <c r="D7" s="8">
        <f t="shared" si="0"/>
        <v>0</v>
      </c>
    </row>
    <row r="8" spans="1:4" ht="18" hidden="1" x14ac:dyDescent="0.3">
      <c r="A8" s="22" t="s">
        <v>73</v>
      </c>
      <c r="B8" s="8"/>
      <c r="C8" s="8"/>
      <c r="D8" s="8">
        <f t="shared" si="0"/>
        <v>0</v>
      </c>
    </row>
    <row r="9" spans="1:4" ht="18" hidden="1" x14ac:dyDescent="0.3">
      <c r="A9" s="10" t="s">
        <v>74</v>
      </c>
      <c r="B9" s="8"/>
      <c r="C9" s="8"/>
      <c r="D9" s="8">
        <f t="shared" si="0"/>
        <v>0</v>
      </c>
    </row>
    <row r="10" spans="1:4" ht="18" hidden="1" x14ac:dyDescent="0.3">
      <c r="A10" s="13" t="s">
        <v>82</v>
      </c>
      <c r="B10" s="17"/>
      <c r="C10" s="17"/>
      <c r="D10" s="8">
        <f t="shared" si="0"/>
        <v>0</v>
      </c>
    </row>
    <row r="11" spans="1:4" ht="18" hidden="1" x14ac:dyDescent="0.3">
      <c r="A11" s="13" t="s">
        <v>83</v>
      </c>
      <c r="B11" s="17"/>
      <c r="C11" s="17"/>
      <c r="D11" s="8">
        <f t="shared" si="0"/>
        <v>0</v>
      </c>
    </row>
    <row r="12" spans="1:4" ht="18" hidden="1" x14ac:dyDescent="0.3">
      <c r="A12" s="13" t="s">
        <v>84</v>
      </c>
      <c r="B12" s="17"/>
      <c r="C12" s="17"/>
      <c r="D12" s="8">
        <f t="shared" si="0"/>
        <v>0</v>
      </c>
    </row>
    <row r="13" spans="1:4" ht="18" hidden="1" x14ac:dyDescent="0.3">
      <c r="A13" s="10" t="s">
        <v>96</v>
      </c>
      <c r="B13" s="8"/>
      <c r="C13" s="8"/>
      <c r="D13" s="8">
        <f t="shared" si="0"/>
        <v>0</v>
      </c>
    </row>
    <row r="14" spans="1:4" ht="18" hidden="1" x14ac:dyDescent="0.3">
      <c r="A14" s="10" t="s">
        <v>97</v>
      </c>
      <c r="B14" s="8"/>
      <c r="C14" s="8"/>
      <c r="D14" s="8">
        <f t="shared" si="0"/>
        <v>0</v>
      </c>
    </row>
    <row r="15" spans="1:4" ht="18" hidden="1" x14ac:dyDescent="0.3">
      <c r="A15" s="10" t="s">
        <v>99</v>
      </c>
      <c r="B15" s="17"/>
      <c r="C15" s="17"/>
      <c r="D15" s="8">
        <f t="shared" si="0"/>
        <v>0</v>
      </c>
    </row>
    <row r="16" spans="1:4" ht="18" hidden="1" x14ac:dyDescent="0.3">
      <c r="A16" s="12" t="s">
        <v>100</v>
      </c>
      <c r="B16" s="8"/>
      <c r="C16" s="8"/>
      <c r="D16" s="8">
        <f t="shared" si="0"/>
        <v>0</v>
      </c>
    </row>
    <row r="17" spans="1:4" ht="18" hidden="1" x14ac:dyDescent="0.3">
      <c r="A17" s="23" t="s">
        <v>101</v>
      </c>
      <c r="B17" s="8"/>
      <c r="C17" s="8"/>
      <c r="D17" s="8">
        <f t="shared" si="0"/>
        <v>0</v>
      </c>
    </row>
    <row r="18" spans="1:4" ht="18" hidden="1" x14ac:dyDescent="0.3">
      <c r="A18" s="12" t="s">
        <v>117</v>
      </c>
      <c r="B18" s="8"/>
      <c r="C18" s="8"/>
      <c r="D18" s="8">
        <f t="shared" si="0"/>
        <v>0</v>
      </c>
    </row>
    <row r="19" spans="1:4" ht="18" hidden="1" x14ac:dyDescent="0.3">
      <c r="A19" s="23" t="s">
        <v>118</v>
      </c>
      <c r="B19" s="8"/>
      <c r="C19" s="8"/>
      <c r="D19" s="8">
        <f t="shared" si="0"/>
        <v>0</v>
      </c>
    </row>
    <row r="20" spans="1:4" ht="18" x14ac:dyDescent="0.3">
      <c r="A20" s="10" t="s">
        <v>110</v>
      </c>
      <c r="B20" s="8">
        <v>42</v>
      </c>
      <c r="C20" s="8">
        <v>21000</v>
      </c>
      <c r="D20" s="8">
        <f t="shared" si="0"/>
        <v>882000</v>
      </c>
    </row>
    <row r="21" spans="1:4" ht="18" hidden="1" x14ac:dyDescent="0.3">
      <c r="A21" s="10" t="s">
        <v>111</v>
      </c>
      <c r="B21" s="8"/>
      <c r="C21" s="8"/>
      <c r="D21" s="8">
        <f t="shared" si="0"/>
        <v>0</v>
      </c>
    </row>
    <row r="22" spans="1:4" ht="18" hidden="1" x14ac:dyDescent="0.3">
      <c r="A22" s="10" t="s">
        <v>112</v>
      </c>
      <c r="B22" s="8"/>
      <c r="C22" s="8"/>
      <c r="D22" s="8">
        <f t="shared" si="0"/>
        <v>0</v>
      </c>
    </row>
    <row r="23" spans="1:4" ht="18" hidden="1" x14ac:dyDescent="0.3">
      <c r="A23" s="12" t="s">
        <v>249</v>
      </c>
      <c r="B23" s="8"/>
      <c r="C23" s="8"/>
      <c r="D23" s="8">
        <f t="shared" si="0"/>
        <v>0</v>
      </c>
    </row>
    <row r="24" spans="1:4" ht="18" x14ac:dyDescent="0.3">
      <c r="A24" s="10" t="s">
        <v>250</v>
      </c>
      <c r="B24" s="8">
        <f>30+60+50+20</f>
        <v>160</v>
      </c>
      <c r="C24" s="8">
        <v>32000</v>
      </c>
      <c r="D24" s="8">
        <f t="shared" si="0"/>
        <v>5120000</v>
      </c>
    </row>
    <row r="25" spans="1:4" ht="18" hidden="1" x14ac:dyDescent="0.3">
      <c r="A25" s="10" t="s">
        <v>251</v>
      </c>
      <c r="B25" s="8"/>
      <c r="C25" s="8"/>
      <c r="D25" s="8">
        <f t="shared" si="0"/>
        <v>0</v>
      </c>
    </row>
    <row r="26" spans="1:4" ht="18" hidden="1" x14ac:dyDescent="0.3">
      <c r="A26" s="10" t="s">
        <v>252</v>
      </c>
      <c r="B26" s="8"/>
      <c r="C26" s="8"/>
      <c r="D26" s="8">
        <f t="shared" si="0"/>
        <v>0</v>
      </c>
    </row>
    <row r="27" spans="1:4" ht="18" hidden="1" x14ac:dyDescent="0.3">
      <c r="A27" s="10" t="s">
        <v>253</v>
      </c>
      <c r="B27" s="8"/>
      <c r="C27" s="8"/>
      <c r="D27" s="8">
        <f t="shared" si="0"/>
        <v>0</v>
      </c>
    </row>
    <row r="28" spans="1:4" ht="18" hidden="1" x14ac:dyDescent="0.3">
      <c r="A28" s="10" t="s">
        <v>254</v>
      </c>
      <c r="B28" s="8"/>
      <c r="C28" s="8"/>
      <c r="D28" s="8">
        <f t="shared" si="0"/>
        <v>0</v>
      </c>
    </row>
    <row r="29" spans="1:4" ht="18" x14ac:dyDescent="0.3">
      <c r="A29" s="10" t="s">
        <v>258</v>
      </c>
      <c r="B29" s="8">
        <f>50+10+8+60+6+20</f>
        <v>154</v>
      </c>
      <c r="C29" s="8">
        <v>38000</v>
      </c>
      <c r="D29" s="8">
        <f t="shared" si="0"/>
        <v>5852000</v>
      </c>
    </row>
    <row r="30" spans="1:4" ht="18" hidden="1" x14ac:dyDescent="0.3">
      <c r="A30" s="10" t="s">
        <v>259</v>
      </c>
      <c r="B30" s="8"/>
      <c r="C30" s="8"/>
      <c r="D30" s="8">
        <f t="shared" si="0"/>
        <v>0</v>
      </c>
    </row>
    <row r="31" spans="1:4" ht="18" hidden="1" x14ac:dyDescent="0.3">
      <c r="A31" s="10" t="s">
        <v>260</v>
      </c>
      <c r="B31" s="8"/>
      <c r="C31" s="8"/>
      <c r="D31" s="8">
        <f t="shared" si="0"/>
        <v>0</v>
      </c>
    </row>
    <row r="32" spans="1:4" ht="18" hidden="1" x14ac:dyDescent="0.3">
      <c r="A32" s="10" t="s">
        <v>261</v>
      </c>
      <c r="B32" s="8"/>
      <c r="C32" s="8"/>
      <c r="D32" s="8">
        <f t="shared" si="0"/>
        <v>0</v>
      </c>
    </row>
    <row r="33" spans="1:4" ht="18" x14ac:dyDescent="0.3">
      <c r="A33" s="10" t="s">
        <v>262</v>
      </c>
      <c r="B33" s="8">
        <f>60+5</f>
        <v>65</v>
      </c>
      <c r="C33" s="8">
        <v>20000</v>
      </c>
      <c r="D33" s="8">
        <f t="shared" si="0"/>
        <v>1300000</v>
      </c>
    </row>
    <row r="34" spans="1:4" ht="18" hidden="1" x14ac:dyDescent="0.3">
      <c r="A34" s="10" t="s">
        <v>263</v>
      </c>
      <c r="B34" s="8"/>
      <c r="C34" s="8"/>
      <c r="D34" s="8">
        <f t="shared" si="0"/>
        <v>0</v>
      </c>
    </row>
    <row r="35" spans="1:4" ht="18" hidden="1" x14ac:dyDescent="0.3">
      <c r="A35" s="10" t="s">
        <v>264</v>
      </c>
      <c r="B35" s="8"/>
      <c r="C35" s="8"/>
      <c r="D35" s="8">
        <f t="shared" si="0"/>
        <v>0</v>
      </c>
    </row>
    <row r="36" spans="1:4" ht="18" hidden="1" x14ac:dyDescent="0.3">
      <c r="A36" s="10" t="s">
        <v>212</v>
      </c>
      <c r="B36" s="8"/>
      <c r="C36" s="8"/>
      <c r="D36" s="8">
        <f t="shared" si="0"/>
        <v>0</v>
      </c>
    </row>
    <row r="37" spans="1:4" ht="18" hidden="1" x14ac:dyDescent="0.3">
      <c r="A37" s="40" t="s">
        <v>213</v>
      </c>
      <c r="B37" s="8"/>
      <c r="C37" s="8"/>
      <c r="D37" s="8">
        <f t="shared" si="0"/>
        <v>0</v>
      </c>
    </row>
    <row r="38" spans="1:4" ht="18" hidden="1" x14ac:dyDescent="0.3">
      <c r="A38" s="10" t="s">
        <v>214</v>
      </c>
      <c r="B38" s="8"/>
      <c r="C38" s="8"/>
      <c r="D38" s="8">
        <f t="shared" si="0"/>
        <v>0</v>
      </c>
    </row>
    <row r="39" spans="1:4" ht="18" x14ac:dyDescent="0.3">
      <c r="A39" s="10" t="s">
        <v>215</v>
      </c>
      <c r="B39" s="8">
        <v>200</v>
      </c>
      <c r="C39" s="8">
        <v>16000</v>
      </c>
      <c r="D39" s="8">
        <f t="shared" si="0"/>
        <v>3200000</v>
      </c>
    </row>
    <row r="40" spans="1:4" ht="18" hidden="1" x14ac:dyDescent="0.3">
      <c r="A40" s="10" t="s">
        <v>216</v>
      </c>
      <c r="B40" s="8"/>
      <c r="C40" s="8"/>
      <c r="D40" s="8">
        <f t="shared" si="0"/>
        <v>0</v>
      </c>
    </row>
    <row r="41" spans="1:4" ht="18" hidden="1" x14ac:dyDescent="0.3">
      <c r="A41" s="10" t="s">
        <v>217</v>
      </c>
      <c r="B41" s="8"/>
      <c r="C41" s="8"/>
      <c r="D41" s="8">
        <f t="shared" si="0"/>
        <v>0</v>
      </c>
    </row>
    <row r="42" spans="1:4" ht="18" hidden="1" x14ac:dyDescent="0.3">
      <c r="A42" s="10" t="s">
        <v>103</v>
      </c>
      <c r="B42" s="8"/>
      <c r="C42" s="8"/>
      <c r="D42" s="8">
        <f t="shared" si="0"/>
        <v>0</v>
      </c>
    </row>
    <row r="43" spans="1:4" ht="18" hidden="1" x14ac:dyDescent="0.3">
      <c r="A43" s="18" t="s">
        <v>104</v>
      </c>
      <c r="B43" s="8"/>
      <c r="C43" s="8"/>
      <c r="D43" s="8">
        <f t="shared" si="0"/>
        <v>0</v>
      </c>
    </row>
    <row r="44" spans="1:4" ht="18" hidden="1" x14ac:dyDescent="0.3">
      <c r="A44" s="12" t="s">
        <v>107</v>
      </c>
      <c r="B44" s="8"/>
      <c r="C44" s="8"/>
      <c r="D44" s="8">
        <f t="shared" si="0"/>
        <v>0</v>
      </c>
    </row>
    <row r="45" spans="1:4" ht="18" hidden="1" x14ac:dyDescent="0.3">
      <c r="A45" s="10" t="s">
        <v>109</v>
      </c>
      <c r="B45" s="8"/>
      <c r="C45" s="8"/>
      <c r="D45" s="8">
        <f t="shared" si="0"/>
        <v>0</v>
      </c>
    </row>
    <row r="46" spans="1:4" ht="18" hidden="1" x14ac:dyDescent="0.3">
      <c r="A46" s="10" t="s">
        <v>177</v>
      </c>
      <c r="B46" s="8"/>
      <c r="C46" s="8"/>
      <c r="D46" s="8">
        <f t="shared" si="0"/>
        <v>0</v>
      </c>
    </row>
    <row r="47" spans="1:4" ht="18" hidden="1" x14ac:dyDescent="0.3">
      <c r="A47" s="10" t="s">
        <v>135</v>
      </c>
      <c r="B47" s="8"/>
      <c r="C47" s="8"/>
      <c r="D47" s="8">
        <f t="shared" si="0"/>
        <v>0</v>
      </c>
    </row>
    <row r="48" spans="1:4" ht="18" hidden="1" x14ac:dyDescent="0.3">
      <c r="A48" s="20" t="s">
        <v>136</v>
      </c>
      <c r="B48" s="8"/>
      <c r="C48" s="8"/>
      <c r="D48" s="8">
        <f t="shared" si="0"/>
        <v>0</v>
      </c>
    </row>
    <row r="49" spans="1:4" ht="18" hidden="1" x14ac:dyDescent="0.3">
      <c r="A49" s="13" t="s">
        <v>193</v>
      </c>
      <c r="B49" s="8"/>
      <c r="C49" s="8"/>
      <c r="D49" s="8">
        <f t="shared" si="0"/>
        <v>0</v>
      </c>
    </row>
    <row r="50" spans="1:4" ht="18" hidden="1" x14ac:dyDescent="0.3">
      <c r="A50" s="10" t="s">
        <v>319</v>
      </c>
      <c r="B50" s="8"/>
      <c r="C50" s="8"/>
      <c r="D50" s="8">
        <f t="shared" si="0"/>
        <v>0</v>
      </c>
    </row>
    <row r="51" spans="1:4" ht="18" hidden="1" x14ac:dyDescent="0.3">
      <c r="A51" s="10" t="s">
        <v>11</v>
      </c>
      <c r="B51" s="8"/>
      <c r="C51" s="8"/>
      <c r="D51" s="8">
        <f t="shared" si="0"/>
        <v>0</v>
      </c>
    </row>
    <row r="52" spans="1:4" ht="18" hidden="1" x14ac:dyDescent="0.3">
      <c r="A52" s="10" t="s">
        <v>12</v>
      </c>
      <c r="B52" s="8"/>
      <c r="C52" s="8"/>
      <c r="D52" s="8">
        <f t="shared" si="0"/>
        <v>0</v>
      </c>
    </row>
    <row r="53" spans="1:4" ht="18" hidden="1" x14ac:dyDescent="0.3">
      <c r="A53" s="13" t="s">
        <v>13</v>
      </c>
      <c r="B53" s="8"/>
      <c r="C53" s="8"/>
      <c r="D53" s="8">
        <f t="shared" si="0"/>
        <v>0</v>
      </c>
    </row>
    <row r="54" spans="1:4" ht="18" x14ac:dyDescent="0.3">
      <c r="A54" s="10" t="s">
        <v>165</v>
      </c>
      <c r="B54" s="8">
        <v>2</v>
      </c>
      <c r="C54" s="8">
        <v>8000</v>
      </c>
      <c r="D54" s="8">
        <f t="shared" si="0"/>
        <v>16000</v>
      </c>
    </row>
    <row r="55" spans="1:4" ht="18" hidden="1" x14ac:dyDescent="0.3">
      <c r="A55" s="18" t="s">
        <v>166</v>
      </c>
      <c r="B55" s="8"/>
      <c r="C55" s="8"/>
      <c r="D55" s="8">
        <f t="shared" si="0"/>
        <v>0</v>
      </c>
    </row>
    <row r="56" spans="1:4" ht="18" hidden="1" x14ac:dyDescent="0.3">
      <c r="A56" s="10" t="s">
        <v>199</v>
      </c>
      <c r="B56" s="8"/>
      <c r="C56" s="8"/>
      <c r="D56" s="8">
        <f t="shared" si="0"/>
        <v>0</v>
      </c>
    </row>
    <row r="57" spans="1:4" ht="18" hidden="1" x14ac:dyDescent="0.3">
      <c r="A57" s="38" t="s">
        <v>200</v>
      </c>
      <c r="B57" s="8"/>
      <c r="C57" s="8"/>
      <c r="D57" s="8">
        <f t="shared" si="0"/>
        <v>0</v>
      </c>
    </row>
    <row r="58" spans="1:4" ht="18" hidden="1" x14ac:dyDescent="0.3">
      <c r="A58" s="10" t="s">
        <v>237</v>
      </c>
      <c r="B58" s="8"/>
      <c r="C58" s="8"/>
      <c r="D58" s="8">
        <f t="shared" si="0"/>
        <v>0</v>
      </c>
    </row>
    <row r="59" spans="1:4" ht="18" hidden="1" x14ac:dyDescent="0.3">
      <c r="A59" s="10" t="s">
        <v>238</v>
      </c>
      <c r="B59" s="8"/>
      <c r="C59" s="8"/>
      <c r="D59" s="8">
        <f t="shared" si="0"/>
        <v>0</v>
      </c>
    </row>
    <row r="60" spans="1:4" ht="18" x14ac:dyDescent="0.3">
      <c r="A60" s="10" t="s">
        <v>27</v>
      </c>
      <c r="B60" s="8">
        <v>40</v>
      </c>
      <c r="C60" s="8">
        <v>12500</v>
      </c>
      <c r="D60" s="8">
        <f t="shared" si="0"/>
        <v>500000</v>
      </c>
    </row>
    <row r="61" spans="1:4" ht="18" hidden="1" x14ac:dyDescent="0.3">
      <c r="A61" s="12" t="s">
        <v>412</v>
      </c>
      <c r="B61" s="17"/>
      <c r="C61" s="17"/>
      <c r="D61" s="8">
        <f t="shared" si="0"/>
        <v>0</v>
      </c>
    </row>
    <row r="62" spans="1:4" ht="18" x14ac:dyDescent="0.3">
      <c r="A62" s="45" t="s">
        <v>28</v>
      </c>
      <c r="B62" s="8">
        <v>8</v>
      </c>
      <c r="C62" s="8">
        <v>20000</v>
      </c>
      <c r="D62" s="8">
        <f t="shared" si="0"/>
        <v>160000</v>
      </c>
    </row>
    <row r="63" spans="1:4" ht="18" hidden="1" x14ac:dyDescent="0.3">
      <c r="A63" s="13" t="s">
        <v>35</v>
      </c>
      <c r="B63" s="8"/>
      <c r="C63" s="8"/>
      <c r="D63" s="8">
        <f t="shared" si="0"/>
        <v>0</v>
      </c>
    </row>
    <row r="64" spans="1:4" ht="18" x14ac:dyDescent="0.3">
      <c r="A64" s="10" t="s">
        <v>201</v>
      </c>
      <c r="B64" s="8">
        <f>50+65+1500</f>
        <v>1615</v>
      </c>
      <c r="C64" s="8">
        <v>18000</v>
      </c>
      <c r="D64" s="8">
        <f t="shared" si="0"/>
        <v>29070000</v>
      </c>
    </row>
    <row r="65" spans="1:4" ht="18" x14ac:dyDescent="0.3">
      <c r="A65" s="13" t="s">
        <v>202</v>
      </c>
      <c r="B65" s="8">
        <f>80+180+25</f>
        <v>285</v>
      </c>
      <c r="C65" s="8">
        <v>19000</v>
      </c>
      <c r="D65" s="8">
        <f t="shared" si="0"/>
        <v>5415000</v>
      </c>
    </row>
    <row r="66" spans="1:4" ht="18" hidden="1" x14ac:dyDescent="0.3">
      <c r="A66" s="10" t="s">
        <v>203</v>
      </c>
      <c r="B66" s="8"/>
      <c r="C66" s="8"/>
      <c r="D66" s="8">
        <f t="shared" si="0"/>
        <v>0</v>
      </c>
    </row>
    <row r="67" spans="1:4" ht="18" x14ac:dyDescent="0.3">
      <c r="A67" s="10" t="s">
        <v>274</v>
      </c>
      <c r="B67" s="8">
        <v>10</v>
      </c>
      <c r="C67" s="8">
        <v>16000</v>
      </c>
      <c r="D67" s="8">
        <f t="shared" si="0"/>
        <v>160000</v>
      </c>
    </row>
    <row r="68" spans="1:4" ht="18" hidden="1" x14ac:dyDescent="0.3">
      <c r="A68" s="10" t="s">
        <v>275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20</v>
      </c>
      <c r="B69" s="8"/>
      <c r="C69" s="8"/>
      <c r="D69" s="8">
        <f t="shared" si="1"/>
        <v>0</v>
      </c>
    </row>
    <row r="70" spans="1:4" ht="18" hidden="1" x14ac:dyDescent="0.3">
      <c r="A70" s="13" t="s">
        <v>21</v>
      </c>
      <c r="B70" s="8"/>
      <c r="C70" s="8"/>
      <c r="D70" s="8">
        <f t="shared" si="1"/>
        <v>0</v>
      </c>
    </row>
    <row r="71" spans="1:4" ht="18" hidden="1" x14ac:dyDescent="0.3">
      <c r="A71" s="10" t="s">
        <v>173</v>
      </c>
      <c r="B71" s="8"/>
      <c r="C71" s="8"/>
      <c r="D71" s="8">
        <f t="shared" si="1"/>
        <v>0</v>
      </c>
    </row>
    <row r="72" spans="1:4" ht="18" x14ac:dyDescent="0.3">
      <c r="A72" s="34" t="s">
        <v>174</v>
      </c>
      <c r="B72" s="36">
        <v>20</v>
      </c>
      <c r="C72" s="36">
        <v>16000</v>
      </c>
      <c r="D72" s="8">
        <f t="shared" si="1"/>
        <v>320000</v>
      </c>
    </row>
    <row r="73" spans="1:4" ht="18" hidden="1" x14ac:dyDescent="0.3">
      <c r="A73" s="6" t="s">
        <v>2</v>
      </c>
      <c r="B73" s="8"/>
      <c r="C73" s="8"/>
      <c r="D73" s="8">
        <f t="shared" si="1"/>
        <v>0</v>
      </c>
    </row>
    <row r="74" spans="1:4" ht="18" hidden="1" x14ac:dyDescent="0.3">
      <c r="A74" s="9" t="s">
        <v>3</v>
      </c>
      <c r="B74" s="8"/>
      <c r="C74" s="8"/>
      <c r="D74" s="8">
        <f t="shared" si="1"/>
        <v>0</v>
      </c>
    </row>
    <row r="75" spans="1:4" ht="18" hidden="1" x14ac:dyDescent="0.3">
      <c r="A75" s="6" t="s">
        <v>4</v>
      </c>
      <c r="B75" s="8"/>
      <c r="C75" s="8"/>
      <c r="D75" s="8">
        <f t="shared" si="1"/>
        <v>0</v>
      </c>
    </row>
    <row r="76" spans="1:4" ht="18" hidden="1" x14ac:dyDescent="0.3">
      <c r="A76" s="18" t="s">
        <v>61</v>
      </c>
      <c r="B76" s="8"/>
      <c r="C76" s="8"/>
      <c r="D76" s="8">
        <f t="shared" si="1"/>
        <v>0</v>
      </c>
    </row>
    <row r="77" spans="1:4" ht="18" hidden="1" x14ac:dyDescent="0.3">
      <c r="A77" s="14" t="s">
        <v>298</v>
      </c>
      <c r="B77" s="8"/>
      <c r="C77" s="8"/>
      <c r="D77" s="8">
        <f t="shared" si="1"/>
        <v>0</v>
      </c>
    </row>
    <row r="78" spans="1:4" ht="18" x14ac:dyDescent="0.3">
      <c r="A78" s="14" t="s">
        <v>309</v>
      </c>
      <c r="B78" s="8">
        <v>21</v>
      </c>
      <c r="C78" s="8">
        <v>28000</v>
      </c>
      <c r="D78" s="8">
        <f t="shared" si="1"/>
        <v>588000</v>
      </c>
    </row>
    <row r="79" spans="1:4" ht="18" hidden="1" x14ac:dyDescent="0.3">
      <c r="A79" s="14" t="s">
        <v>310</v>
      </c>
      <c r="B79" s="8"/>
      <c r="C79" s="8"/>
      <c r="D79" s="8">
        <f t="shared" si="1"/>
        <v>0</v>
      </c>
    </row>
    <row r="80" spans="1:4" ht="18" hidden="1" x14ac:dyDescent="0.3">
      <c r="A80" s="14" t="s">
        <v>312</v>
      </c>
      <c r="B80" s="8"/>
      <c r="C80" s="8"/>
      <c r="D80" s="8">
        <f t="shared" si="1"/>
        <v>0</v>
      </c>
    </row>
    <row r="81" spans="1:4" ht="18" hidden="1" x14ac:dyDescent="0.3">
      <c r="A81" s="10" t="s">
        <v>321</v>
      </c>
      <c r="B81" s="42"/>
      <c r="C81" s="42"/>
      <c r="D81" s="8">
        <f t="shared" si="1"/>
        <v>0</v>
      </c>
    </row>
    <row r="82" spans="1:4" ht="18" hidden="1" x14ac:dyDescent="0.3">
      <c r="A82" s="10" t="s">
        <v>85</v>
      </c>
      <c r="B82" s="8"/>
      <c r="C82" s="8"/>
      <c r="D82" s="8">
        <f t="shared" si="1"/>
        <v>0</v>
      </c>
    </row>
    <row r="83" spans="1:4" ht="18" hidden="1" x14ac:dyDescent="0.3">
      <c r="A83" s="10" t="s">
        <v>86</v>
      </c>
      <c r="B83" s="8"/>
      <c r="C83" s="8"/>
      <c r="D83" s="8">
        <f t="shared" si="1"/>
        <v>0</v>
      </c>
    </row>
    <row r="84" spans="1:4" ht="18" hidden="1" x14ac:dyDescent="0.3">
      <c r="A84" s="10" t="s">
        <v>87</v>
      </c>
      <c r="B84" s="8"/>
      <c r="C84" s="8"/>
      <c r="D84" s="8">
        <f t="shared" si="1"/>
        <v>0</v>
      </c>
    </row>
    <row r="85" spans="1:4" ht="18" hidden="1" x14ac:dyDescent="0.3">
      <c r="A85" s="10" t="s">
        <v>88</v>
      </c>
      <c r="B85" s="8"/>
      <c r="C85" s="8"/>
      <c r="D85" s="8">
        <f t="shared" si="1"/>
        <v>0</v>
      </c>
    </row>
    <row r="86" spans="1:4" ht="18" hidden="1" x14ac:dyDescent="0.3">
      <c r="A86" s="10" t="s">
        <v>89</v>
      </c>
      <c r="B86" s="8"/>
      <c r="C86" s="8"/>
      <c r="D86" s="8">
        <f t="shared" si="1"/>
        <v>0</v>
      </c>
    </row>
    <row r="87" spans="1:4" ht="18" hidden="1" x14ac:dyDescent="0.3">
      <c r="A87" s="10" t="s">
        <v>176</v>
      </c>
      <c r="B87" s="8"/>
      <c r="C87" s="8"/>
      <c r="D87" s="8">
        <f t="shared" si="1"/>
        <v>0</v>
      </c>
    </row>
    <row r="88" spans="1:4" ht="18" hidden="1" x14ac:dyDescent="0.3">
      <c r="A88" s="39" t="s">
        <v>236</v>
      </c>
      <c r="B88" s="8"/>
      <c r="C88" s="8"/>
      <c r="D88" s="8">
        <f t="shared" si="1"/>
        <v>0</v>
      </c>
    </row>
    <row r="89" spans="1:4" ht="18" hidden="1" x14ac:dyDescent="0.3">
      <c r="A89" s="10" t="s">
        <v>242</v>
      </c>
      <c r="B89" s="8"/>
      <c r="C89" s="8"/>
      <c r="D89" s="8">
        <f t="shared" si="1"/>
        <v>0</v>
      </c>
    </row>
    <row r="90" spans="1:4" ht="18" hidden="1" x14ac:dyDescent="0.3">
      <c r="A90" s="10" t="s">
        <v>243</v>
      </c>
      <c r="B90" s="8"/>
      <c r="C90" s="8"/>
      <c r="D90" s="8">
        <f t="shared" si="1"/>
        <v>0</v>
      </c>
    </row>
    <row r="91" spans="1:4" ht="18" hidden="1" x14ac:dyDescent="0.3">
      <c r="A91" s="10" t="s">
        <v>265</v>
      </c>
      <c r="B91" s="17"/>
      <c r="C91" s="17"/>
      <c r="D91" s="8">
        <f t="shared" si="1"/>
        <v>0</v>
      </c>
    </row>
    <row r="92" spans="1:4" ht="18" hidden="1" x14ac:dyDescent="0.3">
      <c r="A92" s="14" t="s">
        <v>266</v>
      </c>
      <c r="B92" s="8"/>
      <c r="C92" s="8"/>
      <c r="D92" s="8">
        <f t="shared" si="1"/>
        <v>0</v>
      </c>
    </row>
    <row r="93" spans="1:4" ht="18" hidden="1" x14ac:dyDescent="0.3">
      <c r="A93" s="13" t="s">
        <v>296</v>
      </c>
      <c r="B93" s="8"/>
      <c r="C93" s="8"/>
      <c r="D93" s="8">
        <f t="shared" si="1"/>
        <v>0</v>
      </c>
    </row>
    <row r="94" spans="1:4" ht="18" hidden="1" x14ac:dyDescent="0.3">
      <c r="A94" s="18" t="s">
        <v>297</v>
      </c>
      <c r="B94" s="8"/>
      <c r="C94" s="8"/>
      <c r="D94" s="8">
        <f t="shared" si="1"/>
        <v>0</v>
      </c>
    </row>
    <row r="95" spans="1:4" ht="18" hidden="1" x14ac:dyDescent="0.3">
      <c r="A95" s="10" t="s">
        <v>122</v>
      </c>
      <c r="B95" s="8"/>
      <c r="C95" s="8"/>
      <c r="D95" s="8">
        <f t="shared" si="1"/>
        <v>0</v>
      </c>
    </row>
    <row r="96" spans="1:4" ht="18" hidden="1" x14ac:dyDescent="0.3">
      <c r="A96" s="18" t="s">
        <v>42</v>
      </c>
      <c r="B96" s="8"/>
      <c r="C96" s="8"/>
      <c r="D96" s="8">
        <f t="shared" si="1"/>
        <v>0</v>
      </c>
    </row>
    <row r="97" spans="1:4" ht="18" hidden="1" x14ac:dyDescent="0.3">
      <c r="A97" s="10" t="s">
        <v>43</v>
      </c>
      <c r="B97" s="8"/>
      <c r="C97" s="8"/>
      <c r="D97" s="8">
        <f t="shared" si="1"/>
        <v>0</v>
      </c>
    </row>
    <row r="98" spans="1:4" ht="18" hidden="1" x14ac:dyDescent="0.3">
      <c r="A98" s="10" t="s">
        <v>44</v>
      </c>
      <c r="B98" s="8"/>
      <c r="C98" s="8"/>
      <c r="D98" s="8">
        <f t="shared" si="1"/>
        <v>0</v>
      </c>
    </row>
    <row r="99" spans="1:4" ht="18" hidden="1" x14ac:dyDescent="0.3">
      <c r="A99" s="18" t="s">
        <v>284</v>
      </c>
      <c r="B99" s="8"/>
      <c r="C99" s="8"/>
      <c r="D99" s="8">
        <f t="shared" si="1"/>
        <v>0</v>
      </c>
    </row>
    <row r="100" spans="1:4" ht="18" hidden="1" x14ac:dyDescent="0.3">
      <c r="A100" s="18" t="s">
        <v>285</v>
      </c>
      <c r="B100" s="8"/>
      <c r="C100" s="8"/>
      <c r="D100" s="8">
        <f t="shared" si="1"/>
        <v>0</v>
      </c>
    </row>
    <row r="101" spans="1:4" ht="18" hidden="1" x14ac:dyDescent="0.3">
      <c r="A101" s="18" t="s">
        <v>286</v>
      </c>
      <c r="B101" s="8"/>
      <c r="C101" s="8"/>
      <c r="D101" s="8">
        <f t="shared" si="1"/>
        <v>0</v>
      </c>
    </row>
    <row r="102" spans="1:4" ht="18" hidden="1" x14ac:dyDescent="0.3">
      <c r="A102" s="26" t="s">
        <v>141</v>
      </c>
      <c r="B102" s="17"/>
      <c r="C102" s="17"/>
      <c r="D102" s="8">
        <f t="shared" si="1"/>
        <v>0</v>
      </c>
    </row>
    <row r="103" spans="1:4" ht="18" hidden="1" x14ac:dyDescent="0.3">
      <c r="A103" s="26" t="s">
        <v>142</v>
      </c>
      <c r="B103" s="17"/>
      <c r="C103" s="17"/>
      <c r="D103" s="8">
        <f t="shared" si="1"/>
        <v>0</v>
      </c>
    </row>
    <row r="104" spans="1:4" ht="18" hidden="1" x14ac:dyDescent="0.3">
      <c r="A104" s="26" t="s">
        <v>144</v>
      </c>
      <c r="B104" s="17"/>
      <c r="C104" s="17"/>
      <c r="D104" s="8">
        <f t="shared" si="1"/>
        <v>0</v>
      </c>
    </row>
    <row r="105" spans="1:4" ht="18" hidden="1" x14ac:dyDescent="0.3">
      <c r="A105" s="10" t="s">
        <v>145</v>
      </c>
      <c r="B105" s="17"/>
      <c r="C105" s="17"/>
      <c r="D105" s="8">
        <f t="shared" si="1"/>
        <v>0</v>
      </c>
    </row>
    <row r="106" spans="1:4" ht="18" hidden="1" x14ac:dyDescent="0.3">
      <c r="A106" s="10" t="s">
        <v>146</v>
      </c>
      <c r="B106" s="17"/>
      <c r="C106" s="17"/>
      <c r="D106" s="8">
        <f t="shared" si="1"/>
        <v>0</v>
      </c>
    </row>
    <row r="107" spans="1:4" ht="18" hidden="1" x14ac:dyDescent="0.3">
      <c r="A107" s="10" t="s">
        <v>147</v>
      </c>
      <c r="B107" s="17"/>
      <c r="C107" s="17"/>
      <c r="D107" s="8">
        <f t="shared" si="1"/>
        <v>0</v>
      </c>
    </row>
    <row r="108" spans="1:4" ht="18" hidden="1" x14ac:dyDescent="0.3">
      <c r="A108" s="10" t="s">
        <v>149</v>
      </c>
      <c r="B108" s="17"/>
      <c r="C108" s="17"/>
      <c r="D108" s="8">
        <f t="shared" si="1"/>
        <v>0</v>
      </c>
    </row>
    <row r="109" spans="1:4" ht="18" hidden="1" x14ac:dyDescent="0.3">
      <c r="A109" s="10" t="s">
        <v>150</v>
      </c>
      <c r="B109" s="17"/>
      <c r="C109" s="17"/>
      <c r="D109" s="8">
        <f t="shared" si="1"/>
        <v>0</v>
      </c>
    </row>
    <row r="110" spans="1:4" ht="18" hidden="1" x14ac:dyDescent="0.3">
      <c r="A110" s="10" t="s">
        <v>151</v>
      </c>
      <c r="B110" s="17"/>
      <c r="C110" s="17"/>
      <c r="D110" s="8">
        <f t="shared" si="1"/>
        <v>0</v>
      </c>
    </row>
    <row r="111" spans="1:4" ht="18" hidden="1" x14ac:dyDescent="0.3">
      <c r="A111" s="10" t="s">
        <v>161</v>
      </c>
      <c r="B111" s="17"/>
      <c r="C111" s="17"/>
      <c r="D111" s="8">
        <f t="shared" si="1"/>
        <v>0</v>
      </c>
    </row>
    <row r="112" spans="1:4" ht="18" hidden="1" x14ac:dyDescent="0.3">
      <c r="A112" s="10" t="s">
        <v>162</v>
      </c>
      <c r="B112" s="17"/>
      <c r="C112" s="17"/>
      <c r="D112" s="8">
        <f t="shared" si="1"/>
        <v>0</v>
      </c>
    </row>
    <row r="113" spans="1:4" ht="18" hidden="1" x14ac:dyDescent="0.3">
      <c r="A113" s="10" t="s">
        <v>163</v>
      </c>
      <c r="B113" s="17"/>
      <c r="C113" s="17"/>
      <c r="D113" s="8">
        <f t="shared" si="1"/>
        <v>0</v>
      </c>
    </row>
    <row r="114" spans="1:4" ht="18" hidden="1" x14ac:dyDescent="0.3">
      <c r="A114" s="10" t="s">
        <v>15</v>
      </c>
      <c r="B114" s="8"/>
      <c r="C114" s="8"/>
      <c r="D114" s="8">
        <f t="shared" si="1"/>
        <v>0</v>
      </c>
    </row>
    <row r="115" spans="1:4" ht="18" hidden="1" x14ac:dyDescent="0.3">
      <c r="A115" s="13" t="s">
        <v>367</v>
      </c>
      <c r="B115" s="8"/>
      <c r="C115" s="8"/>
      <c r="D115" s="8">
        <f t="shared" si="1"/>
        <v>0</v>
      </c>
    </row>
    <row r="116" spans="1:4" ht="18" hidden="1" x14ac:dyDescent="0.3">
      <c r="A116" s="13" t="s">
        <v>52</v>
      </c>
      <c r="B116" s="8"/>
      <c r="C116" s="8"/>
      <c r="D116" s="8">
        <f t="shared" si="1"/>
        <v>0</v>
      </c>
    </row>
    <row r="117" spans="1:4" ht="18" x14ac:dyDescent="0.3">
      <c r="A117" s="10" t="s">
        <v>62</v>
      </c>
      <c r="B117" s="8">
        <f>30+40+60</f>
        <v>130</v>
      </c>
      <c r="C117" s="8">
        <v>12000</v>
      </c>
      <c r="D117" s="8">
        <f t="shared" si="1"/>
        <v>1560000</v>
      </c>
    </row>
    <row r="118" spans="1:4" ht="18" hidden="1" x14ac:dyDescent="0.3">
      <c r="A118" s="10" t="s">
        <v>75</v>
      </c>
      <c r="B118" s="8"/>
      <c r="C118" s="8"/>
      <c r="D118" s="8">
        <f t="shared" si="1"/>
        <v>0</v>
      </c>
    </row>
    <row r="119" spans="1:4" ht="18" hidden="1" x14ac:dyDescent="0.3">
      <c r="A119" s="10" t="s">
        <v>272</v>
      </c>
      <c r="B119" s="8"/>
      <c r="C119" s="8"/>
      <c r="D119" s="8">
        <f t="shared" si="1"/>
        <v>0</v>
      </c>
    </row>
    <row r="120" spans="1:4" ht="18" x14ac:dyDescent="0.3">
      <c r="A120" s="10" t="s">
        <v>19</v>
      </c>
      <c r="B120" s="8">
        <v>70</v>
      </c>
      <c r="C120" s="8">
        <v>14500</v>
      </c>
      <c r="D120" s="8">
        <f t="shared" si="1"/>
        <v>1015000</v>
      </c>
    </row>
    <row r="121" spans="1:4" ht="18" hidden="1" x14ac:dyDescent="0.3">
      <c r="A121" s="10" t="s">
        <v>40</v>
      </c>
      <c r="B121" s="8"/>
      <c r="C121" s="8"/>
      <c r="D121" s="8">
        <f t="shared" si="1"/>
        <v>0</v>
      </c>
    </row>
    <row r="122" spans="1:4" ht="18" hidden="1" x14ac:dyDescent="0.3">
      <c r="A122" s="12" t="s">
        <v>48</v>
      </c>
      <c r="B122" s="8"/>
      <c r="C122" s="8"/>
      <c r="D122" s="8">
        <f t="shared" si="1"/>
        <v>0</v>
      </c>
    </row>
    <row r="123" spans="1:4" ht="18" hidden="1" x14ac:dyDescent="0.3">
      <c r="A123" s="14" t="s">
        <v>49</v>
      </c>
      <c r="B123" s="8"/>
      <c r="C123" s="8"/>
      <c r="D123" s="8">
        <f t="shared" si="1"/>
        <v>0</v>
      </c>
    </row>
    <row r="124" spans="1:4" ht="18" hidden="1" x14ac:dyDescent="0.3">
      <c r="A124" s="11" t="s">
        <v>124</v>
      </c>
      <c r="B124" s="8"/>
      <c r="C124" s="8"/>
      <c r="D124" s="8">
        <f t="shared" si="1"/>
        <v>0</v>
      </c>
    </row>
    <row r="125" spans="1:4" ht="18" hidden="1" x14ac:dyDescent="0.3">
      <c r="A125" s="14" t="s">
        <v>125</v>
      </c>
      <c r="B125" s="8"/>
      <c r="C125" s="8"/>
      <c r="D125" s="8">
        <f t="shared" si="1"/>
        <v>0</v>
      </c>
    </row>
    <row r="126" spans="1:4" ht="18" hidden="1" x14ac:dyDescent="0.3">
      <c r="A126" s="13" t="s">
        <v>126</v>
      </c>
      <c r="B126" s="17"/>
      <c r="C126" s="17"/>
      <c r="D126" s="8">
        <f t="shared" si="1"/>
        <v>0</v>
      </c>
    </row>
    <row r="127" spans="1:4" ht="18" hidden="1" x14ac:dyDescent="0.3">
      <c r="A127" s="13" t="s">
        <v>127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128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129</v>
      </c>
      <c r="B129" s="29"/>
      <c r="C129" s="29"/>
      <c r="D129" s="8">
        <f t="shared" si="1"/>
        <v>0</v>
      </c>
    </row>
    <row r="130" spans="1:4" ht="18" hidden="1" x14ac:dyDescent="0.3">
      <c r="A130" s="10" t="s">
        <v>148</v>
      </c>
      <c r="B130" s="17"/>
      <c r="C130" s="17"/>
      <c r="D130" s="8">
        <f t="shared" si="1"/>
        <v>0</v>
      </c>
    </row>
    <row r="131" spans="1:4" ht="18" hidden="1" x14ac:dyDescent="0.3">
      <c r="A131" s="18" t="s">
        <v>218</v>
      </c>
      <c r="B131" s="8"/>
      <c r="C131" s="8"/>
      <c r="D131" s="8">
        <f t="shared" si="1"/>
        <v>0</v>
      </c>
    </row>
    <row r="132" spans="1:4" ht="18" hidden="1" x14ac:dyDescent="0.3">
      <c r="A132" s="18" t="s">
        <v>219</v>
      </c>
      <c r="B132" s="8"/>
      <c r="C132" s="8"/>
      <c r="D132" s="8">
        <f t="shared" ref="D132:D195" si="2">B132*C132</f>
        <v>0</v>
      </c>
    </row>
    <row r="133" spans="1:4" ht="18" x14ac:dyDescent="0.3">
      <c r="A133" s="18" t="s">
        <v>220</v>
      </c>
      <c r="B133" s="17">
        <v>0.2</v>
      </c>
      <c r="C133" s="8">
        <v>45000</v>
      </c>
      <c r="D133" s="8">
        <f t="shared" si="2"/>
        <v>9000</v>
      </c>
    </row>
    <row r="134" spans="1:4" ht="18" hidden="1" x14ac:dyDescent="0.3">
      <c r="A134" s="18" t="s">
        <v>221</v>
      </c>
      <c r="B134" s="8"/>
      <c r="C134" s="8"/>
      <c r="D134" s="8">
        <f t="shared" si="2"/>
        <v>0</v>
      </c>
    </row>
    <row r="135" spans="1:4" ht="18" hidden="1" x14ac:dyDescent="0.3">
      <c r="A135" s="10" t="s">
        <v>222</v>
      </c>
      <c r="B135" s="8"/>
      <c r="C135" s="8"/>
      <c r="D135" s="8">
        <f t="shared" si="2"/>
        <v>0</v>
      </c>
    </row>
    <row r="136" spans="1:4" ht="18" hidden="1" x14ac:dyDescent="0.3">
      <c r="A136" s="10" t="s">
        <v>223</v>
      </c>
      <c r="B136" s="8"/>
      <c r="C136" s="8"/>
      <c r="D136" s="8">
        <f t="shared" si="2"/>
        <v>0</v>
      </c>
    </row>
    <row r="137" spans="1:4" ht="18" hidden="1" x14ac:dyDescent="0.3">
      <c r="A137" s="18" t="s">
        <v>224</v>
      </c>
      <c r="B137" s="8"/>
      <c r="C137" s="8"/>
      <c r="D137" s="8">
        <f t="shared" si="2"/>
        <v>0</v>
      </c>
    </row>
    <row r="138" spans="1:4" ht="18" hidden="1" x14ac:dyDescent="0.3">
      <c r="A138" s="18" t="s">
        <v>225</v>
      </c>
      <c r="B138" s="8"/>
      <c r="C138" s="8"/>
      <c r="D138" s="8">
        <f t="shared" si="2"/>
        <v>0</v>
      </c>
    </row>
    <row r="139" spans="1:4" ht="18" hidden="1" x14ac:dyDescent="0.3">
      <c r="A139" s="10" t="s">
        <v>244</v>
      </c>
      <c r="B139" s="17"/>
      <c r="C139" s="17"/>
      <c r="D139" s="8">
        <f t="shared" si="2"/>
        <v>0</v>
      </c>
    </row>
    <row r="140" spans="1:4" ht="18" hidden="1" x14ac:dyDescent="0.3">
      <c r="A140" s="10" t="s">
        <v>246</v>
      </c>
      <c r="B140" s="17"/>
      <c r="C140" s="17"/>
      <c r="D140" s="8">
        <f t="shared" si="2"/>
        <v>0</v>
      </c>
    </row>
    <row r="141" spans="1:4" ht="18" hidden="1" x14ac:dyDescent="0.3">
      <c r="A141" s="13" t="s">
        <v>281</v>
      </c>
      <c r="B141" s="17"/>
      <c r="C141" s="17"/>
      <c r="D141" s="8">
        <f t="shared" si="2"/>
        <v>0</v>
      </c>
    </row>
    <row r="142" spans="1:4" ht="18" hidden="1" x14ac:dyDescent="0.3">
      <c r="A142" s="13" t="s">
        <v>282</v>
      </c>
      <c r="B142" s="8"/>
      <c r="C142" s="8"/>
      <c r="D142" s="8">
        <f t="shared" si="2"/>
        <v>0</v>
      </c>
    </row>
    <row r="143" spans="1:4" ht="18" x14ac:dyDescent="0.3">
      <c r="A143" s="10" t="s">
        <v>293</v>
      </c>
      <c r="B143" s="8">
        <v>2</v>
      </c>
      <c r="C143" s="8">
        <v>12000</v>
      </c>
      <c r="D143" s="8">
        <f t="shared" si="2"/>
        <v>24000</v>
      </c>
    </row>
    <row r="144" spans="1:4" ht="18" hidden="1" x14ac:dyDescent="0.3">
      <c r="A144" s="14" t="s">
        <v>294</v>
      </c>
      <c r="B144" s="8"/>
      <c r="C144" s="8"/>
      <c r="D144" s="8">
        <f t="shared" si="2"/>
        <v>0</v>
      </c>
    </row>
    <row r="145" spans="1:4" ht="18" hidden="1" x14ac:dyDescent="0.3">
      <c r="A145" s="13" t="s">
        <v>304</v>
      </c>
      <c r="B145" s="8"/>
      <c r="C145" s="8"/>
      <c r="D145" s="8">
        <f t="shared" si="2"/>
        <v>0</v>
      </c>
    </row>
    <row r="146" spans="1:4" ht="18" hidden="1" x14ac:dyDescent="0.3">
      <c r="A146" s="10" t="s">
        <v>204</v>
      </c>
      <c r="B146" s="8"/>
      <c r="C146" s="8"/>
      <c r="D146" s="8">
        <f t="shared" si="2"/>
        <v>0</v>
      </c>
    </row>
    <row r="147" spans="1:4" ht="18" hidden="1" x14ac:dyDescent="0.3">
      <c r="A147" s="39" t="s">
        <v>205</v>
      </c>
      <c r="B147" s="8"/>
      <c r="C147" s="8"/>
      <c r="D147" s="8">
        <f t="shared" si="2"/>
        <v>0</v>
      </c>
    </row>
    <row r="148" spans="1:4" ht="18" hidden="1" x14ac:dyDescent="0.3">
      <c r="A148" s="39" t="s">
        <v>206</v>
      </c>
      <c r="B148" s="8"/>
      <c r="C148" s="8"/>
      <c r="D148" s="8">
        <f t="shared" si="2"/>
        <v>0</v>
      </c>
    </row>
    <row r="149" spans="1:4" ht="18" hidden="1" x14ac:dyDescent="0.3">
      <c r="A149" s="10" t="s">
        <v>41</v>
      </c>
      <c r="B149" s="8"/>
      <c r="C149" s="8"/>
      <c r="D149" s="8">
        <f t="shared" si="2"/>
        <v>0</v>
      </c>
    </row>
    <row r="150" spans="1:4" ht="18" hidden="1" x14ac:dyDescent="0.3">
      <c r="A150" s="10" t="s">
        <v>278</v>
      </c>
      <c r="B150" s="8"/>
      <c r="C150" s="8"/>
      <c r="D150" s="8">
        <f t="shared" si="2"/>
        <v>0</v>
      </c>
    </row>
    <row r="151" spans="1:4" ht="18" hidden="1" x14ac:dyDescent="0.3">
      <c r="A151" s="10" t="s">
        <v>53</v>
      </c>
      <c r="B151" s="8"/>
      <c r="C151" s="8"/>
      <c r="D151" s="8">
        <f t="shared" si="2"/>
        <v>0</v>
      </c>
    </row>
    <row r="152" spans="1:4" ht="18" hidden="1" x14ac:dyDescent="0.3">
      <c r="A152" s="18" t="s">
        <v>54</v>
      </c>
      <c r="B152" s="8"/>
      <c r="C152" s="8"/>
      <c r="D152" s="8">
        <f t="shared" si="2"/>
        <v>0</v>
      </c>
    </row>
    <row r="153" spans="1:4" ht="18" x14ac:dyDescent="0.3">
      <c r="A153" s="18" t="s">
        <v>55</v>
      </c>
      <c r="B153" s="8">
        <f>30+15</f>
        <v>45</v>
      </c>
      <c r="C153" s="8">
        <v>14400</v>
      </c>
      <c r="D153" s="8">
        <f t="shared" si="2"/>
        <v>648000</v>
      </c>
    </row>
    <row r="154" spans="1:4" ht="18" hidden="1" x14ac:dyDescent="0.3">
      <c r="A154" s="18" t="s">
        <v>56</v>
      </c>
      <c r="B154" s="8"/>
      <c r="C154" s="8"/>
      <c r="D154" s="8">
        <f t="shared" si="2"/>
        <v>0</v>
      </c>
    </row>
    <row r="155" spans="1:4" ht="18" hidden="1" x14ac:dyDescent="0.3">
      <c r="A155" s="10" t="s">
        <v>57</v>
      </c>
      <c r="B155" s="8"/>
      <c r="C155" s="8"/>
      <c r="D155" s="8">
        <f t="shared" si="2"/>
        <v>0</v>
      </c>
    </row>
    <row r="156" spans="1:4" ht="18" hidden="1" x14ac:dyDescent="0.3">
      <c r="A156" s="12" t="s">
        <v>58</v>
      </c>
      <c r="B156" s="8"/>
      <c r="C156" s="8"/>
      <c r="D156" s="8">
        <f t="shared" si="2"/>
        <v>0</v>
      </c>
    </row>
    <row r="157" spans="1:4" ht="18" x14ac:dyDescent="0.3">
      <c r="A157" s="10" t="s">
        <v>59</v>
      </c>
      <c r="B157" s="8">
        <v>6</v>
      </c>
      <c r="C157" s="8">
        <v>48000</v>
      </c>
      <c r="D157" s="8">
        <f t="shared" si="2"/>
        <v>288000</v>
      </c>
    </row>
    <row r="158" spans="1:4" ht="18" hidden="1" x14ac:dyDescent="0.3">
      <c r="A158" s="31" t="s">
        <v>60</v>
      </c>
      <c r="B158" s="8"/>
      <c r="C158" s="8"/>
      <c r="D158" s="8">
        <f t="shared" si="2"/>
        <v>0</v>
      </c>
    </row>
    <row r="159" spans="1:4" ht="18" hidden="1" x14ac:dyDescent="0.3">
      <c r="A159" s="10" t="s">
        <v>64</v>
      </c>
      <c r="B159" s="8"/>
      <c r="C159" s="8"/>
      <c r="D159" s="8">
        <f t="shared" si="2"/>
        <v>0</v>
      </c>
    </row>
    <row r="160" spans="1:4" ht="18" hidden="1" x14ac:dyDescent="0.3">
      <c r="A160" s="10" t="s">
        <v>65</v>
      </c>
      <c r="B160" s="8"/>
      <c r="C160" s="8"/>
      <c r="D160" s="8">
        <f t="shared" si="2"/>
        <v>0</v>
      </c>
    </row>
    <row r="161" spans="1:4" ht="18" hidden="1" x14ac:dyDescent="0.3">
      <c r="A161" s="22" t="s">
        <v>66</v>
      </c>
      <c r="B161" s="8"/>
      <c r="C161" s="8"/>
      <c r="D161" s="8">
        <f t="shared" si="2"/>
        <v>0</v>
      </c>
    </row>
    <row r="162" spans="1:4" ht="18" x14ac:dyDescent="0.3">
      <c r="A162" s="10" t="s">
        <v>140</v>
      </c>
      <c r="B162" s="8">
        <v>16</v>
      </c>
      <c r="C162" s="8">
        <v>15000</v>
      </c>
      <c r="D162" s="8">
        <f t="shared" si="2"/>
        <v>240000</v>
      </c>
    </row>
    <row r="163" spans="1:4" ht="18" hidden="1" x14ac:dyDescent="0.3">
      <c r="A163" s="10" t="s">
        <v>152</v>
      </c>
      <c r="B163" s="8"/>
      <c r="C163" s="8"/>
      <c r="D163" s="8">
        <f t="shared" si="2"/>
        <v>0</v>
      </c>
    </row>
    <row r="164" spans="1:4" ht="18" x14ac:dyDescent="0.3">
      <c r="A164" s="10" t="s">
        <v>153</v>
      </c>
      <c r="B164" s="8">
        <v>3</v>
      </c>
      <c r="C164" s="8">
        <v>18000</v>
      </c>
      <c r="D164" s="8">
        <f t="shared" si="2"/>
        <v>54000</v>
      </c>
    </row>
    <row r="165" spans="1:4" ht="18" hidden="1" x14ac:dyDescent="0.3">
      <c r="A165" s="10" t="s">
        <v>154</v>
      </c>
      <c r="B165" s="8"/>
      <c r="C165" s="8"/>
      <c r="D165" s="8">
        <f t="shared" si="2"/>
        <v>0</v>
      </c>
    </row>
    <row r="166" spans="1:4" ht="18" hidden="1" x14ac:dyDescent="0.3">
      <c r="A166" s="10" t="s">
        <v>155</v>
      </c>
      <c r="B166" s="8"/>
      <c r="C166" s="8"/>
      <c r="D166" s="8">
        <f t="shared" si="2"/>
        <v>0</v>
      </c>
    </row>
    <row r="167" spans="1:4" ht="18" hidden="1" x14ac:dyDescent="0.3">
      <c r="A167" s="18" t="s">
        <v>156</v>
      </c>
      <c r="B167" s="8"/>
      <c r="C167" s="8"/>
      <c r="D167" s="8">
        <f t="shared" si="2"/>
        <v>0</v>
      </c>
    </row>
    <row r="168" spans="1:4" ht="18" hidden="1" x14ac:dyDescent="0.3">
      <c r="A168" s="10" t="s">
        <v>77</v>
      </c>
      <c r="B168" s="8"/>
      <c r="C168" s="8"/>
      <c r="D168" s="8">
        <f t="shared" si="2"/>
        <v>0</v>
      </c>
    </row>
    <row r="169" spans="1:4" ht="18" hidden="1" x14ac:dyDescent="0.3">
      <c r="A169" s="14" t="s">
        <v>78</v>
      </c>
      <c r="B169" s="8"/>
      <c r="C169" s="8"/>
      <c r="D169" s="8">
        <f t="shared" si="2"/>
        <v>0</v>
      </c>
    </row>
    <row r="170" spans="1:4" ht="18" hidden="1" x14ac:dyDescent="0.3">
      <c r="A170" s="10" t="s">
        <v>79</v>
      </c>
      <c r="B170" s="8"/>
      <c r="C170" s="8"/>
      <c r="D170" s="8">
        <f t="shared" si="2"/>
        <v>0</v>
      </c>
    </row>
    <row r="171" spans="1:4" ht="18" x14ac:dyDescent="0.3">
      <c r="A171" s="10" t="s">
        <v>80</v>
      </c>
      <c r="B171" s="8">
        <f>19+12+11+42</f>
        <v>84</v>
      </c>
      <c r="C171" s="8">
        <v>21000</v>
      </c>
      <c r="D171" s="8">
        <f t="shared" si="2"/>
        <v>1764000</v>
      </c>
    </row>
    <row r="172" spans="1:4" ht="18" hidden="1" x14ac:dyDescent="0.3">
      <c r="A172" s="10" t="s">
        <v>81</v>
      </c>
      <c r="B172" s="8"/>
      <c r="C172" s="8"/>
      <c r="D172" s="8">
        <f t="shared" si="2"/>
        <v>0</v>
      </c>
    </row>
    <row r="173" spans="1:4" ht="18" hidden="1" x14ac:dyDescent="0.3">
      <c r="A173" s="14" t="s">
        <v>95</v>
      </c>
      <c r="B173" s="8"/>
      <c r="C173" s="8"/>
      <c r="D173" s="8">
        <f t="shared" si="2"/>
        <v>0</v>
      </c>
    </row>
    <row r="174" spans="1:4" ht="18" hidden="1" x14ac:dyDescent="0.3">
      <c r="A174" s="10" t="s">
        <v>306</v>
      </c>
      <c r="B174" s="8"/>
      <c r="C174" s="8"/>
      <c r="D174" s="8">
        <f t="shared" si="2"/>
        <v>0</v>
      </c>
    </row>
    <row r="175" spans="1:4" ht="18" hidden="1" x14ac:dyDescent="0.3">
      <c r="A175" s="13" t="s">
        <v>320</v>
      </c>
      <c r="B175" s="8"/>
      <c r="C175" s="8"/>
      <c r="D175" s="8">
        <f t="shared" si="2"/>
        <v>0</v>
      </c>
    </row>
    <row r="176" spans="1:4" ht="18" hidden="1" x14ac:dyDescent="0.3">
      <c r="A176" s="10" t="s">
        <v>323</v>
      </c>
      <c r="B176" s="8"/>
      <c r="C176" s="8"/>
      <c r="D176" s="8">
        <f t="shared" si="2"/>
        <v>0</v>
      </c>
    </row>
    <row r="177" spans="1:4" ht="18" hidden="1" x14ac:dyDescent="0.3">
      <c r="A177" s="23" t="s">
        <v>92</v>
      </c>
      <c r="B177" s="8"/>
      <c r="C177" s="8"/>
      <c r="D177" s="8">
        <f t="shared" si="2"/>
        <v>0</v>
      </c>
    </row>
    <row r="178" spans="1:4" ht="18" hidden="1" x14ac:dyDescent="0.3">
      <c r="A178" s="23" t="s">
        <v>93</v>
      </c>
      <c r="B178" s="8"/>
      <c r="C178" s="8"/>
      <c r="D178" s="8">
        <f t="shared" si="2"/>
        <v>0</v>
      </c>
    </row>
    <row r="179" spans="1:4" ht="18" hidden="1" x14ac:dyDescent="0.3">
      <c r="A179" s="12" t="s">
        <v>94</v>
      </c>
      <c r="B179" s="8"/>
      <c r="C179" s="8"/>
      <c r="D179" s="8">
        <f t="shared" si="2"/>
        <v>0</v>
      </c>
    </row>
    <row r="180" spans="1:4" ht="18" hidden="1" x14ac:dyDescent="0.3">
      <c r="A180" s="13" t="s">
        <v>181</v>
      </c>
      <c r="B180" s="8"/>
      <c r="C180" s="8"/>
      <c r="D180" s="8">
        <f t="shared" si="2"/>
        <v>0</v>
      </c>
    </row>
    <row r="181" spans="1:4" ht="18" hidden="1" x14ac:dyDescent="0.3">
      <c r="A181" s="13" t="s">
        <v>182</v>
      </c>
      <c r="B181" s="8"/>
      <c r="C181" s="8"/>
      <c r="D181" s="8">
        <f t="shared" si="2"/>
        <v>0</v>
      </c>
    </row>
    <row r="182" spans="1:4" ht="18" x14ac:dyDescent="0.3">
      <c r="A182" s="13" t="s">
        <v>183</v>
      </c>
      <c r="B182" s="8">
        <v>150</v>
      </c>
      <c r="C182" s="8">
        <v>7700</v>
      </c>
      <c r="D182" s="8">
        <f t="shared" si="2"/>
        <v>1155000</v>
      </c>
    </row>
    <row r="183" spans="1:4" ht="18" hidden="1" x14ac:dyDescent="0.3">
      <c r="A183" s="10" t="s">
        <v>184</v>
      </c>
      <c r="B183" s="8"/>
      <c r="C183" s="8"/>
      <c r="D183" s="8">
        <f t="shared" si="2"/>
        <v>0</v>
      </c>
    </row>
    <row r="184" spans="1:4" ht="18" hidden="1" x14ac:dyDescent="0.3">
      <c r="A184" s="13" t="s">
        <v>185</v>
      </c>
      <c r="B184" s="8"/>
      <c r="C184" s="8"/>
      <c r="D184" s="8">
        <f t="shared" si="2"/>
        <v>0</v>
      </c>
    </row>
    <row r="185" spans="1:4" ht="18" x14ac:dyDescent="0.3">
      <c r="A185" s="13" t="s">
        <v>186</v>
      </c>
      <c r="B185" s="8">
        <v>15</v>
      </c>
      <c r="C185" s="8">
        <v>20000</v>
      </c>
      <c r="D185" s="8">
        <f t="shared" si="2"/>
        <v>300000</v>
      </c>
    </row>
    <row r="186" spans="1:4" ht="18" hidden="1" x14ac:dyDescent="0.3">
      <c r="A186" s="13" t="s">
        <v>187</v>
      </c>
      <c r="B186" s="8"/>
      <c r="C186" s="8"/>
      <c r="D186" s="8">
        <f t="shared" si="2"/>
        <v>0</v>
      </c>
    </row>
    <row r="187" spans="1:4" ht="18" hidden="1" x14ac:dyDescent="0.3">
      <c r="A187" s="10" t="s">
        <v>188</v>
      </c>
      <c r="B187" s="8"/>
      <c r="C187" s="8"/>
      <c r="D187" s="8">
        <f t="shared" si="2"/>
        <v>0</v>
      </c>
    </row>
    <row r="188" spans="1:4" ht="18" hidden="1" x14ac:dyDescent="0.3">
      <c r="A188" s="10" t="s">
        <v>210</v>
      </c>
      <c r="B188" s="8"/>
      <c r="C188" s="8"/>
      <c r="D188" s="8">
        <f t="shared" si="2"/>
        <v>0</v>
      </c>
    </row>
    <row r="189" spans="1:4" ht="18" hidden="1" x14ac:dyDescent="0.3">
      <c r="A189" s="10" t="s">
        <v>211</v>
      </c>
      <c r="B189" s="8"/>
      <c r="C189" s="8"/>
      <c r="D189" s="8">
        <f t="shared" si="2"/>
        <v>0</v>
      </c>
    </row>
    <row r="190" spans="1:4" ht="18" hidden="1" x14ac:dyDescent="0.3">
      <c r="A190" s="10" t="s">
        <v>105</v>
      </c>
      <c r="B190" s="8"/>
      <c r="C190" s="8"/>
      <c r="D190" s="8">
        <f t="shared" si="2"/>
        <v>0</v>
      </c>
    </row>
    <row r="191" spans="1:4" ht="18" hidden="1" x14ac:dyDescent="0.3">
      <c r="A191" s="10" t="s">
        <v>106</v>
      </c>
      <c r="B191" s="8"/>
      <c r="C191" s="8"/>
      <c r="D191" s="8">
        <f t="shared" si="2"/>
        <v>0</v>
      </c>
    </row>
    <row r="192" spans="1:4" ht="18" x14ac:dyDescent="0.3">
      <c r="A192" s="13" t="s">
        <v>14</v>
      </c>
      <c r="B192" s="8">
        <v>3</v>
      </c>
      <c r="C192" s="8">
        <v>18000</v>
      </c>
      <c r="D192" s="8">
        <f t="shared" si="2"/>
        <v>54000</v>
      </c>
    </row>
    <row r="193" spans="1:4" ht="18" hidden="1" x14ac:dyDescent="0.3">
      <c r="A193" s="12" t="s">
        <v>98</v>
      </c>
      <c r="B193" s="8"/>
      <c r="C193" s="8"/>
      <c r="D193" s="8">
        <f t="shared" si="2"/>
        <v>0</v>
      </c>
    </row>
    <row r="194" spans="1:4" ht="18" hidden="1" x14ac:dyDescent="0.3">
      <c r="A194" s="10" t="s">
        <v>113</v>
      </c>
      <c r="B194" s="8"/>
      <c r="C194" s="8"/>
      <c r="D194" s="8">
        <f t="shared" si="2"/>
        <v>0</v>
      </c>
    </row>
    <row r="195" spans="1:4" ht="18" hidden="1" x14ac:dyDescent="0.3">
      <c r="A195" s="10" t="s">
        <v>114</v>
      </c>
      <c r="B195" s="8"/>
      <c r="C195" s="8"/>
      <c r="D195" s="8">
        <f t="shared" si="2"/>
        <v>0</v>
      </c>
    </row>
    <row r="196" spans="1:4" ht="18" hidden="1" x14ac:dyDescent="0.3">
      <c r="A196" s="10" t="s">
        <v>115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10" t="s">
        <v>116</v>
      </c>
      <c r="B197" s="8"/>
      <c r="C197" s="8"/>
      <c r="D197" s="8">
        <f t="shared" si="3"/>
        <v>0</v>
      </c>
    </row>
    <row r="198" spans="1:4" ht="18" hidden="1" x14ac:dyDescent="0.3">
      <c r="A198" s="10" t="s">
        <v>123</v>
      </c>
      <c r="B198" s="8"/>
      <c r="C198" s="8"/>
      <c r="D198" s="8">
        <f t="shared" si="3"/>
        <v>0</v>
      </c>
    </row>
    <row r="199" spans="1:4" ht="18" hidden="1" x14ac:dyDescent="0.3">
      <c r="A199" s="10" t="s">
        <v>134</v>
      </c>
      <c r="B199" s="8"/>
      <c r="C199" s="8"/>
      <c r="D199" s="8">
        <f t="shared" si="3"/>
        <v>0</v>
      </c>
    </row>
    <row r="200" spans="1:4" ht="18" hidden="1" x14ac:dyDescent="0.3">
      <c r="A200" s="13" t="s">
        <v>137</v>
      </c>
      <c r="B200" s="8"/>
      <c r="C200" s="8"/>
      <c r="D200" s="8">
        <f t="shared" si="3"/>
        <v>0</v>
      </c>
    </row>
    <row r="201" spans="1:4" ht="18" hidden="1" x14ac:dyDescent="0.3">
      <c r="A201" s="13" t="s">
        <v>138</v>
      </c>
      <c r="B201" s="8"/>
      <c r="C201" s="8"/>
      <c r="D201" s="8">
        <f t="shared" si="3"/>
        <v>0</v>
      </c>
    </row>
    <row r="202" spans="1:4" ht="18" hidden="1" x14ac:dyDescent="0.3">
      <c r="A202" s="10" t="s">
        <v>139</v>
      </c>
      <c r="B202" s="8"/>
      <c r="C202" s="8"/>
      <c r="D202" s="8">
        <f t="shared" si="3"/>
        <v>0</v>
      </c>
    </row>
    <row r="203" spans="1:4" ht="18" hidden="1" x14ac:dyDescent="0.3">
      <c r="A203" s="10" t="s">
        <v>207</v>
      </c>
      <c r="B203" s="8"/>
      <c r="C203" s="8"/>
      <c r="D203" s="8">
        <f t="shared" si="3"/>
        <v>0</v>
      </c>
    </row>
    <row r="204" spans="1:4" ht="18" hidden="1" x14ac:dyDescent="0.3">
      <c r="A204" s="12" t="s">
        <v>208</v>
      </c>
      <c r="B204" s="8"/>
      <c r="C204" s="8"/>
      <c r="D204" s="8">
        <f t="shared" si="3"/>
        <v>0</v>
      </c>
    </row>
    <row r="205" spans="1:4" ht="18" hidden="1" x14ac:dyDescent="0.3">
      <c r="A205" s="10" t="s">
        <v>209</v>
      </c>
      <c r="B205" s="8"/>
      <c r="C205" s="8"/>
      <c r="D205" s="8">
        <f t="shared" si="3"/>
        <v>0</v>
      </c>
    </row>
    <row r="206" spans="1:4" ht="18" hidden="1" x14ac:dyDescent="0.3">
      <c r="A206" s="12" t="s">
        <v>230</v>
      </c>
      <c r="B206" s="8"/>
      <c r="C206" s="8"/>
      <c r="D206" s="8">
        <f t="shared" si="3"/>
        <v>0</v>
      </c>
    </row>
    <row r="207" spans="1:4" ht="18" hidden="1" x14ac:dyDescent="0.3">
      <c r="A207" s="10" t="s">
        <v>247</v>
      </c>
      <c r="B207" s="8"/>
      <c r="C207" s="8"/>
      <c r="D207" s="8">
        <f t="shared" si="3"/>
        <v>0</v>
      </c>
    </row>
    <row r="208" spans="1:4" ht="18" hidden="1" x14ac:dyDescent="0.3">
      <c r="A208" s="12" t="s">
        <v>248</v>
      </c>
      <c r="B208" s="8"/>
      <c r="C208" s="8"/>
      <c r="D208" s="8">
        <f t="shared" si="3"/>
        <v>0</v>
      </c>
    </row>
    <row r="209" spans="1:4" ht="18" hidden="1" x14ac:dyDescent="0.3">
      <c r="A209" s="10" t="s">
        <v>267</v>
      </c>
      <c r="B209" s="8"/>
      <c r="C209" s="8"/>
      <c r="D209" s="8">
        <f t="shared" si="3"/>
        <v>0</v>
      </c>
    </row>
    <row r="210" spans="1:4" ht="18" hidden="1" x14ac:dyDescent="0.3">
      <c r="A210" s="10" t="s">
        <v>271</v>
      </c>
      <c r="B210" s="8"/>
      <c r="C210" s="8"/>
      <c r="D210" s="8">
        <f t="shared" si="3"/>
        <v>0</v>
      </c>
    </row>
    <row r="211" spans="1:4" ht="18" hidden="1" x14ac:dyDescent="0.3">
      <c r="A211" s="12" t="s">
        <v>283</v>
      </c>
      <c r="B211" s="8"/>
      <c r="C211" s="8"/>
      <c r="D211" s="8">
        <f t="shared" si="3"/>
        <v>0</v>
      </c>
    </row>
    <row r="212" spans="1:4" ht="18" hidden="1" x14ac:dyDescent="0.3">
      <c r="A212" s="10" t="s">
        <v>299</v>
      </c>
      <c r="B212" s="8"/>
      <c r="C212" s="8"/>
      <c r="D212" s="8">
        <f t="shared" si="3"/>
        <v>0</v>
      </c>
    </row>
    <row r="213" spans="1:4" ht="18" hidden="1" x14ac:dyDescent="0.3">
      <c r="A213" s="18" t="s">
        <v>300</v>
      </c>
      <c r="B213" s="8"/>
      <c r="C213" s="8"/>
      <c r="D213" s="8">
        <f t="shared" si="3"/>
        <v>0</v>
      </c>
    </row>
    <row r="214" spans="1:4" ht="18" hidden="1" x14ac:dyDescent="0.3">
      <c r="A214" s="10" t="s">
        <v>287</v>
      </c>
      <c r="B214" s="8"/>
      <c r="C214" s="8"/>
      <c r="D214" s="8">
        <f t="shared" si="3"/>
        <v>0</v>
      </c>
    </row>
    <row r="215" spans="1:4" ht="18" hidden="1" x14ac:dyDescent="0.3">
      <c r="A215" s="18" t="s">
        <v>288</v>
      </c>
      <c r="B215" s="8"/>
      <c r="C215" s="8"/>
      <c r="D215" s="8">
        <f t="shared" si="3"/>
        <v>0</v>
      </c>
    </row>
    <row r="216" spans="1:4" ht="18" hidden="1" x14ac:dyDescent="0.3">
      <c r="A216" s="10" t="s">
        <v>289</v>
      </c>
      <c r="B216" s="8"/>
      <c r="C216" s="8"/>
      <c r="D216" s="8">
        <f t="shared" si="3"/>
        <v>0</v>
      </c>
    </row>
    <row r="217" spans="1:4" ht="18" x14ac:dyDescent="0.3">
      <c r="A217" s="10" t="s">
        <v>22</v>
      </c>
      <c r="B217" s="17">
        <v>3.5</v>
      </c>
      <c r="C217" s="8">
        <v>12000</v>
      </c>
      <c r="D217" s="8">
        <f t="shared" si="3"/>
        <v>42000</v>
      </c>
    </row>
    <row r="218" spans="1:4" ht="18" hidden="1" x14ac:dyDescent="0.3">
      <c r="A218" s="10" t="s">
        <v>23</v>
      </c>
      <c r="B218" s="8"/>
      <c r="C218" s="8"/>
      <c r="D218" s="8">
        <f t="shared" si="3"/>
        <v>0</v>
      </c>
    </row>
    <row r="219" spans="1:4" ht="18" x14ac:dyDescent="0.3">
      <c r="A219" s="10" t="s">
        <v>24</v>
      </c>
      <c r="B219" s="8">
        <f>15+80+10+20+20+45</f>
        <v>190</v>
      </c>
      <c r="C219" s="8">
        <v>11500</v>
      </c>
      <c r="D219" s="8">
        <f t="shared" si="3"/>
        <v>2185000</v>
      </c>
    </row>
    <row r="220" spans="1:4" ht="18" hidden="1" x14ac:dyDescent="0.3">
      <c r="A220" s="10" t="s">
        <v>25</v>
      </c>
      <c r="B220" s="8"/>
      <c r="C220" s="8"/>
      <c r="D220" s="8">
        <f t="shared" si="3"/>
        <v>0</v>
      </c>
    </row>
    <row r="221" spans="1:4" ht="18" hidden="1" x14ac:dyDescent="0.3">
      <c r="A221" s="10" t="s">
        <v>26</v>
      </c>
      <c r="B221" s="8"/>
      <c r="C221" s="8"/>
      <c r="D221" s="8">
        <f t="shared" si="3"/>
        <v>0</v>
      </c>
    </row>
    <row r="222" spans="1:4" ht="18" hidden="1" x14ac:dyDescent="0.3">
      <c r="A222" s="10" t="s">
        <v>45</v>
      </c>
      <c r="B222" s="8"/>
      <c r="C222" s="8"/>
      <c r="D222" s="8">
        <f t="shared" si="3"/>
        <v>0</v>
      </c>
    </row>
    <row r="223" spans="1:4" ht="18" hidden="1" x14ac:dyDescent="0.3">
      <c r="A223" s="10" t="s">
        <v>46</v>
      </c>
      <c r="B223" s="8"/>
      <c r="C223" s="8"/>
      <c r="D223" s="8">
        <f t="shared" si="3"/>
        <v>0</v>
      </c>
    </row>
    <row r="224" spans="1:4" ht="18" hidden="1" x14ac:dyDescent="0.3">
      <c r="A224" s="14" t="s">
        <v>47</v>
      </c>
      <c r="B224" s="8"/>
      <c r="C224" s="8"/>
      <c r="D224" s="8">
        <f t="shared" si="3"/>
        <v>0</v>
      </c>
    </row>
    <row r="225" spans="1:4" ht="18" hidden="1" x14ac:dyDescent="0.3">
      <c r="A225" s="10" t="s">
        <v>50</v>
      </c>
      <c r="B225" s="8"/>
      <c r="C225" s="8"/>
      <c r="D225" s="8">
        <f t="shared" si="3"/>
        <v>0</v>
      </c>
    </row>
    <row r="226" spans="1:4" ht="18" hidden="1" x14ac:dyDescent="0.3">
      <c r="A226" s="10" t="s">
        <v>51</v>
      </c>
      <c r="B226" s="8"/>
      <c r="C226" s="8"/>
      <c r="D226" s="8">
        <f t="shared" si="3"/>
        <v>0</v>
      </c>
    </row>
    <row r="227" spans="1:4" ht="18" x14ac:dyDescent="0.3">
      <c r="A227" s="10" t="s">
        <v>90</v>
      </c>
      <c r="B227" s="8">
        <v>26</v>
      </c>
      <c r="C227" s="8">
        <v>9000</v>
      </c>
      <c r="D227" s="8">
        <f t="shared" si="3"/>
        <v>234000</v>
      </c>
    </row>
    <row r="228" spans="1:4" ht="18" hidden="1" x14ac:dyDescent="0.3">
      <c r="A228" s="23" t="s">
        <v>91</v>
      </c>
      <c r="B228" s="8"/>
      <c r="C228" s="8"/>
      <c r="D228" s="8">
        <f t="shared" si="3"/>
        <v>0</v>
      </c>
    </row>
    <row r="229" spans="1:4" ht="18" hidden="1" x14ac:dyDescent="0.3">
      <c r="A229" s="6" t="s">
        <v>5</v>
      </c>
      <c r="B229" s="8"/>
      <c r="C229" s="8"/>
      <c r="D229" s="8">
        <f t="shared" si="3"/>
        <v>0</v>
      </c>
    </row>
    <row r="230" spans="1:4" ht="18" hidden="1" x14ac:dyDescent="0.3">
      <c r="A230" s="10" t="s">
        <v>6</v>
      </c>
      <c r="B230" s="8"/>
      <c r="C230" s="8"/>
      <c r="D230" s="8">
        <f t="shared" si="3"/>
        <v>0</v>
      </c>
    </row>
    <row r="231" spans="1:4" ht="18" hidden="1" x14ac:dyDescent="0.3">
      <c r="A231" s="6" t="s">
        <v>9</v>
      </c>
      <c r="B231" s="8"/>
      <c r="C231" s="8"/>
      <c r="D231" s="8">
        <f t="shared" si="3"/>
        <v>0</v>
      </c>
    </row>
    <row r="232" spans="1:4" ht="18" hidden="1" x14ac:dyDescent="0.3">
      <c r="A232" s="13" t="s">
        <v>167</v>
      </c>
      <c r="B232" s="8"/>
      <c r="C232" s="8"/>
      <c r="D232" s="8">
        <f t="shared" si="3"/>
        <v>0</v>
      </c>
    </row>
    <row r="233" spans="1:4" ht="18" x14ac:dyDescent="0.3">
      <c r="A233" s="10" t="s">
        <v>168</v>
      </c>
      <c r="B233" s="8">
        <v>25</v>
      </c>
      <c r="C233" s="48">
        <v>6500</v>
      </c>
      <c r="D233" s="8">
        <f t="shared" si="3"/>
        <v>162500</v>
      </c>
    </row>
    <row r="234" spans="1:4" ht="18" hidden="1" x14ac:dyDescent="0.3">
      <c r="A234" s="33" t="s">
        <v>169</v>
      </c>
      <c r="B234" s="8"/>
      <c r="C234" s="8"/>
      <c r="D234" s="8">
        <f t="shared" si="3"/>
        <v>0</v>
      </c>
    </row>
    <row r="235" spans="1:4" ht="18" hidden="1" x14ac:dyDescent="0.3">
      <c r="A235" s="10" t="s">
        <v>170</v>
      </c>
      <c r="B235" s="8"/>
      <c r="C235" s="8"/>
      <c r="D235" s="8">
        <f t="shared" si="3"/>
        <v>0</v>
      </c>
    </row>
    <row r="236" spans="1:4" ht="18" hidden="1" x14ac:dyDescent="0.3">
      <c r="A236" s="10" t="s">
        <v>171</v>
      </c>
      <c r="B236" s="8"/>
      <c r="C236" s="8"/>
      <c r="D236" s="8">
        <f t="shared" si="3"/>
        <v>0</v>
      </c>
    </row>
    <row r="237" spans="1:4" ht="18" hidden="1" x14ac:dyDescent="0.3">
      <c r="A237" s="22" t="s">
        <v>172</v>
      </c>
      <c r="B237" s="8"/>
      <c r="C237" s="8"/>
      <c r="D237" s="8">
        <f t="shared" si="3"/>
        <v>0</v>
      </c>
    </row>
    <row r="238" spans="1:4" ht="18" hidden="1" x14ac:dyDescent="0.3">
      <c r="A238" s="13" t="s">
        <v>227</v>
      </c>
      <c r="B238" s="8"/>
      <c r="C238" s="8"/>
      <c r="D238" s="8">
        <f t="shared" si="3"/>
        <v>0</v>
      </c>
    </row>
    <row r="239" spans="1:4" ht="18" hidden="1" x14ac:dyDescent="0.3">
      <c r="A239" s="12" t="s">
        <v>10</v>
      </c>
      <c r="B239" s="8"/>
      <c r="C239" s="8"/>
      <c r="D239" s="8">
        <f t="shared" si="3"/>
        <v>0</v>
      </c>
    </row>
    <row r="240" spans="1:4" ht="18" x14ac:dyDescent="0.3">
      <c r="A240" s="10" t="s">
        <v>36</v>
      </c>
      <c r="B240" s="8">
        <v>9</v>
      </c>
      <c r="C240" s="8">
        <v>34000</v>
      </c>
      <c r="D240" s="8">
        <f t="shared" si="3"/>
        <v>306000</v>
      </c>
    </row>
    <row r="241" spans="1:4" ht="18" hidden="1" x14ac:dyDescent="0.3">
      <c r="A241" s="10" t="s">
        <v>37</v>
      </c>
      <c r="B241" s="8"/>
      <c r="C241" s="8"/>
      <c r="D241" s="8">
        <f t="shared" si="3"/>
        <v>0</v>
      </c>
    </row>
    <row r="242" spans="1:4" ht="18" hidden="1" x14ac:dyDescent="0.3">
      <c r="A242" s="12" t="s">
        <v>39</v>
      </c>
      <c r="B242" s="17"/>
      <c r="C242" s="17"/>
      <c r="D242" s="8">
        <f t="shared" si="3"/>
        <v>0</v>
      </c>
    </row>
    <row r="243" spans="1:4" ht="18" hidden="1" x14ac:dyDescent="0.3">
      <c r="A243" s="18" t="s">
        <v>255</v>
      </c>
      <c r="B243" s="8"/>
      <c r="C243" s="8"/>
      <c r="D243" s="8">
        <f t="shared" si="3"/>
        <v>0</v>
      </c>
    </row>
    <row r="244" spans="1:4" ht="18" hidden="1" x14ac:dyDescent="0.3">
      <c r="A244" s="23" t="s">
        <v>256</v>
      </c>
      <c r="B244" s="8"/>
      <c r="C244" s="8"/>
      <c r="D244" s="8">
        <f t="shared" si="3"/>
        <v>0</v>
      </c>
    </row>
    <row r="245" spans="1:4" ht="18" hidden="1" x14ac:dyDescent="0.3">
      <c r="A245" s="23" t="s">
        <v>257</v>
      </c>
      <c r="B245" s="8"/>
      <c r="C245" s="8"/>
      <c r="D245" s="8">
        <f t="shared" si="3"/>
        <v>0</v>
      </c>
    </row>
    <row r="246" spans="1:4" ht="18" hidden="1" x14ac:dyDescent="0.3">
      <c r="A246" s="12" t="s">
        <v>269</v>
      </c>
      <c r="B246" s="8"/>
      <c r="C246" s="8"/>
      <c r="D246" s="8">
        <f t="shared" si="3"/>
        <v>0</v>
      </c>
    </row>
    <row r="247" spans="1:4" ht="18" x14ac:dyDescent="0.3">
      <c r="A247" s="10" t="s">
        <v>270</v>
      </c>
      <c r="B247" s="8">
        <v>17</v>
      </c>
      <c r="C247" s="8">
        <v>12000</v>
      </c>
      <c r="D247" s="8">
        <f t="shared" si="3"/>
        <v>204000</v>
      </c>
    </row>
    <row r="248" spans="1:4" ht="18" hidden="1" x14ac:dyDescent="0.3">
      <c r="A248" s="10" t="s">
        <v>273</v>
      </c>
      <c r="B248" s="8"/>
      <c r="C248" s="8"/>
      <c r="D248" s="8">
        <f t="shared" si="3"/>
        <v>0</v>
      </c>
    </row>
    <row r="249" spans="1:4" ht="18" hidden="1" x14ac:dyDescent="0.3">
      <c r="A249" s="12" t="s">
        <v>418</v>
      </c>
      <c r="B249" s="8"/>
      <c r="C249" s="8"/>
      <c r="D249" s="8">
        <f t="shared" si="3"/>
        <v>0</v>
      </c>
    </row>
    <row r="250" spans="1:4" ht="18" hidden="1" x14ac:dyDescent="0.3">
      <c r="A250" s="13" t="s">
        <v>178</v>
      </c>
      <c r="B250" s="8"/>
      <c r="C250" s="8"/>
      <c r="D250" s="8">
        <f t="shared" si="3"/>
        <v>0</v>
      </c>
    </row>
    <row r="251" spans="1:4" ht="18" hidden="1" x14ac:dyDescent="0.3">
      <c r="A251" s="10" t="s">
        <v>179</v>
      </c>
      <c r="B251" s="8"/>
      <c r="C251" s="8"/>
      <c r="D251" s="8">
        <f t="shared" si="3"/>
        <v>0</v>
      </c>
    </row>
    <row r="252" spans="1:4" ht="18" hidden="1" x14ac:dyDescent="0.3">
      <c r="A252" s="10" t="s">
        <v>180</v>
      </c>
      <c r="B252" s="8"/>
      <c r="C252" s="8"/>
      <c r="D252" s="8">
        <f t="shared" si="3"/>
        <v>0</v>
      </c>
    </row>
    <row r="253" spans="1:4" ht="18" hidden="1" x14ac:dyDescent="0.3">
      <c r="A253" s="13" t="s">
        <v>305</v>
      </c>
      <c r="B253" s="8"/>
      <c r="C253" s="8"/>
      <c r="D253" s="8">
        <f t="shared" si="3"/>
        <v>0</v>
      </c>
    </row>
    <row r="254" spans="1:4" ht="18" hidden="1" x14ac:dyDescent="0.3">
      <c r="A254" s="10" t="s">
        <v>307</v>
      </c>
      <c r="B254" s="8"/>
      <c r="C254" s="8"/>
      <c r="D254" s="8">
        <f t="shared" si="3"/>
        <v>0</v>
      </c>
    </row>
    <row r="255" spans="1:4" ht="18" hidden="1" x14ac:dyDescent="0.3">
      <c r="A255" s="10" t="s">
        <v>308</v>
      </c>
      <c r="B255" s="8"/>
      <c r="C255" s="8"/>
      <c r="D255" s="8">
        <f t="shared" si="3"/>
        <v>0</v>
      </c>
    </row>
    <row r="256" spans="1:4" ht="18" hidden="1" x14ac:dyDescent="0.3">
      <c r="A256" s="23" t="s">
        <v>311</v>
      </c>
      <c r="B256" s="8"/>
      <c r="C256" s="8"/>
      <c r="D256" s="8">
        <f t="shared" si="3"/>
        <v>0</v>
      </c>
    </row>
    <row r="257" spans="1:4" ht="18" hidden="1" x14ac:dyDescent="0.3">
      <c r="A257" s="10" t="s">
        <v>313</v>
      </c>
      <c r="B257" s="8"/>
      <c r="C257" s="8"/>
      <c r="D257" s="8">
        <f t="shared" si="3"/>
        <v>0</v>
      </c>
    </row>
    <row r="258" spans="1:4" ht="18" hidden="1" x14ac:dyDescent="0.3">
      <c r="A258" s="10" t="s">
        <v>314</v>
      </c>
      <c r="B258" s="8"/>
      <c r="C258" s="8"/>
      <c r="D258" s="8">
        <f t="shared" si="3"/>
        <v>0</v>
      </c>
    </row>
    <row r="259" spans="1:4" ht="18" hidden="1" x14ac:dyDescent="0.3">
      <c r="A259" s="10" t="s">
        <v>315</v>
      </c>
      <c r="B259" s="8"/>
      <c r="C259" s="8"/>
      <c r="D259" s="8">
        <f t="shared" si="3"/>
        <v>0</v>
      </c>
    </row>
    <row r="260" spans="1:4" ht="18" hidden="1" x14ac:dyDescent="0.3">
      <c r="A260" s="10" t="s">
        <v>316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23" t="s">
        <v>317</v>
      </c>
      <c r="B261" s="8"/>
      <c r="C261" s="8"/>
      <c r="D261" s="8">
        <f t="shared" si="4"/>
        <v>0</v>
      </c>
    </row>
    <row r="262" spans="1:4" ht="18" hidden="1" x14ac:dyDescent="0.3">
      <c r="A262" s="10" t="s">
        <v>318</v>
      </c>
      <c r="B262" s="8"/>
      <c r="C262" s="8"/>
      <c r="D262" s="8">
        <f t="shared" si="4"/>
        <v>0</v>
      </c>
    </row>
    <row r="263" spans="1:4" ht="18" hidden="1" x14ac:dyDescent="0.3">
      <c r="A263" s="10" t="s">
        <v>322</v>
      </c>
      <c r="B263" s="8"/>
      <c r="C263" s="8"/>
      <c r="D263" s="8">
        <f t="shared" si="4"/>
        <v>0</v>
      </c>
    </row>
    <row r="264" spans="1:4" ht="18" hidden="1" x14ac:dyDescent="0.3">
      <c r="A264" s="23" t="s">
        <v>324</v>
      </c>
      <c r="B264" s="8"/>
      <c r="C264" s="8"/>
      <c r="D264" s="8">
        <f t="shared" si="4"/>
        <v>0</v>
      </c>
    </row>
    <row r="265" spans="1:4" ht="18" hidden="1" x14ac:dyDescent="0.3">
      <c r="A265" s="23" t="s">
        <v>325</v>
      </c>
      <c r="B265" s="8"/>
      <c r="C265" s="8"/>
      <c r="D265" s="8">
        <f t="shared" si="4"/>
        <v>0</v>
      </c>
    </row>
    <row r="266" spans="1:4" ht="18" hidden="1" x14ac:dyDescent="0.3">
      <c r="A266" s="10" t="s">
        <v>326</v>
      </c>
      <c r="B266" s="8"/>
      <c r="C266" s="8"/>
      <c r="D266" s="8">
        <f t="shared" si="4"/>
        <v>0</v>
      </c>
    </row>
    <row r="267" spans="1:4" ht="18" hidden="1" x14ac:dyDescent="0.3">
      <c r="A267" s="10" t="s">
        <v>327</v>
      </c>
      <c r="B267" s="8"/>
      <c r="C267" s="8"/>
      <c r="D267" s="8">
        <f t="shared" si="4"/>
        <v>0</v>
      </c>
    </row>
    <row r="268" spans="1:4" ht="18" hidden="1" x14ac:dyDescent="0.3">
      <c r="A268" s="23" t="s">
        <v>328</v>
      </c>
      <c r="B268" s="8"/>
      <c r="C268" s="8"/>
      <c r="D268" s="8">
        <f t="shared" si="4"/>
        <v>0</v>
      </c>
    </row>
    <row r="269" spans="1:4" ht="18" hidden="1" x14ac:dyDescent="0.3">
      <c r="A269" s="10" t="s">
        <v>329</v>
      </c>
      <c r="B269" s="8"/>
      <c r="C269" s="8"/>
      <c r="D269" s="8">
        <f t="shared" si="4"/>
        <v>0</v>
      </c>
    </row>
    <row r="270" spans="1:4" ht="18" x14ac:dyDescent="0.3">
      <c r="A270" s="10" t="s">
        <v>330</v>
      </c>
      <c r="B270" s="8">
        <v>28</v>
      </c>
      <c r="C270" s="8">
        <v>6800</v>
      </c>
      <c r="D270" s="8">
        <f t="shared" si="4"/>
        <v>190400</v>
      </c>
    </row>
    <row r="271" spans="1:4" ht="18" hidden="1" x14ac:dyDescent="0.3">
      <c r="A271" s="10" t="s">
        <v>331</v>
      </c>
      <c r="B271" s="8"/>
      <c r="C271" s="8"/>
      <c r="D271" s="8">
        <f t="shared" si="4"/>
        <v>0</v>
      </c>
    </row>
    <row r="272" spans="1:4" ht="18" hidden="1" x14ac:dyDescent="0.3">
      <c r="A272" s="10" t="s">
        <v>332</v>
      </c>
      <c r="B272" s="8"/>
      <c r="C272" s="8"/>
      <c r="D272" s="8">
        <f t="shared" si="4"/>
        <v>0</v>
      </c>
    </row>
    <row r="273" spans="1:4" ht="18" hidden="1" x14ac:dyDescent="0.3">
      <c r="A273" s="10" t="s">
        <v>333</v>
      </c>
      <c r="B273" s="8"/>
      <c r="C273" s="8"/>
      <c r="D273" s="8">
        <f t="shared" si="4"/>
        <v>0</v>
      </c>
    </row>
    <row r="274" spans="1:4" ht="18" x14ac:dyDescent="0.3">
      <c r="A274" s="10" t="s">
        <v>334</v>
      </c>
      <c r="B274" s="8">
        <v>1</v>
      </c>
      <c r="C274" s="8">
        <v>28000</v>
      </c>
      <c r="D274" s="8">
        <f t="shared" si="4"/>
        <v>28000</v>
      </c>
    </row>
    <row r="275" spans="1:4" ht="18" hidden="1" x14ac:dyDescent="0.3">
      <c r="A275" s="10" t="s">
        <v>335</v>
      </c>
      <c r="B275" s="8"/>
      <c r="C275" s="8"/>
      <c r="D275" s="8">
        <f t="shared" si="4"/>
        <v>0</v>
      </c>
    </row>
    <row r="276" spans="1:4" ht="18" hidden="1" x14ac:dyDescent="0.3">
      <c r="A276" s="10" t="s">
        <v>336</v>
      </c>
      <c r="B276" s="8"/>
      <c r="C276" s="8"/>
      <c r="D276" s="8">
        <f t="shared" si="4"/>
        <v>0</v>
      </c>
    </row>
    <row r="277" spans="1:4" ht="18" hidden="1" x14ac:dyDescent="0.3">
      <c r="A277" s="30" t="s">
        <v>130</v>
      </c>
      <c r="B277" s="8"/>
      <c r="C277" s="8"/>
      <c r="D277" s="8">
        <f t="shared" si="4"/>
        <v>0</v>
      </c>
    </row>
    <row r="278" spans="1:4" ht="18" hidden="1" x14ac:dyDescent="0.3">
      <c r="A278" s="13" t="s">
        <v>131</v>
      </c>
      <c r="B278" s="17"/>
      <c r="C278" s="17"/>
      <c r="D278" s="8">
        <f t="shared" si="4"/>
        <v>0</v>
      </c>
    </row>
    <row r="279" spans="1:4" ht="18" hidden="1" x14ac:dyDescent="0.3">
      <c r="A279" s="10" t="s">
        <v>132</v>
      </c>
      <c r="B279" s="8"/>
      <c r="C279" s="8"/>
      <c r="D279" s="8">
        <f t="shared" si="4"/>
        <v>0</v>
      </c>
    </row>
    <row r="280" spans="1:4" ht="18" hidden="1" x14ac:dyDescent="0.3">
      <c r="A280" s="10" t="s">
        <v>133</v>
      </c>
      <c r="B280" s="8"/>
      <c r="C280" s="8"/>
      <c r="D280" s="8">
        <f t="shared" si="4"/>
        <v>0</v>
      </c>
    </row>
    <row r="281" spans="1:4" ht="18" hidden="1" x14ac:dyDescent="0.3">
      <c r="A281" s="10" t="s">
        <v>290</v>
      </c>
      <c r="B281" s="8"/>
      <c r="C281" s="8"/>
      <c r="D281" s="8">
        <f t="shared" si="4"/>
        <v>0</v>
      </c>
    </row>
    <row r="282" spans="1:4" ht="18" hidden="1" x14ac:dyDescent="0.3">
      <c r="A282" s="18" t="s">
        <v>291</v>
      </c>
      <c r="B282" s="8"/>
      <c r="C282" s="8"/>
      <c r="D282" s="8">
        <f t="shared" si="4"/>
        <v>0</v>
      </c>
    </row>
    <row r="283" spans="1:4" ht="18" hidden="1" x14ac:dyDescent="0.3">
      <c r="A283" s="10" t="s">
        <v>16</v>
      </c>
      <c r="B283" s="8"/>
      <c r="C283" s="8"/>
      <c r="D283" s="8">
        <f t="shared" si="4"/>
        <v>0</v>
      </c>
    </row>
    <row r="284" spans="1:4" ht="18" x14ac:dyDescent="0.3">
      <c r="A284" s="14" t="s">
        <v>17</v>
      </c>
      <c r="B284" s="8">
        <f>14+15</f>
        <v>29</v>
      </c>
      <c r="C284" s="8">
        <v>4000</v>
      </c>
      <c r="D284" s="8">
        <f t="shared" si="4"/>
        <v>116000</v>
      </c>
    </row>
    <row r="285" spans="1:4" ht="18" hidden="1" x14ac:dyDescent="0.3">
      <c r="A285" s="12" t="s">
        <v>18</v>
      </c>
      <c r="B285" s="8"/>
      <c r="C285" s="47"/>
      <c r="D285" s="8">
        <f t="shared" si="4"/>
        <v>0</v>
      </c>
    </row>
    <row r="286" spans="1:4" ht="18" hidden="1" x14ac:dyDescent="0.3">
      <c r="A286" s="10" t="s">
        <v>157</v>
      </c>
      <c r="B286" s="8"/>
      <c r="C286" s="8"/>
      <c r="D286" s="8">
        <f t="shared" si="4"/>
        <v>0</v>
      </c>
    </row>
    <row r="287" spans="1:4" ht="18" hidden="1" x14ac:dyDescent="0.3">
      <c r="A287" s="10" t="s">
        <v>158</v>
      </c>
      <c r="B287" s="8"/>
      <c r="C287" s="8"/>
      <c r="D287" s="8">
        <f t="shared" si="4"/>
        <v>0</v>
      </c>
    </row>
    <row r="288" spans="1:4" ht="18" hidden="1" x14ac:dyDescent="0.3">
      <c r="A288" s="10" t="s">
        <v>159</v>
      </c>
      <c r="B288" s="8"/>
      <c r="C288" s="8"/>
      <c r="D288" s="8">
        <f t="shared" si="4"/>
        <v>0</v>
      </c>
    </row>
    <row r="289" spans="1:4" ht="18" hidden="1" x14ac:dyDescent="0.3">
      <c r="A289" s="10" t="s">
        <v>160</v>
      </c>
      <c r="B289" s="8"/>
      <c r="C289" s="8"/>
      <c r="D289" s="8">
        <f t="shared" si="4"/>
        <v>0</v>
      </c>
    </row>
    <row r="290" spans="1:4" ht="18" hidden="1" x14ac:dyDescent="0.3">
      <c r="A290" s="11" t="s">
        <v>7</v>
      </c>
      <c r="B290" s="8"/>
      <c r="C290" s="8"/>
      <c r="D290" s="8">
        <f t="shared" si="4"/>
        <v>0</v>
      </c>
    </row>
    <row r="291" spans="1:4" ht="18" hidden="1" x14ac:dyDescent="0.3">
      <c r="A291" s="6" t="s">
        <v>8</v>
      </c>
      <c r="B291" s="8"/>
      <c r="C291" s="8"/>
      <c r="D291" s="8">
        <f t="shared" si="4"/>
        <v>0</v>
      </c>
    </row>
    <row r="292" spans="1:4" ht="18" hidden="1" x14ac:dyDescent="0.3">
      <c r="A292" s="12" t="s">
        <v>29</v>
      </c>
      <c r="B292" s="8"/>
      <c r="C292" s="8"/>
      <c r="D292" s="8">
        <f t="shared" si="4"/>
        <v>0</v>
      </c>
    </row>
    <row r="293" spans="1:4" ht="18" hidden="1" x14ac:dyDescent="0.3">
      <c r="A293" s="12" t="s">
        <v>30</v>
      </c>
      <c r="B293" s="8"/>
      <c r="C293" s="8"/>
      <c r="D293" s="8">
        <f t="shared" si="4"/>
        <v>0</v>
      </c>
    </row>
    <row r="294" spans="1:4" ht="18" hidden="1" x14ac:dyDescent="0.3">
      <c r="A294" s="12" t="s">
        <v>31</v>
      </c>
      <c r="B294" s="8"/>
      <c r="C294" s="8"/>
      <c r="D294" s="8">
        <f t="shared" si="4"/>
        <v>0</v>
      </c>
    </row>
    <row r="295" spans="1:4" ht="18" hidden="1" x14ac:dyDescent="0.3">
      <c r="A295" s="12" t="s">
        <v>32</v>
      </c>
      <c r="B295" s="8"/>
      <c r="C295" s="8"/>
      <c r="D295" s="8">
        <f t="shared" si="4"/>
        <v>0</v>
      </c>
    </row>
    <row r="296" spans="1:4" ht="18" hidden="1" x14ac:dyDescent="0.3">
      <c r="A296" s="12" t="s">
        <v>33</v>
      </c>
      <c r="B296" s="8"/>
      <c r="C296" s="8"/>
      <c r="D296" s="8">
        <f t="shared" si="4"/>
        <v>0</v>
      </c>
    </row>
    <row r="297" spans="1:4" ht="18" hidden="1" x14ac:dyDescent="0.3">
      <c r="A297" s="12" t="s">
        <v>34</v>
      </c>
      <c r="B297" s="8"/>
      <c r="C297" s="8"/>
      <c r="D297" s="8">
        <f t="shared" si="4"/>
        <v>0</v>
      </c>
    </row>
    <row r="298" spans="1:4" ht="18" hidden="1" x14ac:dyDescent="0.3">
      <c r="A298" s="21" t="s">
        <v>63</v>
      </c>
      <c r="B298" s="8"/>
      <c r="C298" s="8"/>
      <c r="D298" s="8">
        <f t="shared" si="4"/>
        <v>0</v>
      </c>
    </row>
    <row r="299" spans="1:4" ht="18" hidden="1" x14ac:dyDescent="0.3">
      <c r="A299" s="13" t="s">
        <v>67</v>
      </c>
      <c r="B299" s="8"/>
      <c r="C299" s="8"/>
      <c r="D299" s="8">
        <f t="shared" si="4"/>
        <v>0</v>
      </c>
    </row>
    <row r="300" spans="1:4" ht="18" hidden="1" x14ac:dyDescent="0.3">
      <c r="A300" s="12" t="s">
        <v>102</v>
      </c>
      <c r="B300" s="8"/>
      <c r="C300" s="8"/>
      <c r="D300" s="8">
        <f t="shared" si="4"/>
        <v>0</v>
      </c>
    </row>
    <row r="301" spans="1:4" ht="18" hidden="1" x14ac:dyDescent="0.3">
      <c r="A301" s="27" t="s">
        <v>108</v>
      </c>
      <c r="B301" s="8"/>
      <c r="C301" s="8"/>
      <c r="D301" s="8">
        <f t="shared" si="4"/>
        <v>0</v>
      </c>
    </row>
    <row r="302" spans="1:4" ht="18" hidden="1" x14ac:dyDescent="0.3">
      <c r="A302" s="10" t="s">
        <v>119</v>
      </c>
      <c r="B302" s="8"/>
      <c r="C302" s="8"/>
      <c r="D302" s="8">
        <f t="shared" si="4"/>
        <v>0</v>
      </c>
    </row>
    <row r="303" spans="1:4" ht="18" hidden="1" x14ac:dyDescent="0.3">
      <c r="A303" s="12" t="s">
        <v>120</v>
      </c>
      <c r="B303" s="8"/>
      <c r="C303" s="8"/>
      <c r="D303" s="8">
        <f t="shared" si="4"/>
        <v>0</v>
      </c>
    </row>
    <row r="304" spans="1:4" ht="18" hidden="1" x14ac:dyDescent="0.3">
      <c r="A304" s="12" t="s">
        <v>121</v>
      </c>
      <c r="B304" s="8"/>
      <c r="C304" s="8"/>
      <c r="D304" s="8">
        <f t="shared" si="4"/>
        <v>0</v>
      </c>
    </row>
    <row r="305" spans="1:4" ht="18" hidden="1" x14ac:dyDescent="0.3">
      <c r="A305" s="10" t="s">
        <v>143</v>
      </c>
      <c r="B305" s="8"/>
      <c r="C305" s="8"/>
      <c r="D305" s="8">
        <f t="shared" si="4"/>
        <v>0</v>
      </c>
    </row>
    <row r="306" spans="1:4" ht="18" hidden="1" x14ac:dyDescent="0.3">
      <c r="A306" s="10" t="s">
        <v>164</v>
      </c>
      <c r="B306" s="8"/>
      <c r="C306" s="8"/>
      <c r="D306" s="8">
        <f t="shared" si="4"/>
        <v>0</v>
      </c>
    </row>
    <row r="307" spans="1:4" ht="18" hidden="1" x14ac:dyDescent="0.3">
      <c r="A307" s="12" t="s">
        <v>175</v>
      </c>
      <c r="B307" s="8"/>
      <c r="C307" s="8"/>
      <c r="D307" s="8">
        <f t="shared" si="4"/>
        <v>0</v>
      </c>
    </row>
    <row r="308" spans="1:4" ht="18" hidden="1" x14ac:dyDescent="0.3">
      <c r="A308" s="18" t="s">
        <v>189</v>
      </c>
      <c r="B308" s="8"/>
      <c r="C308" s="8"/>
      <c r="D308" s="8">
        <f t="shared" si="4"/>
        <v>0</v>
      </c>
    </row>
    <row r="309" spans="1:4" ht="18" hidden="1" x14ac:dyDescent="0.3">
      <c r="A309" s="18" t="s">
        <v>190</v>
      </c>
      <c r="B309" s="8"/>
      <c r="C309" s="8"/>
      <c r="D309" s="8">
        <f t="shared" si="4"/>
        <v>0</v>
      </c>
    </row>
    <row r="310" spans="1:4" ht="18" hidden="1" x14ac:dyDescent="0.3">
      <c r="A310" s="18" t="s">
        <v>191</v>
      </c>
      <c r="B310" s="8"/>
      <c r="C310" s="8"/>
      <c r="D310" s="8">
        <f t="shared" si="4"/>
        <v>0</v>
      </c>
    </row>
    <row r="311" spans="1:4" ht="18" hidden="1" x14ac:dyDescent="0.3">
      <c r="A311" s="18" t="s">
        <v>192</v>
      </c>
      <c r="B311" s="8"/>
      <c r="C311" s="8"/>
      <c r="D311" s="8">
        <f t="shared" si="4"/>
        <v>0</v>
      </c>
    </row>
    <row r="312" spans="1:4" ht="18" hidden="1" x14ac:dyDescent="0.3">
      <c r="A312" s="10" t="s">
        <v>194</v>
      </c>
      <c r="B312" s="8"/>
      <c r="C312" s="8"/>
      <c r="D312" s="8">
        <f t="shared" si="4"/>
        <v>0</v>
      </c>
    </row>
    <row r="313" spans="1:4" ht="18" hidden="1" x14ac:dyDescent="0.3">
      <c r="A313" s="37" t="s">
        <v>195</v>
      </c>
      <c r="B313" s="8"/>
      <c r="C313" s="8"/>
      <c r="D313" s="8">
        <f t="shared" si="4"/>
        <v>0</v>
      </c>
    </row>
    <row r="314" spans="1:4" ht="18" hidden="1" x14ac:dyDescent="0.3">
      <c r="A314" s="37" t="s">
        <v>196</v>
      </c>
      <c r="B314" s="8"/>
      <c r="C314" s="8"/>
      <c r="D314" s="8">
        <f t="shared" si="4"/>
        <v>0</v>
      </c>
    </row>
    <row r="315" spans="1:4" ht="18" hidden="1" x14ac:dyDescent="0.3">
      <c r="A315" s="37" t="s">
        <v>197</v>
      </c>
      <c r="B315" s="8"/>
      <c r="C315" s="8"/>
      <c r="D315" s="8">
        <f t="shared" si="4"/>
        <v>0</v>
      </c>
    </row>
    <row r="316" spans="1:4" ht="18" hidden="1" x14ac:dyDescent="0.3">
      <c r="A316" s="37" t="s">
        <v>198</v>
      </c>
      <c r="B316" s="8"/>
      <c r="C316" s="8"/>
      <c r="D316" s="8">
        <f t="shared" si="4"/>
        <v>0</v>
      </c>
    </row>
    <row r="317" spans="1:4" ht="18" x14ac:dyDescent="0.3">
      <c r="A317" s="12" t="s">
        <v>226</v>
      </c>
      <c r="B317" s="8">
        <f>120-25</f>
        <v>95</v>
      </c>
      <c r="C317" s="8">
        <v>38000</v>
      </c>
      <c r="D317" s="8">
        <f t="shared" si="4"/>
        <v>3610000</v>
      </c>
    </row>
    <row r="318" spans="1:4" ht="18" hidden="1" x14ac:dyDescent="0.3">
      <c r="A318" s="12" t="s">
        <v>228</v>
      </c>
      <c r="B318" s="8"/>
      <c r="C318" s="8"/>
      <c r="D318" s="8">
        <f t="shared" si="4"/>
        <v>0</v>
      </c>
    </row>
    <row r="319" spans="1:4" ht="18" hidden="1" x14ac:dyDescent="0.3">
      <c r="A319" s="18" t="s">
        <v>229</v>
      </c>
      <c r="B319" s="8"/>
      <c r="C319" s="8"/>
      <c r="D319" s="8">
        <f t="shared" si="4"/>
        <v>0</v>
      </c>
    </row>
    <row r="320" spans="1:4" ht="18" hidden="1" x14ac:dyDescent="0.3">
      <c r="A320" s="12" t="s">
        <v>231</v>
      </c>
      <c r="B320" s="8"/>
      <c r="C320" s="8"/>
      <c r="D320" s="8">
        <f t="shared" si="4"/>
        <v>0</v>
      </c>
    </row>
    <row r="321" spans="1:4" ht="18" hidden="1" x14ac:dyDescent="0.3">
      <c r="A321" s="12" t="s">
        <v>232</v>
      </c>
      <c r="B321" s="8"/>
      <c r="C321" s="8"/>
      <c r="D321" s="8">
        <f t="shared" si="4"/>
        <v>0</v>
      </c>
    </row>
    <row r="322" spans="1:4" ht="18" hidden="1" x14ac:dyDescent="0.3">
      <c r="A322" s="10" t="s">
        <v>233</v>
      </c>
      <c r="B322" s="8"/>
      <c r="C322" s="8"/>
      <c r="D322" s="8">
        <f t="shared" si="4"/>
        <v>0</v>
      </c>
    </row>
    <row r="323" spans="1:4" ht="18" hidden="1" x14ac:dyDescent="0.3">
      <c r="A323" s="10" t="s">
        <v>234</v>
      </c>
      <c r="B323" s="8"/>
      <c r="C323" s="8"/>
      <c r="D323" s="8">
        <f t="shared" si="4"/>
        <v>0</v>
      </c>
    </row>
    <row r="324" spans="1:4" ht="18" hidden="1" x14ac:dyDescent="0.3">
      <c r="A324" s="12" t="s">
        <v>235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14" t="s">
        <v>239</v>
      </c>
      <c r="B325" s="8"/>
      <c r="C325" s="8"/>
      <c r="D325" s="8">
        <f t="shared" si="5"/>
        <v>0</v>
      </c>
    </row>
    <row r="326" spans="1:4" ht="18" hidden="1" x14ac:dyDescent="0.3">
      <c r="A326" s="14" t="s">
        <v>240</v>
      </c>
      <c r="B326" s="8"/>
      <c r="C326" s="8"/>
      <c r="D326" s="8">
        <f t="shared" si="5"/>
        <v>0</v>
      </c>
    </row>
    <row r="327" spans="1:4" ht="18" hidden="1" x14ac:dyDescent="0.3">
      <c r="A327" s="37" t="s">
        <v>241</v>
      </c>
      <c r="B327" s="8"/>
      <c r="C327" s="8"/>
      <c r="D327" s="8">
        <f t="shared" si="5"/>
        <v>0</v>
      </c>
    </row>
    <row r="328" spans="1:4" ht="18" hidden="1" x14ac:dyDescent="0.3">
      <c r="A328" s="37" t="s">
        <v>245</v>
      </c>
      <c r="B328" s="8"/>
      <c r="C328" s="8"/>
      <c r="D328" s="8">
        <f t="shared" si="5"/>
        <v>0</v>
      </c>
    </row>
    <row r="329" spans="1:4" ht="18" hidden="1" x14ac:dyDescent="0.3">
      <c r="A329" s="10" t="s">
        <v>276</v>
      </c>
      <c r="B329" s="8"/>
      <c r="C329" s="8"/>
      <c r="D329" s="8">
        <f t="shared" si="5"/>
        <v>0</v>
      </c>
    </row>
    <row r="330" spans="1:4" ht="18" hidden="1" x14ac:dyDescent="0.3">
      <c r="A330" s="37" t="s">
        <v>277</v>
      </c>
      <c r="B330" s="8"/>
      <c r="C330" s="8"/>
      <c r="D330" s="8">
        <f t="shared" si="5"/>
        <v>0</v>
      </c>
    </row>
    <row r="331" spans="1:4" ht="18" hidden="1" x14ac:dyDescent="0.3">
      <c r="A331" s="37" t="s">
        <v>279</v>
      </c>
      <c r="B331" s="8"/>
      <c r="C331" s="8"/>
      <c r="D331" s="8">
        <f t="shared" si="5"/>
        <v>0</v>
      </c>
    </row>
    <row r="332" spans="1:4" ht="18" hidden="1" x14ac:dyDescent="0.3">
      <c r="A332" s="37" t="s">
        <v>280</v>
      </c>
      <c r="B332" s="8"/>
      <c r="C332" s="8"/>
      <c r="D332" s="8">
        <f t="shared" si="5"/>
        <v>0</v>
      </c>
    </row>
    <row r="333" spans="1:4" ht="18" hidden="1" x14ac:dyDescent="0.3">
      <c r="A333" s="27" t="s">
        <v>292</v>
      </c>
      <c r="B333" s="8"/>
      <c r="C333" s="8"/>
      <c r="D333" s="8">
        <f t="shared" si="5"/>
        <v>0</v>
      </c>
    </row>
    <row r="334" spans="1:4" ht="18" hidden="1" x14ac:dyDescent="0.3">
      <c r="A334" s="14" t="s">
        <v>295</v>
      </c>
      <c r="B334" s="8"/>
      <c r="C334" s="8"/>
      <c r="D334" s="8">
        <f t="shared" si="5"/>
        <v>0</v>
      </c>
    </row>
    <row r="335" spans="1:4" ht="18" hidden="1" x14ac:dyDescent="0.3">
      <c r="A335" s="10" t="s">
        <v>301</v>
      </c>
      <c r="B335" s="8"/>
      <c r="C335" s="8"/>
      <c r="D335" s="8">
        <f t="shared" si="5"/>
        <v>0</v>
      </c>
    </row>
    <row r="336" spans="1:4" ht="18" hidden="1" x14ac:dyDescent="0.3">
      <c r="A336" s="10" t="s">
        <v>302</v>
      </c>
      <c r="B336" s="8"/>
      <c r="C336" s="8"/>
      <c r="D336" s="8">
        <f t="shared" si="5"/>
        <v>0</v>
      </c>
    </row>
    <row r="337" spans="1:4" ht="18" hidden="1" x14ac:dyDescent="0.3">
      <c r="A337" s="12" t="s">
        <v>303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/>
      <c r="C340" s="46"/>
      <c r="D340" s="8">
        <f>SUBTOTAL(9,D3:D339)</f>
        <v>66771900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426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13" t="s">
        <v>68</v>
      </c>
      <c r="B345" s="8"/>
      <c r="C345" s="8"/>
      <c r="D345" s="8">
        <f t="shared" si="5"/>
        <v>0</v>
      </c>
    </row>
    <row r="346" spans="1:4" ht="18" hidden="1" x14ac:dyDescent="0.3">
      <c r="A346" s="12" t="s">
        <v>69</v>
      </c>
      <c r="B346" s="8"/>
      <c r="C346" s="8"/>
      <c r="D346" s="8">
        <f t="shared" si="5"/>
        <v>0</v>
      </c>
    </row>
    <row r="347" spans="1:4" ht="18" hidden="1" x14ac:dyDescent="0.3">
      <c r="A347" s="13" t="s">
        <v>70</v>
      </c>
      <c r="B347" s="8"/>
      <c r="C347" s="8"/>
      <c r="D347" s="8">
        <f t="shared" si="5"/>
        <v>0</v>
      </c>
    </row>
    <row r="348" spans="1:4" ht="18" hidden="1" x14ac:dyDescent="0.3">
      <c r="A348" s="13" t="s">
        <v>71</v>
      </c>
      <c r="B348" s="8"/>
      <c r="C348" s="8"/>
      <c r="D348" s="8">
        <f t="shared" si="5"/>
        <v>0</v>
      </c>
    </row>
    <row r="349" spans="1:4" ht="18" hidden="1" x14ac:dyDescent="0.3">
      <c r="A349" s="13" t="s">
        <v>72</v>
      </c>
      <c r="B349" s="8"/>
      <c r="C349" s="8"/>
      <c r="D349" s="8">
        <f t="shared" si="5"/>
        <v>0</v>
      </c>
    </row>
    <row r="350" spans="1:4" ht="18" hidden="1" x14ac:dyDescent="0.3">
      <c r="A350" s="22" t="s">
        <v>73</v>
      </c>
      <c r="B350" s="8"/>
      <c r="C350" s="8"/>
      <c r="D350" s="8">
        <f t="shared" si="5"/>
        <v>0</v>
      </c>
    </row>
    <row r="351" spans="1:4" ht="18" hidden="1" x14ac:dyDescent="0.3">
      <c r="A351" s="10" t="s">
        <v>74</v>
      </c>
      <c r="B351" s="8"/>
      <c r="C351" s="8"/>
      <c r="D351" s="8">
        <f t="shared" si="5"/>
        <v>0</v>
      </c>
    </row>
    <row r="352" spans="1:4" ht="18" hidden="1" x14ac:dyDescent="0.3">
      <c r="A352" s="13" t="s">
        <v>82</v>
      </c>
      <c r="B352" s="17"/>
      <c r="C352" s="17"/>
      <c r="D352" s="8">
        <f t="shared" si="5"/>
        <v>0</v>
      </c>
    </row>
    <row r="353" spans="1:4" ht="18" hidden="1" x14ac:dyDescent="0.3">
      <c r="A353" s="13" t="s">
        <v>83</v>
      </c>
      <c r="B353" s="17"/>
      <c r="C353" s="17"/>
      <c r="D353" s="8">
        <f t="shared" si="5"/>
        <v>0</v>
      </c>
    </row>
    <row r="354" spans="1:4" ht="18" hidden="1" x14ac:dyDescent="0.3">
      <c r="A354" s="13" t="s">
        <v>84</v>
      </c>
      <c r="B354" s="17"/>
      <c r="C354" s="17"/>
      <c r="D354" s="8">
        <f t="shared" si="5"/>
        <v>0</v>
      </c>
    </row>
    <row r="355" spans="1:4" ht="18" hidden="1" x14ac:dyDescent="0.3">
      <c r="A355" s="10" t="s">
        <v>96</v>
      </c>
      <c r="B355" s="8"/>
      <c r="C355" s="8"/>
      <c r="D355" s="8">
        <f t="shared" si="5"/>
        <v>0</v>
      </c>
    </row>
    <row r="356" spans="1:4" ht="18" hidden="1" x14ac:dyDescent="0.3">
      <c r="A356" s="10" t="s">
        <v>97</v>
      </c>
      <c r="B356" s="8"/>
      <c r="C356" s="8"/>
      <c r="D356" s="8">
        <f t="shared" si="5"/>
        <v>0</v>
      </c>
    </row>
    <row r="357" spans="1:4" ht="18" hidden="1" x14ac:dyDescent="0.3">
      <c r="A357" s="10" t="s">
        <v>99</v>
      </c>
      <c r="B357" s="17"/>
      <c r="C357" s="17"/>
      <c r="D357" s="8">
        <f t="shared" si="5"/>
        <v>0</v>
      </c>
    </row>
    <row r="358" spans="1:4" ht="18" hidden="1" x14ac:dyDescent="0.3">
      <c r="A358" s="23" t="s">
        <v>101</v>
      </c>
      <c r="B358" s="8"/>
      <c r="C358" s="8"/>
      <c r="D358" s="8">
        <f t="shared" si="5"/>
        <v>0</v>
      </c>
    </row>
    <row r="359" spans="1:4" ht="18" hidden="1" x14ac:dyDescent="0.3">
      <c r="A359" s="12" t="s">
        <v>117</v>
      </c>
      <c r="B359" s="8"/>
      <c r="C359" s="8"/>
      <c r="D359" s="8">
        <f t="shared" si="5"/>
        <v>0</v>
      </c>
    </row>
    <row r="360" spans="1:4" ht="18" hidden="1" x14ac:dyDescent="0.3">
      <c r="A360" s="23" t="s">
        <v>118</v>
      </c>
      <c r="B360" s="8"/>
      <c r="C360" s="8"/>
      <c r="D360" s="8">
        <f t="shared" si="5"/>
        <v>0</v>
      </c>
    </row>
    <row r="361" spans="1:4" ht="18" hidden="1" x14ac:dyDescent="0.3">
      <c r="A361" s="10" t="s">
        <v>110</v>
      </c>
      <c r="B361" s="8"/>
      <c r="C361" s="8"/>
      <c r="D361" s="8">
        <f t="shared" si="5"/>
        <v>0</v>
      </c>
    </row>
    <row r="362" spans="1:4" ht="18" hidden="1" x14ac:dyDescent="0.3">
      <c r="A362" s="10" t="s">
        <v>111</v>
      </c>
      <c r="B362" s="8"/>
      <c r="C362" s="8"/>
      <c r="D362" s="8">
        <f t="shared" si="5"/>
        <v>0</v>
      </c>
    </row>
    <row r="363" spans="1:4" ht="18" hidden="1" x14ac:dyDescent="0.3">
      <c r="A363" s="10" t="s">
        <v>112</v>
      </c>
      <c r="B363" s="8"/>
      <c r="C363" s="8"/>
      <c r="D363" s="8">
        <f t="shared" si="5"/>
        <v>0</v>
      </c>
    </row>
    <row r="364" spans="1:4" ht="18" hidden="1" x14ac:dyDescent="0.3">
      <c r="A364" s="12" t="s">
        <v>249</v>
      </c>
      <c r="B364" s="8"/>
      <c r="C364" s="8"/>
      <c r="D364" s="8">
        <f t="shared" si="5"/>
        <v>0</v>
      </c>
    </row>
    <row r="365" spans="1:4" ht="18" hidden="1" x14ac:dyDescent="0.3">
      <c r="A365" s="10" t="s">
        <v>250</v>
      </c>
      <c r="B365" s="8"/>
      <c r="C365" s="8"/>
      <c r="D365" s="8">
        <f t="shared" si="5"/>
        <v>0</v>
      </c>
    </row>
    <row r="366" spans="1:4" ht="18" hidden="1" x14ac:dyDescent="0.3">
      <c r="A366" s="10" t="s">
        <v>251</v>
      </c>
      <c r="B366" s="8"/>
      <c r="C366" s="8"/>
      <c r="D366" s="8">
        <f t="shared" si="5"/>
        <v>0</v>
      </c>
    </row>
    <row r="367" spans="1:4" ht="18" hidden="1" x14ac:dyDescent="0.3">
      <c r="A367" s="10" t="s">
        <v>252</v>
      </c>
      <c r="B367" s="8"/>
      <c r="C367" s="8"/>
      <c r="D367" s="8">
        <f t="shared" si="5"/>
        <v>0</v>
      </c>
    </row>
    <row r="368" spans="1:4" ht="18" hidden="1" x14ac:dyDescent="0.3">
      <c r="A368" s="10" t="s">
        <v>253</v>
      </c>
      <c r="B368" s="8"/>
      <c r="C368" s="8"/>
      <c r="D368" s="8">
        <f t="shared" si="5"/>
        <v>0</v>
      </c>
    </row>
    <row r="369" spans="1:4" ht="18" hidden="1" x14ac:dyDescent="0.3">
      <c r="A369" s="10" t="s">
        <v>254</v>
      </c>
      <c r="B369" s="8"/>
      <c r="C369" s="8"/>
      <c r="D369" s="8">
        <f t="shared" si="5"/>
        <v>0</v>
      </c>
    </row>
    <row r="370" spans="1:4" ht="18" hidden="1" x14ac:dyDescent="0.3">
      <c r="A370" s="10" t="s">
        <v>258</v>
      </c>
      <c r="B370" s="8"/>
      <c r="C370" s="8"/>
      <c r="D370" s="8">
        <f t="shared" si="5"/>
        <v>0</v>
      </c>
    </row>
    <row r="371" spans="1:4" ht="18" hidden="1" x14ac:dyDescent="0.3">
      <c r="A371" s="10" t="s">
        <v>259</v>
      </c>
      <c r="B371" s="8"/>
      <c r="C371" s="8"/>
      <c r="D371" s="8">
        <f t="shared" si="5"/>
        <v>0</v>
      </c>
    </row>
    <row r="372" spans="1:4" ht="18" hidden="1" x14ac:dyDescent="0.3">
      <c r="A372" s="10" t="s">
        <v>260</v>
      </c>
      <c r="B372" s="8"/>
      <c r="C372" s="8"/>
      <c r="D372" s="8">
        <f t="shared" si="5"/>
        <v>0</v>
      </c>
    </row>
    <row r="373" spans="1:4" ht="18" hidden="1" x14ac:dyDescent="0.3">
      <c r="A373" s="10" t="s">
        <v>261</v>
      </c>
      <c r="B373" s="8"/>
      <c r="C373" s="8"/>
      <c r="D373" s="8">
        <f t="shared" si="5"/>
        <v>0</v>
      </c>
    </row>
    <row r="374" spans="1:4" ht="18" hidden="1" x14ac:dyDescent="0.3">
      <c r="A374" s="10" t="s">
        <v>262</v>
      </c>
      <c r="B374" s="8"/>
      <c r="C374" s="8"/>
      <c r="D374" s="8">
        <f t="shared" si="5"/>
        <v>0</v>
      </c>
    </row>
    <row r="375" spans="1:4" ht="18" hidden="1" x14ac:dyDescent="0.3">
      <c r="A375" s="10" t="s">
        <v>263</v>
      </c>
      <c r="B375" s="8"/>
      <c r="C375" s="8"/>
      <c r="D375" s="8">
        <f t="shared" si="5"/>
        <v>0</v>
      </c>
    </row>
    <row r="376" spans="1:4" ht="18" hidden="1" x14ac:dyDescent="0.3">
      <c r="A376" s="10" t="s">
        <v>264</v>
      </c>
      <c r="B376" s="8"/>
      <c r="C376" s="8"/>
      <c r="D376" s="8">
        <f t="shared" si="5"/>
        <v>0</v>
      </c>
    </row>
    <row r="377" spans="1:4" ht="18" hidden="1" x14ac:dyDescent="0.3">
      <c r="A377" s="10" t="s">
        <v>212</v>
      </c>
      <c r="B377" s="8"/>
      <c r="C377" s="8"/>
      <c r="D377" s="8">
        <f t="shared" si="5"/>
        <v>0</v>
      </c>
    </row>
    <row r="378" spans="1:4" ht="18" hidden="1" x14ac:dyDescent="0.3">
      <c r="A378" s="40" t="s">
        <v>213</v>
      </c>
      <c r="B378" s="8"/>
      <c r="C378" s="8"/>
      <c r="D378" s="8">
        <f t="shared" si="5"/>
        <v>0</v>
      </c>
    </row>
    <row r="379" spans="1:4" ht="18" hidden="1" x14ac:dyDescent="0.3">
      <c r="A379" s="10" t="s">
        <v>214</v>
      </c>
      <c r="B379" s="8"/>
      <c r="C379" s="8"/>
      <c r="D379" s="8">
        <f t="shared" si="5"/>
        <v>0</v>
      </c>
    </row>
    <row r="380" spans="1:4" ht="18" x14ac:dyDescent="0.3">
      <c r="A380" s="10" t="s">
        <v>215</v>
      </c>
      <c r="B380" s="8">
        <f>495+40+285-200</f>
        <v>620</v>
      </c>
      <c r="C380" s="8">
        <v>16000</v>
      </c>
      <c r="D380" s="8">
        <f t="shared" si="5"/>
        <v>9920000</v>
      </c>
    </row>
    <row r="381" spans="1:4" ht="18" hidden="1" x14ac:dyDescent="0.3">
      <c r="A381" s="10" t="s">
        <v>216</v>
      </c>
      <c r="B381" s="8"/>
      <c r="C381" s="8"/>
      <c r="D381" s="8">
        <f t="shared" si="5"/>
        <v>0</v>
      </c>
    </row>
    <row r="382" spans="1:4" ht="18" hidden="1" x14ac:dyDescent="0.3">
      <c r="A382" s="10" t="s">
        <v>355</v>
      </c>
      <c r="B382" s="8"/>
      <c r="C382" s="8"/>
      <c r="D382" s="8">
        <f t="shared" si="5"/>
        <v>0</v>
      </c>
    </row>
    <row r="383" spans="1:4" ht="18" hidden="1" x14ac:dyDescent="0.3">
      <c r="A383" s="10" t="s">
        <v>217</v>
      </c>
      <c r="B383" s="8"/>
      <c r="C383" s="8"/>
      <c r="D383" s="8">
        <f t="shared" si="5"/>
        <v>0</v>
      </c>
    </row>
    <row r="384" spans="1:4" ht="18" hidden="1" x14ac:dyDescent="0.3">
      <c r="A384" s="10" t="s">
        <v>103</v>
      </c>
      <c r="B384" s="8"/>
      <c r="C384" s="8"/>
      <c r="D384" s="8">
        <f t="shared" si="5"/>
        <v>0</v>
      </c>
    </row>
    <row r="385" spans="1:4" ht="18" hidden="1" x14ac:dyDescent="0.3">
      <c r="A385" s="18" t="s">
        <v>104</v>
      </c>
      <c r="B385" s="8"/>
      <c r="C385" s="8"/>
      <c r="D385" s="8">
        <f t="shared" si="5"/>
        <v>0</v>
      </c>
    </row>
    <row r="386" spans="1:4" ht="18" hidden="1" x14ac:dyDescent="0.3">
      <c r="A386" s="12" t="s">
        <v>107</v>
      </c>
      <c r="B386" s="8"/>
      <c r="C386" s="8"/>
      <c r="D386" s="8">
        <f t="shared" si="5"/>
        <v>0</v>
      </c>
    </row>
    <row r="387" spans="1:4" ht="18" hidden="1" x14ac:dyDescent="0.3">
      <c r="A387" s="10" t="s">
        <v>109</v>
      </c>
      <c r="B387" s="8"/>
      <c r="C387" s="8"/>
      <c r="D387" s="8">
        <f t="shared" si="5"/>
        <v>0</v>
      </c>
    </row>
    <row r="388" spans="1:4" ht="18" hidden="1" x14ac:dyDescent="0.3">
      <c r="A388" s="10" t="s">
        <v>177</v>
      </c>
      <c r="B388" s="8"/>
      <c r="C388" s="8"/>
      <c r="D388" s="8">
        <f t="shared" ref="D388:D451" si="6">B388*C388</f>
        <v>0</v>
      </c>
    </row>
    <row r="389" spans="1:4" ht="18" x14ac:dyDescent="0.3">
      <c r="A389" s="10" t="s">
        <v>135</v>
      </c>
      <c r="B389" s="8">
        <f>50+40+6</f>
        <v>96</v>
      </c>
      <c r="C389" s="8">
        <v>9000</v>
      </c>
      <c r="D389" s="8">
        <f t="shared" si="6"/>
        <v>864000</v>
      </c>
    </row>
    <row r="390" spans="1:4" ht="18" hidden="1" x14ac:dyDescent="0.3">
      <c r="A390" s="20" t="s">
        <v>136</v>
      </c>
      <c r="B390" s="8"/>
      <c r="C390" s="8"/>
      <c r="D390" s="8">
        <f t="shared" si="6"/>
        <v>0</v>
      </c>
    </row>
    <row r="391" spans="1:4" ht="18" hidden="1" x14ac:dyDescent="0.3">
      <c r="A391" s="13" t="s">
        <v>193</v>
      </c>
      <c r="B391" s="8"/>
      <c r="C391" s="8"/>
      <c r="D391" s="8">
        <f t="shared" si="6"/>
        <v>0</v>
      </c>
    </row>
    <row r="392" spans="1:4" ht="18" hidden="1" x14ac:dyDescent="0.3">
      <c r="A392" s="10" t="s">
        <v>319</v>
      </c>
      <c r="B392" s="8"/>
      <c r="C392" s="8"/>
      <c r="D392" s="8">
        <f t="shared" si="6"/>
        <v>0</v>
      </c>
    </row>
    <row r="393" spans="1:4" ht="18" hidden="1" x14ac:dyDescent="0.3">
      <c r="A393" s="10" t="s">
        <v>11</v>
      </c>
      <c r="B393" s="8"/>
      <c r="C393" s="8"/>
      <c r="D393" s="8">
        <f t="shared" si="6"/>
        <v>0</v>
      </c>
    </row>
    <row r="394" spans="1:4" ht="18" x14ac:dyDescent="0.3">
      <c r="A394" s="10" t="s">
        <v>12</v>
      </c>
      <c r="B394" s="8">
        <v>6</v>
      </c>
      <c r="C394" s="8">
        <v>10000</v>
      </c>
      <c r="D394" s="8">
        <f t="shared" si="6"/>
        <v>60000</v>
      </c>
    </row>
    <row r="395" spans="1:4" ht="18" hidden="1" x14ac:dyDescent="0.3">
      <c r="A395" s="13" t="s">
        <v>13</v>
      </c>
      <c r="B395" s="8"/>
      <c r="C395" s="8"/>
      <c r="D395" s="8">
        <f t="shared" si="6"/>
        <v>0</v>
      </c>
    </row>
    <row r="396" spans="1:4" ht="18" hidden="1" x14ac:dyDescent="0.3">
      <c r="A396" s="10" t="s">
        <v>165</v>
      </c>
      <c r="B396" s="8"/>
      <c r="C396" s="8"/>
      <c r="D396" s="8">
        <f t="shared" si="6"/>
        <v>0</v>
      </c>
    </row>
    <row r="397" spans="1:4" ht="18" hidden="1" x14ac:dyDescent="0.3">
      <c r="A397" s="18" t="s">
        <v>166</v>
      </c>
      <c r="B397" s="8"/>
      <c r="C397" s="8"/>
      <c r="D397" s="8">
        <f t="shared" si="6"/>
        <v>0</v>
      </c>
    </row>
    <row r="398" spans="1:4" ht="18" hidden="1" x14ac:dyDescent="0.3">
      <c r="A398" s="10" t="s">
        <v>199</v>
      </c>
      <c r="B398" s="8"/>
      <c r="C398" s="8"/>
      <c r="D398" s="8">
        <f t="shared" si="6"/>
        <v>0</v>
      </c>
    </row>
    <row r="399" spans="1:4" ht="18" hidden="1" x14ac:dyDescent="0.3">
      <c r="A399" s="38" t="s">
        <v>200</v>
      </c>
      <c r="B399" s="8"/>
      <c r="C399" s="8"/>
      <c r="D399" s="8">
        <f t="shared" si="6"/>
        <v>0</v>
      </c>
    </row>
    <row r="400" spans="1:4" ht="18" hidden="1" x14ac:dyDescent="0.3">
      <c r="A400" s="10" t="s">
        <v>237</v>
      </c>
      <c r="B400" s="8"/>
      <c r="C400" s="8"/>
      <c r="D400" s="8">
        <f t="shared" si="6"/>
        <v>0</v>
      </c>
    </row>
    <row r="401" spans="1:4" ht="18" hidden="1" x14ac:dyDescent="0.3">
      <c r="A401" s="10" t="s">
        <v>238</v>
      </c>
      <c r="B401" s="8"/>
      <c r="C401" s="8"/>
      <c r="D401" s="8">
        <f t="shared" si="6"/>
        <v>0</v>
      </c>
    </row>
    <row r="402" spans="1:4" ht="18" hidden="1" x14ac:dyDescent="0.3">
      <c r="A402" s="10" t="s">
        <v>27</v>
      </c>
      <c r="B402" s="8"/>
      <c r="C402" s="8"/>
      <c r="D402" s="8">
        <f t="shared" si="6"/>
        <v>0</v>
      </c>
    </row>
    <row r="403" spans="1:4" ht="18" hidden="1" x14ac:dyDescent="0.3">
      <c r="A403" s="13" t="s">
        <v>28</v>
      </c>
      <c r="B403" s="8"/>
      <c r="C403" s="8"/>
      <c r="D403" s="8">
        <f t="shared" si="6"/>
        <v>0</v>
      </c>
    </row>
    <row r="404" spans="1:4" ht="18" hidden="1" x14ac:dyDescent="0.3">
      <c r="A404" s="45" t="s">
        <v>35</v>
      </c>
      <c r="B404" s="8"/>
      <c r="C404" s="8"/>
      <c r="D404" s="8">
        <f t="shared" si="6"/>
        <v>0</v>
      </c>
    </row>
    <row r="405" spans="1:4" ht="18" hidden="1" x14ac:dyDescent="0.3">
      <c r="A405" s="10" t="s">
        <v>201</v>
      </c>
      <c r="B405" s="8"/>
      <c r="C405" s="8"/>
      <c r="D405" s="8">
        <f t="shared" si="6"/>
        <v>0</v>
      </c>
    </row>
    <row r="406" spans="1:4" ht="18" hidden="1" x14ac:dyDescent="0.3">
      <c r="A406" s="13" t="s">
        <v>202</v>
      </c>
      <c r="B406" s="8"/>
      <c r="C406" s="8"/>
      <c r="D406" s="8">
        <f t="shared" si="6"/>
        <v>0</v>
      </c>
    </row>
    <row r="407" spans="1:4" ht="18" hidden="1" x14ac:dyDescent="0.3">
      <c r="A407" s="10" t="s">
        <v>351</v>
      </c>
      <c r="B407" s="8"/>
      <c r="C407" s="8"/>
      <c r="D407" s="8">
        <f t="shared" si="6"/>
        <v>0</v>
      </c>
    </row>
    <row r="408" spans="1:4" ht="18" hidden="1" x14ac:dyDescent="0.3">
      <c r="A408" s="10" t="s">
        <v>203</v>
      </c>
      <c r="B408" s="8"/>
      <c r="C408" s="8"/>
      <c r="D408" s="8">
        <f t="shared" si="6"/>
        <v>0</v>
      </c>
    </row>
    <row r="409" spans="1:4" ht="18" hidden="1" x14ac:dyDescent="0.3">
      <c r="A409" s="10" t="s">
        <v>274</v>
      </c>
      <c r="B409" s="8"/>
      <c r="C409" s="8"/>
      <c r="D409" s="8">
        <f t="shared" si="6"/>
        <v>0</v>
      </c>
    </row>
    <row r="410" spans="1:4" ht="18" hidden="1" x14ac:dyDescent="0.3">
      <c r="A410" s="10" t="s">
        <v>275</v>
      </c>
      <c r="B410" s="8"/>
      <c r="C410" s="8"/>
      <c r="D410" s="8">
        <f t="shared" si="6"/>
        <v>0</v>
      </c>
    </row>
    <row r="411" spans="1:4" ht="18" hidden="1" x14ac:dyDescent="0.3">
      <c r="A411" s="13" t="s">
        <v>20</v>
      </c>
      <c r="B411" s="8"/>
      <c r="C411" s="8"/>
      <c r="D411" s="8">
        <f t="shared" si="6"/>
        <v>0</v>
      </c>
    </row>
    <row r="412" spans="1:4" ht="18" hidden="1" x14ac:dyDescent="0.3">
      <c r="A412" s="13" t="s">
        <v>21</v>
      </c>
      <c r="B412" s="8"/>
      <c r="C412" s="8"/>
      <c r="D412" s="8">
        <f t="shared" si="6"/>
        <v>0</v>
      </c>
    </row>
    <row r="413" spans="1:4" ht="18" hidden="1" x14ac:dyDescent="0.3">
      <c r="A413" s="10" t="s">
        <v>173</v>
      </c>
      <c r="B413" s="8"/>
      <c r="C413" s="8"/>
      <c r="D413" s="8">
        <f t="shared" si="6"/>
        <v>0</v>
      </c>
    </row>
    <row r="414" spans="1:4" ht="18" hidden="1" x14ac:dyDescent="0.3">
      <c r="A414" s="34" t="s">
        <v>174</v>
      </c>
      <c r="B414" s="36"/>
      <c r="C414" s="36"/>
      <c r="D414" s="8">
        <f t="shared" si="6"/>
        <v>0</v>
      </c>
    </row>
    <row r="415" spans="1:4" ht="18" x14ac:dyDescent="0.3">
      <c r="A415" s="6" t="s">
        <v>2</v>
      </c>
      <c r="B415" s="8">
        <v>4</v>
      </c>
      <c r="C415" s="8">
        <v>10000</v>
      </c>
      <c r="D415" s="8">
        <f t="shared" si="6"/>
        <v>40000</v>
      </c>
    </row>
    <row r="416" spans="1:4" ht="18" hidden="1" x14ac:dyDescent="0.3">
      <c r="A416" s="9" t="s">
        <v>3</v>
      </c>
      <c r="B416" s="8"/>
      <c r="C416" s="8"/>
      <c r="D416" s="8">
        <f t="shared" si="6"/>
        <v>0</v>
      </c>
    </row>
    <row r="417" spans="1:4" ht="18" hidden="1" x14ac:dyDescent="0.3">
      <c r="A417" s="6" t="s">
        <v>4</v>
      </c>
      <c r="B417" s="8"/>
      <c r="C417" s="8"/>
      <c r="D417" s="8">
        <f t="shared" si="6"/>
        <v>0</v>
      </c>
    </row>
    <row r="418" spans="1:4" ht="18" hidden="1" x14ac:dyDescent="0.3">
      <c r="A418" s="18" t="s">
        <v>61</v>
      </c>
      <c r="B418" s="8"/>
      <c r="C418" s="8"/>
      <c r="D418" s="8">
        <f t="shared" si="6"/>
        <v>0</v>
      </c>
    </row>
    <row r="419" spans="1:4" ht="18" hidden="1" x14ac:dyDescent="0.3">
      <c r="A419" s="14" t="s">
        <v>298</v>
      </c>
      <c r="B419" s="8"/>
      <c r="C419" s="8"/>
      <c r="D419" s="8">
        <f t="shared" si="6"/>
        <v>0</v>
      </c>
    </row>
    <row r="420" spans="1:4" ht="18" hidden="1" x14ac:dyDescent="0.3">
      <c r="A420" s="14" t="s">
        <v>309</v>
      </c>
      <c r="B420" s="8"/>
      <c r="C420" s="8"/>
      <c r="D420" s="8">
        <f t="shared" si="6"/>
        <v>0</v>
      </c>
    </row>
    <row r="421" spans="1:4" ht="18" hidden="1" x14ac:dyDescent="0.3">
      <c r="A421" s="14" t="s">
        <v>310</v>
      </c>
      <c r="B421" s="8"/>
      <c r="C421" s="8"/>
      <c r="D421" s="8">
        <f t="shared" si="6"/>
        <v>0</v>
      </c>
    </row>
    <row r="422" spans="1:4" ht="18" hidden="1" x14ac:dyDescent="0.3">
      <c r="A422" s="14" t="s">
        <v>312</v>
      </c>
      <c r="B422" s="8"/>
      <c r="C422" s="8"/>
      <c r="D422" s="8">
        <f t="shared" si="6"/>
        <v>0</v>
      </c>
    </row>
    <row r="423" spans="1:4" ht="18" hidden="1" x14ac:dyDescent="0.3">
      <c r="A423" s="10" t="s">
        <v>321</v>
      </c>
      <c r="B423" s="42"/>
      <c r="C423" s="42"/>
      <c r="D423" s="8">
        <f t="shared" si="6"/>
        <v>0</v>
      </c>
    </row>
    <row r="424" spans="1:4" ht="18" hidden="1" x14ac:dyDescent="0.3">
      <c r="A424" s="10" t="s">
        <v>85</v>
      </c>
      <c r="B424" s="8"/>
      <c r="C424" s="8"/>
      <c r="D424" s="8">
        <f t="shared" si="6"/>
        <v>0</v>
      </c>
    </row>
    <row r="425" spans="1:4" ht="18" hidden="1" x14ac:dyDescent="0.3">
      <c r="A425" s="10" t="s">
        <v>86</v>
      </c>
      <c r="B425" s="8"/>
      <c r="C425" s="8"/>
      <c r="D425" s="8">
        <f t="shared" si="6"/>
        <v>0</v>
      </c>
    </row>
    <row r="426" spans="1:4" ht="18" hidden="1" x14ac:dyDescent="0.3">
      <c r="A426" s="10" t="s">
        <v>87</v>
      </c>
      <c r="B426" s="8"/>
      <c r="C426" s="8"/>
      <c r="D426" s="8">
        <f t="shared" si="6"/>
        <v>0</v>
      </c>
    </row>
    <row r="427" spans="1:4" ht="18" hidden="1" x14ac:dyDescent="0.3">
      <c r="A427" s="10" t="s">
        <v>88</v>
      </c>
      <c r="B427" s="8"/>
      <c r="C427" s="8"/>
      <c r="D427" s="8">
        <f t="shared" si="6"/>
        <v>0</v>
      </c>
    </row>
    <row r="428" spans="1:4" ht="18" hidden="1" x14ac:dyDescent="0.3">
      <c r="A428" s="10" t="s">
        <v>89</v>
      </c>
      <c r="B428" s="8"/>
      <c r="C428" s="8"/>
      <c r="D428" s="8">
        <f t="shared" si="6"/>
        <v>0</v>
      </c>
    </row>
    <row r="429" spans="1:4" ht="18" hidden="1" x14ac:dyDescent="0.3">
      <c r="A429" s="10" t="s">
        <v>176</v>
      </c>
      <c r="B429" s="8"/>
      <c r="C429" s="8"/>
      <c r="D429" s="8">
        <f t="shared" si="6"/>
        <v>0</v>
      </c>
    </row>
    <row r="430" spans="1:4" ht="18" hidden="1" x14ac:dyDescent="0.3">
      <c r="A430" s="10" t="s">
        <v>242</v>
      </c>
      <c r="B430" s="8"/>
      <c r="C430" s="8"/>
      <c r="D430" s="8">
        <f t="shared" si="6"/>
        <v>0</v>
      </c>
    </row>
    <row r="431" spans="1:4" ht="18" hidden="1" x14ac:dyDescent="0.3">
      <c r="A431" s="10" t="s">
        <v>243</v>
      </c>
      <c r="B431" s="8"/>
      <c r="C431" s="8"/>
      <c r="D431" s="8">
        <f t="shared" si="6"/>
        <v>0</v>
      </c>
    </row>
    <row r="432" spans="1:4" ht="18" hidden="1" x14ac:dyDescent="0.3">
      <c r="A432" s="10" t="s">
        <v>265</v>
      </c>
      <c r="B432" s="17"/>
      <c r="C432" s="17"/>
      <c r="D432" s="8">
        <f t="shared" si="6"/>
        <v>0</v>
      </c>
    </row>
    <row r="433" spans="1:4" ht="18" hidden="1" x14ac:dyDescent="0.3">
      <c r="A433" s="14" t="s">
        <v>266</v>
      </c>
      <c r="B433" s="8"/>
      <c r="C433" s="8"/>
      <c r="D433" s="8">
        <f t="shared" si="6"/>
        <v>0</v>
      </c>
    </row>
    <row r="434" spans="1:4" ht="18" hidden="1" x14ac:dyDescent="0.3">
      <c r="A434" s="13" t="s">
        <v>296</v>
      </c>
      <c r="B434" s="8"/>
      <c r="C434" s="8"/>
      <c r="D434" s="8">
        <f t="shared" si="6"/>
        <v>0</v>
      </c>
    </row>
    <row r="435" spans="1:4" ht="18" hidden="1" x14ac:dyDescent="0.3">
      <c r="A435" s="18" t="s">
        <v>297</v>
      </c>
      <c r="B435" s="8"/>
      <c r="C435" s="8"/>
      <c r="D435" s="8">
        <f t="shared" si="6"/>
        <v>0</v>
      </c>
    </row>
    <row r="436" spans="1:4" ht="18" x14ac:dyDescent="0.3">
      <c r="A436" s="10" t="s">
        <v>122</v>
      </c>
      <c r="B436" s="8">
        <v>10</v>
      </c>
      <c r="C436" s="8">
        <v>10000</v>
      </c>
      <c r="D436" s="8">
        <f t="shared" si="6"/>
        <v>100000</v>
      </c>
    </row>
    <row r="437" spans="1:4" ht="18" hidden="1" x14ac:dyDescent="0.3">
      <c r="A437" s="18" t="s">
        <v>42</v>
      </c>
      <c r="B437" s="8"/>
      <c r="C437" s="8"/>
      <c r="D437" s="8">
        <f t="shared" si="6"/>
        <v>0</v>
      </c>
    </row>
    <row r="438" spans="1:4" ht="18" hidden="1" x14ac:dyDescent="0.3">
      <c r="A438" s="10" t="s">
        <v>43</v>
      </c>
      <c r="B438" s="8"/>
      <c r="C438" s="8"/>
      <c r="D438" s="8">
        <f t="shared" si="6"/>
        <v>0</v>
      </c>
    </row>
    <row r="439" spans="1:4" ht="18" hidden="1" x14ac:dyDescent="0.3">
      <c r="A439" s="10" t="s">
        <v>44</v>
      </c>
      <c r="B439" s="8"/>
      <c r="C439" s="8"/>
      <c r="D439" s="8">
        <f t="shared" si="6"/>
        <v>0</v>
      </c>
    </row>
    <row r="440" spans="1:4" ht="18" hidden="1" x14ac:dyDescent="0.3">
      <c r="A440" s="18" t="s">
        <v>285</v>
      </c>
      <c r="B440" s="8"/>
      <c r="C440" s="8"/>
      <c r="D440" s="8">
        <f t="shared" si="6"/>
        <v>0</v>
      </c>
    </row>
    <row r="441" spans="1:4" ht="18" hidden="1" x14ac:dyDescent="0.3">
      <c r="A441" s="18" t="s">
        <v>286</v>
      </c>
      <c r="B441" s="8"/>
      <c r="C441" s="8"/>
      <c r="D441" s="8">
        <f t="shared" si="6"/>
        <v>0</v>
      </c>
    </row>
    <row r="442" spans="1:4" ht="18" hidden="1" x14ac:dyDescent="0.3">
      <c r="A442" s="10" t="s">
        <v>141</v>
      </c>
      <c r="B442" s="17"/>
      <c r="C442" s="17"/>
      <c r="D442" s="8">
        <f t="shared" si="6"/>
        <v>0</v>
      </c>
    </row>
    <row r="443" spans="1:4" ht="18" hidden="1" x14ac:dyDescent="0.3">
      <c r="A443" s="10" t="s">
        <v>142</v>
      </c>
      <c r="B443" s="17"/>
      <c r="C443" s="17"/>
      <c r="D443" s="8">
        <f t="shared" si="6"/>
        <v>0</v>
      </c>
    </row>
    <row r="444" spans="1:4" ht="18" hidden="1" x14ac:dyDescent="0.3">
      <c r="A444" s="26" t="s">
        <v>144</v>
      </c>
      <c r="B444" s="17"/>
      <c r="C444" s="17"/>
      <c r="D444" s="8">
        <f t="shared" si="6"/>
        <v>0</v>
      </c>
    </row>
    <row r="445" spans="1:4" ht="18" hidden="1" x14ac:dyDescent="0.3">
      <c r="A445" s="26" t="s">
        <v>145</v>
      </c>
      <c r="B445" s="17"/>
      <c r="C445" s="17"/>
      <c r="D445" s="8">
        <f t="shared" si="6"/>
        <v>0</v>
      </c>
    </row>
    <row r="446" spans="1:4" ht="18" hidden="1" x14ac:dyDescent="0.3">
      <c r="A446" s="26" t="s">
        <v>146</v>
      </c>
      <c r="B446" s="17"/>
      <c r="C446" s="17"/>
      <c r="D446" s="8">
        <f t="shared" si="6"/>
        <v>0</v>
      </c>
    </row>
    <row r="447" spans="1:4" ht="18" hidden="1" x14ac:dyDescent="0.3">
      <c r="A447" s="10" t="s">
        <v>147</v>
      </c>
      <c r="B447" s="17"/>
      <c r="C447" s="17"/>
      <c r="D447" s="8">
        <f t="shared" si="6"/>
        <v>0</v>
      </c>
    </row>
    <row r="448" spans="1:4" ht="18" hidden="1" x14ac:dyDescent="0.3">
      <c r="A448" s="10" t="s">
        <v>149</v>
      </c>
      <c r="B448" s="17"/>
      <c r="C448" s="17"/>
      <c r="D448" s="8">
        <f t="shared" si="6"/>
        <v>0</v>
      </c>
    </row>
    <row r="449" spans="1:4" ht="18" hidden="1" x14ac:dyDescent="0.3">
      <c r="A449" s="10" t="s">
        <v>150</v>
      </c>
      <c r="B449" s="17"/>
      <c r="C449" s="17"/>
      <c r="D449" s="8">
        <f t="shared" si="6"/>
        <v>0</v>
      </c>
    </row>
    <row r="450" spans="1:4" ht="18" hidden="1" x14ac:dyDescent="0.3">
      <c r="A450" s="10" t="s">
        <v>151</v>
      </c>
      <c r="B450" s="17"/>
      <c r="C450" s="17"/>
      <c r="D450" s="8">
        <f t="shared" si="6"/>
        <v>0</v>
      </c>
    </row>
    <row r="451" spans="1:4" ht="18" hidden="1" x14ac:dyDescent="0.3">
      <c r="A451" s="10" t="s">
        <v>161</v>
      </c>
      <c r="B451" s="17"/>
      <c r="C451" s="17"/>
      <c r="D451" s="8">
        <f t="shared" si="6"/>
        <v>0</v>
      </c>
    </row>
    <row r="452" spans="1:4" ht="18" hidden="1" x14ac:dyDescent="0.3">
      <c r="A452" s="10" t="s">
        <v>162</v>
      </c>
      <c r="B452" s="17"/>
      <c r="C452" s="17"/>
      <c r="D452" s="8">
        <f t="shared" ref="D452:D515" si="7">B452*C452</f>
        <v>0</v>
      </c>
    </row>
    <row r="453" spans="1:4" ht="18" hidden="1" x14ac:dyDescent="0.3">
      <c r="A453" s="10" t="s">
        <v>163</v>
      </c>
      <c r="B453" s="17"/>
      <c r="C453" s="17"/>
      <c r="D453" s="8">
        <f t="shared" si="7"/>
        <v>0</v>
      </c>
    </row>
    <row r="454" spans="1:4" ht="18" hidden="1" x14ac:dyDescent="0.3">
      <c r="A454" s="10" t="s">
        <v>15</v>
      </c>
      <c r="B454" s="8"/>
      <c r="C454" s="8"/>
      <c r="D454" s="8">
        <f t="shared" si="7"/>
        <v>0</v>
      </c>
    </row>
    <row r="455" spans="1:4" ht="18" x14ac:dyDescent="0.3">
      <c r="A455" s="13" t="s">
        <v>52</v>
      </c>
      <c r="B455" s="8">
        <f>80+10+30</f>
        <v>120</v>
      </c>
      <c r="C455" s="8">
        <v>16000</v>
      </c>
      <c r="D455" s="8">
        <f t="shared" si="7"/>
        <v>1920000</v>
      </c>
    </row>
    <row r="456" spans="1:4" ht="18" hidden="1" x14ac:dyDescent="0.3">
      <c r="A456" s="10" t="s">
        <v>62</v>
      </c>
      <c r="B456" s="8"/>
      <c r="C456" s="8"/>
      <c r="D456" s="8">
        <f t="shared" si="7"/>
        <v>0</v>
      </c>
    </row>
    <row r="457" spans="1:4" ht="18" hidden="1" x14ac:dyDescent="0.3">
      <c r="A457" s="10" t="s">
        <v>75</v>
      </c>
      <c r="B457" s="8"/>
      <c r="C457" s="8"/>
      <c r="D457" s="8">
        <f t="shared" si="7"/>
        <v>0</v>
      </c>
    </row>
    <row r="458" spans="1:4" ht="18" hidden="1" x14ac:dyDescent="0.3">
      <c r="A458" s="13" t="s">
        <v>76</v>
      </c>
      <c r="B458" s="8"/>
      <c r="C458" s="8"/>
      <c r="D458" s="8">
        <f t="shared" si="7"/>
        <v>0</v>
      </c>
    </row>
    <row r="459" spans="1:4" ht="18" hidden="1" x14ac:dyDescent="0.3">
      <c r="A459" s="10" t="s">
        <v>359</v>
      </c>
      <c r="B459" s="8"/>
      <c r="C459" s="8"/>
      <c r="D459" s="8">
        <f t="shared" si="7"/>
        <v>0</v>
      </c>
    </row>
    <row r="460" spans="1:4" ht="18" hidden="1" x14ac:dyDescent="0.3">
      <c r="A460" s="10" t="s">
        <v>363</v>
      </c>
      <c r="B460" s="8"/>
      <c r="C460" s="8"/>
      <c r="D460" s="8">
        <f t="shared" si="7"/>
        <v>0</v>
      </c>
    </row>
    <row r="461" spans="1:4" ht="18" x14ac:dyDescent="0.3">
      <c r="A461" s="10" t="s">
        <v>19</v>
      </c>
      <c r="B461" s="8">
        <f>390+300+135+90+900+195-70</f>
        <v>1940</v>
      </c>
      <c r="C461" s="8">
        <v>14500</v>
      </c>
      <c r="D461" s="8">
        <f t="shared" si="7"/>
        <v>28130000</v>
      </c>
    </row>
    <row r="462" spans="1:4" ht="18" hidden="1" x14ac:dyDescent="0.3">
      <c r="A462" s="10" t="s">
        <v>40</v>
      </c>
      <c r="B462" s="8"/>
      <c r="C462" s="8"/>
      <c r="D462" s="8">
        <f t="shared" si="7"/>
        <v>0</v>
      </c>
    </row>
    <row r="463" spans="1:4" ht="18" hidden="1" x14ac:dyDescent="0.3">
      <c r="A463" s="12" t="s">
        <v>48</v>
      </c>
      <c r="B463" s="8"/>
      <c r="C463" s="8"/>
      <c r="D463" s="8">
        <f t="shared" si="7"/>
        <v>0</v>
      </c>
    </row>
    <row r="464" spans="1:4" ht="18" hidden="1" x14ac:dyDescent="0.3">
      <c r="A464" s="14" t="s">
        <v>49</v>
      </c>
      <c r="B464" s="8"/>
      <c r="C464" s="8"/>
      <c r="D464" s="8">
        <f t="shared" si="7"/>
        <v>0</v>
      </c>
    </row>
    <row r="465" spans="1:4" ht="18" hidden="1" x14ac:dyDescent="0.3">
      <c r="A465" s="11" t="s">
        <v>124</v>
      </c>
      <c r="B465" s="8"/>
      <c r="C465" s="8"/>
      <c r="D465" s="8">
        <f t="shared" si="7"/>
        <v>0</v>
      </c>
    </row>
    <row r="466" spans="1:4" ht="18" hidden="1" x14ac:dyDescent="0.3">
      <c r="A466" s="14" t="s">
        <v>125</v>
      </c>
      <c r="B466" s="8"/>
      <c r="C466" s="8"/>
      <c r="D466" s="8">
        <f t="shared" si="7"/>
        <v>0</v>
      </c>
    </row>
    <row r="467" spans="1:4" ht="18" hidden="1" x14ac:dyDescent="0.3">
      <c r="A467" s="13" t="s">
        <v>126</v>
      </c>
      <c r="B467" s="17"/>
      <c r="C467" s="17"/>
      <c r="D467" s="8">
        <f t="shared" si="7"/>
        <v>0</v>
      </c>
    </row>
    <row r="468" spans="1:4" ht="18" hidden="1" x14ac:dyDescent="0.3">
      <c r="A468" s="13" t="s">
        <v>127</v>
      </c>
      <c r="B468" s="17"/>
      <c r="C468" s="17"/>
      <c r="D468" s="8">
        <f t="shared" si="7"/>
        <v>0</v>
      </c>
    </row>
    <row r="469" spans="1:4" ht="18" hidden="1" x14ac:dyDescent="0.3">
      <c r="A469" s="13" t="s">
        <v>128</v>
      </c>
      <c r="B469" s="17"/>
      <c r="C469" s="17"/>
      <c r="D469" s="8">
        <f t="shared" si="7"/>
        <v>0</v>
      </c>
    </row>
    <row r="470" spans="1:4" ht="18" hidden="1" x14ac:dyDescent="0.3">
      <c r="A470" s="13" t="s">
        <v>129</v>
      </c>
      <c r="B470" s="29"/>
      <c r="C470" s="29"/>
      <c r="D470" s="8">
        <f t="shared" si="7"/>
        <v>0</v>
      </c>
    </row>
    <row r="471" spans="1:4" ht="18" hidden="1" x14ac:dyDescent="0.3">
      <c r="A471" s="10" t="s">
        <v>148</v>
      </c>
      <c r="B471" s="17"/>
      <c r="C471" s="17"/>
      <c r="D471" s="8">
        <f t="shared" si="7"/>
        <v>0</v>
      </c>
    </row>
    <row r="472" spans="1:4" ht="18" hidden="1" x14ac:dyDescent="0.3">
      <c r="A472" s="18" t="s">
        <v>218</v>
      </c>
      <c r="B472" s="8"/>
      <c r="C472" s="8"/>
      <c r="D472" s="8">
        <f t="shared" si="7"/>
        <v>0</v>
      </c>
    </row>
    <row r="473" spans="1:4" ht="18" hidden="1" x14ac:dyDescent="0.3">
      <c r="A473" s="18" t="s">
        <v>219</v>
      </c>
      <c r="B473" s="8"/>
      <c r="C473" s="8"/>
      <c r="D473" s="8">
        <f t="shared" si="7"/>
        <v>0</v>
      </c>
    </row>
    <row r="474" spans="1:4" ht="18" hidden="1" x14ac:dyDescent="0.3">
      <c r="A474" s="18" t="s">
        <v>220</v>
      </c>
      <c r="B474" s="8"/>
      <c r="C474" s="8"/>
      <c r="D474" s="8">
        <f t="shared" si="7"/>
        <v>0</v>
      </c>
    </row>
    <row r="475" spans="1:4" ht="18" hidden="1" x14ac:dyDescent="0.3">
      <c r="A475" s="18" t="s">
        <v>221</v>
      </c>
      <c r="B475" s="8"/>
      <c r="C475" s="8"/>
      <c r="D475" s="8">
        <f t="shared" si="7"/>
        <v>0</v>
      </c>
    </row>
    <row r="476" spans="1:4" ht="18" hidden="1" x14ac:dyDescent="0.3">
      <c r="A476" s="10" t="s">
        <v>222</v>
      </c>
      <c r="B476" s="8"/>
      <c r="C476" s="8"/>
      <c r="D476" s="8">
        <f t="shared" si="7"/>
        <v>0</v>
      </c>
    </row>
    <row r="477" spans="1:4" ht="18" hidden="1" x14ac:dyDescent="0.3">
      <c r="A477" s="10" t="s">
        <v>223</v>
      </c>
      <c r="B477" s="8"/>
      <c r="C477" s="8"/>
      <c r="D477" s="8">
        <f t="shared" si="7"/>
        <v>0</v>
      </c>
    </row>
    <row r="478" spans="1:4" ht="18" hidden="1" x14ac:dyDescent="0.3">
      <c r="A478" s="18" t="s">
        <v>224</v>
      </c>
      <c r="B478" s="8"/>
      <c r="C478" s="8"/>
      <c r="D478" s="8">
        <f t="shared" si="7"/>
        <v>0</v>
      </c>
    </row>
    <row r="479" spans="1:4" ht="18" hidden="1" x14ac:dyDescent="0.3">
      <c r="A479" s="18" t="s">
        <v>225</v>
      </c>
      <c r="B479" s="8"/>
      <c r="C479" s="8"/>
      <c r="D479" s="8">
        <f t="shared" si="7"/>
        <v>0</v>
      </c>
    </row>
    <row r="480" spans="1:4" ht="18" hidden="1" x14ac:dyDescent="0.3">
      <c r="A480" s="10" t="s">
        <v>244</v>
      </c>
      <c r="B480" s="17"/>
      <c r="C480" s="17"/>
      <c r="D480" s="8">
        <f t="shared" si="7"/>
        <v>0</v>
      </c>
    </row>
    <row r="481" spans="1:4" ht="18" hidden="1" x14ac:dyDescent="0.3">
      <c r="A481" s="10" t="s">
        <v>246</v>
      </c>
      <c r="B481" s="17"/>
      <c r="C481" s="17"/>
      <c r="D481" s="8">
        <f t="shared" si="7"/>
        <v>0</v>
      </c>
    </row>
    <row r="482" spans="1:4" ht="18" hidden="1" x14ac:dyDescent="0.3">
      <c r="A482" s="13" t="s">
        <v>281</v>
      </c>
      <c r="B482" s="17"/>
      <c r="C482" s="17"/>
      <c r="D482" s="8">
        <f t="shared" si="7"/>
        <v>0</v>
      </c>
    </row>
    <row r="483" spans="1:4" ht="18" hidden="1" x14ac:dyDescent="0.3">
      <c r="A483" s="10" t="s">
        <v>293</v>
      </c>
      <c r="B483" s="8"/>
      <c r="C483" s="8"/>
      <c r="D483" s="8">
        <f t="shared" si="7"/>
        <v>0</v>
      </c>
    </row>
    <row r="484" spans="1:4" ht="18" hidden="1" x14ac:dyDescent="0.3">
      <c r="A484" s="14" t="s">
        <v>294</v>
      </c>
      <c r="B484" s="8"/>
      <c r="C484" s="8"/>
      <c r="D484" s="8">
        <f t="shared" si="7"/>
        <v>0</v>
      </c>
    </row>
    <row r="485" spans="1:4" ht="18" hidden="1" x14ac:dyDescent="0.3">
      <c r="A485" s="13" t="s">
        <v>304</v>
      </c>
      <c r="B485" s="8"/>
      <c r="C485" s="8"/>
      <c r="D485" s="8">
        <f t="shared" si="7"/>
        <v>0</v>
      </c>
    </row>
    <row r="486" spans="1:4" ht="18" x14ac:dyDescent="0.3">
      <c r="A486" s="10" t="s">
        <v>204</v>
      </c>
      <c r="B486" s="8">
        <f>340+60+240+30</f>
        <v>670</v>
      </c>
      <c r="C486" s="8">
        <v>11000</v>
      </c>
      <c r="D486" s="8">
        <f t="shared" si="7"/>
        <v>7370000</v>
      </c>
    </row>
    <row r="487" spans="1:4" ht="18" hidden="1" x14ac:dyDescent="0.3">
      <c r="A487" s="39" t="s">
        <v>205</v>
      </c>
      <c r="B487" s="8"/>
      <c r="C487" s="8"/>
      <c r="D487" s="8">
        <f t="shared" si="7"/>
        <v>0</v>
      </c>
    </row>
    <row r="488" spans="1:4" ht="18" hidden="1" x14ac:dyDescent="0.3">
      <c r="A488" s="39" t="s">
        <v>206</v>
      </c>
      <c r="B488" s="8"/>
      <c r="C488" s="8"/>
      <c r="D488" s="8">
        <f t="shared" si="7"/>
        <v>0</v>
      </c>
    </row>
    <row r="489" spans="1:4" ht="18" hidden="1" x14ac:dyDescent="0.3">
      <c r="A489" s="10" t="s">
        <v>41</v>
      </c>
      <c r="B489" s="8"/>
      <c r="C489" s="8"/>
      <c r="D489" s="8">
        <f t="shared" si="7"/>
        <v>0</v>
      </c>
    </row>
    <row r="490" spans="1:4" ht="18" hidden="1" x14ac:dyDescent="0.3">
      <c r="A490" s="10" t="s">
        <v>278</v>
      </c>
      <c r="B490" s="8"/>
      <c r="C490" s="8"/>
      <c r="D490" s="8">
        <f t="shared" si="7"/>
        <v>0</v>
      </c>
    </row>
    <row r="491" spans="1:4" ht="18" hidden="1" x14ac:dyDescent="0.3">
      <c r="A491" s="10" t="s">
        <v>53</v>
      </c>
      <c r="B491" s="8"/>
      <c r="C491" s="8"/>
      <c r="D491" s="8">
        <f t="shared" si="7"/>
        <v>0</v>
      </c>
    </row>
    <row r="492" spans="1:4" ht="18" hidden="1" x14ac:dyDescent="0.3">
      <c r="A492" s="18" t="s">
        <v>54</v>
      </c>
      <c r="B492" s="8"/>
      <c r="C492" s="8"/>
      <c r="D492" s="8">
        <f t="shared" si="7"/>
        <v>0</v>
      </c>
    </row>
    <row r="493" spans="1:4" ht="18" hidden="1" x14ac:dyDescent="0.3">
      <c r="A493" s="18" t="s">
        <v>55</v>
      </c>
      <c r="B493" s="8"/>
      <c r="C493" s="8"/>
      <c r="D493" s="8">
        <f t="shared" si="7"/>
        <v>0</v>
      </c>
    </row>
    <row r="494" spans="1:4" ht="18" hidden="1" x14ac:dyDescent="0.3">
      <c r="A494" s="18" t="s">
        <v>56</v>
      </c>
      <c r="B494" s="8"/>
      <c r="C494" s="8"/>
      <c r="D494" s="8">
        <f t="shared" si="7"/>
        <v>0</v>
      </c>
    </row>
    <row r="495" spans="1:4" ht="18" hidden="1" x14ac:dyDescent="0.3">
      <c r="A495" s="10" t="s">
        <v>57</v>
      </c>
      <c r="B495" s="8"/>
      <c r="C495" s="8"/>
      <c r="D495" s="8">
        <f t="shared" si="7"/>
        <v>0</v>
      </c>
    </row>
    <row r="496" spans="1:4" ht="18" hidden="1" x14ac:dyDescent="0.3">
      <c r="A496" s="12" t="s">
        <v>58</v>
      </c>
      <c r="B496" s="8"/>
      <c r="C496" s="8"/>
      <c r="D496" s="8">
        <f t="shared" si="7"/>
        <v>0</v>
      </c>
    </row>
    <row r="497" spans="1:4" ht="18" hidden="1" x14ac:dyDescent="0.3">
      <c r="A497" s="10" t="s">
        <v>59</v>
      </c>
      <c r="B497" s="8"/>
      <c r="C497" s="8"/>
      <c r="D497" s="8">
        <f t="shared" si="7"/>
        <v>0</v>
      </c>
    </row>
    <row r="498" spans="1:4" ht="18" hidden="1" x14ac:dyDescent="0.3">
      <c r="A498" s="10" t="s">
        <v>60</v>
      </c>
      <c r="B498" s="8"/>
      <c r="C498" s="8"/>
      <c r="D498" s="8">
        <f t="shared" si="7"/>
        <v>0</v>
      </c>
    </row>
    <row r="499" spans="1:4" ht="18" hidden="1" x14ac:dyDescent="0.3">
      <c r="A499" s="10" t="s">
        <v>64</v>
      </c>
      <c r="B499" s="8"/>
      <c r="C499" s="8"/>
      <c r="D499" s="8">
        <f t="shared" si="7"/>
        <v>0</v>
      </c>
    </row>
    <row r="500" spans="1:4" ht="18" hidden="1" x14ac:dyDescent="0.3">
      <c r="A500" s="31" t="s">
        <v>65</v>
      </c>
      <c r="B500" s="8"/>
      <c r="C500" s="8"/>
      <c r="D500" s="8">
        <f t="shared" si="7"/>
        <v>0</v>
      </c>
    </row>
    <row r="501" spans="1:4" ht="18" hidden="1" x14ac:dyDescent="0.3">
      <c r="A501" s="22" t="s">
        <v>66</v>
      </c>
      <c r="B501" s="8"/>
      <c r="C501" s="8"/>
      <c r="D501" s="8">
        <f t="shared" si="7"/>
        <v>0</v>
      </c>
    </row>
    <row r="502" spans="1:4" ht="18" hidden="1" x14ac:dyDescent="0.3">
      <c r="A502" s="10" t="s">
        <v>152</v>
      </c>
      <c r="B502" s="8"/>
      <c r="C502" s="8"/>
      <c r="D502" s="8">
        <f t="shared" si="7"/>
        <v>0</v>
      </c>
    </row>
    <row r="503" spans="1:4" ht="18" hidden="1" x14ac:dyDescent="0.3">
      <c r="A503" s="10" t="s">
        <v>349</v>
      </c>
      <c r="B503" s="8"/>
      <c r="C503" s="8"/>
      <c r="D503" s="8">
        <f t="shared" si="7"/>
        <v>0</v>
      </c>
    </row>
    <row r="504" spans="1:4" ht="18" hidden="1" x14ac:dyDescent="0.3">
      <c r="A504" s="10" t="s">
        <v>153</v>
      </c>
      <c r="B504" s="8"/>
      <c r="C504" s="8"/>
      <c r="D504" s="8">
        <f t="shared" si="7"/>
        <v>0</v>
      </c>
    </row>
    <row r="505" spans="1:4" ht="18" hidden="1" x14ac:dyDescent="0.3">
      <c r="A505" s="10" t="s">
        <v>154</v>
      </c>
      <c r="B505" s="8"/>
      <c r="C505" s="8"/>
      <c r="D505" s="8">
        <f t="shared" si="7"/>
        <v>0</v>
      </c>
    </row>
    <row r="506" spans="1:4" ht="18" hidden="1" x14ac:dyDescent="0.3">
      <c r="A506" s="10" t="s">
        <v>155</v>
      </c>
      <c r="B506" s="8"/>
      <c r="C506" s="8"/>
      <c r="D506" s="8">
        <f t="shared" si="7"/>
        <v>0</v>
      </c>
    </row>
    <row r="507" spans="1:4" ht="18" hidden="1" x14ac:dyDescent="0.3">
      <c r="A507" s="18" t="s">
        <v>156</v>
      </c>
      <c r="B507" s="8"/>
      <c r="C507" s="8"/>
      <c r="D507" s="8">
        <f t="shared" si="7"/>
        <v>0</v>
      </c>
    </row>
    <row r="508" spans="1:4" ht="18" x14ac:dyDescent="0.3">
      <c r="A508" s="10" t="s">
        <v>77</v>
      </c>
      <c r="B508" s="8">
        <v>150</v>
      </c>
      <c r="C508" s="8">
        <v>26000</v>
      </c>
      <c r="D508" s="8">
        <f t="shared" si="7"/>
        <v>3900000</v>
      </c>
    </row>
    <row r="509" spans="1:4" ht="18" hidden="1" x14ac:dyDescent="0.3">
      <c r="A509" s="14" t="s">
        <v>78</v>
      </c>
      <c r="B509" s="8"/>
      <c r="C509" s="8"/>
      <c r="D509" s="8">
        <f t="shared" si="7"/>
        <v>0</v>
      </c>
    </row>
    <row r="510" spans="1:4" ht="18" hidden="1" x14ac:dyDescent="0.3">
      <c r="A510" s="10" t="s">
        <v>79</v>
      </c>
      <c r="B510" s="8"/>
      <c r="C510" s="8"/>
      <c r="D510" s="8">
        <f t="shared" si="7"/>
        <v>0</v>
      </c>
    </row>
    <row r="511" spans="1:4" ht="18" hidden="1" x14ac:dyDescent="0.3">
      <c r="A511" s="10" t="s">
        <v>80</v>
      </c>
      <c r="B511" s="8"/>
      <c r="C511" s="8"/>
      <c r="D511" s="8">
        <f t="shared" si="7"/>
        <v>0</v>
      </c>
    </row>
    <row r="512" spans="1:4" ht="18" hidden="1" x14ac:dyDescent="0.3">
      <c r="A512" s="10" t="s">
        <v>81</v>
      </c>
      <c r="B512" s="8"/>
      <c r="C512" s="8"/>
      <c r="D512" s="8">
        <f t="shared" si="7"/>
        <v>0</v>
      </c>
    </row>
    <row r="513" spans="1:4" ht="18" hidden="1" x14ac:dyDescent="0.3">
      <c r="A513" s="14" t="s">
        <v>95</v>
      </c>
      <c r="B513" s="8"/>
      <c r="C513" s="8"/>
      <c r="D513" s="8">
        <f t="shared" si="7"/>
        <v>0</v>
      </c>
    </row>
    <row r="514" spans="1:4" ht="18" hidden="1" x14ac:dyDescent="0.3">
      <c r="A514" s="10" t="s">
        <v>306</v>
      </c>
      <c r="B514" s="8"/>
      <c r="C514" s="8"/>
      <c r="D514" s="8">
        <f t="shared" si="7"/>
        <v>0</v>
      </c>
    </row>
    <row r="515" spans="1:4" ht="18" hidden="1" x14ac:dyDescent="0.3">
      <c r="A515" s="13" t="s">
        <v>320</v>
      </c>
      <c r="B515" s="8"/>
      <c r="C515" s="8"/>
      <c r="D515" s="8">
        <f t="shared" si="7"/>
        <v>0</v>
      </c>
    </row>
    <row r="516" spans="1:4" ht="18" hidden="1" x14ac:dyDescent="0.3">
      <c r="A516" s="10" t="s">
        <v>323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23" t="s">
        <v>92</v>
      </c>
      <c r="B517" s="8"/>
      <c r="C517" s="8"/>
      <c r="D517" s="8">
        <f t="shared" si="8"/>
        <v>0</v>
      </c>
    </row>
    <row r="518" spans="1:4" ht="18" hidden="1" x14ac:dyDescent="0.3">
      <c r="A518" s="23" t="s">
        <v>93</v>
      </c>
      <c r="B518" s="8"/>
      <c r="C518" s="8"/>
      <c r="D518" s="8">
        <f t="shared" si="8"/>
        <v>0</v>
      </c>
    </row>
    <row r="519" spans="1:4" ht="18" hidden="1" x14ac:dyDescent="0.3">
      <c r="A519" s="12" t="s">
        <v>94</v>
      </c>
      <c r="B519" s="8"/>
      <c r="C519" s="8"/>
      <c r="D519" s="8">
        <f t="shared" si="8"/>
        <v>0</v>
      </c>
    </row>
    <row r="520" spans="1:4" ht="18" hidden="1" x14ac:dyDescent="0.3">
      <c r="A520" s="13" t="s">
        <v>181</v>
      </c>
      <c r="B520" s="8"/>
      <c r="C520" s="8"/>
      <c r="D520" s="8">
        <f t="shared" si="8"/>
        <v>0</v>
      </c>
    </row>
    <row r="521" spans="1:4" ht="18" hidden="1" x14ac:dyDescent="0.3">
      <c r="A521" s="13" t="s">
        <v>182</v>
      </c>
      <c r="B521" s="8"/>
      <c r="C521" s="8"/>
      <c r="D521" s="8">
        <f t="shared" si="8"/>
        <v>0</v>
      </c>
    </row>
    <row r="522" spans="1:4" ht="18" x14ac:dyDescent="0.3">
      <c r="A522" s="13" t="s">
        <v>183</v>
      </c>
      <c r="B522" s="8">
        <f>480+30+60-150</f>
        <v>420</v>
      </c>
      <c r="C522" s="8">
        <v>7700</v>
      </c>
      <c r="D522" s="8">
        <f t="shared" si="8"/>
        <v>3234000</v>
      </c>
    </row>
    <row r="523" spans="1:4" ht="18" hidden="1" x14ac:dyDescent="0.3">
      <c r="A523" s="10" t="s">
        <v>184</v>
      </c>
      <c r="B523" s="8"/>
      <c r="C523" s="8"/>
      <c r="D523" s="8">
        <f t="shared" si="8"/>
        <v>0</v>
      </c>
    </row>
    <row r="524" spans="1:4" ht="18" hidden="1" x14ac:dyDescent="0.3">
      <c r="A524" s="13" t="s">
        <v>185</v>
      </c>
      <c r="B524" s="8"/>
      <c r="C524" s="8"/>
      <c r="D524" s="8">
        <f t="shared" si="8"/>
        <v>0</v>
      </c>
    </row>
    <row r="525" spans="1:4" ht="18" hidden="1" x14ac:dyDescent="0.3">
      <c r="A525" s="13" t="s">
        <v>186</v>
      </c>
      <c r="B525" s="8"/>
      <c r="C525" s="8"/>
      <c r="D525" s="8">
        <f t="shared" si="8"/>
        <v>0</v>
      </c>
    </row>
    <row r="526" spans="1:4" ht="18" hidden="1" x14ac:dyDescent="0.3">
      <c r="A526" s="13" t="s">
        <v>187</v>
      </c>
      <c r="B526" s="8"/>
      <c r="C526" s="8"/>
      <c r="D526" s="8">
        <f t="shared" si="8"/>
        <v>0</v>
      </c>
    </row>
    <row r="527" spans="1:4" ht="18" hidden="1" x14ac:dyDescent="0.3">
      <c r="A527" s="10" t="s">
        <v>188</v>
      </c>
      <c r="B527" s="8"/>
      <c r="C527" s="8"/>
      <c r="D527" s="8">
        <f t="shared" si="8"/>
        <v>0</v>
      </c>
    </row>
    <row r="528" spans="1:4" ht="18" hidden="1" x14ac:dyDescent="0.3">
      <c r="A528" s="10" t="s">
        <v>210</v>
      </c>
      <c r="B528" s="8"/>
      <c r="C528" s="8"/>
      <c r="D528" s="8">
        <f t="shared" si="8"/>
        <v>0</v>
      </c>
    </row>
    <row r="529" spans="1:4" ht="18" hidden="1" x14ac:dyDescent="0.3">
      <c r="A529" s="10" t="s">
        <v>211</v>
      </c>
      <c r="B529" s="8"/>
      <c r="C529" s="8"/>
      <c r="D529" s="8">
        <f t="shared" si="8"/>
        <v>0</v>
      </c>
    </row>
    <row r="530" spans="1:4" ht="18" hidden="1" x14ac:dyDescent="0.3">
      <c r="A530" s="10" t="s">
        <v>353</v>
      </c>
      <c r="B530" s="8"/>
      <c r="C530" s="8"/>
      <c r="D530" s="8">
        <f t="shared" si="8"/>
        <v>0</v>
      </c>
    </row>
    <row r="531" spans="1:4" ht="18" hidden="1" x14ac:dyDescent="0.3">
      <c r="A531" s="10" t="s">
        <v>354</v>
      </c>
      <c r="B531" s="8"/>
      <c r="C531" s="8"/>
      <c r="D531" s="8">
        <f t="shared" si="8"/>
        <v>0</v>
      </c>
    </row>
    <row r="532" spans="1:4" ht="18" hidden="1" x14ac:dyDescent="0.3">
      <c r="A532" s="10" t="s">
        <v>105</v>
      </c>
      <c r="B532" s="8"/>
      <c r="C532" s="8"/>
      <c r="D532" s="8">
        <f t="shared" si="8"/>
        <v>0</v>
      </c>
    </row>
    <row r="533" spans="1:4" ht="18" hidden="1" x14ac:dyDescent="0.3">
      <c r="A533" s="10" t="s">
        <v>106</v>
      </c>
      <c r="B533" s="8"/>
      <c r="C533" s="8"/>
      <c r="D533" s="8">
        <f t="shared" si="8"/>
        <v>0</v>
      </c>
    </row>
    <row r="534" spans="1:4" ht="18" hidden="1" x14ac:dyDescent="0.3">
      <c r="A534" s="13" t="s">
        <v>14</v>
      </c>
      <c r="B534" s="8"/>
      <c r="C534" s="8"/>
      <c r="D534" s="8">
        <f t="shared" si="8"/>
        <v>0</v>
      </c>
    </row>
    <row r="535" spans="1:4" ht="18" hidden="1" x14ac:dyDescent="0.3">
      <c r="A535" s="12" t="s">
        <v>343</v>
      </c>
      <c r="B535" s="8"/>
      <c r="C535" s="8"/>
      <c r="D535" s="8">
        <f t="shared" si="8"/>
        <v>0</v>
      </c>
    </row>
    <row r="536" spans="1:4" ht="18" hidden="1" x14ac:dyDescent="0.3">
      <c r="A536" s="12" t="s">
        <v>344</v>
      </c>
      <c r="B536" s="8"/>
      <c r="C536" s="8"/>
      <c r="D536" s="8">
        <f t="shared" si="8"/>
        <v>0</v>
      </c>
    </row>
    <row r="537" spans="1:4" ht="18" hidden="1" x14ac:dyDescent="0.3">
      <c r="A537" s="12" t="s">
        <v>345</v>
      </c>
      <c r="B537" s="8"/>
      <c r="C537" s="8"/>
      <c r="D537" s="8">
        <f t="shared" si="8"/>
        <v>0</v>
      </c>
    </row>
    <row r="538" spans="1:4" ht="18" hidden="1" x14ac:dyDescent="0.3">
      <c r="A538" s="12" t="s">
        <v>346</v>
      </c>
      <c r="B538" s="8"/>
      <c r="C538" s="8"/>
      <c r="D538" s="8">
        <f t="shared" si="8"/>
        <v>0</v>
      </c>
    </row>
    <row r="539" spans="1:4" ht="18" hidden="1" x14ac:dyDescent="0.3">
      <c r="A539" s="10" t="s">
        <v>114</v>
      </c>
      <c r="B539" s="8"/>
      <c r="C539" s="8"/>
      <c r="D539" s="8">
        <f t="shared" si="8"/>
        <v>0</v>
      </c>
    </row>
    <row r="540" spans="1:4" ht="18" hidden="1" x14ac:dyDescent="0.3">
      <c r="A540" s="10" t="s">
        <v>115</v>
      </c>
      <c r="B540" s="8"/>
      <c r="C540" s="8"/>
      <c r="D540" s="8">
        <f t="shared" si="8"/>
        <v>0</v>
      </c>
    </row>
    <row r="541" spans="1:4" ht="18" hidden="1" x14ac:dyDescent="0.3">
      <c r="A541" s="10" t="s">
        <v>347</v>
      </c>
      <c r="B541" s="8"/>
      <c r="C541" s="8"/>
      <c r="D541" s="8">
        <f t="shared" si="8"/>
        <v>0</v>
      </c>
    </row>
    <row r="542" spans="1:4" ht="18" hidden="1" x14ac:dyDescent="0.3">
      <c r="A542" s="10" t="s">
        <v>116</v>
      </c>
      <c r="B542" s="8"/>
      <c r="C542" s="8"/>
      <c r="D542" s="8">
        <f t="shared" si="8"/>
        <v>0</v>
      </c>
    </row>
    <row r="543" spans="1:4" ht="18" hidden="1" x14ac:dyDescent="0.3">
      <c r="A543" s="13" t="s">
        <v>137</v>
      </c>
      <c r="B543" s="8"/>
      <c r="C543" s="8"/>
      <c r="D543" s="8">
        <f t="shared" si="8"/>
        <v>0</v>
      </c>
    </row>
    <row r="544" spans="1:4" ht="18" hidden="1" x14ac:dyDescent="0.3">
      <c r="A544" s="13" t="s">
        <v>138</v>
      </c>
      <c r="B544" s="8"/>
      <c r="C544" s="8"/>
      <c r="D544" s="8">
        <f t="shared" si="8"/>
        <v>0</v>
      </c>
    </row>
    <row r="545" spans="1:4" ht="18" hidden="1" x14ac:dyDescent="0.3">
      <c r="A545" s="10" t="s">
        <v>139</v>
      </c>
      <c r="B545" s="8"/>
      <c r="C545" s="8"/>
      <c r="D545" s="8">
        <f t="shared" si="8"/>
        <v>0</v>
      </c>
    </row>
    <row r="546" spans="1:4" ht="18" hidden="1" x14ac:dyDescent="0.3">
      <c r="A546" s="10" t="s">
        <v>348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207</v>
      </c>
      <c r="B547" s="8"/>
      <c r="C547" s="8"/>
      <c r="D547" s="8">
        <f t="shared" si="8"/>
        <v>0</v>
      </c>
    </row>
    <row r="548" spans="1:4" ht="18" hidden="1" x14ac:dyDescent="0.3">
      <c r="A548" s="12" t="s">
        <v>208</v>
      </c>
      <c r="B548" s="8"/>
      <c r="C548" s="8"/>
      <c r="D548" s="8">
        <f t="shared" si="8"/>
        <v>0</v>
      </c>
    </row>
    <row r="549" spans="1:4" ht="18" hidden="1" x14ac:dyDescent="0.3">
      <c r="A549" s="10" t="s">
        <v>209</v>
      </c>
      <c r="B549" s="8"/>
      <c r="C549" s="8"/>
      <c r="D549" s="8">
        <f t="shared" si="8"/>
        <v>0</v>
      </c>
    </row>
    <row r="550" spans="1:4" ht="18" hidden="1" x14ac:dyDescent="0.3">
      <c r="A550" s="12" t="s">
        <v>352</v>
      </c>
      <c r="B550" s="8"/>
      <c r="C550" s="8"/>
      <c r="D550" s="8">
        <f t="shared" si="8"/>
        <v>0</v>
      </c>
    </row>
    <row r="551" spans="1:4" ht="18" hidden="1" x14ac:dyDescent="0.3">
      <c r="A551" s="10" t="s">
        <v>247</v>
      </c>
      <c r="B551" s="8"/>
      <c r="C551" s="8"/>
      <c r="D551" s="8">
        <f t="shared" si="8"/>
        <v>0</v>
      </c>
    </row>
    <row r="552" spans="1:4" ht="18" hidden="1" x14ac:dyDescent="0.3">
      <c r="A552" s="10" t="s">
        <v>267</v>
      </c>
      <c r="B552" s="8"/>
      <c r="C552" s="8"/>
      <c r="D552" s="8">
        <f t="shared" si="8"/>
        <v>0</v>
      </c>
    </row>
    <row r="553" spans="1:4" ht="18" hidden="1" x14ac:dyDescent="0.3">
      <c r="A553" s="10" t="s">
        <v>271</v>
      </c>
      <c r="B553" s="8"/>
      <c r="C553" s="8"/>
      <c r="D553" s="8">
        <f t="shared" si="8"/>
        <v>0</v>
      </c>
    </row>
    <row r="554" spans="1:4" ht="18" hidden="1" x14ac:dyDescent="0.3">
      <c r="A554" s="10" t="s">
        <v>299</v>
      </c>
      <c r="B554" s="8"/>
      <c r="C554" s="8"/>
      <c r="D554" s="8">
        <f t="shared" si="8"/>
        <v>0</v>
      </c>
    </row>
    <row r="555" spans="1:4" ht="18" hidden="1" x14ac:dyDescent="0.3">
      <c r="A555" s="18" t="s">
        <v>300</v>
      </c>
      <c r="B555" s="8"/>
      <c r="C555" s="8"/>
      <c r="D555" s="8">
        <f t="shared" si="8"/>
        <v>0</v>
      </c>
    </row>
    <row r="556" spans="1:4" ht="18" hidden="1" x14ac:dyDescent="0.3">
      <c r="A556" s="13" t="s">
        <v>361</v>
      </c>
      <c r="B556" s="8"/>
      <c r="C556" s="8"/>
      <c r="D556" s="8">
        <f t="shared" si="8"/>
        <v>0</v>
      </c>
    </row>
    <row r="557" spans="1:4" ht="18" x14ac:dyDescent="0.3">
      <c r="A557" s="10" t="s">
        <v>287</v>
      </c>
      <c r="B557" s="8">
        <v>10</v>
      </c>
      <c r="C557" s="8">
        <v>9000</v>
      </c>
      <c r="D557" s="8">
        <f t="shared" si="8"/>
        <v>90000</v>
      </c>
    </row>
    <row r="558" spans="1:4" ht="18" hidden="1" x14ac:dyDescent="0.3">
      <c r="A558" s="18" t="s">
        <v>288</v>
      </c>
      <c r="B558" s="8"/>
      <c r="C558" s="8"/>
      <c r="D558" s="8">
        <f t="shared" si="8"/>
        <v>0</v>
      </c>
    </row>
    <row r="559" spans="1:4" ht="18" hidden="1" x14ac:dyDescent="0.3">
      <c r="A559" s="10" t="s">
        <v>289</v>
      </c>
      <c r="B559" s="8"/>
      <c r="C559" s="8"/>
      <c r="D559" s="8">
        <f t="shared" si="8"/>
        <v>0</v>
      </c>
    </row>
    <row r="560" spans="1:4" ht="18" hidden="1" x14ac:dyDescent="0.3">
      <c r="A560" s="10" t="s">
        <v>22</v>
      </c>
      <c r="B560" s="17"/>
      <c r="C560" s="8"/>
      <c r="D560" s="8">
        <f t="shared" si="8"/>
        <v>0</v>
      </c>
    </row>
    <row r="561" spans="1:4" ht="18" hidden="1" x14ac:dyDescent="0.3">
      <c r="A561" s="10" t="s">
        <v>23</v>
      </c>
      <c r="B561" s="8"/>
      <c r="C561" s="8"/>
      <c r="D561" s="8">
        <f t="shared" si="8"/>
        <v>0</v>
      </c>
    </row>
    <row r="562" spans="1:4" ht="18" hidden="1" x14ac:dyDescent="0.3">
      <c r="A562" s="10" t="s">
        <v>24</v>
      </c>
      <c r="B562" s="8"/>
      <c r="C562" s="8"/>
      <c r="D562" s="8">
        <f t="shared" si="8"/>
        <v>0</v>
      </c>
    </row>
    <row r="563" spans="1:4" ht="18" hidden="1" x14ac:dyDescent="0.3">
      <c r="A563" s="10" t="s">
        <v>25</v>
      </c>
      <c r="B563" s="8"/>
      <c r="C563" s="8"/>
      <c r="D563" s="8">
        <f t="shared" si="8"/>
        <v>0</v>
      </c>
    </row>
    <row r="564" spans="1:4" ht="18" hidden="1" x14ac:dyDescent="0.3">
      <c r="A564" s="10" t="s">
        <v>26</v>
      </c>
      <c r="B564" s="8"/>
      <c r="C564" s="8"/>
      <c r="D564" s="8">
        <f t="shared" si="8"/>
        <v>0</v>
      </c>
    </row>
    <row r="565" spans="1:4" ht="18" hidden="1" x14ac:dyDescent="0.3">
      <c r="A565" s="10" t="s">
        <v>45</v>
      </c>
      <c r="B565" s="8"/>
      <c r="C565" s="8"/>
      <c r="D565" s="8">
        <f t="shared" si="8"/>
        <v>0</v>
      </c>
    </row>
    <row r="566" spans="1:4" ht="18" hidden="1" x14ac:dyDescent="0.3">
      <c r="A566" s="10" t="s">
        <v>46</v>
      </c>
      <c r="B566" s="8"/>
      <c r="C566" s="8"/>
      <c r="D566" s="8">
        <f t="shared" si="8"/>
        <v>0</v>
      </c>
    </row>
    <row r="567" spans="1:4" ht="18" hidden="1" x14ac:dyDescent="0.3">
      <c r="A567" s="14" t="s">
        <v>47</v>
      </c>
      <c r="B567" s="8"/>
      <c r="C567" s="8"/>
      <c r="D567" s="8">
        <f t="shared" si="8"/>
        <v>0</v>
      </c>
    </row>
    <row r="568" spans="1:4" ht="18" hidden="1" x14ac:dyDescent="0.3">
      <c r="A568" s="10" t="s">
        <v>50</v>
      </c>
      <c r="B568" s="8"/>
      <c r="C568" s="8"/>
      <c r="D568" s="8">
        <f t="shared" si="8"/>
        <v>0</v>
      </c>
    </row>
    <row r="569" spans="1:4" ht="18" hidden="1" x14ac:dyDescent="0.3">
      <c r="A569" s="10" t="s">
        <v>51</v>
      </c>
      <c r="B569" s="8"/>
      <c r="C569" s="8"/>
      <c r="D569" s="8">
        <f t="shared" si="8"/>
        <v>0</v>
      </c>
    </row>
    <row r="570" spans="1:4" ht="18" hidden="1" x14ac:dyDescent="0.3">
      <c r="A570" s="10" t="s">
        <v>90</v>
      </c>
      <c r="B570" s="8"/>
      <c r="C570" s="8"/>
      <c r="D570" s="8">
        <f t="shared" si="8"/>
        <v>0</v>
      </c>
    </row>
    <row r="571" spans="1:4" ht="18" hidden="1" x14ac:dyDescent="0.3">
      <c r="A571" s="23" t="s">
        <v>91</v>
      </c>
      <c r="B571" s="8"/>
      <c r="C571" s="8"/>
      <c r="D571" s="8">
        <f t="shared" si="8"/>
        <v>0</v>
      </c>
    </row>
    <row r="572" spans="1:4" ht="18" x14ac:dyDescent="0.3">
      <c r="A572" s="6" t="s">
        <v>5</v>
      </c>
      <c r="B572" s="8">
        <f>96+10+20</f>
        <v>126</v>
      </c>
      <c r="C572" s="8">
        <v>7300</v>
      </c>
      <c r="D572" s="8">
        <f t="shared" si="8"/>
        <v>919800</v>
      </c>
    </row>
    <row r="573" spans="1:4" ht="18" hidden="1" x14ac:dyDescent="0.3">
      <c r="A573" s="10" t="s">
        <v>6</v>
      </c>
      <c r="B573" s="8"/>
      <c r="C573" s="8"/>
      <c r="D573" s="8">
        <f t="shared" si="8"/>
        <v>0</v>
      </c>
    </row>
    <row r="574" spans="1:4" ht="18" hidden="1" x14ac:dyDescent="0.3">
      <c r="A574" s="6" t="s">
        <v>9</v>
      </c>
      <c r="B574" s="8"/>
      <c r="C574" s="8"/>
      <c r="D574" s="8">
        <f t="shared" si="8"/>
        <v>0</v>
      </c>
    </row>
    <row r="575" spans="1:4" ht="18" x14ac:dyDescent="0.3">
      <c r="A575" s="10" t="s">
        <v>350</v>
      </c>
      <c r="B575" s="8">
        <v>75</v>
      </c>
      <c r="C575" s="8">
        <v>6500</v>
      </c>
      <c r="D575" s="8">
        <f t="shared" si="8"/>
        <v>487500</v>
      </c>
    </row>
    <row r="576" spans="1:4" ht="18" hidden="1" x14ac:dyDescent="0.3">
      <c r="A576" s="13" t="s">
        <v>167</v>
      </c>
      <c r="B576" s="8"/>
      <c r="C576" s="8"/>
      <c r="D576" s="8">
        <f t="shared" si="8"/>
        <v>0</v>
      </c>
    </row>
    <row r="577" spans="1:4" ht="18" hidden="1" x14ac:dyDescent="0.3">
      <c r="A577" s="10" t="s">
        <v>168</v>
      </c>
      <c r="B577" s="8"/>
      <c r="C577" s="8"/>
      <c r="D577" s="8">
        <f t="shared" si="8"/>
        <v>0</v>
      </c>
    </row>
    <row r="578" spans="1:4" ht="18" hidden="1" x14ac:dyDescent="0.3">
      <c r="A578" s="10" t="s">
        <v>170</v>
      </c>
      <c r="B578" s="8"/>
      <c r="C578" s="8"/>
      <c r="D578" s="8">
        <f t="shared" si="8"/>
        <v>0</v>
      </c>
    </row>
    <row r="579" spans="1:4" ht="18" hidden="1" x14ac:dyDescent="0.3">
      <c r="A579" s="10" t="s">
        <v>171</v>
      </c>
      <c r="B579" s="8"/>
      <c r="C579" s="8"/>
      <c r="D579" s="8">
        <f t="shared" si="8"/>
        <v>0</v>
      </c>
    </row>
    <row r="580" spans="1:4" ht="18" hidden="1" x14ac:dyDescent="0.3">
      <c r="A580" s="22" t="s">
        <v>172</v>
      </c>
      <c r="B580" s="8"/>
      <c r="C580" s="8"/>
      <c r="D580" s="8">
        <f t="shared" ref="D580:D643" si="9">B580*C580</f>
        <v>0</v>
      </c>
    </row>
    <row r="581" spans="1:4" ht="18" hidden="1" x14ac:dyDescent="0.3">
      <c r="A581" s="13" t="s">
        <v>227</v>
      </c>
      <c r="B581" s="8"/>
      <c r="C581" s="8"/>
      <c r="D581" s="8">
        <f t="shared" si="9"/>
        <v>0</v>
      </c>
    </row>
    <row r="582" spans="1:4" ht="18" hidden="1" x14ac:dyDescent="0.3">
      <c r="A582" s="12" t="s">
        <v>342</v>
      </c>
      <c r="B582" s="8"/>
      <c r="C582" s="8"/>
      <c r="D582" s="8">
        <f t="shared" si="9"/>
        <v>0</v>
      </c>
    </row>
    <row r="583" spans="1:4" ht="18" hidden="1" x14ac:dyDescent="0.3">
      <c r="A583" s="10" t="s">
        <v>36</v>
      </c>
      <c r="B583" s="8"/>
      <c r="C583" s="8"/>
      <c r="D583" s="8">
        <f t="shared" si="9"/>
        <v>0</v>
      </c>
    </row>
    <row r="584" spans="1:4" ht="18" hidden="1" x14ac:dyDescent="0.3">
      <c r="A584" s="10" t="s">
        <v>37</v>
      </c>
      <c r="B584" s="8"/>
      <c r="C584" s="8"/>
      <c r="D584" s="8">
        <f t="shared" si="9"/>
        <v>0</v>
      </c>
    </row>
    <row r="585" spans="1:4" ht="18" hidden="1" x14ac:dyDescent="0.3">
      <c r="A585" s="12" t="s">
        <v>38</v>
      </c>
      <c r="B585" s="17"/>
      <c r="C585" s="17"/>
      <c r="D585" s="8">
        <f t="shared" si="9"/>
        <v>0</v>
      </c>
    </row>
    <row r="586" spans="1:4" ht="18" hidden="1" x14ac:dyDescent="0.3">
      <c r="A586" s="12" t="s">
        <v>39</v>
      </c>
      <c r="B586" s="17"/>
      <c r="C586" s="17"/>
      <c r="D586" s="8">
        <f t="shared" si="9"/>
        <v>0</v>
      </c>
    </row>
    <row r="587" spans="1:4" ht="18" hidden="1" x14ac:dyDescent="0.3">
      <c r="A587" s="18" t="s">
        <v>255</v>
      </c>
      <c r="B587" s="8"/>
      <c r="C587" s="8"/>
      <c r="D587" s="8">
        <f t="shared" si="9"/>
        <v>0</v>
      </c>
    </row>
    <row r="588" spans="1:4" ht="18" hidden="1" x14ac:dyDescent="0.3">
      <c r="A588" s="23" t="s">
        <v>256</v>
      </c>
      <c r="B588" s="8"/>
      <c r="C588" s="8"/>
      <c r="D588" s="8">
        <f t="shared" si="9"/>
        <v>0</v>
      </c>
    </row>
    <row r="589" spans="1:4" ht="18" hidden="1" x14ac:dyDescent="0.3">
      <c r="A589" s="23" t="s">
        <v>257</v>
      </c>
      <c r="B589" s="8"/>
      <c r="C589" s="8"/>
      <c r="D589" s="8">
        <f t="shared" si="9"/>
        <v>0</v>
      </c>
    </row>
    <row r="590" spans="1:4" ht="18" hidden="1" x14ac:dyDescent="0.3">
      <c r="A590" s="12" t="s">
        <v>268</v>
      </c>
      <c r="B590" s="8"/>
      <c r="C590" s="8"/>
      <c r="D590" s="8">
        <f t="shared" si="9"/>
        <v>0</v>
      </c>
    </row>
    <row r="591" spans="1:4" ht="18" hidden="1" x14ac:dyDescent="0.3">
      <c r="A591" s="12" t="s">
        <v>269</v>
      </c>
      <c r="B591" s="8"/>
      <c r="C591" s="8"/>
      <c r="D591" s="8">
        <f t="shared" si="9"/>
        <v>0</v>
      </c>
    </row>
    <row r="592" spans="1:4" ht="18" hidden="1" x14ac:dyDescent="0.3">
      <c r="A592" s="10" t="s">
        <v>270</v>
      </c>
      <c r="B592" s="8"/>
      <c r="C592" s="8"/>
      <c r="D592" s="8">
        <f t="shared" si="9"/>
        <v>0</v>
      </c>
    </row>
    <row r="593" spans="1:4" ht="18" hidden="1" x14ac:dyDescent="0.3">
      <c r="A593" s="10" t="s">
        <v>358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273</v>
      </c>
      <c r="B594" s="8"/>
      <c r="C594" s="8"/>
      <c r="D594" s="8">
        <f t="shared" si="9"/>
        <v>0</v>
      </c>
    </row>
    <row r="595" spans="1:4" ht="18" hidden="1" x14ac:dyDescent="0.3">
      <c r="A595" s="18" t="s">
        <v>284</v>
      </c>
      <c r="B595" s="8"/>
      <c r="C595" s="8"/>
      <c r="D595" s="8">
        <f t="shared" si="9"/>
        <v>0</v>
      </c>
    </row>
    <row r="596" spans="1:4" ht="18" hidden="1" x14ac:dyDescent="0.3">
      <c r="A596" s="13" t="s">
        <v>178</v>
      </c>
      <c r="B596" s="8"/>
      <c r="C596" s="8"/>
      <c r="D596" s="8">
        <f t="shared" si="9"/>
        <v>0</v>
      </c>
    </row>
    <row r="597" spans="1:4" ht="18" hidden="1" x14ac:dyDescent="0.3">
      <c r="A597" s="10" t="s">
        <v>179</v>
      </c>
      <c r="B597" s="8"/>
      <c r="C597" s="8"/>
      <c r="D597" s="8">
        <f t="shared" si="9"/>
        <v>0</v>
      </c>
    </row>
    <row r="598" spans="1:4" ht="18" hidden="1" x14ac:dyDescent="0.3">
      <c r="A598" s="10" t="s">
        <v>180</v>
      </c>
      <c r="B598" s="8"/>
      <c r="C598" s="8"/>
      <c r="D598" s="8">
        <f t="shared" si="9"/>
        <v>0</v>
      </c>
    </row>
    <row r="599" spans="1:4" ht="18" hidden="1" x14ac:dyDescent="0.3">
      <c r="A599" s="13" t="s">
        <v>305</v>
      </c>
      <c r="B599" s="8"/>
      <c r="C599" s="8"/>
      <c r="D599" s="8">
        <f t="shared" si="9"/>
        <v>0</v>
      </c>
    </row>
    <row r="600" spans="1:4" ht="18" hidden="1" x14ac:dyDescent="0.3">
      <c r="A600" s="10" t="s">
        <v>307</v>
      </c>
      <c r="B600" s="8"/>
      <c r="C600" s="8"/>
      <c r="D600" s="8">
        <f t="shared" si="9"/>
        <v>0</v>
      </c>
    </row>
    <row r="601" spans="1:4" ht="18" hidden="1" x14ac:dyDescent="0.3">
      <c r="A601" s="10" t="s">
        <v>308</v>
      </c>
      <c r="B601" s="8"/>
      <c r="C601" s="8"/>
      <c r="D601" s="8">
        <f t="shared" si="9"/>
        <v>0</v>
      </c>
    </row>
    <row r="602" spans="1:4" ht="18" hidden="1" x14ac:dyDescent="0.3">
      <c r="A602" s="23" t="s">
        <v>311</v>
      </c>
      <c r="B602" s="8"/>
      <c r="C602" s="8"/>
      <c r="D602" s="8">
        <f t="shared" si="9"/>
        <v>0</v>
      </c>
    </row>
    <row r="603" spans="1:4" ht="18" hidden="1" x14ac:dyDescent="0.3">
      <c r="A603" s="10" t="s">
        <v>313</v>
      </c>
      <c r="B603" s="8"/>
      <c r="C603" s="8"/>
      <c r="D603" s="8">
        <f t="shared" si="9"/>
        <v>0</v>
      </c>
    </row>
    <row r="604" spans="1:4" ht="18" hidden="1" x14ac:dyDescent="0.3">
      <c r="A604" s="10" t="s">
        <v>314</v>
      </c>
      <c r="B604" s="8"/>
      <c r="C604" s="8"/>
      <c r="D604" s="8">
        <f t="shared" si="9"/>
        <v>0</v>
      </c>
    </row>
    <row r="605" spans="1:4" ht="18" hidden="1" x14ac:dyDescent="0.3">
      <c r="A605" s="10" t="s">
        <v>315</v>
      </c>
      <c r="B605" s="8"/>
      <c r="C605" s="8"/>
      <c r="D605" s="8">
        <f t="shared" si="9"/>
        <v>0</v>
      </c>
    </row>
    <row r="606" spans="1:4" ht="18" hidden="1" x14ac:dyDescent="0.3">
      <c r="A606" s="10" t="s">
        <v>316</v>
      </c>
      <c r="B606" s="8"/>
      <c r="C606" s="8"/>
      <c r="D606" s="8">
        <f t="shared" si="9"/>
        <v>0</v>
      </c>
    </row>
    <row r="607" spans="1:4" ht="18" hidden="1" x14ac:dyDescent="0.3">
      <c r="A607" s="23" t="s">
        <v>317</v>
      </c>
      <c r="B607" s="8"/>
      <c r="C607" s="8"/>
      <c r="D607" s="8">
        <f t="shared" si="9"/>
        <v>0</v>
      </c>
    </row>
    <row r="608" spans="1:4" ht="18" hidden="1" x14ac:dyDescent="0.3">
      <c r="A608" s="10" t="s">
        <v>318</v>
      </c>
      <c r="B608" s="8"/>
      <c r="C608" s="8"/>
      <c r="D608" s="8">
        <f t="shared" si="9"/>
        <v>0</v>
      </c>
    </row>
    <row r="609" spans="1:4" ht="18" hidden="1" x14ac:dyDescent="0.3">
      <c r="A609" s="10" t="s">
        <v>322</v>
      </c>
      <c r="B609" s="8"/>
      <c r="C609" s="8"/>
      <c r="D609" s="8">
        <f t="shared" si="9"/>
        <v>0</v>
      </c>
    </row>
    <row r="610" spans="1:4" ht="18" hidden="1" x14ac:dyDescent="0.3">
      <c r="A610" s="23" t="s">
        <v>324</v>
      </c>
      <c r="B610" s="8"/>
      <c r="C610" s="8"/>
      <c r="D610" s="8">
        <f t="shared" si="9"/>
        <v>0</v>
      </c>
    </row>
    <row r="611" spans="1:4" ht="18" hidden="1" x14ac:dyDescent="0.3">
      <c r="A611" s="23" t="s">
        <v>325</v>
      </c>
      <c r="B611" s="8"/>
      <c r="C611" s="8"/>
      <c r="D611" s="8">
        <f t="shared" si="9"/>
        <v>0</v>
      </c>
    </row>
    <row r="612" spans="1:4" ht="18" hidden="1" x14ac:dyDescent="0.3">
      <c r="A612" s="10" t="s">
        <v>326</v>
      </c>
      <c r="B612" s="8"/>
      <c r="C612" s="8"/>
      <c r="D612" s="8">
        <f t="shared" si="9"/>
        <v>0</v>
      </c>
    </row>
    <row r="613" spans="1:4" ht="18" hidden="1" x14ac:dyDescent="0.3">
      <c r="A613" s="10" t="s">
        <v>327</v>
      </c>
      <c r="B613" s="8"/>
      <c r="C613" s="8"/>
      <c r="D613" s="8">
        <f t="shared" si="9"/>
        <v>0</v>
      </c>
    </row>
    <row r="614" spans="1:4" ht="18" hidden="1" x14ac:dyDescent="0.3">
      <c r="A614" s="23" t="s">
        <v>328</v>
      </c>
      <c r="B614" s="8"/>
      <c r="C614" s="8"/>
      <c r="D614" s="8">
        <f t="shared" si="9"/>
        <v>0</v>
      </c>
    </row>
    <row r="615" spans="1:4" ht="18" hidden="1" x14ac:dyDescent="0.3">
      <c r="A615" s="10" t="s">
        <v>329</v>
      </c>
      <c r="B615" s="8"/>
      <c r="C615" s="8"/>
      <c r="D615" s="8">
        <f t="shared" si="9"/>
        <v>0</v>
      </c>
    </row>
    <row r="616" spans="1:4" ht="18" hidden="1" x14ac:dyDescent="0.3">
      <c r="A616" s="10" t="s">
        <v>330</v>
      </c>
      <c r="B616" s="8"/>
      <c r="C616" s="8"/>
      <c r="D616" s="8">
        <f t="shared" si="9"/>
        <v>0</v>
      </c>
    </row>
    <row r="617" spans="1:4" ht="18" hidden="1" x14ac:dyDescent="0.3">
      <c r="A617" s="10" t="s">
        <v>331</v>
      </c>
      <c r="B617" s="8"/>
      <c r="C617" s="8"/>
      <c r="D617" s="8">
        <f t="shared" si="9"/>
        <v>0</v>
      </c>
    </row>
    <row r="618" spans="1:4" ht="18" hidden="1" x14ac:dyDescent="0.3">
      <c r="A618" s="10" t="s">
        <v>332</v>
      </c>
      <c r="B618" s="8"/>
      <c r="C618" s="8"/>
      <c r="D618" s="8">
        <f t="shared" si="9"/>
        <v>0</v>
      </c>
    </row>
    <row r="619" spans="1:4" ht="18" hidden="1" x14ac:dyDescent="0.3">
      <c r="A619" s="10" t="s">
        <v>333</v>
      </c>
      <c r="B619" s="8"/>
      <c r="C619" s="8"/>
      <c r="D619" s="8">
        <f t="shared" si="9"/>
        <v>0</v>
      </c>
    </row>
    <row r="620" spans="1:4" ht="18" hidden="1" x14ac:dyDescent="0.3">
      <c r="A620" s="10" t="s">
        <v>334</v>
      </c>
      <c r="B620" s="8"/>
      <c r="C620" s="8"/>
      <c r="D620" s="8">
        <f t="shared" si="9"/>
        <v>0</v>
      </c>
    </row>
    <row r="621" spans="1:4" ht="18" hidden="1" x14ac:dyDescent="0.3">
      <c r="A621" s="10" t="s">
        <v>335</v>
      </c>
      <c r="B621" s="8"/>
      <c r="C621" s="8"/>
      <c r="D621" s="8">
        <f t="shared" si="9"/>
        <v>0</v>
      </c>
    </row>
    <row r="622" spans="1:4" ht="18" hidden="1" x14ac:dyDescent="0.3">
      <c r="A622" s="10" t="s">
        <v>336</v>
      </c>
      <c r="B622" s="8"/>
      <c r="C622" s="8"/>
      <c r="D622" s="8">
        <f t="shared" si="9"/>
        <v>0</v>
      </c>
    </row>
    <row r="623" spans="1:4" ht="18" hidden="1" x14ac:dyDescent="0.3">
      <c r="A623" s="30" t="s">
        <v>130</v>
      </c>
      <c r="B623" s="8"/>
      <c r="C623" s="8"/>
      <c r="D623" s="8">
        <f t="shared" si="9"/>
        <v>0</v>
      </c>
    </row>
    <row r="624" spans="1:4" ht="18" hidden="1" x14ac:dyDescent="0.3">
      <c r="A624" s="13" t="s">
        <v>131</v>
      </c>
      <c r="B624" s="17"/>
      <c r="C624" s="17"/>
      <c r="D624" s="8">
        <f t="shared" si="9"/>
        <v>0</v>
      </c>
    </row>
    <row r="625" spans="1:4" ht="18" hidden="1" x14ac:dyDescent="0.3">
      <c r="A625" s="10" t="s">
        <v>132</v>
      </c>
      <c r="B625" s="8"/>
      <c r="C625" s="8"/>
      <c r="D625" s="8">
        <f t="shared" si="9"/>
        <v>0</v>
      </c>
    </row>
    <row r="626" spans="1:4" ht="18" hidden="1" x14ac:dyDescent="0.3">
      <c r="A626" s="10" t="s">
        <v>133</v>
      </c>
      <c r="B626" s="8"/>
      <c r="C626" s="8"/>
      <c r="D626" s="8">
        <f t="shared" si="9"/>
        <v>0</v>
      </c>
    </row>
    <row r="627" spans="1:4" ht="18" x14ac:dyDescent="0.3">
      <c r="A627" s="10" t="s">
        <v>290</v>
      </c>
      <c r="B627" s="8">
        <v>15</v>
      </c>
      <c r="C627" s="8">
        <v>7000</v>
      </c>
      <c r="D627" s="8">
        <f t="shared" si="9"/>
        <v>105000</v>
      </c>
    </row>
    <row r="628" spans="1:4" ht="18" hidden="1" x14ac:dyDescent="0.3">
      <c r="A628" s="18" t="s">
        <v>291</v>
      </c>
      <c r="B628" s="8"/>
      <c r="C628" s="8"/>
      <c r="D628" s="8">
        <f t="shared" si="9"/>
        <v>0</v>
      </c>
    </row>
    <row r="629" spans="1:4" ht="18" hidden="1" x14ac:dyDescent="0.3">
      <c r="A629" s="10" t="s">
        <v>16</v>
      </c>
      <c r="B629" s="8"/>
      <c r="C629" s="8"/>
      <c r="D629" s="8">
        <f t="shared" si="9"/>
        <v>0</v>
      </c>
    </row>
    <row r="630" spans="1:4" ht="18" hidden="1" x14ac:dyDescent="0.3">
      <c r="A630" s="14" t="s">
        <v>17</v>
      </c>
      <c r="B630" s="8"/>
      <c r="C630" s="8"/>
      <c r="D630" s="8">
        <f t="shared" si="9"/>
        <v>0</v>
      </c>
    </row>
    <row r="631" spans="1:4" ht="18" hidden="1" x14ac:dyDescent="0.3">
      <c r="A631" s="12" t="s">
        <v>18</v>
      </c>
      <c r="B631" s="8"/>
      <c r="C631" s="8"/>
      <c r="D631" s="8">
        <f t="shared" si="9"/>
        <v>0</v>
      </c>
    </row>
    <row r="632" spans="1:4" ht="18" hidden="1" x14ac:dyDescent="0.3">
      <c r="A632" s="10" t="s">
        <v>157</v>
      </c>
      <c r="B632" s="8"/>
      <c r="C632" s="8"/>
      <c r="D632" s="8">
        <f t="shared" si="9"/>
        <v>0</v>
      </c>
    </row>
    <row r="633" spans="1:4" ht="18" hidden="1" x14ac:dyDescent="0.3">
      <c r="A633" s="10" t="s">
        <v>158</v>
      </c>
      <c r="B633" s="8"/>
      <c r="C633" s="8"/>
      <c r="D633" s="8">
        <f t="shared" si="9"/>
        <v>0</v>
      </c>
    </row>
    <row r="634" spans="1:4" ht="18" x14ac:dyDescent="0.3">
      <c r="A634" s="10" t="s">
        <v>159</v>
      </c>
      <c r="B634" s="8">
        <v>2</v>
      </c>
      <c r="C634" s="8">
        <v>11000</v>
      </c>
      <c r="D634" s="8">
        <f t="shared" si="9"/>
        <v>22000</v>
      </c>
    </row>
    <row r="635" spans="1:4" ht="18" hidden="1" x14ac:dyDescent="0.3">
      <c r="A635" s="10" t="s">
        <v>160</v>
      </c>
      <c r="B635" s="8"/>
      <c r="C635" s="8"/>
      <c r="D635" s="8">
        <f t="shared" si="9"/>
        <v>0</v>
      </c>
    </row>
    <row r="636" spans="1:4" ht="18" hidden="1" x14ac:dyDescent="0.3">
      <c r="A636" s="11" t="s">
        <v>7</v>
      </c>
      <c r="B636" s="8"/>
      <c r="C636" s="8"/>
      <c r="D636" s="8">
        <f t="shared" si="9"/>
        <v>0</v>
      </c>
    </row>
    <row r="637" spans="1:4" ht="18" hidden="1" x14ac:dyDescent="0.3">
      <c r="A637" s="6" t="s">
        <v>8</v>
      </c>
      <c r="B637" s="8"/>
      <c r="C637" s="8"/>
      <c r="D637" s="8">
        <f t="shared" si="9"/>
        <v>0</v>
      </c>
    </row>
    <row r="638" spans="1:4" ht="18" hidden="1" x14ac:dyDescent="0.3">
      <c r="A638" s="21" t="s">
        <v>63</v>
      </c>
      <c r="B638" s="8"/>
      <c r="C638" s="8"/>
      <c r="D638" s="8">
        <f t="shared" si="9"/>
        <v>0</v>
      </c>
    </row>
    <row r="639" spans="1:4" ht="18" hidden="1" x14ac:dyDescent="0.3">
      <c r="A639" s="13" t="s">
        <v>67</v>
      </c>
      <c r="B639" s="8"/>
      <c r="C639" s="8"/>
      <c r="D639" s="8">
        <f t="shared" si="9"/>
        <v>0</v>
      </c>
    </row>
    <row r="640" spans="1:4" ht="18" hidden="1" x14ac:dyDescent="0.3">
      <c r="A640" s="12" t="s">
        <v>102</v>
      </c>
      <c r="B640" s="8"/>
      <c r="C640" s="8"/>
      <c r="D640" s="8">
        <f t="shared" si="9"/>
        <v>0</v>
      </c>
    </row>
    <row r="641" spans="1:4" ht="18" hidden="1" x14ac:dyDescent="0.3">
      <c r="A641" s="27" t="s">
        <v>108</v>
      </c>
      <c r="B641" s="8"/>
      <c r="C641" s="8"/>
      <c r="D641" s="8">
        <f t="shared" si="9"/>
        <v>0</v>
      </c>
    </row>
    <row r="642" spans="1:4" ht="18" hidden="1" x14ac:dyDescent="0.3">
      <c r="A642" s="10" t="s">
        <v>119</v>
      </c>
      <c r="B642" s="8"/>
      <c r="C642" s="8"/>
      <c r="D642" s="8">
        <f t="shared" si="9"/>
        <v>0</v>
      </c>
    </row>
    <row r="643" spans="1:4" ht="18" hidden="1" x14ac:dyDescent="0.3">
      <c r="A643" s="12" t="s">
        <v>120</v>
      </c>
      <c r="B643" s="8"/>
      <c r="C643" s="8"/>
      <c r="D643" s="8">
        <f t="shared" si="9"/>
        <v>0</v>
      </c>
    </row>
    <row r="644" spans="1:4" ht="18" hidden="1" x14ac:dyDescent="0.3">
      <c r="A644" s="12" t="s">
        <v>121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10" t="s">
        <v>143</v>
      </c>
      <c r="B645" s="8"/>
      <c r="C645" s="8"/>
      <c r="D645" s="8">
        <f t="shared" si="10"/>
        <v>0</v>
      </c>
    </row>
    <row r="646" spans="1:4" ht="18" hidden="1" x14ac:dyDescent="0.3">
      <c r="A646" s="12" t="s">
        <v>175</v>
      </c>
      <c r="B646" s="8"/>
      <c r="C646" s="8"/>
      <c r="D646" s="8">
        <f t="shared" si="10"/>
        <v>0</v>
      </c>
    </row>
    <row r="647" spans="1:4" ht="18" hidden="1" x14ac:dyDescent="0.3">
      <c r="A647" s="18" t="s">
        <v>189</v>
      </c>
      <c r="B647" s="8"/>
      <c r="C647" s="8"/>
      <c r="D647" s="8">
        <f t="shared" si="10"/>
        <v>0</v>
      </c>
    </row>
    <row r="648" spans="1:4" ht="18" hidden="1" x14ac:dyDescent="0.3">
      <c r="A648" s="18" t="s">
        <v>190</v>
      </c>
      <c r="B648" s="8"/>
      <c r="C648" s="8"/>
      <c r="D648" s="8">
        <f t="shared" si="10"/>
        <v>0</v>
      </c>
    </row>
    <row r="649" spans="1:4" ht="18" hidden="1" x14ac:dyDescent="0.3">
      <c r="A649" s="18" t="s">
        <v>191</v>
      </c>
      <c r="B649" s="8"/>
      <c r="C649" s="8"/>
      <c r="D649" s="8">
        <f t="shared" si="10"/>
        <v>0</v>
      </c>
    </row>
    <row r="650" spans="1:4" ht="18" hidden="1" x14ac:dyDescent="0.3">
      <c r="A650" s="18" t="s">
        <v>192</v>
      </c>
      <c r="B650" s="8"/>
      <c r="C650" s="8"/>
      <c r="D650" s="8">
        <f t="shared" si="10"/>
        <v>0</v>
      </c>
    </row>
    <row r="651" spans="1:4" ht="18" hidden="1" x14ac:dyDescent="0.3">
      <c r="A651" s="10" t="s">
        <v>194</v>
      </c>
      <c r="B651" s="8"/>
      <c r="C651" s="8"/>
      <c r="D651" s="8">
        <f t="shared" si="10"/>
        <v>0</v>
      </c>
    </row>
    <row r="652" spans="1:4" ht="18" hidden="1" x14ac:dyDescent="0.3">
      <c r="A652" s="37" t="s">
        <v>195</v>
      </c>
      <c r="B652" s="8"/>
      <c r="C652" s="8"/>
      <c r="D652" s="8">
        <f t="shared" si="10"/>
        <v>0</v>
      </c>
    </row>
    <row r="653" spans="1:4" ht="18" hidden="1" x14ac:dyDescent="0.3">
      <c r="A653" s="37" t="s">
        <v>196</v>
      </c>
      <c r="B653" s="8"/>
      <c r="C653" s="8"/>
      <c r="D653" s="8">
        <f t="shared" si="10"/>
        <v>0</v>
      </c>
    </row>
    <row r="654" spans="1:4" ht="18" hidden="1" x14ac:dyDescent="0.3">
      <c r="A654" s="37" t="s">
        <v>197</v>
      </c>
      <c r="B654" s="8"/>
      <c r="C654" s="8"/>
      <c r="D654" s="8">
        <f t="shared" si="10"/>
        <v>0</v>
      </c>
    </row>
    <row r="655" spans="1:4" ht="18" hidden="1" x14ac:dyDescent="0.3">
      <c r="A655" s="37" t="s">
        <v>198</v>
      </c>
      <c r="B655" s="8"/>
      <c r="C655" s="8"/>
      <c r="D655" s="8">
        <f t="shared" si="10"/>
        <v>0</v>
      </c>
    </row>
    <row r="656" spans="1:4" ht="18" x14ac:dyDescent="0.3">
      <c r="A656" s="12" t="s">
        <v>226</v>
      </c>
      <c r="B656" s="8">
        <v>25</v>
      </c>
      <c r="C656" s="8">
        <v>38000</v>
      </c>
      <c r="D656" s="8">
        <f t="shared" si="10"/>
        <v>950000</v>
      </c>
    </row>
    <row r="657" spans="1:4" ht="18" hidden="1" x14ac:dyDescent="0.3">
      <c r="A657" s="23" t="s">
        <v>356</v>
      </c>
      <c r="B657" s="8"/>
      <c r="C657" s="8"/>
      <c r="D657" s="8">
        <f t="shared" si="10"/>
        <v>0</v>
      </c>
    </row>
    <row r="658" spans="1:4" ht="18" hidden="1" x14ac:dyDescent="0.3">
      <c r="A658" s="23" t="s">
        <v>357</v>
      </c>
      <c r="B658" s="8"/>
      <c r="C658" s="8"/>
      <c r="D658" s="8">
        <f t="shared" si="10"/>
        <v>0</v>
      </c>
    </row>
    <row r="659" spans="1:4" ht="18" hidden="1" x14ac:dyDescent="0.3">
      <c r="A659" s="12" t="s">
        <v>232</v>
      </c>
      <c r="B659" s="8"/>
      <c r="C659" s="8"/>
      <c r="D659" s="8">
        <f t="shared" si="10"/>
        <v>0</v>
      </c>
    </row>
    <row r="660" spans="1:4" ht="18" hidden="1" x14ac:dyDescent="0.3">
      <c r="A660" s="14" t="s">
        <v>239</v>
      </c>
      <c r="B660" s="8"/>
      <c r="C660" s="8"/>
      <c r="D660" s="8">
        <f t="shared" si="10"/>
        <v>0</v>
      </c>
    </row>
    <row r="661" spans="1:4" ht="18" hidden="1" x14ac:dyDescent="0.3">
      <c r="A661" s="14" t="s">
        <v>240</v>
      </c>
      <c r="B661" s="8"/>
      <c r="C661" s="8"/>
      <c r="D661" s="8">
        <f t="shared" si="10"/>
        <v>0</v>
      </c>
    </row>
    <row r="662" spans="1:4" ht="18" hidden="1" x14ac:dyDescent="0.3">
      <c r="A662" s="37" t="s">
        <v>241</v>
      </c>
      <c r="B662" s="8"/>
      <c r="C662" s="8"/>
      <c r="D662" s="8">
        <f t="shared" si="10"/>
        <v>0</v>
      </c>
    </row>
    <row r="663" spans="1:4" ht="18" hidden="1" x14ac:dyDescent="0.3">
      <c r="A663" s="37" t="s">
        <v>245</v>
      </c>
      <c r="B663" s="8"/>
      <c r="C663" s="8"/>
      <c r="D663" s="8">
        <f t="shared" si="10"/>
        <v>0</v>
      </c>
    </row>
    <row r="664" spans="1:4" ht="18" hidden="1" x14ac:dyDescent="0.3">
      <c r="A664" s="37" t="s">
        <v>277</v>
      </c>
      <c r="B664" s="8"/>
      <c r="C664" s="8"/>
      <c r="D664" s="8">
        <f t="shared" si="10"/>
        <v>0</v>
      </c>
    </row>
    <row r="665" spans="1:4" ht="18" hidden="1" x14ac:dyDescent="0.3">
      <c r="A665" s="37" t="s">
        <v>279</v>
      </c>
      <c r="B665" s="8"/>
      <c r="C665" s="8"/>
      <c r="D665" s="8">
        <f t="shared" si="10"/>
        <v>0</v>
      </c>
    </row>
    <row r="666" spans="1:4" ht="18" hidden="1" x14ac:dyDescent="0.3">
      <c r="A666" s="12" t="s">
        <v>360</v>
      </c>
      <c r="B666" s="8"/>
      <c r="C666" s="8"/>
      <c r="D666" s="8">
        <f t="shared" si="10"/>
        <v>0</v>
      </c>
    </row>
    <row r="667" spans="1:4" ht="18" hidden="1" x14ac:dyDescent="0.3">
      <c r="A667" s="37" t="s">
        <v>280</v>
      </c>
      <c r="B667" s="8"/>
      <c r="C667" s="8"/>
      <c r="D667" s="8">
        <f t="shared" si="10"/>
        <v>0</v>
      </c>
    </row>
    <row r="668" spans="1:4" ht="18" hidden="1" x14ac:dyDescent="0.3">
      <c r="A668" s="27" t="s">
        <v>292</v>
      </c>
      <c r="B668" s="8"/>
      <c r="C668" s="8"/>
      <c r="D668" s="8">
        <f t="shared" si="10"/>
        <v>0</v>
      </c>
    </row>
    <row r="669" spans="1:4" ht="18" hidden="1" x14ac:dyDescent="0.3">
      <c r="A669" s="10" t="s">
        <v>362</v>
      </c>
      <c r="B669" s="8"/>
      <c r="C669" s="8"/>
      <c r="D669" s="8">
        <f t="shared" si="10"/>
        <v>0</v>
      </c>
    </row>
    <row r="670" spans="1:4" ht="18" hidden="1" x14ac:dyDescent="0.3">
      <c r="A670" s="12" t="s">
        <v>303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4289</v>
      </c>
      <c r="C672" s="46"/>
      <c r="D672" s="46">
        <f t="shared" ref="D672" si="11">SUM(D345:D671)</f>
        <v>58112300</v>
      </c>
    </row>
    <row r="674" spans="4:4" x14ac:dyDescent="0.3">
      <c r="D674" s="49">
        <f>D672+D340</f>
        <v>124884200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16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674"/>
  <sheetViews>
    <sheetView topLeftCell="A340" workbookViewId="0">
      <selection activeCell="D674" sqref="D674"/>
    </sheetView>
  </sheetViews>
  <sheetFormatPr defaultRowHeight="14.4" x14ac:dyDescent="0.3"/>
  <cols>
    <col min="1" max="1" width="38.6640625" customWidth="1"/>
    <col min="3" max="3" width="13.77734375" customWidth="1"/>
    <col min="4" max="4" width="21.5546875" customWidth="1"/>
  </cols>
  <sheetData>
    <row r="1" spans="1:4" x14ac:dyDescent="0.3">
      <c r="A1" s="1" t="s">
        <v>427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10</v>
      </c>
      <c r="C3" s="8">
        <v>12000</v>
      </c>
      <c r="D3" s="8">
        <f>B3*C3</f>
        <v>120000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x14ac:dyDescent="0.3">
      <c r="A15" s="13" t="s">
        <v>14</v>
      </c>
      <c r="B15" s="8">
        <v>15</v>
      </c>
      <c r="C15" s="8">
        <v>18000</v>
      </c>
      <c r="D15" s="8">
        <f t="shared" si="0"/>
        <v>270000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f>57+27+10</f>
        <v>94</v>
      </c>
      <c r="C18" s="8">
        <v>4000</v>
      </c>
      <c r="D18" s="8">
        <f t="shared" si="0"/>
        <v>376000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140</v>
      </c>
      <c r="C20" s="8">
        <v>14500</v>
      </c>
      <c r="D20" s="8">
        <f t="shared" si="0"/>
        <v>2030000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13+25+15+23+45+38</f>
        <v>159</v>
      </c>
      <c r="C25" s="8">
        <v>11500</v>
      </c>
      <c r="D25" s="8">
        <f t="shared" si="0"/>
        <v>1828500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15+15</f>
        <v>30</v>
      </c>
      <c r="C28" s="8">
        <v>12500</v>
      </c>
      <c r="D28" s="8">
        <f t="shared" si="0"/>
        <v>375000</v>
      </c>
    </row>
    <row r="29" spans="1:4" ht="18" hidden="1" x14ac:dyDescent="0.3">
      <c r="A29" s="12" t="s">
        <v>412</v>
      </c>
      <c r="B29" s="17"/>
      <c r="C29" s="17"/>
      <c r="D29" s="8">
        <f t="shared" si="0"/>
        <v>0</v>
      </c>
    </row>
    <row r="30" spans="1:4" ht="18" hidden="1" x14ac:dyDescent="0.3">
      <c r="A30" s="13" t="s">
        <v>28</v>
      </c>
      <c r="B30" s="8"/>
      <c r="C30" s="8"/>
      <c r="D30" s="8">
        <f t="shared" si="0"/>
        <v>0</v>
      </c>
    </row>
    <row r="31" spans="1:4" ht="18" hidden="1" x14ac:dyDescent="0.3">
      <c r="A31" s="12" t="s">
        <v>29</v>
      </c>
      <c r="B31" s="8"/>
      <c r="C31" s="8"/>
      <c r="D31" s="8">
        <f t="shared" si="0"/>
        <v>0</v>
      </c>
    </row>
    <row r="32" spans="1:4" ht="18" hidden="1" x14ac:dyDescent="0.3">
      <c r="A32" s="12" t="s">
        <v>30</v>
      </c>
      <c r="B32" s="8"/>
      <c r="C32" s="8"/>
      <c r="D32" s="8">
        <f t="shared" si="0"/>
        <v>0</v>
      </c>
    </row>
    <row r="33" spans="1:4" ht="18" hidden="1" x14ac:dyDescent="0.3">
      <c r="A33" s="12" t="s">
        <v>31</v>
      </c>
      <c r="B33" s="8"/>
      <c r="C33" s="8"/>
      <c r="D33" s="8">
        <f t="shared" si="0"/>
        <v>0</v>
      </c>
    </row>
    <row r="34" spans="1:4" ht="18" hidden="1" x14ac:dyDescent="0.3">
      <c r="A34" s="13" t="s">
        <v>367</v>
      </c>
      <c r="B34" s="8"/>
      <c r="C34" s="8"/>
      <c r="D34" s="8">
        <f t="shared" si="0"/>
        <v>0</v>
      </c>
    </row>
    <row r="35" spans="1:4" ht="18" hidden="1" x14ac:dyDescent="0.3">
      <c r="A35" s="12" t="s">
        <v>32</v>
      </c>
      <c r="B35" s="8"/>
      <c r="C35" s="8"/>
      <c r="D35" s="8">
        <f t="shared" si="0"/>
        <v>0</v>
      </c>
    </row>
    <row r="36" spans="1:4" ht="18" hidden="1" x14ac:dyDescent="0.3">
      <c r="A36" s="12" t="s">
        <v>33</v>
      </c>
      <c r="B36" s="8"/>
      <c r="C36" s="8"/>
      <c r="D36" s="8">
        <f t="shared" si="0"/>
        <v>0</v>
      </c>
    </row>
    <row r="37" spans="1:4" ht="18" hidden="1" x14ac:dyDescent="0.3">
      <c r="A37" s="12" t="s">
        <v>34</v>
      </c>
      <c r="B37" s="8"/>
      <c r="C37" s="8"/>
      <c r="D37" s="8">
        <f t="shared" si="0"/>
        <v>0</v>
      </c>
    </row>
    <row r="38" spans="1:4" ht="18" x14ac:dyDescent="0.3">
      <c r="A38" s="13" t="s">
        <v>35</v>
      </c>
      <c r="B38" s="8">
        <v>110</v>
      </c>
      <c r="C38" s="8">
        <v>11000</v>
      </c>
      <c r="D38" s="8">
        <f t="shared" si="0"/>
        <v>1210000</v>
      </c>
    </row>
    <row r="39" spans="1:4" ht="18" hidden="1" x14ac:dyDescent="0.3">
      <c r="A39" s="10" t="s">
        <v>36</v>
      </c>
      <c r="B39" s="8"/>
      <c r="C39" s="8"/>
      <c r="D39" s="8">
        <f t="shared" si="0"/>
        <v>0</v>
      </c>
    </row>
    <row r="40" spans="1:4" ht="18" hidden="1" x14ac:dyDescent="0.3">
      <c r="A40" s="10" t="s">
        <v>37</v>
      </c>
      <c r="B40" s="8"/>
      <c r="C40" s="8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x14ac:dyDescent="0.3">
      <c r="A47" s="10" t="s">
        <v>45</v>
      </c>
      <c r="B47" s="8">
        <v>20</v>
      </c>
      <c r="C47" s="8">
        <v>27000</v>
      </c>
      <c r="D47" s="8">
        <f t="shared" si="0"/>
        <v>540000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x14ac:dyDescent="0.3">
      <c r="A57" s="18" t="s">
        <v>55</v>
      </c>
      <c r="B57" s="8">
        <v>30</v>
      </c>
      <c r="C57" s="8">
        <v>14400</v>
      </c>
      <c r="D57" s="8">
        <f t="shared" si="0"/>
        <v>432000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f>280+50</f>
        <v>330</v>
      </c>
      <c r="C64" s="8">
        <v>18000</v>
      </c>
      <c r="D64" s="8">
        <f t="shared" si="0"/>
        <v>5940000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hidden="1" x14ac:dyDescent="0.3">
      <c r="A70" s="13" t="s">
        <v>68</v>
      </c>
      <c r="B70" s="8"/>
      <c r="C70" s="8"/>
      <c r="D70" s="8">
        <f t="shared" si="1"/>
        <v>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20</v>
      </c>
      <c r="C80" s="8">
        <v>28000</v>
      </c>
      <c r="D80" s="8">
        <f t="shared" si="1"/>
        <v>560000</v>
      </c>
    </row>
    <row r="81" spans="1:4" ht="18" hidden="1" x14ac:dyDescent="0.3">
      <c r="A81" s="10" t="s">
        <v>80</v>
      </c>
      <c r="B81" s="8"/>
      <c r="C81" s="8"/>
      <c r="D81" s="8">
        <f t="shared" si="1"/>
        <v>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x14ac:dyDescent="0.3">
      <c r="A91" s="10" t="s">
        <v>90</v>
      </c>
      <c r="B91" s="8">
        <f>10+48</f>
        <v>58</v>
      </c>
      <c r="C91" s="8">
        <v>9000</v>
      </c>
      <c r="D91" s="8">
        <f t="shared" si="1"/>
        <v>522000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f>38+22</f>
        <v>60</v>
      </c>
      <c r="C111" s="8">
        <v>21000</v>
      </c>
      <c r="D111" s="8">
        <f t="shared" si="1"/>
        <v>1260000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x14ac:dyDescent="0.3">
      <c r="A141" s="10" t="s">
        <v>140</v>
      </c>
      <c r="B141" s="8">
        <v>16</v>
      </c>
      <c r="C141" s="8">
        <v>15000</v>
      </c>
      <c r="D141" s="8">
        <f t="shared" si="2"/>
        <v>240000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x14ac:dyDescent="0.3">
      <c r="A149" s="10" t="s">
        <v>148</v>
      </c>
      <c r="B149" s="17">
        <v>0.4</v>
      </c>
      <c r="C149" s="17">
        <v>60000</v>
      </c>
      <c r="D149" s="8">
        <f t="shared" si="2"/>
        <v>24000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x14ac:dyDescent="0.3">
      <c r="A169" s="10" t="s">
        <v>168</v>
      </c>
      <c r="B169" s="8">
        <f>33/0.5</f>
        <v>66</v>
      </c>
      <c r="C169" s="48">
        <v>6500</v>
      </c>
      <c r="D169" s="8">
        <f t="shared" si="2"/>
        <v>429000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35</v>
      </c>
      <c r="C171" s="8">
        <v>11000</v>
      </c>
      <c r="D171" s="8">
        <f t="shared" si="2"/>
        <v>385000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130</v>
      </c>
      <c r="C184" s="8">
        <v>7700</v>
      </c>
      <c r="D184" s="8">
        <f t="shared" si="2"/>
        <v>1001000</v>
      </c>
    </row>
    <row r="185" spans="1:4" ht="18" hidden="1" x14ac:dyDescent="0.3">
      <c r="A185" s="10" t="s">
        <v>184</v>
      </c>
      <c r="B185" s="8"/>
      <c r="C185" s="8"/>
      <c r="D185" s="8">
        <f t="shared" si="2"/>
        <v>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hidden="1" x14ac:dyDescent="0.3">
      <c r="A187" s="13" t="s">
        <v>186</v>
      </c>
      <c r="B187" s="8"/>
      <c r="C187" s="8"/>
      <c r="D187" s="8">
        <f t="shared" si="2"/>
        <v>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500+700+300</f>
        <v>1500</v>
      </c>
      <c r="C202" s="8">
        <v>18000</v>
      </c>
      <c r="D202" s="8">
        <f t="shared" si="3"/>
        <v>27000000</v>
      </c>
    </row>
    <row r="203" spans="1:4" ht="18" x14ac:dyDescent="0.3">
      <c r="A203" s="13" t="s">
        <v>202</v>
      </c>
      <c r="B203" s="8">
        <v>200</v>
      </c>
      <c r="C203" s="8">
        <v>19000</v>
      </c>
      <c r="D203" s="8">
        <f t="shared" si="3"/>
        <v>3800000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2" t="s">
        <v>208</v>
      </c>
      <c r="B209" s="8">
        <v>3</v>
      </c>
      <c r="C209" s="8">
        <v>35000</v>
      </c>
      <c r="D209" s="8">
        <f t="shared" si="3"/>
        <v>105000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220</v>
      </c>
      <c r="C216" s="8">
        <v>16000</v>
      </c>
      <c r="D216" s="8">
        <f t="shared" si="3"/>
        <v>3520000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x14ac:dyDescent="0.3">
      <c r="A227" s="12" t="s">
        <v>226</v>
      </c>
      <c r="B227" s="8">
        <f>73+80-15</f>
        <v>138</v>
      </c>
      <c r="C227" s="8">
        <v>38000</v>
      </c>
      <c r="D227" s="8">
        <f t="shared" si="3"/>
        <v>5244000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14</v>
      </c>
      <c r="C248" s="8">
        <v>14000</v>
      </c>
      <c r="D248" s="8">
        <f t="shared" si="3"/>
        <v>196000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70+17+10+18+53-18</f>
        <v>150</v>
      </c>
      <c r="C251" s="8">
        <v>32000</v>
      </c>
      <c r="D251" s="8">
        <f t="shared" si="3"/>
        <v>4800000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hidden="1" x14ac:dyDescent="0.3">
      <c r="A254" s="10" t="s">
        <v>253</v>
      </c>
      <c r="B254" s="8"/>
      <c r="C254" s="8"/>
      <c r="D254" s="8">
        <f t="shared" si="3"/>
        <v>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20+7+9+50+32</f>
        <v>118</v>
      </c>
      <c r="C259" s="8">
        <v>40000</v>
      </c>
      <c r="D259" s="8">
        <f t="shared" si="3"/>
        <v>4720000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8+7+40</f>
        <v>55</v>
      </c>
      <c r="C263" s="8">
        <v>20000</v>
      </c>
      <c r="D263" s="8">
        <f t="shared" si="4"/>
        <v>1100000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hidden="1" x14ac:dyDescent="0.3">
      <c r="A270" s="10" t="s">
        <v>270</v>
      </c>
      <c r="B270" s="8"/>
      <c r="C270" s="8"/>
      <c r="D270" s="8">
        <f t="shared" si="4"/>
        <v>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f>18+9</f>
        <v>27</v>
      </c>
      <c r="C274" s="8">
        <v>16000</v>
      </c>
      <c r="D274" s="8">
        <f t="shared" si="4"/>
        <v>432000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hidden="1" x14ac:dyDescent="0.3">
      <c r="A284" s="12" t="s">
        <v>418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7</v>
      </c>
      <c r="C288" s="8">
        <v>9000</v>
      </c>
      <c r="D288" s="8">
        <f t="shared" si="4"/>
        <v>63000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f>20+35</f>
        <v>55</v>
      </c>
      <c r="C291" s="8">
        <v>7000</v>
      </c>
      <c r="D291" s="8">
        <f t="shared" si="4"/>
        <v>385000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f>8+23</f>
        <v>31</v>
      </c>
      <c r="C294" s="8">
        <v>10500</v>
      </c>
      <c r="D294" s="8">
        <f t="shared" si="4"/>
        <v>325500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x14ac:dyDescent="0.3">
      <c r="A327" s="10" t="s">
        <v>326</v>
      </c>
      <c r="B327" s="8">
        <v>3</v>
      </c>
      <c r="C327" s="8">
        <v>30000</v>
      </c>
      <c r="D327" s="8">
        <f t="shared" si="5"/>
        <v>90000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3844.4</v>
      </c>
      <c r="C340" s="46"/>
      <c r="D340" s="8">
        <f>SUM(D3:D327)</f>
        <v>69323000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429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f>165+220</f>
        <v>385</v>
      </c>
      <c r="C348" s="8">
        <v>7300</v>
      </c>
      <c r="D348" s="8">
        <f t="shared" si="5"/>
        <v>2810500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5</v>
      </c>
      <c r="C355" s="8">
        <v>10000</v>
      </c>
      <c r="D355" s="8">
        <f t="shared" si="5"/>
        <v>50000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225+250+210+90+90+390+1000-140+160</f>
        <v>2275</v>
      </c>
      <c r="C362" s="8">
        <v>13000</v>
      </c>
      <c r="D362" s="8">
        <f t="shared" si="5"/>
        <v>29575000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x14ac:dyDescent="0.3">
      <c r="A365" s="10" t="s">
        <v>22</v>
      </c>
      <c r="B365" s="8">
        <v>1</v>
      </c>
      <c r="C365" s="8">
        <v>12000</v>
      </c>
      <c r="D365" s="8">
        <f t="shared" si="5"/>
        <v>12000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20+260+60+90+240+17</f>
        <v>687</v>
      </c>
      <c r="C389" s="8">
        <v>21000</v>
      </c>
      <c r="D389" s="8">
        <f t="shared" si="6"/>
        <v>14427000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140+15+10</f>
        <v>165</v>
      </c>
      <c r="C414" s="8">
        <v>27000</v>
      </c>
      <c r="D414" s="8">
        <f t="shared" si="6"/>
        <v>4455000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hidden="1" x14ac:dyDescent="0.3">
      <c r="A427" s="10" t="s">
        <v>90</v>
      </c>
      <c r="B427" s="8"/>
      <c r="C427" s="8"/>
      <c r="D427" s="8">
        <f t="shared" si="6"/>
        <v>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hidden="1" x14ac:dyDescent="0.3">
      <c r="A461" s="10" t="s">
        <v>122</v>
      </c>
      <c r="B461" s="8"/>
      <c r="C461" s="8"/>
      <c r="D461" s="8">
        <f t="shared" si="7"/>
        <v>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90</v>
      </c>
      <c r="C472" s="8">
        <v>9000</v>
      </c>
      <c r="D472" s="8">
        <f t="shared" si="7"/>
        <v>810000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x14ac:dyDescent="0.3">
      <c r="A492" s="10" t="s">
        <v>154</v>
      </c>
      <c r="B492" s="8">
        <v>10</v>
      </c>
      <c r="C492" s="8">
        <v>11000</v>
      </c>
      <c r="D492" s="8">
        <f t="shared" si="7"/>
        <v>110000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x14ac:dyDescent="0.3">
      <c r="A497" s="10" t="s">
        <v>159</v>
      </c>
      <c r="B497" s="8">
        <f>2+9+10</f>
        <v>21</v>
      </c>
      <c r="C497" s="8">
        <v>11000</v>
      </c>
      <c r="D497" s="8">
        <f t="shared" si="7"/>
        <v>231000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v>100</v>
      </c>
      <c r="C504" s="8">
        <v>6500</v>
      </c>
      <c r="D504" s="8">
        <f t="shared" si="7"/>
        <v>650000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f>1225+80-130+10</f>
        <v>1185</v>
      </c>
      <c r="C520" s="8">
        <v>7700</v>
      </c>
      <c r="D520" s="8">
        <f t="shared" si="8"/>
        <v>9124500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400+220</f>
        <v>620</v>
      </c>
      <c r="C542" s="8">
        <v>11000</v>
      </c>
      <c r="D542" s="8">
        <f t="shared" si="8"/>
        <v>6820000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225+390+60+80-220</f>
        <v>535</v>
      </c>
      <c r="C556" s="8">
        <v>16000</v>
      </c>
      <c r="D556" s="8">
        <f t="shared" si="8"/>
        <v>8560000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x14ac:dyDescent="0.3">
      <c r="A568" s="12" t="s">
        <v>226</v>
      </c>
      <c r="B568" s="8">
        <v>15</v>
      </c>
      <c r="C568" s="8">
        <v>38000</v>
      </c>
      <c r="D568" s="8">
        <f t="shared" si="8"/>
        <v>570000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6094</v>
      </c>
      <c r="C672" s="46"/>
      <c r="D672" s="46">
        <f t="shared" ref="D672" si="11">SUM(D345:D671)</f>
        <v>78205000</v>
      </c>
    </row>
    <row r="674" spans="4:4" x14ac:dyDescent="0.3">
      <c r="D674" s="49">
        <f>D672+D340</f>
        <v>147528000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17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D674"/>
  <sheetViews>
    <sheetView topLeftCell="A343" workbookViewId="0">
      <selection activeCell="D674" sqref="D674"/>
    </sheetView>
  </sheetViews>
  <sheetFormatPr defaultRowHeight="14.4" x14ac:dyDescent="0.3"/>
  <cols>
    <col min="1" max="1" width="40.109375" customWidth="1"/>
    <col min="3" max="3" width="14.88671875" customWidth="1"/>
    <col min="4" max="4" width="22.109375" customWidth="1"/>
  </cols>
  <sheetData>
    <row r="1" spans="1:4" x14ac:dyDescent="0.3">
      <c r="A1" s="1" t="s">
        <v>428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6" t="s">
        <v>2</v>
      </c>
      <c r="B3" s="8"/>
      <c r="C3" s="8"/>
      <c r="D3" s="8">
        <f>B3*C3</f>
        <v>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x14ac:dyDescent="0.3">
      <c r="A15" s="13" t="s">
        <v>14</v>
      </c>
      <c r="B15" s="8">
        <v>18</v>
      </c>
      <c r="C15" s="8">
        <v>18000</v>
      </c>
      <c r="D15" s="8">
        <f t="shared" si="0"/>
        <v>324000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f>13+15</f>
        <v>28</v>
      </c>
      <c r="C18" s="8">
        <v>4000</v>
      </c>
      <c r="D18" s="8">
        <f t="shared" si="0"/>
        <v>112000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150</v>
      </c>
      <c r="C20" s="8">
        <v>13000</v>
      </c>
      <c r="D20" s="8">
        <f t="shared" si="0"/>
        <v>1950000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hidden="1" x14ac:dyDescent="0.3">
      <c r="A23" s="10" t="s">
        <v>22</v>
      </c>
      <c r="B23" s="8"/>
      <c r="C23" s="8"/>
      <c r="D23" s="8">
        <f t="shared" si="0"/>
        <v>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65+12+40+45</f>
        <v>162</v>
      </c>
      <c r="C25" s="8">
        <v>11000</v>
      </c>
      <c r="D25" s="8">
        <f t="shared" si="0"/>
        <v>1782000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f>32+32</f>
        <v>64</v>
      </c>
      <c r="C28" s="8">
        <v>12500</v>
      </c>
      <c r="D28" s="8">
        <f t="shared" si="0"/>
        <v>800000</v>
      </c>
    </row>
    <row r="29" spans="1:4" ht="18" hidden="1" x14ac:dyDescent="0.3">
      <c r="A29" s="12" t="s">
        <v>412</v>
      </c>
      <c r="B29" s="17"/>
      <c r="C29" s="17"/>
      <c r="D29" s="8">
        <f t="shared" si="0"/>
        <v>0</v>
      </c>
    </row>
    <row r="30" spans="1:4" ht="18" hidden="1" x14ac:dyDescent="0.3">
      <c r="A30" s="13" t="s">
        <v>28</v>
      </c>
      <c r="B30" s="8"/>
      <c r="C30" s="8"/>
      <c r="D30" s="8">
        <f t="shared" si="0"/>
        <v>0</v>
      </c>
    </row>
    <row r="31" spans="1:4" ht="18" hidden="1" x14ac:dyDescent="0.3">
      <c r="A31" s="12" t="s">
        <v>29</v>
      </c>
      <c r="B31" s="8"/>
      <c r="C31" s="8"/>
      <c r="D31" s="8">
        <f t="shared" si="0"/>
        <v>0</v>
      </c>
    </row>
    <row r="32" spans="1:4" ht="18" hidden="1" x14ac:dyDescent="0.3">
      <c r="A32" s="12" t="s">
        <v>30</v>
      </c>
      <c r="B32" s="8"/>
      <c r="C32" s="8"/>
      <c r="D32" s="8">
        <f t="shared" si="0"/>
        <v>0</v>
      </c>
    </row>
    <row r="33" spans="1:4" ht="18" hidden="1" x14ac:dyDescent="0.3">
      <c r="A33" s="12" t="s">
        <v>31</v>
      </c>
      <c r="B33" s="8"/>
      <c r="C33" s="8"/>
      <c r="D33" s="8">
        <f t="shared" si="0"/>
        <v>0</v>
      </c>
    </row>
    <row r="34" spans="1:4" ht="18" hidden="1" x14ac:dyDescent="0.3">
      <c r="A34" s="13" t="s">
        <v>367</v>
      </c>
      <c r="B34" s="8"/>
      <c r="C34" s="8"/>
      <c r="D34" s="8">
        <f t="shared" si="0"/>
        <v>0</v>
      </c>
    </row>
    <row r="35" spans="1:4" ht="18" hidden="1" x14ac:dyDescent="0.3">
      <c r="A35" s="12" t="s">
        <v>32</v>
      </c>
      <c r="B35" s="8"/>
      <c r="C35" s="8"/>
      <c r="D35" s="8">
        <f t="shared" si="0"/>
        <v>0</v>
      </c>
    </row>
    <row r="36" spans="1:4" ht="18" hidden="1" x14ac:dyDescent="0.3">
      <c r="A36" s="12" t="s">
        <v>33</v>
      </c>
      <c r="B36" s="8"/>
      <c r="C36" s="8"/>
      <c r="D36" s="8">
        <f t="shared" si="0"/>
        <v>0</v>
      </c>
    </row>
    <row r="37" spans="1:4" ht="18" hidden="1" x14ac:dyDescent="0.3">
      <c r="A37" s="12" t="s">
        <v>34</v>
      </c>
      <c r="B37" s="8"/>
      <c r="C37" s="8"/>
      <c r="D37" s="8">
        <f t="shared" si="0"/>
        <v>0</v>
      </c>
    </row>
    <row r="38" spans="1:4" ht="18" x14ac:dyDescent="0.3">
      <c r="A38" s="13" t="s">
        <v>35</v>
      </c>
      <c r="B38" s="8">
        <v>9</v>
      </c>
      <c r="C38" s="8">
        <v>11000</v>
      </c>
      <c r="D38" s="8">
        <f t="shared" si="0"/>
        <v>99000</v>
      </c>
    </row>
    <row r="39" spans="1:4" ht="18" hidden="1" x14ac:dyDescent="0.3">
      <c r="A39" s="10" t="s">
        <v>36</v>
      </c>
      <c r="B39" s="8"/>
      <c r="C39" s="8"/>
      <c r="D39" s="8">
        <f t="shared" si="0"/>
        <v>0</v>
      </c>
    </row>
    <row r="40" spans="1:4" ht="18" hidden="1" x14ac:dyDescent="0.3">
      <c r="A40" s="10" t="s">
        <v>37</v>
      </c>
      <c r="B40" s="8"/>
      <c r="C40" s="8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hidden="1" x14ac:dyDescent="0.3">
      <c r="A45" s="10" t="s">
        <v>43</v>
      </c>
      <c r="B45" s="8"/>
      <c r="C45" s="8"/>
      <c r="D45" s="8">
        <f t="shared" si="0"/>
        <v>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x14ac:dyDescent="0.3">
      <c r="A57" s="18" t="s">
        <v>55</v>
      </c>
      <c r="B57" s="8">
        <v>2</v>
      </c>
      <c r="C57" s="8">
        <v>14400</v>
      </c>
      <c r="D57" s="8">
        <f t="shared" si="0"/>
        <v>28800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hidden="1" x14ac:dyDescent="0.3">
      <c r="A63" s="18" t="s">
        <v>61</v>
      </c>
      <c r="B63" s="8"/>
      <c r="C63" s="8"/>
      <c r="D63" s="8">
        <f t="shared" si="0"/>
        <v>0</v>
      </c>
    </row>
    <row r="64" spans="1:4" ht="18" x14ac:dyDescent="0.3">
      <c r="A64" s="10" t="s">
        <v>62</v>
      </c>
      <c r="B64" s="8">
        <v>9</v>
      </c>
      <c r="C64" s="8">
        <v>18000</v>
      </c>
      <c r="D64" s="8">
        <f t="shared" si="0"/>
        <v>162000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x14ac:dyDescent="0.3">
      <c r="A70" s="13" t="s">
        <v>68</v>
      </c>
      <c r="B70" s="8">
        <v>7</v>
      </c>
      <c r="C70" s="8">
        <v>10000</v>
      </c>
      <c r="D70" s="8">
        <f t="shared" si="1"/>
        <v>70000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x14ac:dyDescent="0.3">
      <c r="A80" s="10" t="s">
        <v>79</v>
      </c>
      <c r="B80" s="8">
        <v>140</v>
      </c>
      <c r="C80" s="8">
        <v>28000</v>
      </c>
      <c r="D80" s="8">
        <f t="shared" si="1"/>
        <v>3920000</v>
      </c>
    </row>
    <row r="81" spans="1:4" ht="18" x14ac:dyDescent="0.3">
      <c r="A81" s="10" t="s">
        <v>80</v>
      </c>
      <c r="B81" s="8">
        <v>38</v>
      </c>
      <c r="C81" s="8">
        <v>21000</v>
      </c>
      <c r="D81" s="8">
        <f t="shared" si="1"/>
        <v>798000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hidden="1" x14ac:dyDescent="0.3">
      <c r="A104" s="26" t="s">
        <v>103</v>
      </c>
      <c r="B104" s="8"/>
      <c r="C104" s="8"/>
      <c r="D104" s="8">
        <f t="shared" si="1"/>
        <v>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x14ac:dyDescent="0.3">
      <c r="A111" s="10" t="s">
        <v>110</v>
      </c>
      <c r="B111" s="8">
        <v>105</v>
      </c>
      <c r="C111" s="8">
        <v>21000</v>
      </c>
      <c r="D111" s="8">
        <f t="shared" si="1"/>
        <v>2205000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x14ac:dyDescent="0.3">
      <c r="A126" s="14" t="s">
        <v>125</v>
      </c>
      <c r="B126" s="8">
        <v>10</v>
      </c>
      <c r="C126" s="8">
        <v>15000</v>
      </c>
      <c r="D126" s="8">
        <f t="shared" si="1"/>
        <v>150000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x14ac:dyDescent="0.3">
      <c r="A133" s="10" t="s">
        <v>132</v>
      </c>
      <c r="B133" s="8">
        <v>7</v>
      </c>
      <c r="C133" s="8">
        <v>8000</v>
      </c>
      <c r="D133" s="8">
        <f t="shared" si="2"/>
        <v>56000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x14ac:dyDescent="0.3">
      <c r="A149" s="10" t="s">
        <v>148</v>
      </c>
      <c r="B149" s="17">
        <v>0.4</v>
      </c>
      <c r="C149" s="17">
        <v>60000</v>
      </c>
      <c r="D149" s="8">
        <f t="shared" si="2"/>
        <v>24000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0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9</v>
      </c>
      <c r="C171" s="8">
        <v>11000</v>
      </c>
      <c r="D171" s="8">
        <f t="shared" si="2"/>
        <v>99000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hidden="1" x14ac:dyDescent="0.3">
      <c r="A175" s="34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240</v>
      </c>
      <c r="C184" s="8">
        <v>7700</v>
      </c>
      <c r="D184" s="8">
        <f t="shared" si="2"/>
        <v>1848000</v>
      </c>
    </row>
    <row r="185" spans="1:4" ht="18" hidden="1" x14ac:dyDescent="0.3">
      <c r="A185" s="10" t="s">
        <v>184</v>
      </c>
      <c r="B185" s="8"/>
      <c r="C185" s="8"/>
      <c r="D185" s="8">
        <f t="shared" si="2"/>
        <v>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12</v>
      </c>
      <c r="C187" s="8">
        <v>20000</v>
      </c>
      <c r="D187" s="8">
        <f t="shared" si="2"/>
        <v>240000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250+450</f>
        <v>700</v>
      </c>
      <c r="C202" s="8">
        <v>18000</v>
      </c>
      <c r="D202" s="8">
        <f t="shared" si="3"/>
        <v>12600000</v>
      </c>
    </row>
    <row r="203" spans="1:4" ht="18" x14ac:dyDescent="0.3">
      <c r="A203" s="13" t="s">
        <v>202</v>
      </c>
      <c r="B203" s="8">
        <v>420</v>
      </c>
      <c r="C203" s="8">
        <v>19000</v>
      </c>
      <c r="D203" s="8">
        <f t="shared" si="3"/>
        <v>7980000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2" t="s">
        <v>208</v>
      </c>
      <c r="B209" s="8">
        <v>2</v>
      </c>
      <c r="C209" s="8">
        <v>35000</v>
      </c>
      <c r="D209" s="8">
        <f t="shared" si="3"/>
        <v>70000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250</v>
      </c>
      <c r="C216" s="8">
        <v>16000</v>
      </c>
      <c r="D216" s="8">
        <f t="shared" si="3"/>
        <v>4000000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hidden="1" x14ac:dyDescent="0.3">
      <c r="A218" s="10" t="s">
        <v>217</v>
      </c>
      <c r="B218" s="8"/>
      <c r="C218" s="8"/>
      <c r="D218" s="8">
        <f t="shared" si="3"/>
        <v>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x14ac:dyDescent="0.3">
      <c r="A227" s="12" t="s">
        <v>226</v>
      </c>
      <c r="B227" s="8">
        <f>28+35+20</f>
        <v>83</v>
      </c>
      <c r="C227" s="8">
        <v>38000</v>
      </c>
      <c r="D227" s="8">
        <f t="shared" si="3"/>
        <v>3154000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2</v>
      </c>
      <c r="C248" s="8">
        <v>14000</v>
      </c>
      <c r="D248" s="8">
        <f t="shared" si="3"/>
        <v>28000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30+10+6+20+28+20+30+20</f>
        <v>164</v>
      </c>
      <c r="C251" s="8">
        <v>32000</v>
      </c>
      <c r="D251" s="8">
        <f t="shared" si="3"/>
        <v>5248000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x14ac:dyDescent="0.3">
      <c r="A254" s="10" t="s">
        <v>253</v>
      </c>
      <c r="B254" s="8">
        <v>4</v>
      </c>
      <c r="C254" s="8">
        <v>11000</v>
      </c>
      <c r="D254" s="8">
        <f t="shared" si="3"/>
        <v>44000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v>20</v>
      </c>
      <c r="C259" s="8">
        <v>40000</v>
      </c>
      <c r="D259" s="8">
        <f t="shared" si="3"/>
        <v>800000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f>38+6</f>
        <v>44</v>
      </c>
      <c r="C263" s="8">
        <v>20000</v>
      </c>
      <c r="D263" s="8">
        <f t="shared" si="4"/>
        <v>880000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hidden="1" x14ac:dyDescent="0.3">
      <c r="A270" s="10" t="s">
        <v>270</v>
      </c>
      <c r="B270" s="8"/>
      <c r="C270" s="8"/>
      <c r="D270" s="8">
        <f t="shared" si="4"/>
        <v>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v>12</v>
      </c>
      <c r="C274" s="8">
        <v>16000</v>
      </c>
      <c r="D274" s="8">
        <f t="shared" si="4"/>
        <v>192000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hidden="1" x14ac:dyDescent="0.3">
      <c r="A284" s="12" t="s">
        <v>418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x14ac:dyDescent="0.3">
      <c r="A288" s="10" t="s">
        <v>287</v>
      </c>
      <c r="B288" s="8">
        <v>4</v>
      </c>
      <c r="C288" s="8">
        <v>9000</v>
      </c>
      <c r="D288" s="8">
        <f t="shared" si="4"/>
        <v>36000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hidden="1" x14ac:dyDescent="0.3">
      <c r="A291" s="10" t="s">
        <v>290</v>
      </c>
      <c r="B291" s="8"/>
      <c r="C291" s="8"/>
      <c r="D291" s="8">
        <f t="shared" si="4"/>
        <v>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hidden="1" x14ac:dyDescent="0.3">
      <c r="A294" s="10" t="s">
        <v>293</v>
      </c>
      <c r="B294" s="8"/>
      <c r="C294" s="8"/>
      <c r="D294" s="8">
        <f t="shared" si="4"/>
        <v>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hidden="1" x14ac:dyDescent="0.3">
      <c r="A327" s="10" t="s">
        <v>326</v>
      </c>
      <c r="B327" s="8"/>
      <c r="C327" s="8"/>
      <c r="D327" s="8">
        <f t="shared" si="5"/>
        <v>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2715.4</v>
      </c>
      <c r="C340" s="46"/>
      <c r="D340" s="8">
        <f>SUM(D15:D288)</f>
        <v>49699800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430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x14ac:dyDescent="0.3">
      <c r="A348" s="6" t="s">
        <v>5</v>
      </c>
      <c r="B348" s="8">
        <v>220</v>
      </c>
      <c r="C348" s="8">
        <v>7300</v>
      </c>
      <c r="D348" s="8">
        <f t="shared" si="5"/>
        <v>1606000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9</v>
      </c>
      <c r="C355" s="8">
        <v>10000</v>
      </c>
      <c r="D355" s="8">
        <f t="shared" si="5"/>
        <v>90000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240+260+330+100+255+520+780</f>
        <v>2485</v>
      </c>
      <c r="C362" s="8">
        <v>13000</v>
      </c>
      <c r="D362" s="8">
        <f t="shared" si="5"/>
        <v>32305000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hidden="1" x14ac:dyDescent="0.3">
      <c r="A365" s="10" t="s">
        <v>22</v>
      </c>
      <c r="B365" s="8"/>
      <c r="C365" s="8"/>
      <c r="D365" s="8">
        <f t="shared" si="5"/>
        <v>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18+240+100+180</f>
        <v>538</v>
      </c>
      <c r="C389" s="8">
        <v>21000</v>
      </c>
      <c r="D389" s="8">
        <f t="shared" si="6"/>
        <v>11298000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x14ac:dyDescent="0.3">
      <c r="A414" s="10" t="s">
        <v>77</v>
      </c>
      <c r="B414" s="8">
        <f>35+20</f>
        <v>55</v>
      </c>
      <c r="C414" s="8">
        <v>26000</v>
      </c>
      <c r="D414" s="8">
        <f t="shared" si="6"/>
        <v>1430000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x14ac:dyDescent="0.3">
      <c r="A427" s="10" t="s">
        <v>90</v>
      </c>
      <c r="B427" s="8">
        <v>50</v>
      </c>
      <c r="C427" s="8">
        <v>9000</v>
      </c>
      <c r="D427" s="8">
        <f t="shared" si="6"/>
        <v>450000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hidden="1" x14ac:dyDescent="0.3">
      <c r="A461" s="10" t="s">
        <v>122</v>
      </c>
      <c r="B461" s="8"/>
      <c r="C461" s="8"/>
      <c r="D461" s="8">
        <f t="shared" si="7"/>
        <v>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f>11+6+22</f>
        <v>39</v>
      </c>
      <c r="C472" s="8">
        <v>9000</v>
      </c>
      <c r="D472" s="8">
        <f t="shared" si="7"/>
        <v>351000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x14ac:dyDescent="0.3">
      <c r="A492" s="10" t="s">
        <v>154</v>
      </c>
      <c r="B492" s="8">
        <v>28</v>
      </c>
      <c r="C492" s="8">
        <v>11000</v>
      </c>
      <c r="D492" s="8">
        <f t="shared" si="7"/>
        <v>308000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x14ac:dyDescent="0.3">
      <c r="A504" s="10" t="s">
        <v>350</v>
      </c>
      <c r="B504" s="8">
        <v>39</v>
      </c>
      <c r="C504" s="8">
        <v>6500</v>
      </c>
      <c r="D504" s="8">
        <f t="shared" si="7"/>
        <v>253500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x14ac:dyDescent="0.3">
      <c r="A520" s="13" t="s">
        <v>183</v>
      </c>
      <c r="B520" s="8">
        <v>700</v>
      </c>
      <c r="C520" s="8">
        <v>7700</v>
      </c>
      <c r="D520" s="8">
        <f t="shared" si="8"/>
        <v>5390000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f>320+200+180</f>
        <v>700</v>
      </c>
      <c r="C542" s="8">
        <v>11000</v>
      </c>
      <c r="D542" s="8">
        <f t="shared" si="8"/>
        <v>7700000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x14ac:dyDescent="0.3">
      <c r="A553" s="10" t="s">
        <v>212</v>
      </c>
      <c r="B553" s="8">
        <f>40+28</f>
        <v>68</v>
      </c>
      <c r="C553" s="8">
        <v>17000</v>
      </c>
      <c r="D553" s="8">
        <f t="shared" si="8"/>
        <v>1156000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f>150+90+40+25+150-250</f>
        <v>205</v>
      </c>
      <c r="C556" s="8">
        <v>16000</v>
      </c>
      <c r="D556" s="8">
        <f t="shared" si="8"/>
        <v>3280000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hidden="1" x14ac:dyDescent="0.3">
      <c r="A597" s="10" t="s">
        <v>262</v>
      </c>
      <c r="B597" s="8"/>
      <c r="C597" s="8"/>
      <c r="D597" s="8">
        <f t="shared" si="9"/>
        <v>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5136</v>
      </c>
      <c r="C672" s="46"/>
      <c r="D672" s="46">
        <f t="shared" ref="D672" si="11">SUM(D345:D671)</f>
        <v>65617500</v>
      </c>
    </row>
    <row r="674" spans="4:4" x14ac:dyDescent="0.3">
      <c r="D674" s="49">
        <f>D672+D340</f>
        <v>115317300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18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674"/>
  <sheetViews>
    <sheetView workbookViewId="0">
      <selection activeCell="H70" sqref="H70"/>
    </sheetView>
  </sheetViews>
  <sheetFormatPr defaultRowHeight="14.4" x14ac:dyDescent="0.3"/>
  <cols>
    <col min="1" max="1" width="30.21875" customWidth="1"/>
    <col min="2" max="2" width="11.33203125" customWidth="1"/>
    <col min="3" max="3" width="13" customWidth="1"/>
    <col min="4" max="4" width="18.6640625" customWidth="1"/>
  </cols>
  <sheetData>
    <row r="1" spans="1:4" x14ac:dyDescent="0.3">
      <c r="A1" s="1" t="s">
        <v>432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x14ac:dyDescent="0.3">
      <c r="A3" s="6" t="s">
        <v>2</v>
      </c>
      <c r="B3" s="8">
        <v>10</v>
      </c>
      <c r="C3" s="8">
        <v>13000</v>
      </c>
      <c r="D3" s="8">
        <f>B3*C3</f>
        <v>130000</v>
      </c>
    </row>
    <row r="4" spans="1:4" ht="18" hidden="1" x14ac:dyDescent="0.3">
      <c r="A4" s="9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6" t="s">
        <v>4</v>
      </c>
      <c r="B5" s="8"/>
      <c r="C5" s="8"/>
      <c r="D5" s="8">
        <f t="shared" si="0"/>
        <v>0</v>
      </c>
    </row>
    <row r="6" spans="1:4" ht="18" hidden="1" x14ac:dyDescent="0.3">
      <c r="A6" s="6" t="s">
        <v>5</v>
      </c>
      <c r="B6" s="8"/>
      <c r="C6" s="8"/>
      <c r="D6" s="8">
        <f t="shared" si="0"/>
        <v>0</v>
      </c>
    </row>
    <row r="7" spans="1:4" ht="18" hidden="1" x14ac:dyDescent="0.3">
      <c r="A7" s="10" t="s">
        <v>6</v>
      </c>
      <c r="B7" s="8"/>
      <c r="C7" s="8"/>
      <c r="D7" s="8">
        <f t="shared" si="0"/>
        <v>0</v>
      </c>
    </row>
    <row r="8" spans="1:4" ht="18" hidden="1" x14ac:dyDescent="0.3">
      <c r="A8" s="11" t="s">
        <v>7</v>
      </c>
      <c r="B8" s="8"/>
      <c r="C8" s="8"/>
      <c r="D8" s="8">
        <f t="shared" si="0"/>
        <v>0</v>
      </c>
    </row>
    <row r="9" spans="1:4" ht="18" hidden="1" x14ac:dyDescent="0.3">
      <c r="A9" s="6" t="s">
        <v>8</v>
      </c>
      <c r="B9" s="8"/>
      <c r="C9" s="8"/>
      <c r="D9" s="8">
        <f t="shared" si="0"/>
        <v>0</v>
      </c>
    </row>
    <row r="10" spans="1:4" ht="18" hidden="1" x14ac:dyDescent="0.3">
      <c r="A10" s="6" t="s">
        <v>9</v>
      </c>
      <c r="B10" s="8"/>
      <c r="C10" s="8"/>
      <c r="D10" s="8">
        <f t="shared" si="0"/>
        <v>0</v>
      </c>
    </row>
    <row r="11" spans="1:4" ht="18" hidden="1" x14ac:dyDescent="0.3">
      <c r="A11" s="12" t="s">
        <v>10</v>
      </c>
      <c r="B11" s="8"/>
      <c r="C11" s="8"/>
      <c r="D11" s="8">
        <f t="shared" si="0"/>
        <v>0</v>
      </c>
    </row>
    <row r="12" spans="1:4" ht="18" hidden="1" x14ac:dyDescent="0.3">
      <c r="A12" s="10" t="s">
        <v>11</v>
      </c>
      <c r="B12" s="8"/>
      <c r="C12" s="8"/>
      <c r="D12" s="8">
        <f t="shared" si="0"/>
        <v>0</v>
      </c>
    </row>
    <row r="13" spans="1:4" ht="18" hidden="1" x14ac:dyDescent="0.3">
      <c r="A13" s="10" t="s">
        <v>12</v>
      </c>
      <c r="B13" s="8"/>
      <c r="C13" s="8"/>
      <c r="D13" s="8">
        <f t="shared" si="0"/>
        <v>0</v>
      </c>
    </row>
    <row r="14" spans="1:4" ht="18" hidden="1" x14ac:dyDescent="0.3">
      <c r="A14" s="13" t="s">
        <v>13</v>
      </c>
      <c r="B14" s="8"/>
      <c r="C14" s="8"/>
      <c r="D14" s="8">
        <f t="shared" si="0"/>
        <v>0</v>
      </c>
    </row>
    <row r="15" spans="1:4" ht="18" hidden="1" x14ac:dyDescent="0.3">
      <c r="A15" s="13" t="s">
        <v>14</v>
      </c>
      <c r="B15" s="8"/>
      <c r="C15" s="8"/>
      <c r="D15" s="8">
        <f t="shared" si="0"/>
        <v>0</v>
      </c>
    </row>
    <row r="16" spans="1:4" ht="18" hidden="1" x14ac:dyDescent="0.3">
      <c r="A16" s="10" t="s">
        <v>15</v>
      </c>
      <c r="B16" s="8"/>
      <c r="C16" s="8"/>
      <c r="D16" s="8">
        <f t="shared" si="0"/>
        <v>0</v>
      </c>
    </row>
    <row r="17" spans="1:4" ht="18" hidden="1" x14ac:dyDescent="0.3">
      <c r="A17" s="10" t="s">
        <v>16</v>
      </c>
      <c r="B17" s="8"/>
      <c r="C17" s="8"/>
      <c r="D17" s="8">
        <f t="shared" si="0"/>
        <v>0</v>
      </c>
    </row>
    <row r="18" spans="1:4" ht="18" x14ac:dyDescent="0.3">
      <c r="A18" s="14" t="s">
        <v>17</v>
      </c>
      <c r="B18" s="8">
        <f>21+148</f>
        <v>169</v>
      </c>
      <c r="C18" s="8">
        <v>4000</v>
      </c>
      <c r="D18" s="8">
        <f t="shared" si="0"/>
        <v>676000</v>
      </c>
    </row>
    <row r="19" spans="1:4" ht="18" hidden="1" x14ac:dyDescent="0.3">
      <c r="A19" s="12" t="s">
        <v>18</v>
      </c>
      <c r="B19" s="8"/>
      <c r="C19" s="47"/>
      <c r="D19" s="8">
        <f t="shared" si="0"/>
        <v>0</v>
      </c>
    </row>
    <row r="20" spans="1:4" ht="18" x14ac:dyDescent="0.3">
      <c r="A20" s="10" t="s">
        <v>19</v>
      </c>
      <c r="B20" s="8">
        <v>120</v>
      </c>
      <c r="C20" s="8">
        <v>13000</v>
      </c>
      <c r="D20" s="8">
        <f t="shared" si="0"/>
        <v>1560000</v>
      </c>
    </row>
    <row r="21" spans="1:4" ht="18" hidden="1" x14ac:dyDescent="0.3">
      <c r="A21" s="13" t="s">
        <v>20</v>
      </c>
      <c r="B21" s="8"/>
      <c r="C21" s="8"/>
      <c r="D21" s="8">
        <f t="shared" si="0"/>
        <v>0</v>
      </c>
    </row>
    <row r="22" spans="1:4" ht="18" hidden="1" x14ac:dyDescent="0.3">
      <c r="A22" s="13" t="s">
        <v>21</v>
      </c>
      <c r="B22" s="8"/>
      <c r="C22" s="8"/>
      <c r="D22" s="8">
        <f t="shared" si="0"/>
        <v>0</v>
      </c>
    </row>
    <row r="23" spans="1:4" ht="18" x14ac:dyDescent="0.3">
      <c r="A23" s="10" t="s">
        <v>22</v>
      </c>
      <c r="B23" s="8">
        <v>3</v>
      </c>
      <c r="C23" s="8">
        <v>14000</v>
      </c>
      <c r="D23" s="8">
        <f t="shared" si="0"/>
        <v>42000</v>
      </c>
    </row>
    <row r="24" spans="1:4" ht="18" hidden="1" x14ac:dyDescent="0.3">
      <c r="A24" s="10" t="s">
        <v>23</v>
      </c>
      <c r="B24" s="8"/>
      <c r="C24" s="8"/>
      <c r="D24" s="8">
        <f t="shared" si="0"/>
        <v>0</v>
      </c>
    </row>
    <row r="25" spans="1:4" ht="18" x14ac:dyDescent="0.3">
      <c r="A25" s="10" t="s">
        <v>24</v>
      </c>
      <c r="B25" s="8">
        <f>125+8</f>
        <v>133</v>
      </c>
      <c r="C25" s="8">
        <v>12000</v>
      </c>
      <c r="D25" s="8">
        <f t="shared" si="0"/>
        <v>1596000</v>
      </c>
    </row>
    <row r="26" spans="1:4" ht="18" hidden="1" x14ac:dyDescent="0.3">
      <c r="A26" s="10" t="s">
        <v>25</v>
      </c>
      <c r="B26" s="8"/>
      <c r="C26" s="8"/>
      <c r="D26" s="8">
        <f t="shared" si="0"/>
        <v>0</v>
      </c>
    </row>
    <row r="27" spans="1:4" ht="18" hidden="1" x14ac:dyDescent="0.3">
      <c r="A27" s="10" t="s">
        <v>26</v>
      </c>
      <c r="B27" s="8"/>
      <c r="C27" s="8"/>
      <c r="D27" s="8">
        <f t="shared" si="0"/>
        <v>0</v>
      </c>
    </row>
    <row r="28" spans="1:4" ht="18" x14ac:dyDescent="0.3">
      <c r="A28" s="10" t="s">
        <v>27</v>
      </c>
      <c r="B28" s="8">
        <v>9</v>
      </c>
      <c r="C28" s="8">
        <v>12500</v>
      </c>
      <c r="D28" s="8">
        <f t="shared" si="0"/>
        <v>112500</v>
      </c>
    </row>
    <row r="29" spans="1:4" ht="18" hidden="1" x14ac:dyDescent="0.3">
      <c r="A29" s="12" t="s">
        <v>412</v>
      </c>
      <c r="B29" s="17"/>
      <c r="C29" s="17"/>
      <c r="D29" s="8">
        <f t="shared" si="0"/>
        <v>0</v>
      </c>
    </row>
    <row r="30" spans="1:4" ht="18" hidden="1" x14ac:dyDescent="0.3">
      <c r="A30" s="13" t="s">
        <v>28</v>
      </c>
      <c r="B30" s="8"/>
      <c r="C30" s="8"/>
      <c r="D30" s="8">
        <f t="shared" si="0"/>
        <v>0</v>
      </c>
    </row>
    <row r="31" spans="1:4" ht="18" hidden="1" x14ac:dyDescent="0.3">
      <c r="A31" s="12" t="s">
        <v>29</v>
      </c>
      <c r="B31" s="8"/>
      <c r="C31" s="8"/>
      <c r="D31" s="8">
        <f t="shared" si="0"/>
        <v>0</v>
      </c>
    </row>
    <row r="32" spans="1:4" ht="18" hidden="1" x14ac:dyDescent="0.3">
      <c r="A32" s="12" t="s">
        <v>30</v>
      </c>
      <c r="B32" s="8"/>
      <c r="C32" s="8"/>
      <c r="D32" s="8">
        <f t="shared" si="0"/>
        <v>0</v>
      </c>
    </row>
    <row r="33" spans="1:4" ht="18" hidden="1" x14ac:dyDescent="0.3">
      <c r="A33" s="12" t="s">
        <v>31</v>
      </c>
      <c r="B33" s="8"/>
      <c r="C33" s="8"/>
      <c r="D33" s="8">
        <f t="shared" si="0"/>
        <v>0</v>
      </c>
    </row>
    <row r="34" spans="1:4" ht="18" hidden="1" x14ac:dyDescent="0.3">
      <c r="A34" s="13" t="s">
        <v>367</v>
      </c>
      <c r="B34" s="8"/>
      <c r="C34" s="8"/>
      <c r="D34" s="8">
        <f t="shared" si="0"/>
        <v>0</v>
      </c>
    </row>
    <row r="35" spans="1:4" ht="18" hidden="1" x14ac:dyDescent="0.3">
      <c r="A35" s="12" t="s">
        <v>32</v>
      </c>
      <c r="B35" s="8"/>
      <c r="C35" s="8"/>
      <c r="D35" s="8">
        <f t="shared" si="0"/>
        <v>0</v>
      </c>
    </row>
    <row r="36" spans="1:4" ht="18" hidden="1" x14ac:dyDescent="0.3">
      <c r="A36" s="12" t="s">
        <v>33</v>
      </c>
      <c r="B36" s="8"/>
      <c r="C36" s="8"/>
      <c r="D36" s="8">
        <f t="shared" si="0"/>
        <v>0</v>
      </c>
    </row>
    <row r="37" spans="1:4" ht="18" hidden="1" x14ac:dyDescent="0.3">
      <c r="A37" s="12" t="s">
        <v>34</v>
      </c>
      <c r="B37" s="8"/>
      <c r="C37" s="8"/>
      <c r="D37" s="8">
        <f t="shared" si="0"/>
        <v>0</v>
      </c>
    </row>
    <row r="38" spans="1:4" ht="18" x14ac:dyDescent="0.3">
      <c r="A38" s="13" t="s">
        <v>35</v>
      </c>
      <c r="B38" s="8">
        <f>116+8+15</f>
        <v>139</v>
      </c>
      <c r="C38" s="8">
        <v>11000</v>
      </c>
      <c r="D38" s="8">
        <f t="shared" si="0"/>
        <v>1529000</v>
      </c>
    </row>
    <row r="39" spans="1:4" ht="18" hidden="1" x14ac:dyDescent="0.3">
      <c r="A39" s="10" t="s">
        <v>36</v>
      </c>
      <c r="B39" s="8"/>
      <c r="C39" s="8"/>
      <c r="D39" s="8">
        <f t="shared" si="0"/>
        <v>0</v>
      </c>
    </row>
    <row r="40" spans="1:4" ht="18" hidden="1" x14ac:dyDescent="0.3">
      <c r="A40" s="10" t="s">
        <v>37</v>
      </c>
      <c r="B40" s="8"/>
      <c r="C40" s="8"/>
      <c r="D40" s="8">
        <f t="shared" si="0"/>
        <v>0</v>
      </c>
    </row>
    <row r="41" spans="1:4" ht="18" hidden="1" x14ac:dyDescent="0.3">
      <c r="A41" s="12" t="s">
        <v>39</v>
      </c>
      <c r="B41" s="17"/>
      <c r="C41" s="17"/>
      <c r="D41" s="8">
        <f t="shared" si="0"/>
        <v>0</v>
      </c>
    </row>
    <row r="42" spans="1:4" ht="18" hidden="1" x14ac:dyDescent="0.3">
      <c r="A42" s="10" t="s">
        <v>40</v>
      </c>
      <c r="B42" s="8"/>
      <c r="C42" s="8"/>
      <c r="D42" s="8">
        <f t="shared" si="0"/>
        <v>0</v>
      </c>
    </row>
    <row r="43" spans="1:4" ht="18" hidden="1" x14ac:dyDescent="0.3">
      <c r="A43" s="10" t="s">
        <v>41</v>
      </c>
      <c r="B43" s="8"/>
      <c r="C43" s="8"/>
      <c r="D43" s="8">
        <f t="shared" si="0"/>
        <v>0</v>
      </c>
    </row>
    <row r="44" spans="1:4" ht="18" hidden="1" x14ac:dyDescent="0.3">
      <c r="A44" s="18" t="s">
        <v>42</v>
      </c>
      <c r="B44" s="8"/>
      <c r="C44" s="8"/>
      <c r="D44" s="8">
        <f t="shared" si="0"/>
        <v>0</v>
      </c>
    </row>
    <row r="45" spans="1:4" ht="18" x14ac:dyDescent="0.3">
      <c r="A45" s="10" t="s">
        <v>43</v>
      </c>
      <c r="B45" s="8">
        <v>8</v>
      </c>
      <c r="C45" s="8">
        <v>13000</v>
      </c>
      <c r="D45" s="8">
        <f t="shared" si="0"/>
        <v>104000</v>
      </c>
    </row>
    <row r="46" spans="1:4" ht="18" hidden="1" x14ac:dyDescent="0.3">
      <c r="A46" s="10" t="s">
        <v>44</v>
      </c>
      <c r="B46" s="8"/>
      <c r="C46" s="8"/>
      <c r="D46" s="8">
        <f t="shared" si="0"/>
        <v>0</v>
      </c>
    </row>
    <row r="47" spans="1:4" ht="18" hidden="1" x14ac:dyDescent="0.3">
      <c r="A47" s="10" t="s">
        <v>45</v>
      </c>
      <c r="B47" s="8"/>
      <c r="C47" s="8"/>
      <c r="D47" s="8">
        <f t="shared" si="0"/>
        <v>0</v>
      </c>
    </row>
    <row r="48" spans="1:4" ht="18" hidden="1" x14ac:dyDescent="0.3">
      <c r="A48" s="31" t="s">
        <v>46</v>
      </c>
      <c r="B48" s="8"/>
      <c r="C48" s="8"/>
      <c r="D48" s="8">
        <f t="shared" si="0"/>
        <v>0</v>
      </c>
    </row>
    <row r="49" spans="1:4" ht="18" hidden="1" x14ac:dyDescent="0.3">
      <c r="A49" s="14" t="s">
        <v>47</v>
      </c>
      <c r="B49" s="8"/>
      <c r="C49" s="8"/>
      <c r="D49" s="8">
        <f t="shared" si="0"/>
        <v>0</v>
      </c>
    </row>
    <row r="50" spans="1:4" ht="18" hidden="1" x14ac:dyDescent="0.3">
      <c r="A50" s="12" t="s">
        <v>48</v>
      </c>
      <c r="B50" s="8"/>
      <c r="C50" s="8"/>
      <c r="D50" s="8">
        <f t="shared" si="0"/>
        <v>0</v>
      </c>
    </row>
    <row r="51" spans="1:4" ht="18" hidden="1" x14ac:dyDescent="0.3">
      <c r="A51" s="14" t="s">
        <v>49</v>
      </c>
      <c r="B51" s="8"/>
      <c r="C51" s="8"/>
      <c r="D51" s="8">
        <f t="shared" si="0"/>
        <v>0</v>
      </c>
    </row>
    <row r="52" spans="1:4" ht="18" hidden="1" x14ac:dyDescent="0.3">
      <c r="A52" s="10" t="s">
        <v>50</v>
      </c>
      <c r="B52" s="8"/>
      <c r="C52" s="8"/>
      <c r="D52" s="8">
        <f t="shared" si="0"/>
        <v>0</v>
      </c>
    </row>
    <row r="53" spans="1:4" ht="18" hidden="1" x14ac:dyDescent="0.3">
      <c r="A53" s="10" t="s">
        <v>51</v>
      </c>
      <c r="B53" s="8"/>
      <c r="C53" s="8"/>
      <c r="D53" s="8">
        <f t="shared" si="0"/>
        <v>0</v>
      </c>
    </row>
    <row r="54" spans="1:4" ht="18" hidden="1" x14ac:dyDescent="0.3">
      <c r="A54" s="13" t="s">
        <v>52</v>
      </c>
      <c r="B54" s="8"/>
      <c r="C54" s="8"/>
      <c r="D54" s="8">
        <f t="shared" si="0"/>
        <v>0</v>
      </c>
    </row>
    <row r="55" spans="1:4" ht="18" hidden="1" x14ac:dyDescent="0.3">
      <c r="A55" s="10" t="s">
        <v>53</v>
      </c>
      <c r="B55" s="8"/>
      <c r="C55" s="8"/>
      <c r="D55" s="8">
        <f t="shared" si="0"/>
        <v>0</v>
      </c>
    </row>
    <row r="56" spans="1:4" ht="18" hidden="1" x14ac:dyDescent="0.3">
      <c r="A56" s="18" t="s">
        <v>54</v>
      </c>
      <c r="B56" s="8"/>
      <c r="C56" s="8"/>
      <c r="D56" s="8">
        <f t="shared" si="0"/>
        <v>0</v>
      </c>
    </row>
    <row r="57" spans="1:4" ht="18" x14ac:dyDescent="0.3">
      <c r="A57" s="18" t="s">
        <v>55</v>
      </c>
      <c r="B57" s="8">
        <v>35</v>
      </c>
      <c r="C57" s="8">
        <v>9000</v>
      </c>
      <c r="D57" s="8">
        <f t="shared" si="0"/>
        <v>315000</v>
      </c>
    </row>
    <row r="58" spans="1:4" ht="18" hidden="1" x14ac:dyDescent="0.3">
      <c r="A58" s="18" t="s">
        <v>56</v>
      </c>
      <c r="B58" s="8"/>
      <c r="C58" s="8"/>
      <c r="D58" s="8">
        <f t="shared" si="0"/>
        <v>0</v>
      </c>
    </row>
    <row r="59" spans="1:4" ht="18" hidden="1" x14ac:dyDescent="0.3">
      <c r="A59" s="10" t="s">
        <v>57</v>
      </c>
      <c r="B59" s="8"/>
      <c r="C59" s="8"/>
      <c r="D59" s="8">
        <f t="shared" si="0"/>
        <v>0</v>
      </c>
    </row>
    <row r="60" spans="1:4" ht="18" hidden="1" x14ac:dyDescent="0.3">
      <c r="A60" s="12" t="s">
        <v>58</v>
      </c>
      <c r="B60" s="8"/>
      <c r="C60" s="8"/>
      <c r="D60" s="8">
        <f t="shared" si="0"/>
        <v>0</v>
      </c>
    </row>
    <row r="61" spans="1:4" ht="18" hidden="1" x14ac:dyDescent="0.3">
      <c r="A61" s="10" t="s">
        <v>59</v>
      </c>
      <c r="B61" s="8"/>
      <c r="C61" s="8"/>
      <c r="D61" s="8">
        <f t="shared" si="0"/>
        <v>0</v>
      </c>
    </row>
    <row r="62" spans="1:4" ht="18" hidden="1" x14ac:dyDescent="0.3">
      <c r="A62" s="31" t="s">
        <v>60</v>
      </c>
      <c r="B62" s="8"/>
      <c r="C62" s="8"/>
      <c r="D62" s="8">
        <f t="shared" si="0"/>
        <v>0</v>
      </c>
    </row>
    <row r="63" spans="1:4" ht="18" x14ac:dyDescent="0.3">
      <c r="A63" s="18" t="s">
        <v>61</v>
      </c>
      <c r="B63" s="8">
        <v>12</v>
      </c>
      <c r="C63" s="8">
        <v>17000</v>
      </c>
      <c r="D63" s="8">
        <f t="shared" si="0"/>
        <v>204000</v>
      </c>
    </row>
    <row r="64" spans="1:4" ht="18" x14ac:dyDescent="0.3">
      <c r="A64" s="10" t="s">
        <v>62</v>
      </c>
      <c r="B64" s="8">
        <f>60+70+80</f>
        <v>210</v>
      </c>
      <c r="C64" s="8">
        <v>16000</v>
      </c>
      <c r="D64" s="8">
        <f t="shared" si="0"/>
        <v>3360000</v>
      </c>
    </row>
    <row r="65" spans="1:4" ht="18" hidden="1" x14ac:dyDescent="0.3">
      <c r="A65" s="21" t="s">
        <v>63</v>
      </c>
      <c r="B65" s="8"/>
      <c r="C65" s="8"/>
      <c r="D65" s="8">
        <f t="shared" si="0"/>
        <v>0</v>
      </c>
    </row>
    <row r="66" spans="1:4" ht="18" hidden="1" x14ac:dyDescent="0.3">
      <c r="A66" s="10" t="s">
        <v>64</v>
      </c>
      <c r="B66" s="8"/>
      <c r="C66" s="8"/>
      <c r="D66" s="8">
        <f t="shared" si="0"/>
        <v>0</v>
      </c>
    </row>
    <row r="67" spans="1:4" ht="18" hidden="1" x14ac:dyDescent="0.3">
      <c r="A67" s="10" t="s">
        <v>65</v>
      </c>
      <c r="B67" s="8"/>
      <c r="C67" s="8"/>
      <c r="D67" s="8">
        <f t="shared" si="0"/>
        <v>0</v>
      </c>
    </row>
    <row r="68" spans="1:4" ht="18" hidden="1" x14ac:dyDescent="0.3">
      <c r="A68" s="22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13" t="s">
        <v>67</v>
      </c>
      <c r="B69" s="8"/>
      <c r="C69" s="8"/>
      <c r="D69" s="8">
        <f t="shared" si="1"/>
        <v>0</v>
      </c>
    </row>
    <row r="70" spans="1:4" ht="18" x14ac:dyDescent="0.3">
      <c r="A70" s="13" t="s">
        <v>68</v>
      </c>
      <c r="B70" s="8">
        <v>24</v>
      </c>
      <c r="C70" s="8">
        <v>10000</v>
      </c>
      <c r="D70" s="8">
        <f t="shared" si="1"/>
        <v>240000</v>
      </c>
    </row>
    <row r="71" spans="1:4" ht="18" hidden="1" x14ac:dyDescent="0.3">
      <c r="A71" s="12" t="s">
        <v>69</v>
      </c>
      <c r="B71" s="8"/>
      <c r="C71" s="8"/>
      <c r="D71" s="8">
        <f t="shared" si="1"/>
        <v>0</v>
      </c>
    </row>
    <row r="72" spans="1:4" ht="18" hidden="1" x14ac:dyDescent="0.3">
      <c r="A72" s="13" t="s">
        <v>70</v>
      </c>
      <c r="B72" s="8"/>
      <c r="C72" s="8"/>
      <c r="D72" s="8">
        <f t="shared" si="1"/>
        <v>0</v>
      </c>
    </row>
    <row r="73" spans="1:4" ht="18" hidden="1" x14ac:dyDescent="0.3">
      <c r="A73" s="13" t="s">
        <v>71</v>
      </c>
      <c r="B73" s="8"/>
      <c r="C73" s="8"/>
      <c r="D73" s="8">
        <f t="shared" si="1"/>
        <v>0</v>
      </c>
    </row>
    <row r="74" spans="1:4" ht="18" hidden="1" x14ac:dyDescent="0.3">
      <c r="A74" s="13" t="s">
        <v>72</v>
      </c>
      <c r="B74" s="8"/>
      <c r="C74" s="8"/>
      <c r="D74" s="8">
        <f t="shared" si="1"/>
        <v>0</v>
      </c>
    </row>
    <row r="75" spans="1:4" ht="18" hidden="1" x14ac:dyDescent="0.3">
      <c r="A75" s="22" t="s">
        <v>73</v>
      </c>
      <c r="B75" s="8"/>
      <c r="C75" s="8"/>
      <c r="D75" s="8">
        <f t="shared" si="1"/>
        <v>0</v>
      </c>
    </row>
    <row r="76" spans="1:4" ht="18" hidden="1" x14ac:dyDescent="0.3">
      <c r="A76" s="10" t="s">
        <v>74</v>
      </c>
      <c r="B76" s="8"/>
      <c r="C76" s="8"/>
      <c r="D76" s="8">
        <f t="shared" si="1"/>
        <v>0</v>
      </c>
    </row>
    <row r="77" spans="1:4" ht="18" hidden="1" x14ac:dyDescent="0.3">
      <c r="A77" s="10" t="s">
        <v>75</v>
      </c>
      <c r="B77" s="8"/>
      <c r="C77" s="8"/>
      <c r="D77" s="8">
        <f t="shared" si="1"/>
        <v>0</v>
      </c>
    </row>
    <row r="78" spans="1:4" ht="18" hidden="1" x14ac:dyDescent="0.3">
      <c r="A78" s="10" t="s">
        <v>77</v>
      </c>
      <c r="B78" s="8"/>
      <c r="C78" s="8"/>
      <c r="D78" s="8">
        <f t="shared" si="1"/>
        <v>0</v>
      </c>
    </row>
    <row r="79" spans="1:4" ht="18" hidden="1" x14ac:dyDescent="0.3">
      <c r="A79" s="14" t="s">
        <v>78</v>
      </c>
      <c r="B79" s="8"/>
      <c r="C79" s="8"/>
      <c r="D79" s="8">
        <f t="shared" si="1"/>
        <v>0</v>
      </c>
    </row>
    <row r="80" spans="1:4" ht="18" hidden="1" x14ac:dyDescent="0.3">
      <c r="A80" s="10" t="s">
        <v>79</v>
      </c>
      <c r="B80" s="8"/>
      <c r="C80" s="8"/>
      <c r="D80" s="8">
        <f t="shared" si="1"/>
        <v>0</v>
      </c>
    </row>
    <row r="81" spans="1:4" ht="18" hidden="1" x14ac:dyDescent="0.3">
      <c r="A81" s="10" t="s">
        <v>80</v>
      </c>
      <c r="B81" s="8"/>
      <c r="C81" s="8"/>
      <c r="D81" s="8">
        <f t="shared" si="1"/>
        <v>0</v>
      </c>
    </row>
    <row r="82" spans="1:4" ht="18" hidden="1" x14ac:dyDescent="0.3">
      <c r="A82" s="10" t="s">
        <v>81</v>
      </c>
      <c r="B82" s="8"/>
      <c r="C82" s="8"/>
      <c r="D82" s="8">
        <f t="shared" si="1"/>
        <v>0</v>
      </c>
    </row>
    <row r="83" spans="1:4" ht="18" hidden="1" x14ac:dyDescent="0.3">
      <c r="A83" s="13" t="s">
        <v>82</v>
      </c>
      <c r="B83" s="17"/>
      <c r="C83" s="17"/>
      <c r="D83" s="8">
        <f t="shared" si="1"/>
        <v>0</v>
      </c>
    </row>
    <row r="84" spans="1:4" ht="18" hidden="1" x14ac:dyDescent="0.3">
      <c r="A84" s="13" t="s">
        <v>83</v>
      </c>
      <c r="B84" s="17"/>
      <c r="C84" s="17"/>
      <c r="D84" s="8">
        <f t="shared" si="1"/>
        <v>0</v>
      </c>
    </row>
    <row r="85" spans="1:4" ht="18" hidden="1" x14ac:dyDescent="0.3">
      <c r="A85" s="13" t="s">
        <v>84</v>
      </c>
      <c r="B85" s="17"/>
      <c r="C85" s="17"/>
      <c r="D85" s="8">
        <f t="shared" si="1"/>
        <v>0</v>
      </c>
    </row>
    <row r="86" spans="1:4" ht="18" hidden="1" x14ac:dyDescent="0.3">
      <c r="A86" s="10" t="s">
        <v>85</v>
      </c>
      <c r="B86" s="8"/>
      <c r="C86" s="8"/>
      <c r="D86" s="8">
        <f t="shared" si="1"/>
        <v>0</v>
      </c>
    </row>
    <row r="87" spans="1:4" ht="18" hidden="1" x14ac:dyDescent="0.3">
      <c r="A87" s="10" t="s">
        <v>86</v>
      </c>
      <c r="B87" s="8"/>
      <c r="C87" s="8"/>
      <c r="D87" s="8">
        <f t="shared" si="1"/>
        <v>0</v>
      </c>
    </row>
    <row r="88" spans="1:4" ht="18" hidden="1" x14ac:dyDescent="0.3">
      <c r="A88" s="10" t="s">
        <v>87</v>
      </c>
      <c r="B88" s="8"/>
      <c r="C88" s="8"/>
      <c r="D88" s="8">
        <f t="shared" si="1"/>
        <v>0</v>
      </c>
    </row>
    <row r="89" spans="1:4" ht="18" hidden="1" x14ac:dyDescent="0.3">
      <c r="A89" s="10" t="s">
        <v>88</v>
      </c>
      <c r="B89" s="8"/>
      <c r="C89" s="8"/>
      <c r="D89" s="8">
        <f t="shared" si="1"/>
        <v>0</v>
      </c>
    </row>
    <row r="90" spans="1:4" ht="18" hidden="1" x14ac:dyDescent="0.3">
      <c r="A90" s="10" t="s">
        <v>89</v>
      </c>
      <c r="B90" s="8"/>
      <c r="C90" s="8"/>
      <c r="D90" s="8">
        <f t="shared" si="1"/>
        <v>0</v>
      </c>
    </row>
    <row r="91" spans="1:4" ht="18" hidden="1" x14ac:dyDescent="0.3">
      <c r="A91" s="10" t="s">
        <v>90</v>
      </c>
      <c r="B91" s="8"/>
      <c r="C91" s="8"/>
      <c r="D91" s="8">
        <f t="shared" si="1"/>
        <v>0</v>
      </c>
    </row>
    <row r="92" spans="1:4" ht="18" hidden="1" x14ac:dyDescent="0.3">
      <c r="A92" s="23" t="s">
        <v>91</v>
      </c>
      <c r="B92" s="8"/>
      <c r="C92" s="8"/>
      <c r="D92" s="8">
        <f t="shared" si="1"/>
        <v>0</v>
      </c>
    </row>
    <row r="93" spans="1:4" ht="18" hidden="1" x14ac:dyDescent="0.3">
      <c r="A93" s="23" t="s">
        <v>92</v>
      </c>
      <c r="B93" s="8"/>
      <c r="C93" s="8"/>
      <c r="D93" s="8">
        <f t="shared" si="1"/>
        <v>0</v>
      </c>
    </row>
    <row r="94" spans="1:4" ht="18" hidden="1" x14ac:dyDescent="0.3">
      <c r="A94" s="23" t="s">
        <v>93</v>
      </c>
      <c r="B94" s="8"/>
      <c r="C94" s="8"/>
      <c r="D94" s="8">
        <f t="shared" si="1"/>
        <v>0</v>
      </c>
    </row>
    <row r="95" spans="1:4" ht="18" hidden="1" x14ac:dyDescent="0.3">
      <c r="A95" s="12" t="s">
        <v>94</v>
      </c>
      <c r="B95" s="8"/>
      <c r="C95" s="8"/>
      <c r="D95" s="8">
        <f t="shared" si="1"/>
        <v>0</v>
      </c>
    </row>
    <row r="96" spans="1:4" ht="18" hidden="1" x14ac:dyDescent="0.3">
      <c r="A96" s="14" t="s">
        <v>95</v>
      </c>
      <c r="B96" s="8"/>
      <c r="C96" s="8"/>
      <c r="D96" s="8">
        <f t="shared" si="1"/>
        <v>0</v>
      </c>
    </row>
    <row r="97" spans="1:4" ht="18" hidden="1" x14ac:dyDescent="0.3">
      <c r="A97" s="10" t="s">
        <v>96</v>
      </c>
      <c r="B97" s="8"/>
      <c r="C97" s="8"/>
      <c r="D97" s="8">
        <f t="shared" si="1"/>
        <v>0</v>
      </c>
    </row>
    <row r="98" spans="1:4" ht="18" hidden="1" x14ac:dyDescent="0.3">
      <c r="A98" s="10" t="s">
        <v>97</v>
      </c>
      <c r="B98" s="8"/>
      <c r="C98" s="8"/>
      <c r="D98" s="8">
        <f t="shared" si="1"/>
        <v>0</v>
      </c>
    </row>
    <row r="99" spans="1:4" ht="18" hidden="1" x14ac:dyDescent="0.3">
      <c r="A99" s="12" t="s">
        <v>98</v>
      </c>
      <c r="B99" s="8"/>
      <c r="C99" s="8"/>
      <c r="D99" s="8">
        <f t="shared" si="1"/>
        <v>0</v>
      </c>
    </row>
    <row r="100" spans="1:4" ht="18" hidden="1" x14ac:dyDescent="0.3">
      <c r="A100" s="10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2" t="s">
        <v>100</v>
      </c>
      <c r="B101" s="8"/>
      <c r="C101" s="8"/>
      <c r="D101" s="8">
        <f t="shared" si="1"/>
        <v>0</v>
      </c>
    </row>
    <row r="102" spans="1:4" ht="18" hidden="1" x14ac:dyDescent="0.3">
      <c r="A102" s="24" t="s">
        <v>101</v>
      </c>
      <c r="B102" s="8"/>
      <c r="C102" s="8"/>
      <c r="D102" s="8">
        <f t="shared" si="1"/>
        <v>0</v>
      </c>
    </row>
    <row r="103" spans="1:4" ht="18" hidden="1" x14ac:dyDescent="0.3">
      <c r="A103" s="25" t="s">
        <v>102</v>
      </c>
      <c r="B103" s="8"/>
      <c r="C103" s="8"/>
      <c r="D103" s="8">
        <f t="shared" si="1"/>
        <v>0</v>
      </c>
    </row>
    <row r="104" spans="1:4" ht="18" x14ac:dyDescent="0.3">
      <c r="A104" s="26" t="s">
        <v>103</v>
      </c>
      <c r="B104" s="8">
        <v>30</v>
      </c>
      <c r="C104" s="8">
        <v>7500</v>
      </c>
      <c r="D104" s="8">
        <f t="shared" si="1"/>
        <v>225000</v>
      </c>
    </row>
    <row r="105" spans="1:4" ht="18" hidden="1" x14ac:dyDescent="0.3">
      <c r="A105" s="18" t="s">
        <v>104</v>
      </c>
      <c r="B105" s="8"/>
      <c r="C105" s="8"/>
      <c r="D105" s="8">
        <f t="shared" si="1"/>
        <v>0</v>
      </c>
    </row>
    <row r="106" spans="1:4" ht="18" hidden="1" x14ac:dyDescent="0.3">
      <c r="A106" s="10" t="s">
        <v>105</v>
      </c>
      <c r="B106" s="8"/>
      <c r="C106" s="8"/>
      <c r="D106" s="8">
        <f t="shared" si="1"/>
        <v>0</v>
      </c>
    </row>
    <row r="107" spans="1:4" ht="18" hidden="1" x14ac:dyDescent="0.3">
      <c r="A107" s="10" t="s">
        <v>106</v>
      </c>
      <c r="B107" s="8"/>
      <c r="C107" s="8"/>
      <c r="D107" s="8">
        <f t="shared" si="1"/>
        <v>0</v>
      </c>
    </row>
    <row r="108" spans="1:4" ht="18" hidden="1" x14ac:dyDescent="0.3">
      <c r="A108" s="12" t="s">
        <v>107</v>
      </c>
      <c r="B108" s="8"/>
      <c r="C108" s="8"/>
      <c r="D108" s="8">
        <f t="shared" si="1"/>
        <v>0</v>
      </c>
    </row>
    <row r="109" spans="1:4" ht="18" hidden="1" x14ac:dyDescent="0.3">
      <c r="A109" s="27" t="s">
        <v>108</v>
      </c>
      <c r="B109" s="8"/>
      <c r="C109" s="8"/>
      <c r="D109" s="8">
        <f t="shared" si="1"/>
        <v>0</v>
      </c>
    </row>
    <row r="110" spans="1:4" ht="18" hidden="1" x14ac:dyDescent="0.3">
      <c r="A110" s="10" t="s">
        <v>109</v>
      </c>
      <c r="B110" s="8"/>
      <c r="C110" s="8"/>
      <c r="D110" s="8">
        <f t="shared" si="1"/>
        <v>0</v>
      </c>
    </row>
    <row r="111" spans="1:4" ht="18" hidden="1" x14ac:dyDescent="0.3">
      <c r="A111" s="10" t="s">
        <v>110</v>
      </c>
      <c r="B111" s="8"/>
      <c r="C111" s="8"/>
      <c r="D111" s="8">
        <f t="shared" si="1"/>
        <v>0</v>
      </c>
    </row>
    <row r="112" spans="1:4" ht="18" hidden="1" x14ac:dyDescent="0.3">
      <c r="A112" s="10" t="s">
        <v>111</v>
      </c>
      <c r="B112" s="8"/>
      <c r="C112" s="8"/>
      <c r="D112" s="8">
        <f t="shared" si="1"/>
        <v>0</v>
      </c>
    </row>
    <row r="113" spans="1:4" ht="18" hidden="1" x14ac:dyDescent="0.3">
      <c r="A113" s="10" t="s">
        <v>112</v>
      </c>
      <c r="B113" s="8"/>
      <c r="C113" s="8"/>
      <c r="D113" s="8">
        <f t="shared" si="1"/>
        <v>0</v>
      </c>
    </row>
    <row r="114" spans="1:4" ht="18" hidden="1" x14ac:dyDescent="0.3">
      <c r="A114" s="10" t="s">
        <v>113</v>
      </c>
      <c r="B114" s="8"/>
      <c r="C114" s="8"/>
      <c r="D114" s="8">
        <f t="shared" si="1"/>
        <v>0</v>
      </c>
    </row>
    <row r="115" spans="1:4" ht="18" hidden="1" x14ac:dyDescent="0.3">
      <c r="A115" s="10" t="s">
        <v>114</v>
      </c>
      <c r="B115" s="8"/>
      <c r="C115" s="8"/>
      <c r="D115" s="8">
        <f t="shared" si="1"/>
        <v>0</v>
      </c>
    </row>
    <row r="116" spans="1:4" ht="18" hidden="1" x14ac:dyDescent="0.3">
      <c r="A116" s="10" t="s">
        <v>115</v>
      </c>
      <c r="B116" s="8"/>
      <c r="C116" s="8"/>
      <c r="D116" s="8">
        <f t="shared" si="1"/>
        <v>0</v>
      </c>
    </row>
    <row r="117" spans="1:4" ht="18" hidden="1" x14ac:dyDescent="0.3">
      <c r="A117" s="10" t="s">
        <v>116</v>
      </c>
      <c r="B117" s="8"/>
      <c r="C117" s="8"/>
      <c r="D117" s="8">
        <f t="shared" si="1"/>
        <v>0</v>
      </c>
    </row>
    <row r="118" spans="1:4" ht="18" hidden="1" x14ac:dyDescent="0.3">
      <c r="A118" s="12" t="s">
        <v>117</v>
      </c>
      <c r="B118" s="8"/>
      <c r="C118" s="8"/>
      <c r="D118" s="8">
        <f t="shared" si="1"/>
        <v>0</v>
      </c>
    </row>
    <row r="119" spans="1:4" ht="18" hidden="1" x14ac:dyDescent="0.3">
      <c r="A119" s="23" t="s">
        <v>118</v>
      </c>
      <c r="B119" s="8"/>
      <c r="C119" s="8"/>
      <c r="D119" s="8">
        <f t="shared" si="1"/>
        <v>0</v>
      </c>
    </row>
    <row r="120" spans="1:4" ht="18" hidden="1" x14ac:dyDescent="0.3">
      <c r="A120" s="10" t="s">
        <v>119</v>
      </c>
      <c r="B120" s="8"/>
      <c r="C120" s="8"/>
      <c r="D120" s="8">
        <f t="shared" si="1"/>
        <v>0</v>
      </c>
    </row>
    <row r="121" spans="1:4" ht="18" hidden="1" x14ac:dyDescent="0.3">
      <c r="A121" s="12" t="s">
        <v>120</v>
      </c>
      <c r="B121" s="8"/>
      <c r="C121" s="8"/>
      <c r="D121" s="8">
        <f t="shared" si="1"/>
        <v>0</v>
      </c>
    </row>
    <row r="122" spans="1:4" ht="18" hidden="1" x14ac:dyDescent="0.3">
      <c r="A122" s="12" t="s">
        <v>121</v>
      </c>
      <c r="B122" s="8"/>
      <c r="C122" s="8"/>
      <c r="D122" s="8">
        <f t="shared" si="1"/>
        <v>0</v>
      </c>
    </row>
    <row r="123" spans="1:4" ht="18" hidden="1" x14ac:dyDescent="0.3">
      <c r="A123" s="10" t="s">
        <v>122</v>
      </c>
      <c r="B123" s="8"/>
      <c r="C123" s="8"/>
      <c r="D123" s="8">
        <f t="shared" si="1"/>
        <v>0</v>
      </c>
    </row>
    <row r="124" spans="1:4" ht="18" hidden="1" x14ac:dyDescent="0.3">
      <c r="A124" s="10" t="s">
        <v>123</v>
      </c>
      <c r="B124" s="8"/>
      <c r="C124" s="8"/>
      <c r="D124" s="8">
        <f t="shared" si="1"/>
        <v>0</v>
      </c>
    </row>
    <row r="125" spans="1:4" ht="18" hidden="1" x14ac:dyDescent="0.3">
      <c r="A125" s="11" t="s">
        <v>124</v>
      </c>
      <c r="B125" s="8"/>
      <c r="C125" s="8"/>
      <c r="D125" s="8">
        <f t="shared" si="1"/>
        <v>0</v>
      </c>
    </row>
    <row r="126" spans="1:4" ht="18" hidden="1" x14ac:dyDescent="0.3">
      <c r="A126" s="14" t="s">
        <v>125</v>
      </c>
      <c r="B126" s="8"/>
      <c r="C126" s="8"/>
      <c r="D126" s="8">
        <f t="shared" si="1"/>
        <v>0</v>
      </c>
    </row>
    <row r="127" spans="1:4" ht="18" hidden="1" x14ac:dyDescent="0.3">
      <c r="A127" s="13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13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0" t="s">
        <v>132</v>
      </c>
      <c r="B133" s="8"/>
      <c r="C133" s="8"/>
      <c r="D133" s="8">
        <f t="shared" si="2"/>
        <v>0</v>
      </c>
    </row>
    <row r="134" spans="1:4" ht="18" hidden="1" x14ac:dyDescent="0.3">
      <c r="A134" s="10" t="s">
        <v>133</v>
      </c>
      <c r="B134" s="8"/>
      <c r="C134" s="8"/>
      <c r="D134" s="8">
        <f t="shared" si="2"/>
        <v>0</v>
      </c>
    </row>
    <row r="135" spans="1:4" ht="18" hidden="1" x14ac:dyDescent="0.3">
      <c r="A135" s="10" t="s">
        <v>134</v>
      </c>
      <c r="B135" s="8"/>
      <c r="C135" s="8"/>
      <c r="D135" s="8">
        <f t="shared" si="2"/>
        <v>0</v>
      </c>
    </row>
    <row r="136" spans="1:4" ht="18" hidden="1" x14ac:dyDescent="0.3">
      <c r="A136" s="10" t="s">
        <v>135</v>
      </c>
      <c r="B136" s="8"/>
      <c r="C136" s="8"/>
      <c r="D136" s="8">
        <f t="shared" si="2"/>
        <v>0</v>
      </c>
    </row>
    <row r="137" spans="1:4" ht="18" hidden="1" x14ac:dyDescent="0.3">
      <c r="A137" s="18" t="s">
        <v>136</v>
      </c>
      <c r="B137" s="8"/>
      <c r="C137" s="8"/>
      <c r="D137" s="8">
        <f t="shared" si="2"/>
        <v>0</v>
      </c>
    </row>
    <row r="138" spans="1:4" ht="18" hidden="1" x14ac:dyDescent="0.3">
      <c r="A138" s="13" t="s">
        <v>137</v>
      </c>
      <c r="B138" s="8"/>
      <c r="C138" s="8"/>
      <c r="D138" s="8">
        <f t="shared" si="2"/>
        <v>0</v>
      </c>
    </row>
    <row r="139" spans="1:4" ht="18" hidden="1" x14ac:dyDescent="0.3">
      <c r="A139" s="13" t="s">
        <v>138</v>
      </c>
      <c r="B139" s="8"/>
      <c r="C139" s="8"/>
      <c r="D139" s="8">
        <f t="shared" si="2"/>
        <v>0</v>
      </c>
    </row>
    <row r="140" spans="1:4" ht="18" hidden="1" x14ac:dyDescent="0.3">
      <c r="A140" s="10" t="s">
        <v>139</v>
      </c>
      <c r="B140" s="8"/>
      <c r="C140" s="8"/>
      <c r="D140" s="8">
        <f t="shared" si="2"/>
        <v>0</v>
      </c>
    </row>
    <row r="141" spans="1:4" ht="18" hidden="1" x14ac:dyDescent="0.3">
      <c r="A141" s="10" t="s">
        <v>140</v>
      </c>
      <c r="B141" s="8"/>
      <c r="C141" s="8"/>
      <c r="D141" s="8">
        <f t="shared" si="2"/>
        <v>0</v>
      </c>
    </row>
    <row r="142" spans="1:4" ht="18" hidden="1" x14ac:dyDescent="0.3">
      <c r="A142" s="10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0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143</v>
      </c>
      <c r="B144" s="8"/>
      <c r="C144" s="8"/>
      <c r="D144" s="8">
        <f t="shared" si="2"/>
        <v>0</v>
      </c>
    </row>
    <row r="145" spans="1:4" ht="18" hidden="1" x14ac:dyDescent="0.3">
      <c r="A145" s="10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0" t="s">
        <v>145</v>
      </c>
      <c r="B146" s="17"/>
      <c r="C146" s="17"/>
      <c r="D146" s="8">
        <f t="shared" si="2"/>
        <v>0</v>
      </c>
    </row>
    <row r="147" spans="1:4" ht="18" x14ac:dyDescent="0.3">
      <c r="A147" s="10" t="s">
        <v>146</v>
      </c>
      <c r="B147" s="17">
        <v>0.5</v>
      </c>
      <c r="C147" s="17">
        <v>80000</v>
      </c>
      <c r="D147" s="8">
        <f t="shared" si="2"/>
        <v>40000</v>
      </c>
    </row>
    <row r="148" spans="1:4" ht="18" hidden="1" x14ac:dyDescent="0.3">
      <c r="A148" s="10" t="s">
        <v>147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148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152</v>
      </c>
      <c r="B153" s="8"/>
      <c r="C153" s="8"/>
      <c r="D153" s="8">
        <f t="shared" si="2"/>
        <v>0</v>
      </c>
    </row>
    <row r="154" spans="1:4" ht="18" hidden="1" x14ac:dyDescent="0.3">
      <c r="A154" s="10" t="s">
        <v>153</v>
      </c>
      <c r="B154" s="8"/>
      <c r="C154" s="8"/>
      <c r="D154" s="8">
        <f t="shared" si="2"/>
        <v>0</v>
      </c>
    </row>
    <row r="155" spans="1:4" ht="18" hidden="1" x14ac:dyDescent="0.3">
      <c r="A155" s="10" t="s">
        <v>154</v>
      </c>
      <c r="B155" s="8"/>
      <c r="C155" s="8"/>
      <c r="D155" s="8">
        <f t="shared" si="2"/>
        <v>0</v>
      </c>
    </row>
    <row r="156" spans="1:4" ht="18" hidden="1" x14ac:dyDescent="0.3">
      <c r="A156" s="10" t="s">
        <v>155</v>
      </c>
      <c r="B156" s="8"/>
      <c r="C156" s="8"/>
      <c r="D156" s="8">
        <f t="shared" si="2"/>
        <v>0</v>
      </c>
    </row>
    <row r="157" spans="1:4" ht="18" hidden="1" x14ac:dyDescent="0.3">
      <c r="A157" s="18" t="s">
        <v>156</v>
      </c>
      <c r="B157" s="8"/>
      <c r="C157" s="8"/>
      <c r="D157" s="8">
        <f t="shared" si="2"/>
        <v>0</v>
      </c>
    </row>
    <row r="158" spans="1:4" ht="18" hidden="1" x14ac:dyDescent="0.3">
      <c r="A158" s="31" t="s">
        <v>157</v>
      </c>
      <c r="B158" s="8"/>
      <c r="C158" s="8"/>
      <c r="D158" s="8">
        <f t="shared" si="2"/>
        <v>0</v>
      </c>
    </row>
    <row r="159" spans="1:4" ht="18" hidden="1" x14ac:dyDescent="0.3">
      <c r="A159" s="10" t="s">
        <v>158</v>
      </c>
      <c r="B159" s="8"/>
      <c r="C159" s="8"/>
      <c r="D159" s="8">
        <f t="shared" si="2"/>
        <v>0</v>
      </c>
    </row>
    <row r="160" spans="1:4" ht="18" hidden="1" x14ac:dyDescent="0.3">
      <c r="A160" s="10" t="s">
        <v>159</v>
      </c>
      <c r="B160" s="8"/>
      <c r="C160" s="8"/>
      <c r="D160" s="8">
        <f t="shared" si="2"/>
        <v>0</v>
      </c>
    </row>
    <row r="161" spans="1:4" ht="18" hidden="1" x14ac:dyDescent="0.3">
      <c r="A161" s="10" t="s">
        <v>160</v>
      </c>
      <c r="B161" s="8"/>
      <c r="C161" s="8"/>
      <c r="D161" s="8">
        <f t="shared" si="2"/>
        <v>0</v>
      </c>
    </row>
    <row r="162" spans="1:4" ht="18" hidden="1" x14ac:dyDescent="0.3">
      <c r="A162" s="10" t="s">
        <v>161</v>
      </c>
      <c r="B162" s="17"/>
      <c r="C162" s="17"/>
      <c r="D162" s="8">
        <f t="shared" si="2"/>
        <v>0</v>
      </c>
    </row>
    <row r="163" spans="1:4" ht="18" x14ac:dyDescent="0.3">
      <c r="A163" s="10" t="s">
        <v>162</v>
      </c>
      <c r="B163" s="17">
        <v>0.5</v>
      </c>
      <c r="C163" s="17">
        <v>70000</v>
      </c>
      <c r="D163" s="8">
        <f t="shared" si="2"/>
        <v>35000</v>
      </c>
    </row>
    <row r="164" spans="1:4" ht="18" hidden="1" x14ac:dyDescent="0.3">
      <c r="A164" s="10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164</v>
      </c>
      <c r="B165" s="8"/>
      <c r="C165" s="8"/>
      <c r="D165" s="8">
        <f t="shared" si="2"/>
        <v>0</v>
      </c>
    </row>
    <row r="166" spans="1:4" ht="18" hidden="1" x14ac:dyDescent="0.3">
      <c r="A166" s="10" t="s">
        <v>165</v>
      </c>
      <c r="B166" s="8"/>
      <c r="C166" s="8"/>
      <c r="D166" s="8">
        <f t="shared" si="2"/>
        <v>0</v>
      </c>
    </row>
    <row r="167" spans="1:4" ht="18" hidden="1" x14ac:dyDescent="0.3">
      <c r="A167" s="18" t="s">
        <v>166</v>
      </c>
      <c r="B167" s="8"/>
      <c r="C167" s="8"/>
      <c r="D167" s="8">
        <f t="shared" si="2"/>
        <v>0</v>
      </c>
    </row>
    <row r="168" spans="1:4" ht="18" hidden="1" x14ac:dyDescent="0.3">
      <c r="A168" s="13" t="s">
        <v>167</v>
      </c>
      <c r="B168" s="8"/>
      <c r="C168" s="8"/>
      <c r="D168" s="8">
        <f t="shared" si="2"/>
        <v>0</v>
      </c>
    </row>
    <row r="169" spans="1:4" ht="18" hidden="1" x14ac:dyDescent="0.3">
      <c r="A169" s="10" t="s">
        <v>168</v>
      </c>
      <c r="B169" s="8"/>
      <c r="C169" s="48"/>
      <c r="D169" s="8">
        <f t="shared" si="2"/>
        <v>0</v>
      </c>
    </row>
    <row r="170" spans="1:4" ht="18" hidden="1" x14ac:dyDescent="0.3">
      <c r="A170" s="33" t="s">
        <v>169</v>
      </c>
      <c r="B170" s="8"/>
      <c r="C170" s="8"/>
      <c r="D170" s="8">
        <f t="shared" si="2"/>
        <v>0</v>
      </c>
    </row>
    <row r="171" spans="1:4" ht="18" x14ac:dyDescent="0.3">
      <c r="A171" s="10" t="s">
        <v>170</v>
      </c>
      <c r="B171" s="8">
        <v>40</v>
      </c>
      <c r="C171" s="8">
        <v>6500</v>
      </c>
      <c r="D171" s="8">
        <f t="shared" si="2"/>
        <v>260000</v>
      </c>
    </row>
    <row r="172" spans="1:4" ht="18" hidden="1" x14ac:dyDescent="0.3">
      <c r="A172" s="10" t="s">
        <v>171</v>
      </c>
      <c r="B172" s="8"/>
      <c r="C172" s="8"/>
      <c r="D172" s="8">
        <f t="shared" si="2"/>
        <v>0</v>
      </c>
    </row>
    <row r="173" spans="1:4" ht="18" hidden="1" x14ac:dyDescent="0.3">
      <c r="A173" s="22" t="s">
        <v>172</v>
      </c>
      <c r="B173" s="8"/>
      <c r="C173" s="8"/>
      <c r="D173" s="8">
        <f t="shared" si="2"/>
        <v>0</v>
      </c>
    </row>
    <row r="174" spans="1:4" ht="18" hidden="1" x14ac:dyDescent="0.3">
      <c r="A174" s="10" t="s">
        <v>173</v>
      </c>
      <c r="B174" s="8"/>
      <c r="C174" s="8"/>
      <c r="D174" s="8">
        <f t="shared" si="2"/>
        <v>0</v>
      </c>
    </row>
    <row r="175" spans="1:4" ht="18" x14ac:dyDescent="0.3">
      <c r="A175" s="34" t="s">
        <v>174</v>
      </c>
      <c r="B175" s="36">
        <v>3</v>
      </c>
      <c r="C175" s="36">
        <v>16000</v>
      </c>
      <c r="D175" s="8">
        <f t="shared" si="2"/>
        <v>48000</v>
      </c>
    </row>
    <row r="176" spans="1:4" ht="18" hidden="1" x14ac:dyDescent="0.3">
      <c r="A176" s="12" t="s">
        <v>175</v>
      </c>
      <c r="B176" s="8"/>
      <c r="C176" s="8"/>
      <c r="D176" s="8">
        <f t="shared" si="2"/>
        <v>0</v>
      </c>
    </row>
    <row r="177" spans="1:4" ht="18" hidden="1" x14ac:dyDescent="0.3">
      <c r="A177" s="10" t="s">
        <v>176</v>
      </c>
      <c r="B177" s="8"/>
      <c r="C177" s="8"/>
      <c r="D177" s="8">
        <f t="shared" si="2"/>
        <v>0</v>
      </c>
    </row>
    <row r="178" spans="1:4" ht="18" hidden="1" x14ac:dyDescent="0.3">
      <c r="A178" s="10" t="s">
        <v>177</v>
      </c>
      <c r="B178" s="8"/>
      <c r="C178" s="8"/>
      <c r="D178" s="8">
        <f t="shared" si="2"/>
        <v>0</v>
      </c>
    </row>
    <row r="179" spans="1:4" ht="18" hidden="1" x14ac:dyDescent="0.3">
      <c r="A179" s="13" t="s">
        <v>178</v>
      </c>
      <c r="B179" s="8"/>
      <c r="C179" s="8"/>
      <c r="D179" s="8">
        <f t="shared" si="2"/>
        <v>0</v>
      </c>
    </row>
    <row r="180" spans="1:4" ht="18" hidden="1" x14ac:dyDescent="0.3">
      <c r="A180" s="10" t="s">
        <v>179</v>
      </c>
      <c r="B180" s="8"/>
      <c r="C180" s="8"/>
      <c r="D180" s="8">
        <f t="shared" si="2"/>
        <v>0</v>
      </c>
    </row>
    <row r="181" spans="1:4" ht="18" hidden="1" x14ac:dyDescent="0.3">
      <c r="A181" s="10" t="s">
        <v>180</v>
      </c>
      <c r="B181" s="8"/>
      <c r="C181" s="8"/>
      <c r="D181" s="8">
        <f t="shared" si="2"/>
        <v>0</v>
      </c>
    </row>
    <row r="182" spans="1:4" ht="18" hidden="1" x14ac:dyDescent="0.3">
      <c r="A182" s="13" t="s">
        <v>181</v>
      </c>
      <c r="B182" s="8"/>
      <c r="C182" s="8"/>
      <c r="D182" s="8">
        <f t="shared" si="2"/>
        <v>0</v>
      </c>
    </row>
    <row r="183" spans="1:4" ht="18" hidden="1" x14ac:dyDescent="0.3">
      <c r="A183" s="13" t="s">
        <v>182</v>
      </c>
      <c r="B183" s="8"/>
      <c r="C183" s="8"/>
      <c r="D183" s="8">
        <f t="shared" si="2"/>
        <v>0</v>
      </c>
    </row>
    <row r="184" spans="1:4" ht="18" x14ac:dyDescent="0.3">
      <c r="A184" s="13" t="s">
        <v>183</v>
      </c>
      <c r="B184" s="8">
        <v>150</v>
      </c>
      <c r="C184" s="8">
        <v>7700</v>
      </c>
      <c r="D184" s="8">
        <f t="shared" si="2"/>
        <v>1155000</v>
      </c>
    </row>
    <row r="185" spans="1:4" ht="18" hidden="1" x14ac:dyDescent="0.3">
      <c r="A185" s="10" t="s">
        <v>184</v>
      </c>
      <c r="B185" s="8"/>
      <c r="C185" s="8"/>
      <c r="D185" s="8">
        <f t="shared" si="2"/>
        <v>0</v>
      </c>
    </row>
    <row r="186" spans="1:4" ht="18" hidden="1" x14ac:dyDescent="0.3">
      <c r="A186" s="13" t="s">
        <v>185</v>
      </c>
      <c r="B186" s="8"/>
      <c r="C186" s="8"/>
      <c r="D186" s="8">
        <f t="shared" si="2"/>
        <v>0</v>
      </c>
    </row>
    <row r="187" spans="1:4" ht="18" x14ac:dyDescent="0.3">
      <c r="A187" s="13" t="s">
        <v>186</v>
      </c>
      <c r="B187" s="8">
        <v>15</v>
      </c>
      <c r="C187" s="8">
        <v>20000</v>
      </c>
      <c r="D187" s="8">
        <f t="shared" si="2"/>
        <v>300000</v>
      </c>
    </row>
    <row r="188" spans="1:4" ht="18" hidden="1" x14ac:dyDescent="0.3">
      <c r="A188" s="13" t="s">
        <v>187</v>
      </c>
      <c r="B188" s="8"/>
      <c r="C188" s="8"/>
      <c r="D188" s="8">
        <f t="shared" si="2"/>
        <v>0</v>
      </c>
    </row>
    <row r="189" spans="1:4" ht="18" hidden="1" x14ac:dyDescent="0.3">
      <c r="A189" s="10" t="s">
        <v>188</v>
      </c>
      <c r="B189" s="8"/>
      <c r="C189" s="8"/>
      <c r="D189" s="8">
        <f t="shared" si="2"/>
        <v>0</v>
      </c>
    </row>
    <row r="190" spans="1:4" ht="18" hidden="1" x14ac:dyDescent="0.3">
      <c r="A190" s="18" t="s">
        <v>189</v>
      </c>
      <c r="B190" s="8"/>
      <c r="C190" s="8"/>
      <c r="D190" s="8">
        <f t="shared" si="2"/>
        <v>0</v>
      </c>
    </row>
    <row r="191" spans="1:4" ht="18" hidden="1" x14ac:dyDescent="0.3">
      <c r="A191" s="18" t="s">
        <v>190</v>
      </c>
      <c r="B191" s="8"/>
      <c r="C191" s="8"/>
      <c r="D191" s="8">
        <f t="shared" si="2"/>
        <v>0</v>
      </c>
    </row>
    <row r="192" spans="1:4" ht="18" hidden="1" x14ac:dyDescent="0.3">
      <c r="A192" s="18" t="s">
        <v>191</v>
      </c>
      <c r="B192" s="8"/>
      <c r="C192" s="8"/>
      <c r="D192" s="8">
        <f t="shared" si="2"/>
        <v>0</v>
      </c>
    </row>
    <row r="193" spans="1:4" ht="18" hidden="1" x14ac:dyDescent="0.3">
      <c r="A193" s="18" t="s">
        <v>192</v>
      </c>
      <c r="B193" s="8"/>
      <c r="C193" s="8"/>
      <c r="D193" s="8">
        <f t="shared" si="2"/>
        <v>0</v>
      </c>
    </row>
    <row r="194" spans="1:4" ht="18" hidden="1" x14ac:dyDescent="0.3">
      <c r="A194" s="13" t="s">
        <v>193</v>
      </c>
      <c r="B194" s="8"/>
      <c r="C194" s="8"/>
      <c r="D194" s="8">
        <f t="shared" si="2"/>
        <v>0</v>
      </c>
    </row>
    <row r="195" spans="1:4" ht="18" hidden="1" x14ac:dyDescent="0.3">
      <c r="A195" s="10" t="s">
        <v>194</v>
      </c>
      <c r="B195" s="8"/>
      <c r="C195" s="8"/>
      <c r="D195" s="8">
        <f t="shared" si="2"/>
        <v>0</v>
      </c>
    </row>
    <row r="196" spans="1:4" ht="18" hidden="1" x14ac:dyDescent="0.3">
      <c r="A196" s="37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37" t="s">
        <v>196</v>
      </c>
      <c r="B197" s="8"/>
      <c r="C197" s="8"/>
      <c r="D197" s="8">
        <f t="shared" si="3"/>
        <v>0</v>
      </c>
    </row>
    <row r="198" spans="1:4" ht="18" hidden="1" x14ac:dyDescent="0.3">
      <c r="A198" s="37" t="s">
        <v>197</v>
      </c>
      <c r="B198" s="8"/>
      <c r="C198" s="8"/>
      <c r="D198" s="8">
        <f t="shared" si="3"/>
        <v>0</v>
      </c>
    </row>
    <row r="199" spans="1:4" ht="18" hidden="1" x14ac:dyDescent="0.3">
      <c r="A199" s="37" t="s">
        <v>198</v>
      </c>
      <c r="B199" s="8"/>
      <c r="C199" s="8"/>
      <c r="D199" s="8">
        <f t="shared" si="3"/>
        <v>0</v>
      </c>
    </row>
    <row r="200" spans="1:4" ht="18" hidden="1" x14ac:dyDescent="0.3">
      <c r="A200" s="10" t="s">
        <v>199</v>
      </c>
      <c r="B200" s="8"/>
      <c r="C200" s="8"/>
      <c r="D200" s="8">
        <f t="shared" si="3"/>
        <v>0</v>
      </c>
    </row>
    <row r="201" spans="1:4" ht="18" hidden="1" x14ac:dyDescent="0.3">
      <c r="A201" s="38" t="s">
        <v>200</v>
      </c>
      <c r="B201" s="8"/>
      <c r="C201" s="8"/>
      <c r="D201" s="8">
        <f t="shared" si="3"/>
        <v>0</v>
      </c>
    </row>
    <row r="202" spans="1:4" ht="18" x14ac:dyDescent="0.3">
      <c r="A202" s="10" t="s">
        <v>201</v>
      </c>
      <c r="B202" s="8">
        <f>720+60</f>
        <v>780</v>
      </c>
      <c r="C202" s="8">
        <v>18000</v>
      </c>
      <c r="D202" s="8">
        <f t="shared" si="3"/>
        <v>14040000</v>
      </c>
    </row>
    <row r="203" spans="1:4" ht="18" x14ac:dyDescent="0.3">
      <c r="A203" s="13" t="s">
        <v>202</v>
      </c>
      <c r="B203" s="8">
        <v>140</v>
      </c>
      <c r="C203" s="8">
        <v>19000</v>
      </c>
      <c r="D203" s="8">
        <f t="shared" si="3"/>
        <v>2660000</v>
      </c>
    </row>
    <row r="204" spans="1:4" ht="18" hidden="1" x14ac:dyDescent="0.3">
      <c r="A204" s="10" t="s">
        <v>203</v>
      </c>
      <c r="B204" s="8"/>
      <c r="C204" s="8"/>
      <c r="D204" s="8">
        <f t="shared" si="3"/>
        <v>0</v>
      </c>
    </row>
    <row r="205" spans="1:4" ht="18" hidden="1" x14ac:dyDescent="0.3">
      <c r="A205" s="10" t="s">
        <v>204</v>
      </c>
      <c r="B205" s="8"/>
      <c r="C205" s="8"/>
      <c r="D205" s="8">
        <f t="shared" si="3"/>
        <v>0</v>
      </c>
    </row>
    <row r="206" spans="1:4" ht="18" hidden="1" x14ac:dyDescent="0.3">
      <c r="A206" s="39" t="s">
        <v>205</v>
      </c>
      <c r="B206" s="8"/>
      <c r="C206" s="8"/>
      <c r="D206" s="8">
        <f t="shared" si="3"/>
        <v>0</v>
      </c>
    </row>
    <row r="207" spans="1:4" ht="18" hidden="1" x14ac:dyDescent="0.3">
      <c r="A207" s="39" t="s">
        <v>206</v>
      </c>
      <c r="B207" s="8"/>
      <c r="C207" s="8"/>
      <c r="D207" s="8">
        <f t="shared" si="3"/>
        <v>0</v>
      </c>
    </row>
    <row r="208" spans="1:4" ht="18" hidden="1" x14ac:dyDescent="0.3">
      <c r="A208" s="10" t="s">
        <v>207</v>
      </c>
      <c r="B208" s="8"/>
      <c r="C208" s="8"/>
      <c r="D208" s="8">
        <f t="shared" si="3"/>
        <v>0</v>
      </c>
    </row>
    <row r="209" spans="1:4" ht="18" x14ac:dyDescent="0.3">
      <c r="A209" s="12" t="s">
        <v>208</v>
      </c>
      <c r="B209" s="8">
        <v>3</v>
      </c>
      <c r="C209" s="8">
        <v>35000</v>
      </c>
      <c r="D209" s="8">
        <f t="shared" si="3"/>
        <v>105000</v>
      </c>
    </row>
    <row r="210" spans="1:4" ht="18" hidden="1" x14ac:dyDescent="0.3">
      <c r="A210" s="10" t="s">
        <v>209</v>
      </c>
      <c r="B210" s="8"/>
      <c r="C210" s="8"/>
      <c r="D210" s="8">
        <f t="shared" si="3"/>
        <v>0</v>
      </c>
    </row>
    <row r="211" spans="1:4" ht="18" hidden="1" x14ac:dyDescent="0.3">
      <c r="A211" s="10" t="s">
        <v>210</v>
      </c>
      <c r="B211" s="8"/>
      <c r="C211" s="8"/>
      <c r="D211" s="8">
        <f t="shared" si="3"/>
        <v>0</v>
      </c>
    </row>
    <row r="212" spans="1:4" ht="18" hidden="1" x14ac:dyDescent="0.3">
      <c r="A212" s="10" t="s">
        <v>211</v>
      </c>
      <c r="B212" s="8"/>
      <c r="C212" s="8"/>
      <c r="D212" s="8">
        <f t="shared" si="3"/>
        <v>0</v>
      </c>
    </row>
    <row r="213" spans="1:4" ht="18" hidden="1" x14ac:dyDescent="0.3">
      <c r="A213" s="10" t="s">
        <v>212</v>
      </c>
      <c r="B213" s="8"/>
      <c r="C213" s="8"/>
      <c r="D213" s="8">
        <f t="shared" si="3"/>
        <v>0</v>
      </c>
    </row>
    <row r="214" spans="1:4" ht="18" hidden="1" x14ac:dyDescent="0.3">
      <c r="A214" s="40" t="s">
        <v>213</v>
      </c>
      <c r="B214" s="8"/>
      <c r="C214" s="8"/>
      <c r="D214" s="8">
        <f t="shared" si="3"/>
        <v>0</v>
      </c>
    </row>
    <row r="215" spans="1:4" ht="18" hidden="1" x14ac:dyDescent="0.3">
      <c r="A215" s="10" t="s">
        <v>214</v>
      </c>
      <c r="B215" s="8"/>
      <c r="C215" s="8"/>
      <c r="D215" s="8">
        <f t="shared" si="3"/>
        <v>0</v>
      </c>
    </row>
    <row r="216" spans="1:4" ht="18" x14ac:dyDescent="0.3">
      <c r="A216" s="10" t="s">
        <v>215</v>
      </c>
      <c r="B216" s="8">
        <v>150</v>
      </c>
      <c r="C216" s="8">
        <v>16000</v>
      </c>
      <c r="D216" s="8">
        <f t="shared" si="3"/>
        <v>2400000</v>
      </c>
    </row>
    <row r="217" spans="1:4" ht="18" hidden="1" x14ac:dyDescent="0.3">
      <c r="A217" s="10" t="s">
        <v>216</v>
      </c>
      <c r="B217" s="8"/>
      <c r="C217" s="8"/>
      <c r="D217" s="8">
        <f t="shared" si="3"/>
        <v>0</v>
      </c>
    </row>
    <row r="218" spans="1:4" ht="18" x14ac:dyDescent="0.3">
      <c r="A218" s="10" t="s">
        <v>217</v>
      </c>
      <c r="B218" s="8">
        <f>185*2</f>
        <v>370</v>
      </c>
      <c r="C218" s="8">
        <v>16000</v>
      </c>
      <c r="D218" s="8">
        <f t="shared" si="3"/>
        <v>5920000</v>
      </c>
    </row>
    <row r="219" spans="1:4" ht="18" hidden="1" x14ac:dyDescent="0.3">
      <c r="A219" s="18" t="s">
        <v>218</v>
      </c>
      <c r="B219" s="8"/>
      <c r="C219" s="8"/>
      <c r="D219" s="8">
        <f t="shared" si="3"/>
        <v>0</v>
      </c>
    </row>
    <row r="220" spans="1:4" ht="18" hidden="1" x14ac:dyDescent="0.3">
      <c r="A220" s="18" t="s">
        <v>219</v>
      </c>
      <c r="B220" s="8"/>
      <c r="C220" s="8"/>
      <c r="D220" s="8">
        <f t="shared" si="3"/>
        <v>0</v>
      </c>
    </row>
    <row r="221" spans="1:4" ht="18" hidden="1" x14ac:dyDescent="0.3">
      <c r="A221" s="18" t="s">
        <v>220</v>
      </c>
      <c r="B221" s="8"/>
      <c r="C221" s="8"/>
      <c r="D221" s="8">
        <f t="shared" si="3"/>
        <v>0</v>
      </c>
    </row>
    <row r="222" spans="1:4" ht="18" hidden="1" x14ac:dyDescent="0.3">
      <c r="A222" s="18" t="s">
        <v>221</v>
      </c>
      <c r="B222" s="8"/>
      <c r="C222" s="8"/>
      <c r="D222" s="8">
        <f t="shared" si="3"/>
        <v>0</v>
      </c>
    </row>
    <row r="223" spans="1:4" ht="18" hidden="1" x14ac:dyDescent="0.3">
      <c r="A223" s="10" t="s">
        <v>222</v>
      </c>
      <c r="B223" s="8"/>
      <c r="C223" s="8"/>
      <c r="D223" s="8">
        <f t="shared" si="3"/>
        <v>0</v>
      </c>
    </row>
    <row r="224" spans="1:4" ht="18" hidden="1" x14ac:dyDescent="0.3">
      <c r="A224" s="10" t="s">
        <v>223</v>
      </c>
      <c r="B224" s="8"/>
      <c r="C224" s="8"/>
      <c r="D224" s="8">
        <f t="shared" si="3"/>
        <v>0</v>
      </c>
    </row>
    <row r="225" spans="1:4" ht="18" hidden="1" x14ac:dyDescent="0.3">
      <c r="A225" s="18" t="s">
        <v>224</v>
      </c>
      <c r="B225" s="8"/>
      <c r="C225" s="8"/>
      <c r="D225" s="8">
        <f t="shared" si="3"/>
        <v>0</v>
      </c>
    </row>
    <row r="226" spans="1:4" ht="18" hidden="1" x14ac:dyDescent="0.3">
      <c r="A226" s="18" t="s">
        <v>225</v>
      </c>
      <c r="B226" s="8"/>
      <c r="C226" s="8"/>
      <c r="D226" s="8">
        <f t="shared" si="3"/>
        <v>0</v>
      </c>
    </row>
    <row r="227" spans="1:4" ht="18" x14ac:dyDescent="0.3">
      <c r="A227" s="12" t="s">
        <v>226</v>
      </c>
      <c r="B227" s="8">
        <f>19+280</f>
        <v>299</v>
      </c>
      <c r="C227" s="8">
        <v>38000</v>
      </c>
      <c r="D227" s="8">
        <f t="shared" si="3"/>
        <v>11362000</v>
      </c>
    </row>
    <row r="228" spans="1:4" ht="18" hidden="1" x14ac:dyDescent="0.3">
      <c r="A228" s="13" t="s">
        <v>227</v>
      </c>
      <c r="B228" s="8"/>
      <c r="C228" s="8"/>
      <c r="D228" s="8">
        <f t="shared" si="3"/>
        <v>0</v>
      </c>
    </row>
    <row r="229" spans="1:4" ht="18" hidden="1" x14ac:dyDescent="0.3">
      <c r="A229" s="12" t="s">
        <v>228</v>
      </c>
      <c r="B229" s="8"/>
      <c r="C229" s="8"/>
      <c r="D229" s="8">
        <f t="shared" si="3"/>
        <v>0</v>
      </c>
    </row>
    <row r="230" spans="1:4" ht="18" hidden="1" x14ac:dyDescent="0.3">
      <c r="A230" s="18" t="s">
        <v>229</v>
      </c>
      <c r="B230" s="8"/>
      <c r="C230" s="8"/>
      <c r="D230" s="8">
        <f t="shared" si="3"/>
        <v>0</v>
      </c>
    </row>
    <row r="231" spans="1:4" ht="18" hidden="1" x14ac:dyDescent="0.3">
      <c r="A231" s="12" t="s">
        <v>230</v>
      </c>
      <c r="B231" s="8"/>
      <c r="C231" s="8"/>
      <c r="D231" s="8">
        <f t="shared" si="3"/>
        <v>0</v>
      </c>
    </row>
    <row r="232" spans="1:4" ht="18" hidden="1" x14ac:dyDescent="0.3">
      <c r="A232" s="12" t="s">
        <v>231</v>
      </c>
      <c r="B232" s="8"/>
      <c r="C232" s="8"/>
      <c r="D232" s="8">
        <f t="shared" si="3"/>
        <v>0</v>
      </c>
    </row>
    <row r="233" spans="1:4" ht="18" hidden="1" x14ac:dyDescent="0.3">
      <c r="A233" s="12" t="s">
        <v>232</v>
      </c>
      <c r="B233" s="8"/>
      <c r="C233" s="8"/>
      <c r="D233" s="8">
        <f t="shared" si="3"/>
        <v>0</v>
      </c>
    </row>
    <row r="234" spans="1:4" ht="18" hidden="1" x14ac:dyDescent="0.3">
      <c r="A234" s="10" t="s">
        <v>233</v>
      </c>
      <c r="B234" s="8"/>
      <c r="C234" s="8"/>
      <c r="D234" s="8">
        <f t="shared" si="3"/>
        <v>0</v>
      </c>
    </row>
    <row r="235" spans="1:4" ht="18" hidden="1" x14ac:dyDescent="0.3">
      <c r="A235" s="10" t="s">
        <v>234</v>
      </c>
      <c r="B235" s="8"/>
      <c r="C235" s="8"/>
      <c r="D235" s="8">
        <f t="shared" si="3"/>
        <v>0</v>
      </c>
    </row>
    <row r="236" spans="1:4" ht="18" hidden="1" x14ac:dyDescent="0.3">
      <c r="A236" s="12" t="s">
        <v>235</v>
      </c>
      <c r="B236" s="8"/>
      <c r="C236" s="8"/>
      <c r="D236" s="8">
        <f t="shared" si="3"/>
        <v>0</v>
      </c>
    </row>
    <row r="237" spans="1:4" ht="18" hidden="1" x14ac:dyDescent="0.3">
      <c r="A237" s="39" t="s">
        <v>236</v>
      </c>
      <c r="B237" s="8"/>
      <c r="C237" s="8"/>
      <c r="D237" s="8">
        <f t="shared" si="3"/>
        <v>0</v>
      </c>
    </row>
    <row r="238" spans="1:4" ht="18" hidden="1" x14ac:dyDescent="0.3">
      <c r="A238" s="10" t="s">
        <v>237</v>
      </c>
      <c r="B238" s="8"/>
      <c r="C238" s="8"/>
      <c r="D238" s="8">
        <f t="shared" si="3"/>
        <v>0</v>
      </c>
    </row>
    <row r="239" spans="1:4" ht="18" hidden="1" x14ac:dyDescent="0.3">
      <c r="A239" s="10" t="s">
        <v>238</v>
      </c>
      <c r="B239" s="8"/>
      <c r="C239" s="8"/>
      <c r="D239" s="8">
        <f t="shared" si="3"/>
        <v>0</v>
      </c>
    </row>
    <row r="240" spans="1:4" ht="18" hidden="1" x14ac:dyDescent="0.3">
      <c r="A240" s="14" t="s">
        <v>239</v>
      </c>
      <c r="B240" s="8"/>
      <c r="C240" s="8"/>
      <c r="D240" s="8">
        <f t="shared" si="3"/>
        <v>0</v>
      </c>
    </row>
    <row r="241" spans="1:4" ht="18" hidden="1" x14ac:dyDescent="0.3">
      <c r="A241" s="14" t="s">
        <v>240</v>
      </c>
      <c r="B241" s="8"/>
      <c r="C241" s="8"/>
      <c r="D241" s="8">
        <f t="shared" si="3"/>
        <v>0</v>
      </c>
    </row>
    <row r="242" spans="1:4" ht="18" hidden="1" x14ac:dyDescent="0.3">
      <c r="A242" s="37" t="s">
        <v>241</v>
      </c>
      <c r="B242" s="8"/>
      <c r="C242" s="8"/>
      <c r="D242" s="8">
        <f t="shared" si="3"/>
        <v>0</v>
      </c>
    </row>
    <row r="243" spans="1:4" ht="18" hidden="1" x14ac:dyDescent="0.3">
      <c r="A243" s="10" t="s">
        <v>242</v>
      </c>
      <c r="B243" s="8"/>
      <c r="C243" s="8"/>
      <c r="D243" s="8">
        <f t="shared" si="3"/>
        <v>0</v>
      </c>
    </row>
    <row r="244" spans="1:4" ht="18" hidden="1" x14ac:dyDescent="0.3">
      <c r="A244" s="10" t="s">
        <v>243</v>
      </c>
      <c r="B244" s="8"/>
      <c r="C244" s="8"/>
      <c r="D244" s="8">
        <f t="shared" si="3"/>
        <v>0</v>
      </c>
    </row>
    <row r="245" spans="1:4" ht="18" hidden="1" x14ac:dyDescent="0.3">
      <c r="A245" s="10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37" t="s">
        <v>245</v>
      </c>
      <c r="B246" s="8"/>
      <c r="C246" s="8"/>
      <c r="D246" s="8">
        <f t="shared" si="3"/>
        <v>0</v>
      </c>
    </row>
    <row r="247" spans="1:4" ht="18" hidden="1" x14ac:dyDescent="0.3">
      <c r="A247" s="10" t="s">
        <v>246</v>
      </c>
      <c r="B247" s="17"/>
      <c r="C247" s="17"/>
      <c r="D247" s="8">
        <f t="shared" si="3"/>
        <v>0</v>
      </c>
    </row>
    <row r="248" spans="1:4" ht="18" x14ac:dyDescent="0.3">
      <c r="A248" s="10" t="s">
        <v>247</v>
      </c>
      <c r="B248" s="8">
        <v>22</v>
      </c>
      <c r="C248" s="8">
        <v>14000</v>
      </c>
      <c r="D248" s="8">
        <f t="shared" si="3"/>
        <v>308000</v>
      </c>
    </row>
    <row r="249" spans="1:4" ht="18" hidden="1" x14ac:dyDescent="0.3">
      <c r="A249" s="12" t="s">
        <v>248</v>
      </c>
      <c r="B249" s="8"/>
      <c r="C249" s="8"/>
      <c r="D249" s="8">
        <f t="shared" si="3"/>
        <v>0</v>
      </c>
    </row>
    <row r="250" spans="1:4" ht="18" hidden="1" x14ac:dyDescent="0.3">
      <c r="A250" s="12" t="s">
        <v>249</v>
      </c>
      <c r="B250" s="8"/>
      <c r="C250" s="8"/>
      <c r="D250" s="8">
        <f t="shared" si="3"/>
        <v>0</v>
      </c>
    </row>
    <row r="251" spans="1:4" ht="18" x14ac:dyDescent="0.3">
      <c r="A251" s="10" t="s">
        <v>250</v>
      </c>
      <c r="B251" s="8">
        <f>20+51+9+25-11</f>
        <v>94</v>
      </c>
      <c r="C251" s="8">
        <v>32000</v>
      </c>
      <c r="D251" s="8">
        <f t="shared" si="3"/>
        <v>3008000</v>
      </c>
    </row>
    <row r="252" spans="1:4" ht="18" hidden="1" x14ac:dyDescent="0.3">
      <c r="A252" s="10" t="s">
        <v>251</v>
      </c>
      <c r="B252" s="8"/>
      <c r="C252" s="8"/>
      <c r="D252" s="8">
        <f t="shared" si="3"/>
        <v>0</v>
      </c>
    </row>
    <row r="253" spans="1:4" ht="18" hidden="1" x14ac:dyDescent="0.3">
      <c r="A253" s="10" t="s">
        <v>252</v>
      </c>
      <c r="B253" s="8"/>
      <c r="C253" s="8"/>
      <c r="D253" s="8">
        <f t="shared" si="3"/>
        <v>0</v>
      </c>
    </row>
    <row r="254" spans="1:4" ht="18" hidden="1" x14ac:dyDescent="0.3">
      <c r="A254" s="10" t="s">
        <v>253</v>
      </c>
      <c r="B254" s="8"/>
      <c r="C254" s="8"/>
      <c r="D254" s="8">
        <f t="shared" si="3"/>
        <v>0</v>
      </c>
    </row>
    <row r="255" spans="1:4" ht="18" hidden="1" x14ac:dyDescent="0.3">
      <c r="A255" s="10" t="s">
        <v>254</v>
      </c>
      <c r="B255" s="8"/>
      <c r="C255" s="8"/>
      <c r="D255" s="8">
        <f t="shared" si="3"/>
        <v>0</v>
      </c>
    </row>
    <row r="256" spans="1:4" ht="18" hidden="1" x14ac:dyDescent="0.3">
      <c r="A256" s="18" t="s">
        <v>255</v>
      </c>
      <c r="B256" s="8"/>
      <c r="C256" s="8"/>
      <c r="D256" s="8">
        <f t="shared" si="3"/>
        <v>0</v>
      </c>
    </row>
    <row r="257" spans="1:4" ht="18" hidden="1" x14ac:dyDescent="0.3">
      <c r="A257" s="23" t="s">
        <v>256</v>
      </c>
      <c r="B257" s="8"/>
      <c r="C257" s="8"/>
      <c r="D257" s="8">
        <f t="shared" si="3"/>
        <v>0</v>
      </c>
    </row>
    <row r="258" spans="1:4" ht="18" hidden="1" x14ac:dyDescent="0.3">
      <c r="A258" s="23" t="s">
        <v>257</v>
      </c>
      <c r="B258" s="8"/>
      <c r="C258" s="8"/>
      <c r="D258" s="8">
        <f t="shared" si="3"/>
        <v>0</v>
      </c>
    </row>
    <row r="259" spans="1:4" ht="18" x14ac:dyDescent="0.3">
      <c r="A259" s="10" t="s">
        <v>258</v>
      </c>
      <c r="B259" s="8">
        <f>60+15+20+20+70</f>
        <v>185</v>
      </c>
      <c r="C259" s="8">
        <v>38000</v>
      </c>
      <c r="D259" s="8">
        <f t="shared" si="3"/>
        <v>7030000</v>
      </c>
    </row>
    <row r="260" spans="1:4" ht="18" hidden="1" x14ac:dyDescent="0.3">
      <c r="A260" s="10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260</v>
      </c>
      <c r="B261" s="8"/>
      <c r="C261" s="8"/>
      <c r="D261" s="8">
        <f t="shared" si="4"/>
        <v>0</v>
      </c>
    </row>
    <row r="262" spans="1:4" ht="18" hidden="1" x14ac:dyDescent="0.3">
      <c r="A262" s="10" t="s">
        <v>261</v>
      </c>
      <c r="B262" s="8"/>
      <c r="C262" s="8"/>
      <c r="D262" s="8">
        <f t="shared" si="4"/>
        <v>0</v>
      </c>
    </row>
    <row r="263" spans="1:4" ht="18" x14ac:dyDescent="0.3">
      <c r="A263" s="10" t="s">
        <v>262</v>
      </c>
      <c r="B263" s="8">
        <v>27</v>
      </c>
      <c r="C263" s="8">
        <v>20000</v>
      </c>
      <c r="D263" s="8">
        <f t="shared" si="4"/>
        <v>540000</v>
      </c>
    </row>
    <row r="264" spans="1:4" ht="18" hidden="1" x14ac:dyDescent="0.3">
      <c r="A264" s="10" t="s">
        <v>263</v>
      </c>
      <c r="B264" s="8"/>
      <c r="C264" s="8"/>
      <c r="D264" s="8">
        <f t="shared" si="4"/>
        <v>0</v>
      </c>
    </row>
    <row r="265" spans="1:4" ht="18" hidden="1" x14ac:dyDescent="0.3">
      <c r="A265" s="10" t="s">
        <v>264</v>
      </c>
      <c r="B265" s="8"/>
      <c r="C265" s="8"/>
      <c r="D265" s="8">
        <f t="shared" si="4"/>
        <v>0</v>
      </c>
    </row>
    <row r="266" spans="1:4" ht="18" hidden="1" x14ac:dyDescent="0.3">
      <c r="A266" s="10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4" t="s">
        <v>266</v>
      </c>
      <c r="B267" s="8"/>
      <c r="C267" s="8"/>
      <c r="D267" s="8">
        <f t="shared" si="4"/>
        <v>0</v>
      </c>
    </row>
    <row r="268" spans="1:4" ht="18" hidden="1" x14ac:dyDescent="0.3">
      <c r="A268" s="10" t="s">
        <v>267</v>
      </c>
      <c r="B268" s="8"/>
      <c r="C268" s="8"/>
      <c r="D268" s="8">
        <f t="shared" si="4"/>
        <v>0</v>
      </c>
    </row>
    <row r="269" spans="1:4" ht="18" hidden="1" x14ac:dyDescent="0.3">
      <c r="A269" s="12" t="s">
        <v>269</v>
      </c>
      <c r="B269" s="8"/>
      <c r="C269" s="8"/>
      <c r="D269" s="8">
        <f t="shared" si="4"/>
        <v>0</v>
      </c>
    </row>
    <row r="270" spans="1:4" ht="18" x14ac:dyDescent="0.3">
      <c r="A270" s="10" t="s">
        <v>270</v>
      </c>
      <c r="B270" s="8">
        <v>44</v>
      </c>
      <c r="C270" s="8">
        <v>12000</v>
      </c>
      <c r="D270" s="8">
        <f t="shared" si="4"/>
        <v>528000</v>
      </c>
    </row>
    <row r="271" spans="1:4" ht="18" hidden="1" x14ac:dyDescent="0.3">
      <c r="A271" s="10" t="s">
        <v>271</v>
      </c>
      <c r="B271" s="8"/>
      <c r="C271" s="8"/>
      <c r="D271" s="8">
        <f t="shared" si="4"/>
        <v>0</v>
      </c>
    </row>
    <row r="272" spans="1:4" ht="18" hidden="1" x14ac:dyDescent="0.3">
      <c r="A272" s="10" t="s">
        <v>272</v>
      </c>
      <c r="B272" s="8"/>
      <c r="C272" s="8"/>
      <c r="D272" s="8">
        <f t="shared" si="4"/>
        <v>0</v>
      </c>
    </row>
    <row r="273" spans="1:4" ht="18" hidden="1" x14ac:dyDescent="0.3">
      <c r="A273" s="10" t="s">
        <v>273</v>
      </c>
      <c r="B273" s="8"/>
      <c r="C273" s="8"/>
      <c r="D273" s="8">
        <f t="shared" si="4"/>
        <v>0</v>
      </c>
    </row>
    <row r="274" spans="1:4" ht="18" x14ac:dyDescent="0.3">
      <c r="A274" s="10" t="s">
        <v>274</v>
      </c>
      <c r="B274" s="8">
        <v>16</v>
      </c>
      <c r="C274" s="8">
        <v>16000</v>
      </c>
      <c r="D274" s="8">
        <f t="shared" si="4"/>
        <v>256000</v>
      </c>
    </row>
    <row r="275" spans="1:4" ht="18" hidden="1" x14ac:dyDescent="0.3">
      <c r="A275" s="10" t="s">
        <v>275</v>
      </c>
      <c r="B275" s="8"/>
      <c r="C275" s="8"/>
      <c r="D275" s="8">
        <f t="shared" si="4"/>
        <v>0</v>
      </c>
    </row>
    <row r="276" spans="1:4" ht="18" hidden="1" x14ac:dyDescent="0.3">
      <c r="A276" s="10" t="s">
        <v>276</v>
      </c>
      <c r="B276" s="8"/>
      <c r="C276" s="8"/>
      <c r="D276" s="8">
        <f t="shared" si="4"/>
        <v>0</v>
      </c>
    </row>
    <row r="277" spans="1:4" ht="18" hidden="1" x14ac:dyDescent="0.3">
      <c r="A277" s="37" t="s">
        <v>277</v>
      </c>
      <c r="B277" s="8"/>
      <c r="C277" s="8"/>
      <c r="D277" s="8">
        <f t="shared" si="4"/>
        <v>0</v>
      </c>
    </row>
    <row r="278" spans="1:4" ht="18" hidden="1" x14ac:dyDescent="0.3">
      <c r="A278" s="10" t="s">
        <v>278</v>
      </c>
      <c r="B278" s="8"/>
      <c r="C278" s="8"/>
      <c r="D278" s="8">
        <f t="shared" si="4"/>
        <v>0</v>
      </c>
    </row>
    <row r="279" spans="1:4" ht="18" hidden="1" x14ac:dyDescent="0.3">
      <c r="A279" s="37" t="s">
        <v>279</v>
      </c>
      <c r="B279" s="8"/>
      <c r="C279" s="8"/>
      <c r="D279" s="8">
        <f t="shared" si="4"/>
        <v>0</v>
      </c>
    </row>
    <row r="280" spans="1:4" ht="18" hidden="1" x14ac:dyDescent="0.3">
      <c r="A280" s="37" t="s">
        <v>280</v>
      </c>
      <c r="B280" s="8"/>
      <c r="C280" s="8"/>
      <c r="D280" s="8">
        <f t="shared" si="4"/>
        <v>0</v>
      </c>
    </row>
    <row r="281" spans="1:4" ht="18" hidden="1" x14ac:dyDescent="0.3">
      <c r="A281" s="13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13" t="s">
        <v>282</v>
      </c>
      <c r="B282" s="8"/>
      <c r="C282" s="8"/>
      <c r="D282" s="8">
        <f t="shared" si="4"/>
        <v>0</v>
      </c>
    </row>
    <row r="283" spans="1:4" ht="18" hidden="1" x14ac:dyDescent="0.3">
      <c r="A283" s="12" t="s">
        <v>283</v>
      </c>
      <c r="B283" s="8"/>
      <c r="C283" s="8"/>
      <c r="D283" s="8">
        <f t="shared" si="4"/>
        <v>0</v>
      </c>
    </row>
    <row r="284" spans="1:4" ht="18" hidden="1" x14ac:dyDescent="0.3">
      <c r="A284" s="12" t="s">
        <v>418</v>
      </c>
      <c r="B284" s="8"/>
      <c r="C284" s="8"/>
      <c r="D284" s="8">
        <f t="shared" si="4"/>
        <v>0</v>
      </c>
    </row>
    <row r="285" spans="1:4" ht="18" hidden="1" x14ac:dyDescent="0.3">
      <c r="A285" s="18" t="s">
        <v>284</v>
      </c>
      <c r="B285" s="8"/>
      <c r="C285" s="8"/>
      <c r="D285" s="8">
        <f t="shared" si="4"/>
        <v>0</v>
      </c>
    </row>
    <row r="286" spans="1:4" ht="18" hidden="1" x14ac:dyDescent="0.3">
      <c r="A286" s="18" t="s">
        <v>285</v>
      </c>
      <c r="B286" s="8"/>
      <c r="C286" s="8"/>
      <c r="D286" s="8">
        <f t="shared" si="4"/>
        <v>0</v>
      </c>
    </row>
    <row r="287" spans="1:4" ht="18" hidden="1" x14ac:dyDescent="0.3">
      <c r="A287" s="18" t="s">
        <v>286</v>
      </c>
      <c r="B287" s="8"/>
      <c r="C287" s="8"/>
      <c r="D287" s="8">
        <f t="shared" si="4"/>
        <v>0</v>
      </c>
    </row>
    <row r="288" spans="1:4" ht="18" hidden="1" x14ac:dyDescent="0.3">
      <c r="A288" s="10" t="s">
        <v>287</v>
      </c>
      <c r="B288" s="8"/>
      <c r="C288" s="8"/>
      <c r="D288" s="8">
        <f t="shared" si="4"/>
        <v>0</v>
      </c>
    </row>
    <row r="289" spans="1:4" ht="18" hidden="1" x14ac:dyDescent="0.3">
      <c r="A289" s="18" t="s">
        <v>288</v>
      </c>
      <c r="B289" s="8"/>
      <c r="C289" s="8"/>
      <c r="D289" s="8">
        <f t="shared" si="4"/>
        <v>0</v>
      </c>
    </row>
    <row r="290" spans="1:4" ht="18" hidden="1" x14ac:dyDescent="0.3">
      <c r="A290" s="10" t="s">
        <v>289</v>
      </c>
      <c r="B290" s="8"/>
      <c r="C290" s="8"/>
      <c r="D290" s="8">
        <f t="shared" si="4"/>
        <v>0</v>
      </c>
    </row>
    <row r="291" spans="1:4" ht="18" x14ac:dyDescent="0.3">
      <c r="A291" s="10" t="s">
        <v>290</v>
      </c>
      <c r="B291" s="8">
        <v>40</v>
      </c>
      <c r="C291" s="8">
        <v>7000</v>
      </c>
      <c r="D291" s="8">
        <f t="shared" si="4"/>
        <v>280000</v>
      </c>
    </row>
    <row r="292" spans="1:4" ht="18" hidden="1" x14ac:dyDescent="0.3">
      <c r="A292" s="18" t="s">
        <v>291</v>
      </c>
      <c r="B292" s="8"/>
      <c r="C292" s="8"/>
      <c r="D292" s="8">
        <f t="shared" si="4"/>
        <v>0</v>
      </c>
    </row>
    <row r="293" spans="1:4" ht="18" hidden="1" x14ac:dyDescent="0.3">
      <c r="A293" s="27" t="s">
        <v>292</v>
      </c>
      <c r="B293" s="8"/>
      <c r="C293" s="8"/>
      <c r="D293" s="8">
        <f t="shared" si="4"/>
        <v>0</v>
      </c>
    </row>
    <row r="294" spans="1:4" ht="18" x14ac:dyDescent="0.3">
      <c r="A294" s="10" t="s">
        <v>293</v>
      </c>
      <c r="B294" s="8">
        <v>8</v>
      </c>
      <c r="C294" s="8">
        <v>12000</v>
      </c>
      <c r="D294" s="8">
        <f t="shared" si="4"/>
        <v>96000</v>
      </c>
    </row>
    <row r="295" spans="1:4" ht="18" hidden="1" x14ac:dyDescent="0.3">
      <c r="A295" s="14" t="s">
        <v>294</v>
      </c>
      <c r="B295" s="8"/>
      <c r="C295" s="8"/>
      <c r="D295" s="8">
        <f t="shared" si="4"/>
        <v>0</v>
      </c>
    </row>
    <row r="296" spans="1:4" ht="18" hidden="1" x14ac:dyDescent="0.3">
      <c r="A296" s="14" t="s">
        <v>295</v>
      </c>
      <c r="B296" s="8"/>
      <c r="C296" s="8"/>
      <c r="D296" s="8">
        <f t="shared" si="4"/>
        <v>0</v>
      </c>
    </row>
    <row r="297" spans="1:4" ht="18" hidden="1" x14ac:dyDescent="0.3">
      <c r="A297" s="13" t="s">
        <v>296</v>
      </c>
      <c r="B297" s="8"/>
      <c r="C297" s="8"/>
      <c r="D297" s="8">
        <f t="shared" si="4"/>
        <v>0</v>
      </c>
    </row>
    <row r="298" spans="1:4" ht="18" hidden="1" x14ac:dyDescent="0.3">
      <c r="A298" s="18" t="s">
        <v>297</v>
      </c>
      <c r="B298" s="8"/>
      <c r="C298" s="8"/>
      <c r="D298" s="8">
        <f t="shared" si="4"/>
        <v>0</v>
      </c>
    </row>
    <row r="299" spans="1:4" ht="18" hidden="1" x14ac:dyDescent="0.3">
      <c r="A299" s="14" t="s">
        <v>298</v>
      </c>
      <c r="B299" s="8"/>
      <c r="C299" s="8"/>
      <c r="D299" s="8">
        <f t="shared" si="4"/>
        <v>0</v>
      </c>
    </row>
    <row r="300" spans="1:4" ht="18" hidden="1" x14ac:dyDescent="0.3">
      <c r="A300" s="10" t="s">
        <v>299</v>
      </c>
      <c r="B300" s="8"/>
      <c r="C300" s="8"/>
      <c r="D300" s="8">
        <f t="shared" si="4"/>
        <v>0</v>
      </c>
    </row>
    <row r="301" spans="1:4" ht="18" hidden="1" x14ac:dyDescent="0.3">
      <c r="A301" s="18" t="s">
        <v>300</v>
      </c>
      <c r="B301" s="8"/>
      <c r="C301" s="8"/>
      <c r="D301" s="8">
        <f t="shared" si="4"/>
        <v>0</v>
      </c>
    </row>
    <row r="302" spans="1:4" ht="18" hidden="1" x14ac:dyDescent="0.3">
      <c r="A302" s="10" t="s">
        <v>301</v>
      </c>
      <c r="B302" s="8"/>
      <c r="C302" s="8"/>
      <c r="D302" s="8">
        <f t="shared" si="4"/>
        <v>0</v>
      </c>
    </row>
    <row r="303" spans="1:4" ht="18" hidden="1" x14ac:dyDescent="0.3">
      <c r="A303" s="10" t="s">
        <v>302</v>
      </c>
      <c r="B303" s="8"/>
      <c r="C303" s="8"/>
      <c r="D303" s="8">
        <f t="shared" si="4"/>
        <v>0</v>
      </c>
    </row>
    <row r="304" spans="1:4" ht="18" hidden="1" x14ac:dyDescent="0.3">
      <c r="A304" s="12" t="s">
        <v>303</v>
      </c>
      <c r="B304" s="8"/>
      <c r="C304" s="8"/>
      <c r="D304" s="8">
        <f t="shared" si="4"/>
        <v>0</v>
      </c>
    </row>
    <row r="305" spans="1:4" ht="18" hidden="1" x14ac:dyDescent="0.3">
      <c r="A305" s="13" t="s">
        <v>304</v>
      </c>
      <c r="B305" s="8"/>
      <c r="C305" s="8"/>
      <c r="D305" s="8">
        <f t="shared" si="4"/>
        <v>0</v>
      </c>
    </row>
    <row r="306" spans="1:4" ht="18" hidden="1" x14ac:dyDescent="0.3">
      <c r="A306" s="13" t="s">
        <v>305</v>
      </c>
      <c r="B306" s="8"/>
      <c r="C306" s="8"/>
      <c r="D306" s="8">
        <f t="shared" si="4"/>
        <v>0</v>
      </c>
    </row>
    <row r="307" spans="1:4" ht="18" hidden="1" x14ac:dyDescent="0.3">
      <c r="A307" s="10" t="s">
        <v>306</v>
      </c>
      <c r="B307" s="8"/>
      <c r="C307" s="8"/>
      <c r="D307" s="8">
        <f t="shared" si="4"/>
        <v>0</v>
      </c>
    </row>
    <row r="308" spans="1:4" ht="18" hidden="1" x14ac:dyDescent="0.3">
      <c r="A308" s="10" t="s">
        <v>307</v>
      </c>
      <c r="B308" s="8"/>
      <c r="C308" s="8"/>
      <c r="D308" s="8">
        <f t="shared" si="4"/>
        <v>0</v>
      </c>
    </row>
    <row r="309" spans="1:4" ht="18" hidden="1" x14ac:dyDescent="0.3">
      <c r="A309" s="10" t="s">
        <v>308</v>
      </c>
      <c r="B309" s="8"/>
      <c r="C309" s="8"/>
      <c r="D309" s="8">
        <f t="shared" si="4"/>
        <v>0</v>
      </c>
    </row>
    <row r="310" spans="1:4" ht="18" hidden="1" x14ac:dyDescent="0.3">
      <c r="A310" s="14" t="s">
        <v>309</v>
      </c>
      <c r="B310" s="8"/>
      <c r="C310" s="8"/>
      <c r="D310" s="8">
        <f t="shared" si="4"/>
        <v>0</v>
      </c>
    </row>
    <row r="311" spans="1:4" ht="18" hidden="1" x14ac:dyDescent="0.3">
      <c r="A311" s="14" t="s">
        <v>310</v>
      </c>
      <c r="B311" s="8"/>
      <c r="C311" s="8"/>
      <c r="D311" s="8">
        <f t="shared" si="4"/>
        <v>0</v>
      </c>
    </row>
    <row r="312" spans="1:4" ht="18" hidden="1" x14ac:dyDescent="0.3">
      <c r="A312" s="23" t="s">
        <v>311</v>
      </c>
      <c r="B312" s="8"/>
      <c r="C312" s="8"/>
      <c r="D312" s="8">
        <f t="shared" si="4"/>
        <v>0</v>
      </c>
    </row>
    <row r="313" spans="1:4" ht="18" hidden="1" x14ac:dyDescent="0.3">
      <c r="A313" s="14" t="s">
        <v>312</v>
      </c>
      <c r="B313" s="8"/>
      <c r="C313" s="8"/>
      <c r="D313" s="8">
        <f t="shared" si="4"/>
        <v>0</v>
      </c>
    </row>
    <row r="314" spans="1:4" ht="18" hidden="1" x14ac:dyDescent="0.3">
      <c r="A314" s="10" t="s">
        <v>313</v>
      </c>
      <c r="B314" s="8"/>
      <c r="C314" s="8"/>
      <c r="D314" s="8">
        <f t="shared" si="4"/>
        <v>0</v>
      </c>
    </row>
    <row r="315" spans="1:4" ht="18" hidden="1" x14ac:dyDescent="0.3">
      <c r="A315" s="10" t="s">
        <v>314</v>
      </c>
      <c r="B315" s="8"/>
      <c r="C315" s="8"/>
      <c r="D315" s="8">
        <f t="shared" si="4"/>
        <v>0</v>
      </c>
    </row>
    <row r="316" spans="1:4" ht="18" hidden="1" x14ac:dyDescent="0.3">
      <c r="A316" s="10" t="s">
        <v>315</v>
      </c>
      <c r="B316" s="8"/>
      <c r="C316" s="8"/>
      <c r="D316" s="8">
        <f t="shared" si="4"/>
        <v>0</v>
      </c>
    </row>
    <row r="317" spans="1:4" ht="18" hidden="1" x14ac:dyDescent="0.3">
      <c r="A317" s="10" t="s">
        <v>316</v>
      </c>
      <c r="B317" s="8"/>
      <c r="C317" s="8"/>
      <c r="D317" s="8">
        <f t="shared" si="4"/>
        <v>0</v>
      </c>
    </row>
    <row r="318" spans="1:4" ht="18" hidden="1" x14ac:dyDescent="0.3">
      <c r="A318" s="23" t="s">
        <v>317</v>
      </c>
      <c r="B318" s="8"/>
      <c r="C318" s="8"/>
      <c r="D318" s="8">
        <f t="shared" si="4"/>
        <v>0</v>
      </c>
    </row>
    <row r="319" spans="1:4" ht="18" hidden="1" x14ac:dyDescent="0.3">
      <c r="A319" s="10" t="s">
        <v>318</v>
      </c>
      <c r="B319" s="8"/>
      <c r="C319" s="8"/>
      <c r="D319" s="8">
        <f t="shared" si="4"/>
        <v>0</v>
      </c>
    </row>
    <row r="320" spans="1:4" ht="18" hidden="1" x14ac:dyDescent="0.3">
      <c r="A320" s="10" t="s">
        <v>319</v>
      </c>
      <c r="B320" s="8"/>
      <c r="C320" s="8"/>
      <c r="D320" s="8">
        <f t="shared" si="4"/>
        <v>0</v>
      </c>
    </row>
    <row r="321" spans="1:4" ht="18" hidden="1" x14ac:dyDescent="0.3">
      <c r="A321" s="13" t="s">
        <v>320</v>
      </c>
      <c r="B321" s="8"/>
      <c r="C321" s="8"/>
      <c r="D321" s="8">
        <f t="shared" si="4"/>
        <v>0</v>
      </c>
    </row>
    <row r="322" spans="1:4" ht="18" hidden="1" x14ac:dyDescent="0.3">
      <c r="A322" s="10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0" t="s">
        <v>322</v>
      </c>
      <c r="B323" s="8"/>
      <c r="C323" s="8"/>
      <c r="D323" s="8">
        <f t="shared" si="4"/>
        <v>0</v>
      </c>
    </row>
    <row r="324" spans="1:4" ht="18" hidden="1" x14ac:dyDescent="0.3">
      <c r="A324" s="10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23" t="s">
        <v>324</v>
      </c>
      <c r="B325" s="8"/>
      <c r="C325" s="8"/>
      <c r="D325" s="8">
        <f t="shared" si="5"/>
        <v>0</v>
      </c>
    </row>
    <row r="326" spans="1:4" ht="18" hidden="1" x14ac:dyDescent="0.3">
      <c r="A326" s="23" t="s">
        <v>325</v>
      </c>
      <c r="B326" s="8"/>
      <c r="C326" s="8"/>
      <c r="D326" s="8">
        <f t="shared" si="5"/>
        <v>0</v>
      </c>
    </row>
    <row r="327" spans="1:4" ht="18" x14ac:dyDescent="0.3">
      <c r="A327" s="10" t="s">
        <v>326</v>
      </c>
      <c r="B327" s="8">
        <v>7</v>
      </c>
      <c r="C327" s="8">
        <v>30000</v>
      </c>
      <c r="D327" s="8">
        <f t="shared" si="5"/>
        <v>210000</v>
      </c>
    </row>
    <row r="328" spans="1:4" ht="18" hidden="1" x14ac:dyDescent="0.3">
      <c r="A328" s="10" t="s">
        <v>327</v>
      </c>
      <c r="B328" s="8"/>
      <c r="C328" s="8"/>
      <c r="D328" s="8">
        <f t="shared" si="5"/>
        <v>0</v>
      </c>
    </row>
    <row r="329" spans="1:4" ht="18" hidden="1" x14ac:dyDescent="0.3">
      <c r="A329" s="23" t="s">
        <v>328</v>
      </c>
      <c r="B329" s="8"/>
      <c r="C329" s="8"/>
      <c r="D329" s="8">
        <f t="shared" si="5"/>
        <v>0</v>
      </c>
    </row>
    <row r="330" spans="1:4" ht="18" hidden="1" x14ac:dyDescent="0.3">
      <c r="A330" s="10" t="s">
        <v>329</v>
      </c>
      <c r="B330" s="8"/>
      <c r="C330" s="8"/>
      <c r="D330" s="8">
        <f t="shared" si="5"/>
        <v>0</v>
      </c>
    </row>
    <row r="331" spans="1:4" ht="18" hidden="1" x14ac:dyDescent="0.3">
      <c r="A331" s="10" t="s">
        <v>330</v>
      </c>
      <c r="B331" s="8"/>
      <c r="C331" s="8"/>
      <c r="D331" s="8">
        <f t="shared" si="5"/>
        <v>0</v>
      </c>
    </row>
    <row r="332" spans="1:4" ht="18" hidden="1" x14ac:dyDescent="0.3">
      <c r="A332" s="10" t="s">
        <v>331</v>
      </c>
      <c r="B332" s="8"/>
      <c r="C332" s="8"/>
      <c r="D332" s="8">
        <f t="shared" si="5"/>
        <v>0</v>
      </c>
    </row>
    <row r="333" spans="1:4" ht="18" hidden="1" x14ac:dyDescent="0.3">
      <c r="A333" s="10" t="s">
        <v>332</v>
      </c>
      <c r="B333" s="8"/>
      <c r="C333" s="8"/>
      <c r="D333" s="8">
        <f t="shared" si="5"/>
        <v>0</v>
      </c>
    </row>
    <row r="334" spans="1:4" ht="18" hidden="1" x14ac:dyDescent="0.3">
      <c r="A334" s="10" t="s">
        <v>333</v>
      </c>
      <c r="B334" s="8"/>
      <c r="C334" s="8"/>
      <c r="D334" s="8">
        <f t="shared" si="5"/>
        <v>0</v>
      </c>
    </row>
    <row r="335" spans="1:4" ht="18" hidden="1" x14ac:dyDescent="0.3">
      <c r="A335" s="10" t="s">
        <v>334</v>
      </c>
      <c r="B335" s="8"/>
      <c r="C335" s="8"/>
      <c r="D335" s="8">
        <f t="shared" si="5"/>
        <v>0</v>
      </c>
    </row>
    <row r="336" spans="1:4" ht="18" hidden="1" x14ac:dyDescent="0.3">
      <c r="A336" s="10" t="s">
        <v>335</v>
      </c>
      <c r="B336" s="8"/>
      <c r="C336" s="8"/>
      <c r="D336" s="8">
        <f t="shared" si="5"/>
        <v>0</v>
      </c>
    </row>
    <row r="337" spans="1:4" ht="18" hidden="1" x14ac:dyDescent="0.3">
      <c r="A337" s="10" t="s">
        <v>336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3296</v>
      </c>
      <c r="C340" s="46"/>
      <c r="D340" s="8">
        <f>SUM(D3:D327)</f>
        <v>60674500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431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13" t="s">
        <v>68</v>
      </c>
      <c r="B345" s="8"/>
      <c r="C345" s="8"/>
      <c r="D345" s="8">
        <f t="shared" si="5"/>
        <v>0</v>
      </c>
    </row>
    <row r="346" spans="1:4" ht="18" hidden="1" x14ac:dyDescent="0.3">
      <c r="A346" s="12" t="s">
        <v>69</v>
      </c>
      <c r="B346" s="8"/>
      <c r="C346" s="8"/>
      <c r="D346" s="8">
        <f t="shared" si="5"/>
        <v>0</v>
      </c>
    </row>
    <row r="347" spans="1:4" ht="18" hidden="1" x14ac:dyDescent="0.3">
      <c r="A347" s="13" t="s">
        <v>70</v>
      </c>
      <c r="B347" s="8"/>
      <c r="C347" s="8"/>
      <c r="D347" s="8">
        <f t="shared" si="5"/>
        <v>0</v>
      </c>
    </row>
    <row r="348" spans="1:4" ht="18" hidden="1" x14ac:dyDescent="0.3">
      <c r="A348" s="13" t="s">
        <v>71</v>
      </c>
      <c r="B348" s="8"/>
      <c r="C348" s="8"/>
      <c r="D348" s="8">
        <f t="shared" si="5"/>
        <v>0</v>
      </c>
    </row>
    <row r="349" spans="1:4" ht="18" hidden="1" x14ac:dyDescent="0.3">
      <c r="A349" s="13" t="s">
        <v>72</v>
      </c>
      <c r="B349" s="8"/>
      <c r="C349" s="8"/>
      <c r="D349" s="8">
        <f t="shared" si="5"/>
        <v>0</v>
      </c>
    </row>
    <row r="350" spans="1:4" ht="18" hidden="1" x14ac:dyDescent="0.3">
      <c r="A350" s="22" t="s">
        <v>73</v>
      </c>
      <c r="B350" s="8"/>
      <c r="C350" s="8"/>
      <c r="D350" s="8">
        <f t="shared" si="5"/>
        <v>0</v>
      </c>
    </row>
    <row r="351" spans="1:4" ht="18" hidden="1" x14ac:dyDescent="0.3">
      <c r="A351" s="10" t="s">
        <v>74</v>
      </c>
      <c r="B351" s="8"/>
      <c r="C351" s="8"/>
      <c r="D351" s="8">
        <f t="shared" si="5"/>
        <v>0</v>
      </c>
    </row>
    <row r="352" spans="1:4" ht="18" hidden="1" x14ac:dyDescent="0.3">
      <c r="A352" s="13" t="s">
        <v>82</v>
      </c>
      <c r="B352" s="17"/>
      <c r="C352" s="17"/>
      <c r="D352" s="8">
        <f t="shared" si="5"/>
        <v>0</v>
      </c>
    </row>
    <row r="353" spans="1:4" ht="18" hidden="1" x14ac:dyDescent="0.3">
      <c r="A353" s="13" t="s">
        <v>83</v>
      </c>
      <c r="B353" s="17"/>
      <c r="C353" s="17"/>
      <c r="D353" s="8">
        <f t="shared" si="5"/>
        <v>0</v>
      </c>
    </row>
    <row r="354" spans="1:4" ht="18" hidden="1" x14ac:dyDescent="0.3">
      <c r="A354" s="13" t="s">
        <v>84</v>
      </c>
      <c r="B354" s="17"/>
      <c r="C354" s="17"/>
      <c r="D354" s="8">
        <f t="shared" si="5"/>
        <v>0</v>
      </c>
    </row>
    <row r="355" spans="1:4" ht="18" hidden="1" x14ac:dyDescent="0.3">
      <c r="A355" s="10" t="s">
        <v>96</v>
      </c>
      <c r="B355" s="8"/>
      <c r="C355" s="8"/>
      <c r="D355" s="8">
        <f t="shared" si="5"/>
        <v>0</v>
      </c>
    </row>
    <row r="356" spans="1:4" ht="18" hidden="1" x14ac:dyDescent="0.3">
      <c r="A356" s="10" t="s">
        <v>97</v>
      </c>
      <c r="B356" s="8"/>
      <c r="C356" s="8"/>
      <c r="D356" s="8">
        <f t="shared" si="5"/>
        <v>0</v>
      </c>
    </row>
    <row r="357" spans="1:4" ht="18" hidden="1" x14ac:dyDescent="0.3">
      <c r="A357" s="10" t="s">
        <v>99</v>
      </c>
      <c r="B357" s="17"/>
      <c r="C357" s="17"/>
      <c r="D357" s="8">
        <f t="shared" si="5"/>
        <v>0</v>
      </c>
    </row>
    <row r="358" spans="1:4" ht="18" hidden="1" x14ac:dyDescent="0.3">
      <c r="A358" s="23" t="s">
        <v>101</v>
      </c>
      <c r="B358" s="8"/>
      <c r="C358" s="8"/>
      <c r="D358" s="8">
        <f t="shared" si="5"/>
        <v>0</v>
      </c>
    </row>
    <row r="359" spans="1:4" ht="18" hidden="1" x14ac:dyDescent="0.3">
      <c r="A359" s="12" t="s">
        <v>117</v>
      </c>
      <c r="B359" s="8"/>
      <c r="C359" s="8"/>
      <c r="D359" s="8">
        <f t="shared" si="5"/>
        <v>0</v>
      </c>
    </row>
    <row r="360" spans="1:4" ht="18" hidden="1" x14ac:dyDescent="0.3">
      <c r="A360" s="23" t="s">
        <v>118</v>
      </c>
      <c r="B360" s="8"/>
      <c r="C360" s="8"/>
      <c r="D360" s="8">
        <f t="shared" si="5"/>
        <v>0</v>
      </c>
    </row>
    <row r="361" spans="1:4" ht="18" hidden="1" x14ac:dyDescent="0.3">
      <c r="A361" s="10" t="s">
        <v>110</v>
      </c>
      <c r="B361" s="8"/>
      <c r="C361" s="8"/>
      <c r="D361" s="8">
        <f t="shared" si="5"/>
        <v>0</v>
      </c>
    </row>
    <row r="362" spans="1:4" ht="18" hidden="1" x14ac:dyDescent="0.3">
      <c r="A362" s="10" t="s">
        <v>111</v>
      </c>
      <c r="B362" s="8"/>
      <c r="C362" s="8"/>
      <c r="D362" s="8">
        <f t="shared" si="5"/>
        <v>0</v>
      </c>
    </row>
    <row r="363" spans="1:4" ht="18" hidden="1" x14ac:dyDescent="0.3">
      <c r="A363" s="10" t="s">
        <v>112</v>
      </c>
      <c r="B363" s="8"/>
      <c r="C363" s="8"/>
      <c r="D363" s="8">
        <f t="shared" si="5"/>
        <v>0</v>
      </c>
    </row>
    <row r="364" spans="1:4" ht="18" hidden="1" x14ac:dyDescent="0.3">
      <c r="A364" s="12" t="s">
        <v>249</v>
      </c>
      <c r="B364" s="8"/>
      <c r="C364" s="8"/>
      <c r="D364" s="8">
        <f t="shared" si="5"/>
        <v>0</v>
      </c>
    </row>
    <row r="365" spans="1:4" ht="18" hidden="1" x14ac:dyDescent="0.3">
      <c r="A365" s="10" t="s">
        <v>250</v>
      </c>
      <c r="B365" s="8"/>
      <c r="C365" s="8"/>
      <c r="D365" s="8">
        <f t="shared" si="5"/>
        <v>0</v>
      </c>
    </row>
    <row r="366" spans="1:4" ht="18" hidden="1" x14ac:dyDescent="0.3">
      <c r="A366" s="10" t="s">
        <v>251</v>
      </c>
      <c r="B366" s="8"/>
      <c r="C366" s="8"/>
      <c r="D366" s="8">
        <f t="shared" si="5"/>
        <v>0</v>
      </c>
    </row>
    <row r="367" spans="1:4" ht="18" hidden="1" x14ac:dyDescent="0.3">
      <c r="A367" s="10" t="s">
        <v>252</v>
      </c>
      <c r="B367" s="8"/>
      <c r="C367" s="8"/>
      <c r="D367" s="8">
        <f t="shared" si="5"/>
        <v>0</v>
      </c>
    </row>
    <row r="368" spans="1:4" ht="18" hidden="1" x14ac:dyDescent="0.3">
      <c r="A368" s="10" t="s">
        <v>253</v>
      </c>
      <c r="B368" s="8"/>
      <c r="C368" s="8"/>
      <c r="D368" s="8">
        <f t="shared" si="5"/>
        <v>0</v>
      </c>
    </row>
    <row r="369" spans="1:4" ht="18" hidden="1" x14ac:dyDescent="0.3">
      <c r="A369" s="10" t="s">
        <v>254</v>
      </c>
      <c r="B369" s="8"/>
      <c r="C369" s="8"/>
      <c r="D369" s="8">
        <f t="shared" si="5"/>
        <v>0</v>
      </c>
    </row>
    <row r="370" spans="1:4" ht="18" hidden="1" x14ac:dyDescent="0.3">
      <c r="A370" s="10" t="s">
        <v>258</v>
      </c>
      <c r="B370" s="8"/>
      <c r="C370" s="8"/>
      <c r="D370" s="8">
        <f t="shared" si="5"/>
        <v>0</v>
      </c>
    </row>
    <row r="371" spans="1:4" ht="18" hidden="1" x14ac:dyDescent="0.3">
      <c r="A371" s="10" t="s">
        <v>259</v>
      </c>
      <c r="B371" s="8"/>
      <c r="C371" s="8"/>
      <c r="D371" s="8">
        <f t="shared" si="5"/>
        <v>0</v>
      </c>
    </row>
    <row r="372" spans="1:4" ht="18" hidden="1" x14ac:dyDescent="0.3">
      <c r="A372" s="10" t="s">
        <v>260</v>
      </c>
      <c r="B372" s="8"/>
      <c r="C372" s="8"/>
      <c r="D372" s="8">
        <f t="shared" si="5"/>
        <v>0</v>
      </c>
    </row>
    <row r="373" spans="1:4" ht="18" hidden="1" x14ac:dyDescent="0.3">
      <c r="A373" s="10" t="s">
        <v>261</v>
      </c>
      <c r="B373" s="8"/>
      <c r="C373" s="8"/>
      <c r="D373" s="8">
        <f t="shared" si="5"/>
        <v>0</v>
      </c>
    </row>
    <row r="374" spans="1:4" ht="18" hidden="1" x14ac:dyDescent="0.3">
      <c r="A374" s="10" t="s">
        <v>262</v>
      </c>
      <c r="B374" s="8"/>
      <c r="C374" s="8"/>
      <c r="D374" s="8">
        <f t="shared" si="5"/>
        <v>0</v>
      </c>
    </row>
    <row r="375" spans="1:4" ht="18" hidden="1" x14ac:dyDescent="0.3">
      <c r="A375" s="10" t="s">
        <v>263</v>
      </c>
      <c r="B375" s="8"/>
      <c r="C375" s="8"/>
      <c r="D375" s="8">
        <f t="shared" si="5"/>
        <v>0</v>
      </c>
    </row>
    <row r="376" spans="1:4" ht="18" hidden="1" x14ac:dyDescent="0.3">
      <c r="A376" s="10" t="s">
        <v>264</v>
      </c>
      <c r="B376" s="8"/>
      <c r="C376" s="8"/>
      <c r="D376" s="8">
        <f t="shared" si="5"/>
        <v>0</v>
      </c>
    </row>
    <row r="377" spans="1:4" ht="18" x14ac:dyDescent="0.3">
      <c r="A377" s="10" t="s">
        <v>135</v>
      </c>
      <c r="B377" s="8">
        <v>100</v>
      </c>
      <c r="C377" s="8">
        <v>11000</v>
      </c>
      <c r="D377" s="8">
        <f t="shared" si="5"/>
        <v>1100000</v>
      </c>
    </row>
    <row r="378" spans="1:4" ht="18" hidden="1" x14ac:dyDescent="0.3">
      <c r="A378" s="18" t="s">
        <v>136</v>
      </c>
      <c r="B378" s="8"/>
      <c r="C378" s="8"/>
      <c r="D378" s="8">
        <f t="shared" si="5"/>
        <v>0</v>
      </c>
    </row>
    <row r="379" spans="1:4" ht="18" hidden="1" x14ac:dyDescent="0.3">
      <c r="A379" s="10" t="s">
        <v>177</v>
      </c>
      <c r="B379" s="8"/>
      <c r="C379" s="8"/>
      <c r="D379" s="8">
        <f t="shared" si="5"/>
        <v>0</v>
      </c>
    </row>
    <row r="380" spans="1:4" ht="18" hidden="1" x14ac:dyDescent="0.3">
      <c r="A380" s="13" t="s">
        <v>193</v>
      </c>
      <c r="B380" s="8"/>
      <c r="C380" s="8"/>
      <c r="D380" s="8">
        <f t="shared" si="5"/>
        <v>0</v>
      </c>
    </row>
    <row r="381" spans="1:4" ht="18" hidden="1" x14ac:dyDescent="0.3">
      <c r="A381" s="10" t="s">
        <v>319</v>
      </c>
      <c r="B381" s="8"/>
      <c r="C381" s="8"/>
      <c r="D381" s="8">
        <f t="shared" si="5"/>
        <v>0</v>
      </c>
    </row>
    <row r="382" spans="1:4" ht="18" hidden="1" x14ac:dyDescent="0.3">
      <c r="A382" s="10" t="s">
        <v>212</v>
      </c>
      <c r="B382" s="8"/>
      <c r="C382" s="8"/>
      <c r="D382" s="8">
        <f t="shared" si="5"/>
        <v>0</v>
      </c>
    </row>
    <row r="383" spans="1:4" ht="18" hidden="1" x14ac:dyDescent="0.3">
      <c r="A383" s="40" t="s">
        <v>213</v>
      </c>
      <c r="B383" s="8"/>
      <c r="C383" s="8"/>
      <c r="D383" s="8">
        <f t="shared" si="5"/>
        <v>0</v>
      </c>
    </row>
    <row r="384" spans="1:4" ht="18" hidden="1" x14ac:dyDescent="0.3">
      <c r="A384" s="10" t="s">
        <v>214</v>
      </c>
      <c r="B384" s="8"/>
      <c r="C384" s="8"/>
      <c r="D384" s="8">
        <f t="shared" si="5"/>
        <v>0</v>
      </c>
    </row>
    <row r="385" spans="1:4" ht="18" x14ac:dyDescent="0.3">
      <c r="A385" s="10" t="s">
        <v>215</v>
      </c>
      <c r="B385" s="8">
        <f>50+105</f>
        <v>155</v>
      </c>
      <c r="C385" s="8">
        <v>16000</v>
      </c>
      <c r="D385" s="8">
        <f t="shared" si="5"/>
        <v>2480000</v>
      </c>
    </row>
    <row r="386" spans="1:4" ht="18" hidden="1" x14ac:dyDescent="0.3">
      <c r="A386" s="10" t="s">
        <v>216</v>
      </c>
      <c r="B386" s="8"/>
      <c r="C386" s="8"/>
      <c r="D386" s="8">
        <f t="shared" si="5"/>
        <v>0</v>
      </c>
    </row>
    <row r="387" spans="1:4" ht="18" hidden="1" x14ac:dyDescent="0.3">
      <c r="A387" s="10" t="s">
        <v>355</v>
      </c>
      <c r="B387" s="8"/>
      <c r="C387" s="8"/>
      <c r="D387" s="8">
        <f t="shared" si="5"/>
        <v>0</v>
      </c>
    </row>
    <row r="388" spans="1:4" ht="18" hidden="1" x14ac:dyDescent="0.3">
      <c r="A388" s="10" t="s">
        <v>217</v>
      </c>
      <c r="B388" s="8"/>
      <c r="C388" s="8"/>
      <c r="D388" s="8">
        <f t="shared" ref="D388:D451" si="6">B388*C388</f>
        <v>0</v>
      </c>
    </row>
    <row r="389" spans="1:4" ht="18" hidden="1" x14ac:dyDescent="0.3">
      <c r="A389" s="10" t="s">
        <v>103</v>
      </c>
      <c r="B389" s="8"/>
      <c r="C389" s="8"/>
      <c r="D389" s="8">
        <f t="shared" si="6"/>
        <v>0</v>
      </c>
    </row>
    <row r="390" spans="1:4" ht="18" hidden="1" x14ac:dyDescent="0.3">
      <c r="A390" s="20" t="s">
        <v>104</v>
      </c>
      <c r="B390" s="8"/>
      <c r="C390" s="8"/>
      <c r="D390" s="8">
        <f t="shared" si="6"/>
        <v>0</v>
      </c>
    </row>
    <row r="391" spans="1:4" ht="18" hidden="1" x14ac:dyDescent="0.3">
      <c r="A391" s="12" t="s">
        <v>107</v>
      </c>
      <c r="B391" s="8"/>
      <c r="C391" s="8"/>
      <c r="D391" s="8">
        <f t="shared" si="6"/>
        <v>0</v>
      </c>
    </row>
    <row r="392" spans="1:4" ht="18" hidden="1" x14ac:dyDescent="0.3">
      <c r="A392" s="10" t="s">
        <v>109</v>
      </c>
      <c r="B392" s="8"/>
      <c r="C392" s="8"/>
      <c r="D392" s="8">
        <f t="shared" si="6"/>
        <v>0</v>
      </c>
    </row>
    <row r="393" spans="1:4" ht="18" hidden="1" x14ac:dyDescent="0.3">
      <c r="A393" s="10" t="s">
        <v>11</v>
      </c>
      <c r="B393" s="8"/>
      <c r="C393" s="8"/>
      <c r="D393" s="8">
        <f t="shared" si="6"/>
        <v>0</v>
      </c>
    </row>
    <row r="394" spans="1:4" ht="18" x14ac:dyDescent="0.3">
      <c r="A394" s="10" t="s">
        <v>12</v>
      </c>
      <c r="B394" s="8">
        <v>10</v>
      </c>
      <c r="C394" s="8">
        <v>10000</v>
      </c>
      <c r="D394" s="8">
        <f t="shared" si="6"/>
        <v>100000</v>
      </c>
    </row>
    <row r="395" spans="1:4" ht="18" hidden="1" x14ac:dyDescent="0.3">
      <c r="A395" s="13" t="s">
        <v>13</v>
      </c>
      <c r="B395" s="8"/>
      <c r="C395" s="8"/>
      <c r="D395" s="8">
        <f t="shared" si="6"/>
        <v>0</v>
      </c>
    </row>
    <row r="396" spans="1:4" ht="18" hidden="1" x14ac:dyDescent="0.3">
      <c r="A396" s="10" t="s">
        <v>165</v>
      </c>
      <c r="B396" s="8"/>
      <c r="C396" s="8"/>
      <c r="D396" s="8">
        <f t="shared" si="6"/>
        <v>0</v>
      </c>
    </row>
    <row r="397" spans="1:4" ht="18" hidden="1" x14ac:dyDescent="0.3">
      <c r="A397" s="18" t="s">
        <v>166</v>
      </c>
      <c r="B397" s="8"/>
      <c r="C397" s="8"/>
      <c r="D397" s="8">
        <f t="shared" si="6"/>
        <v>0</v>
      </c>
    </row>
    <row r="398" spans="1:4" ht="18" hidden="1" x14ac:dyDescent="0.3">
      <c r="A398" s="10" t="s">
        <v>199</v>
      </c>
      <c r="B398" s="8"/>
      <c r="C398" s="8"/>
      <c r="D398" s="8">
        <f t="shared" si="6"/>
        <v>0</v>
      </c>
    </row>
    <row r="399" spans="1:4" ht="18" hidden="1" x14ac:dyDescent="0.3">
      <c r="A399" s="38" t="s">
        <v>200</v>
      </c>
      <c r="B399" s="8"/>
      <c r="C399" s="8"/>
      <c r="D399" s="8">
        <f t="shared" si="6"/>
        <v>0</v>
      </c>
    </row>
    <row r="400" spans="1:4" ht="18" hidden="1" x14ac:dyDescent="0.3">
      <c r="A400" s="10" t="s">
        <v>237</v>
      </c>
      <c r="B400" s="8"/>
      <c r="C400" s="8"/>
      <c r="D400" s="8">
        <f t="shared" si="6"/>
        <v>0</v>
      </c>
    </row>
    <row r="401" spans="1:4" ht="18" hidden="1" x14ac:dyDescent="0.3">
      <c r="A401" s="10" t="s">
        <v>238</v>
      </c>
      <c r="B401" s="8"/>
      <c r="C401" s="8"/>
      <c r="D401" s="8">
        <f t="shared" si="6"/>
        <v>0</v>
      </c>
    </row>
    <row r="402" spans="1:4" ht="18" hidden="1" x14ac:dyDescent="0.3">
      <c r="A402" s="13" t="s">
        <v>20</v>
      </c>
      <c r="B402" s="8"/>
      <c r="C402" s="8"/>
      <c r="D402" s="8">
        <f t="shared" si="6"/>
        <v>0</v>
      </c>
    </row>
    <row r="403" spans="1:4" ht="18" hidden="1" x14ac:dyDescent="0.3">
      <c r="A403" s="13" t="s">
        <v>21</v>
      </c>
      <c r="B403" s="8"/>
      <c r="C403" s="8"/>
      <c r="D403" s="8">
        <f t="shared" si="6"/>
        <v>0</v>
      </c>
    </row>
    <row r="404" spans="1:4" ht="18" hidden="1" x14ac:dyDescent="0.3">
      <c r="A404" s="31" t="s">
        <v>173</v>
      </c>
      <c r="B404" s="8"/>
      <c r="C404" s="8"/>
      <c r="D404" s="8">
        <f t="shared" si="6"/>
        <v>0</v>
      </c>
    </row>
    <row r="405" spans="1:4" ht="18" hidden="1" x14ac:dyDescent="0.3">
      <c r="A405" s="34" t="s">
        <v>174</v>
      </c>
      <c r="B405" s="36"/>
      <c r="C405" s="36"/>
      <c r="D405" s="8">
        <f t="shared" si="6"/>
        <v>0</v>
      </c>
    </row>
    <row r="406" spans="1:4" ht="18" hidden="1" x14ac:dyDescent="0.3">
      <c r="A406" s="10" t="s">
        <v>27</v>
      </c>
      <c r="B406" s="8"/>
      <c r="C406" s="8"/>
      <c r="D406" s="8">
        <f t="shared" si="6"/>
        <v>0</v>
      </c>
    </row>
    <row r="407" spans="1:4" ht="18" hidden="1" x14ac:dyDescent="0.3">
      <c r="A407" s="13" t="s">
        <v>28</v>
      </c>
      <c r="B407" s="8"/>
      <c r="C407" s="8"/>
      <c r="D407" s="8">
        <f t="shared" si="6"/>
        <v>0</v>
      </c>
    </row>
    <row r="408" spans="1:4" ht="18" hidden="1" x14ac:dyDescent="0.3">
      <c r="A408" s="13" t="s">
        <v>35</v>
      </c>
      <c r="B408" s="8"/>
      <c r="C408" s="8"/>
      <c r="D408" s="8">
        <f t="shared" si="6"/>
        <v>0</v>
      </c>
    </row>
    <row r="409" spans="1:4" ht="18" hidden="1" x14ac:dyDescent="0.3">
      <c r="A409" s="10" t="s">
        <v>201</v>
      </c>
      <c r="B409" s="8"/>
      <c r="C409" s="8"/>
      <c r="D409" s="8">
        <f t="shared" si="6"/>
        <v>0</v>
      </c>
    </row>
    <row r="410" spans="1:4" ht="18" hidden="1" x14ac:dyDescent="0.3">
      <c r="A410" s="13" t="s">
        <v>202</v>
      </c>
      <c r="B410" s="8"/>
      <c r="C410" s="8"/>
      <c r="D410" s="8">
        <f t="shared" si="6"/>
        <v>0</v>
      </c>
    </row>
    <row r="411" spans="1:4" ht="18" hidden="1" x14ac:dyDescent="0.3">
      <c r="A411" s="10" t="s">
        <v>351</v>
      </c>
      <c r="B411" s="8"/>
      <c r="C411" s="8"/>
      <c r="D411" s="8">
        <f t="shared" si="6"/>
        <v>0</v>
      </c>
    </row>
    <row r="412" spans="1:4" ht="18" hidden="1" x14ac:dyDescent="0.3">
      <c r="A412" s="10" t="s">
        <v>203</v>
      </c>
      <c r="B412" s="8"/>
      <c r="C412" s="8"/>
      <c r="D412" s="8">
        <f t="shared" si="6"/>
        <v>0</v>
      </c>
    </row>
    <row r="413" spans="1:4" ht="18" hidden="1" x14ac:dyDescent="0.3">
      <c r="A413" s="10" t="s">
        <v>274</v>
      </c>
      <c r="B413" s="8"/>
      <c r="C413" s="8"/>
      <c r="D413" s="8">
        <f t="shared" si="6"/>
        <v>0</v>
      </c>
    </row>
    <row r="414" spans="1:4" ht="18" hidden="1" x14ac:dyDescent="0.3">
      <c r="A414" s="10" t="s">
        <v>275</v>
      </c>
      <c r="B414" s="8"/>
      <c r="C414" s="8"/>
      <c r="D414" s="8">
        <f t="shared" si="6"/>
        <v>0</v>
      </c>
    </row>
    <row r="415" spans="1:4" ht="18" hidden="1" x14ac:dyDescent="0.3">
      <c r="A415" s="6" t="s">
        <v>2</v>
      </c>
      <c r="B415" s="8"/>
      <c r="C415" s="8"/>
      <c r="D415" s="8">
        <f t="shared" si="6"/>
        <v>0</v>
      </c>
    </row>
    <row r="416" spans="1:4" ht="18" hidden="1" x14ac:dyDescent="0.3">
      <c r="A416" s="9" t="s">
        <v>3</v>
      </c>
      <c r="B416" s="8"/>
      <c r="C416" s="8"/>
      <c r="D416" s="8">
        <f t="shared" si="6"/>
        <v>0</v>
      </c>
    </row>
    <row r="417" spans="1:4" ht="18" hidden="1" x14ac:dyDescent="0.3">
      <c r="A417" s="6" t="s">
        <v>4</v>
      </c>
      <c r="B417" s="8"/>
      <c r="C417" s="8"/>
      <c r="D417" s="8">
        <f t="shared" si="6"/>
        <v>0</v>
      </c>
    </row>
    <row r="418" spans="1:4" ht="18" hidden="1" x14ac:dyDescent="0.3">
      <c r="A418" s="18" t="s">
        <v>61</v>
      </c>
      <c r="B418" s="8"/>
      <c r="C418" s="8"/>
      <c r="D418" s="8">
        <f t="shared" si="6"/>
        <v>0</v>
      </c>
    </row>
    <row r="419" spans="1:4" ht="18" hidden="1" x14ac:dyDescent="0.3">
      <c r="A419" s="14" t="s">
        <v>298</v>
      </c>
      <c r="B419" s="8"/>
      <c r="C419" s="8"/>
      <c r="D419" s="8">
        <f t="shared" si="6"/>
        <v>0</v>
      </c>
    </row>
    <row r="420" spans="1:4" ht="18" hidden="1" x14ac:dyDescent="0.3">
      <c r="A420" s="14" t="s">
        <v>309</v>
      </c>
      <c r="B420" s="8"/>
      <c r="C420" s="8"/>
      <c r="D420" s="8">
        <f t="shared" si="6"/>
        <v>0</v>
      </c>
    </row>
    <row r="421" spans="1:4" ht="18" hidden="1" x14ac:dyDescent="0.3">
      <c r="A421" s="14" t="s">
        <v>310</v>
      </c>
      <c r="B421" s="8"/>
      <c r="C421" s="8"/>
      <c r="D421" s="8">
        <f t="shared" si="6"/>
        <v>0</v>
      </c>
    </row>
    <row r="422" spans="1:4" ht="18" hidden="1" x14ac:dyDescent="0.3">
      <c r="A422" s="14" t="s">
        <v>312</v>
      </c>
      <c r="B422" s="8"/>
      <c r="C422" s="8"/>
      <c r="D422" s="8">
        <f t="shared" si="6"/>
        <v>0</v>
      </c>
    </row>
    <row r="423" spans="1:4" ht="18" hidden="1" x14ac:dyDescent="0.3">
      <c r="A423" s="10" t="s">
        <v>321</v>
      </c>
      <c r="B423" s="42"/>
      <c r="C423" s="42"/>
      <c r="D423" s="8">
        <f t="shared" si="6"/>
        <v>0</v>
      </c>
    </row>
    <row r="424" spans="1:4" ht="18" hidden="1" x14ac:dyDescent="0.3">
      <c r="A424" s="10" t="s">
        <v>85</v>
      </c>
      <c r="B424" s="8"/>
      <c r="C424" s="8"/>
      <c r="D424" s="8">
        <f t="shared" si="6"/>
        <v>0</v>
      </c>
    </row>
    <row r="425" spans="1:4" ht="18" hidden="1" x14ac:dyDescent="0.3">
      <c r="A425" s="10" t="s">
        <v>86</v>
      </c>
      <c r="B425" s="8"/>
      <c r="C425" s="8"/>
      <c r="D425" s="8">
        <f t="shared" si="6"/>
        <v>0</v>
      </c>
    </row>
    <row r="426" spans="1:4" ht="18" hidden="1" x14ac:dyDescent="0.3">
      <c r="A426" s="10" t="s">
        <v>87</v>
      </c>
      <c r="B426" s="8"/>
      <c r="C426" s="8"/>
      <c r="D426" s="8">
        <f t="shared" si="6"/>
        <v>0</v>
      </c>
    </row>
    <row r="427" spans="1:4" ht="18" hidden="1" x14ac:dyDescent="0.3">
      <c r="A427" s="10" t="s">
        <v>88</v>
      </c>
      <c r="B427" s="8"/>
      <c r="C427" s="8"/>
      <c r="D427" s="8">
        <f t="shared" si="6"/>
        <v>0</v>
      </c>
    </row>
    <row r="428" spans="1:4" ht="18" hidden="1" x14ac:dyDescent="0.3">
      <c r="A428" s="10" t="s">
        <v>89</v>
      </c>
      <c r="B428" s="8"/>
      <c r="C428" s="8"/>
      <c r="D428" s="8">
        <f t="shared" si="6"/>
        <v>0</v>
      </c>
    </row>
    <row r="429" spans="1:4" ht="18" hidden="1" x14ac:dyDescent="0.3">
      <c r="A429" s="10" t="s">
        <v>176</v>
      </c>
      <c r="B429" s="8"/>
      <c r="C429" s="8"/>
      <c r="D429" s="8">
        <f t="shared" si="6"/>
        <v>0</v>
      </c>
    </row>
    <row r="430" spans="1:4" ht="18" hidden="1" x14ac:dyDescent="0.3">
      <c r="A430" s="10" t="s">
        <v>242</v>
      </c>
      <c r="B430" s="8"/>
      <c r="C430" s="8"/>
      <c r="D430" s="8">
        <f t="shared" si="6"/>
        <v>0</v>
      </c>
    </row>
    <row r="431" spans="1:4" ht="18" hidden="1" x14ac:dyDescent="0.3">
      <c r="A431" s="10" t="s">
        <v>243</v>
      </c>
      <c r="B431" s="8"/>
      <c r="C431" s="8"/>
      <c r="D431" s="8">
        <f t="shared" si="6"/>
        <v>0</v>
      </c>
    </row>
    <row r="432" spans="1:4" ht="18" hidden="1" x14ac:dyDescent="0.3">
      <c r="A432" s="10" t="s">
        <v>265</v>
      </c>
      <c r="B432" s="17"/>
      <c r="C432" s="17"/>
      <c r="D432" s="8">
        <f t="shared" si="6"/>
        <v>0</v>
      </c>
    </row>
    <row r="433" spans="1:4" ht="18" hidden="1" x14ac:dyDescent="0.3">
      <c r="A433" s="14" t="s">
        <v>266</v>
      </c>
      <c r="B433" s="8"/>
      <c r="C433" s="8"/>
      <c r="D433" s="8">
        <f t="shared" si="6"/>
        <v>0</v>
      </c>
    </row>
    <row r="434" spans="1:4" ht="18" hidden="1" x14ac:dyDescent="0.3">
      <c r="A434" s="13" t="s">
        <v>296</v>
      </c>
      <c r="B434" s="8"/>
      <c r="C434" s="8"/>
      <c r="D434" s="8">
        <f t="shared" si="6"/>
        <v>0</v>
      </c>
    </row>
    <row r="435" spans="1:4" ht="18" hidden="1" x14ac:dyDescent="0.3">
      <c r="A435" s="18" t="s">
        <v>297</v>
      </c>
      <c r="B435" s="8"/>
      <c r="C435" s="8"/>
      <c r="D435" s="8">
        <f t="shared" si="6"/>
        <v>0</v>
      </c>
    </row>
    <row r="436" spans="1:4" ht="18" hidden="1" x14ac:dyDescent="0.3">
      <c r="A436" s="10" t="s">
        <v>122</v>
      </c>
      <c r="B436" s="8"/>
      <c r="C436" s="8"/>
      <c r="D436" s="8">
        <f t="shared" si="6"/>
        <v>0</v>
      </c>
    </row>
    <row r="437" spans="1:4" ht="18" hidden="1" x14ac:dyDescent="0.3">
      <c r="A437" s="18" t="s">
        <v>42</v>
      </c>
      <c r="B437" s="8"/>
      <c r="C437" s="8"/>
      <c r="D437" s="8">
        <f t="shared" si="6"/>
        <v>0</v>
      </c>
    </row>
    <row r="438" spans="1:4" ht="18" hidden="1" x14ac:dyDescent="0.3">
      <c r="A438" s="10" t="s">
        <v>43</v>
      </c>
      <c r="B438" s="8"/>
      <c r="C438" s="8"/>
      <c r="D438" s="8">
        <f t="shared" si="6"/>
        <v>0</v>
      </c>
    </row>
    <row r="439" spans="1:4" ht="18" hidden="1" x14ac:dyDescent="0.3">
      <c r="A439" s="10" t="s">
        <v>44</v>
      </c>
      <c r="B439" s="8"/>
      <c r="C439" s="8"/>
      <c r="D439" s="8">
        <f t="shared" si="6"/>
        <v>0</v>
      </c>
    </row>
    <row r="440" spans="1:4" ht="18" hidden="1" x14ac:dyDescent="0.3">
      <c r="A440" s="18" t="s">
        <v>285</v>
      </c>
      <c r="B440" s="8"/>
      <c r="C440" s="8"/>
      <c r="D440" s="8">
        <f t="shared" si="6"/>
        <v>0</v>
      </c>
    </row>
    <row r="441" spans="1:4" ht="18" hidden="1" x14ac:dyDescent="0.3">
      <c r="A441" s="18" t="s">
        <v>286</v>
      </c>
      <c r="B441" s="8"/>
      <c r="C441" s="8"/>
      <c r="D441" s="8">
        <f t="shared" si="6"/>
        <v>0</v>
      </c>
    </row>
    <row r="442" spans="1:4" ht="18" hidden="1" x14ac:dyDescent="0.3">
      <c r="A442" s="10" t="s">
        <v>141</v>
      </c>
      <c r="B442" s="17"/>
      <c r="C442" s="17"/>
      <c r="D442" s="8">
        <f t="shared" si="6"/>
        <v>0</v>
      </c>
    </row>
    <row r="443" spans="1:4" ht="18" hidden="1" x14ac:dyDescent="0.3">
      <c r="A443" s="10" t="s">
        <v>142</v>
      </c>
      <c r="B443" s="17"/>
      <c r="C443" s="17"/>
      <c r="D443" s="8">
        <f t="shared" si="6"/>
        <v>0</v>
      </c>
    </row>
    <row r="444" spans="1:4" ht="18" hidden="1" x14ac:dyDescent="0.3">
      <c r="A444" s="26" t="s">
        <v>144</v>
      </c>
      <c r="B444" s="17"/>
      <c r="C444" s="17"/>
      <c r="D444" s="8">
        <f t="shared" si="6"/>
        <v>0</v>
      </c>
    </row>
    <row r="445" spans="1:4" ht="18" hidden="1" x14ac:dyDescent="0.3">
      <c r="A445" s="26" t="s">
        <v>145</v>
      </c>
      <c r="B445" s="17"/>
      <c r="C445" s="17"/>
      <c r="D445" s="8">
        <f t="shared" si="6"/>
        <v>0</v>
      </c>
    </row>
    <row r="446" spans="1:4" ht="18" hidden="1" x14ac:dyDescent="0.3">
      <c r="A446" s="26" t="s">
        <v>146</v>
      </c>
      <c r="B446" s="17"/>
      <c r="C446" s="17"/>
      <c r="D446" s="8">
        <f t="shared" si="6"/>
        <v>0</v>
      </c>
    </row>
    <row r="447" spans="1:4" ht="18" hidden="1" x14ac:dyDescent="0.3">
      <c r="A447" s="10" t="s">
        <v>147</v>
      </c>
      <c r="B447" s="17"/>
      <c r="C447" s="17"/>
      <c r="D447" s="8">
        <f t="shared" si="6"/>
        <v>0</v>
      </c>
    </row>
    <row r="448" spans="1:4" ht="18" hidden="1" x14ac:dyDescent="0.3">
      <c r="A448" s="10" t="s">
        <v>149</v>
      </c>
      <c r="B448" s="17"/>
      <c r="C448" s="17"/>
      <c r="D448" s="8">
        <f t="shared" si="6"/>
        <v>0</v>
      </c>
    </row>
    <row r="449" spans="1:4" ht="18" hidden="1" x14ac:dyDescent="0.3">
      <c r="A449" s="10" t="s">
        <v>150</v>
      </c>
      <c r="B449" s="17"/>
      <c r="C449" s="17"/>
      <c r="D449" s="8">
        <f t="shared" si="6"/>
        <v>0</v>
      </c>
    </row>
    <row r="450" spans="1:4" ht="18" hidden="1" x14ac:dyDescent="0.3">
      <c r="A450" s="10" t="s">
        <v>151</v>
      </c>
      <c r="B450" s="17"/>
      <c r="C450" s="17"/>
      <c r="D450" s="8">
        <f t="shared" si="6"/>
        <v>0</v>
      </c>
    </row>
    <row r="451" spans="1:4" ht="18" hidden="1" x14ac:dyDescent="0.3">
      <c r="A451" s="10" t="s">
        <v>161</v>
      </c>
      <c r="B451" s="17"/>
      <c r="C451" s="17"/>
      <c r="D451" s="8">
        <f t="shared" si="6"/>
        <v>0</v>
      </c>
    </row>
    <row r="452" spans="1:4" ht="18" hidden="1" x14ac:dyDescent="0.3">
      <c r="A452" s="10" t="s">
        <v>162</v>
      </c>
      <c r="B452" s="17"/>
      <c r="C452" s="17"/>
      <c r="D452" s="8">
        <f t="shared" ref="D452:D515" si="7">B452*C452</f>
        <v>0</v>
      </c>
    </row>
    <row r="453" spans="1:4" ht="18" hidden="1" x14ac:dyDescent="0.3">
      <c r="A453" s="10" t="s">
        <v>163</v>
      </c>
      <c r="B453" s="17"/>
      <c r="C453" s="17"/>
      <c r="D453" s="8">
        <f t="shared" si="7"/>
        <v>0</v>
      </c>
    </row>
    <row r="454" spans="1:4" ht="18" x14ac:dyDescent="0.3">
      <c r="A454" s="13" t="s">
        <v>52</v>
      </c>
      <c r="B454" s="8">
        <f>380+160</f>
        <v>540</v>
      </c>
      <c r="C454" s="8">
        <v>19000</v>
      </c>
      <c r="D454" s="8">
        <f t="shared" si="7"/>
        <v>10260000</v>
      </c>
    </row>
    <row r="455" spans="1:4" ht="18" hidden="1" x14ac:dyDescent="0.3">
      <c r="A455" s="10" t="s">
        <v>62</v>
      </c>
      <c r="B455" s="8"/>
      <c r="C455" s="8"/>
      <c r="D455" s="8">
        <f t="shared" si="7"/>
        <v>0</v>
      </c>
    </row>
    <row r="456" spans="1:4" ht="18" hidden="1" x14ac:dyDescent="0.3">
      <c r="A456" s="10" t="s">
        <v>75</v>
      </c>
      <c r="B456" s="8"/>
      <c r="C456" s="8"/>
      <c r="D456" s="8">
        <f t="shared" si="7"/>
        <v>0</v>
      </c>
    </row>
    <row r="457" spans="1:4" ht="18" hidden="1" x14ac:dyDescent="0.3">
      <c r="A457" s="13" t="s">
        <v>76</v>
      </c>
      <c r="B457" s="8"/>
      <c r="C457" s="8"/>
      <c r="D457" s="8">
        <f t="shared" si="7"/>
        <v>0</v>
      </c>
    </row>
    <row r="458" spans="1:4" ht="18" hidden="1" x14ac:dyDescent="0.3">
      <c r="A458" s="10" t="s">
        <v>15</v>
      </c>
      <c r="B458" s="8"/>
      <c r="C458" s="8"/>
      <c r="D458" s="8">
        <f t="shared" si="7"/>
        <v>0</v>
      </c>
    </row>
    <row r="459" spans="1:4" ht="18" hidden="1" x14ac:dyDescent="0.3">
      <c r="A459" s="10" t="s">
        <v>359</v>
      </c>
      <c r="B459" s="8"/>
      <c r="C459" s="8"/>
      <c r="D459" s="8">
        <f t="shared" si="7"/>
        <v>0</v>
      </c>
    </row>
    <row r="460" spans="1:4" ht="18" hidden="1" x14ac:dyDescent="0.3">
      <c r="A460" s="10" t="s">
        <v>363</v>
      </c>
      <c r="B460" s="8"/>
      <c r="C460" s="8"/>
      <c r="D460" s="8">
        <f t="shared" si="7"/>
        <v>0</v>
      </c>
    </row>
    <row r="461" spans="1:4" ht="18" x14ac:dyDescent="0.3">
      <c r="A461" s="10" t="s">
        <v>19</v>
      </c>
      <c r="B461" s="8">
        <f>500+750+270+200+1065-150</f>
        <v>2635</v>
      </c>
      <c r="C461" s="8">
        <v>13000</v>
      </c>
      <c r="D461" s="8">
        <f t="shared" si="7"/>
        <v>34255000</v>
      </c>
    </row>
    <row r="462" spans="1:4" ht="18" hidden="1" x14ac:dyDescent="0.3">
      <c r="A462" s="10" t="s">
        <v>40</v>
      </c>
      <c r="B462" s="8"/>
      <c r="C462" s="8"/>
      <c r="D462" s="8">
        <f t="shared" si="7"/>
        <v>0</v>
      </c>
    </row>
    <row r="463" spans="1:4" ht="18" hidden="1" x14ac:dyDescent="0.3">
      <c r="A463" s="12" t="s">
        <v>48</v>
      </c>
      <c r="B463" s="8"/>
      <c r="C463" s="8"/>
      <c r="D463" s="8">
        <f t="shared" si="7"/>
        <v>0</v>
      </c>
    </row>
    <row r="464" spans="1:4" ht="18" hidden="1" x14ac:dyDescent="0.3">
      <c r="A464" s="14" t="s">
        <v>49</v>
      </c>
      <c r="B464" s="8"/>
      <c r="C464" s="8"/>
      <c r="D464" s="8">
        <f t="shared" si="7"/>
        <v>0</v>
      </c>
    </row>
    <row r="465" spans="1:4" ht="18" hidden="1" x14ac:dyDescent="0.3">
      <c r="A465" s="11" t="s">
        <v>124</v>
      </c>
      <c r="B465" s="8"/>
      <c r="C465" s="8"/>
      <c r="D465" s="8">
        <f t="shared" si="7"/>
        <v>0</v>
      </c>
    </row>
    <row r="466" spans="1:4" ht="18" hidden="1" x14ac:dyDescent="0.3">
      <c r="A466" s="14" t="s">
        <v>125</v>
      </c>
      <c r="B466" s="8"/>
      <c r="C466" s="8"/>
      <c r="D466" s="8">
        <f t="shared" si="7"/>
        <v>0</v>
      </c>
    </row>
    <row r="467" spans="1:4" ht="18" hidden="1" x14ac:dyDescent="0.3">
      <c r="A467" s="13" t="s">
        <v>126</v>
      </c>
      <c r="B467" s="17"/>
      <c r="C467" s="17"/>
      <c r="D467" s="8">
        <f t="shared" si="7"/>
        <v>0</v>
      </c>
    </row>
    <row r="468" spans="1:4" ht="18" hidden="1" x14ac:dyDescent="0.3">
      <c r="A468" s="13" t="s">
        <v>127</v>
      </c>
      <c r="B468" s="17"/>
      <c r="C468" s="17"/>
      <c r="D468" s="8">
        <f t="shared" si="7"/>
        <v>0</v>
      </c>
    </row>
    <row r="469" spans="1:4" ht="18" hidden="1" x14ac:dyDescent="0.3">
      <c r="A469" s="13" t="s">
        <v>128</v>
      </c>
      <c r="B469" s="17"/>
      <c r="C469" s="17"/>
      <c r="D469" s="8">
        <f t="shared" si="7"/>
        <v>0</v>
      </c>
    </row>
    <row r="470" spans="1:4" ht="18" hidden="1" x14ac:dyDescent="0.3">
      <c r="A470" s="13" t="s">
        <v>129</v>
      </c>
      <c r="B470" s="29"/>
      <c r="C470" s="29"/>
      <c r="D470" s="8">
        <f t="shared" si="7"/>
        <v>0</v>
      </c>
    </row>
    <row r="471" spans="1:4" ht="18" hidden="1" x14ac:dyDescent="0.3">
      <c r="A471" s="10" t="s">
        <v>148</v>
      </c>
      <c r="B471" s="17"/>
      <c r="C471" s="17"/>
      <c r="D471" s="8">
        <f t="shared" si="7"/>
        <v>0</v>
      </c>
    </row>
    <row r="472" spans="1:4" ht="18" hidden="1" x14ac:dyDescent="0.3">
      <c r="A472" s="18" t="s">
        <v>218</v>
      </c>
      <c r="B472" s="8"/>
      <c r="C472" s="8"/>
      <c r="D472" s="8">
        <f t="shared" si="7"/>
        <v>0</v>
      </c>
    </row>
    <row r="473" spans="1:4" ht="18" hidden="1" x14ac:dyDescent="0.3">
      <c r="A473" s="18" t="s">
        <v>219</v>
      </c>
      <c r="B473" s="8"/>
      <c r="C473" s="8"/>
      <c r="D473" s="8">
        <f t="shared" si="7"/>
        <v>0</v>
      </c>
    </row>
    <row r="474" spans="1:4" ht="18" hidden="1" x14ac:dyDescent="0.3">
      <c r="A474" s="18" t="s">
        <v>220</v>
      </c>
      <c r="B474" s="8"/>
      <c r="C474" s="8"/>
      <c r="D474" s="8">
        <f t="shared" si="7"/>
        <v>0</v>
      </c>
    </row>
    <row r="475" spans="1:4" ht="18" hidden="1" x14ac:dyDescent="0.3">
      <c r="A475" s="18" t="s">
        <v>221</v>
      </c>
      <c r="B475" s="8"/>
      <c r="C475" s="8"/>
      <c r="D475" s="8">
        <f t="shared" si="7"/>
        <v>0</v>
      </c>
    </row>
    <row r="476" spans="1:4" ht="18" hidden="1" x14ac:dyDescent="0.3">
      <c r="A476" s="10" t="s">
        <v>222</v>
      </c>
      <c r="B476" s="8"/>
      <c r="C476" s="8"/>
      <c r="D476" s="8">
        <f t="shared" si="7"/>
        <v>0</v>
      </c>
    </row>
    <row r="477" spans="1:4" ht="18" hidden="1" x14ac:dyDescent="0.3">
      <c r="A477" s="10" t="s">
        <v>223</v>
      </c>
      <c r="B477" s="8"/>
      <c r="C477" s="8"/>
      <c r="D477" s="8">
        <f t="shared" si="7"/>
        <v>0</v>
      </c>
    </row>
    <row r="478" spans="1:4" ht="18" hidden="1" x14ac:dyDescent="0.3">
      <c r="A478" s="18" t="s">
        <v>224</v>
      </c>
      <c r="B478" s="8"/>
      <c r="C478" s="8"/>
      <c r="D478" s="8">
        <f t="shared" si="7"/>
        <v>0</v>
      </c>
    </row>
    <row r="479" spans="1:4" ht="18" hidden="1" x14ac:dyDescent="0.3">
      <c r="A479" s="18" t="s">
        <v>225</v>
      </c>
      <c r="B479" s="8"/>
      <c r="C479" s="8"/>
      <c r="D479" s="8">
        <f t="shared" si="7"/>
        <v>0</v>
      </c>
    </row>
    <row r="480" spans="1:4" ht="18" hidden="1" x14ac:dyDescent="0.3">
      <c r="A480" s="10" t="s">
        <v>244</v>
      </c>
      <c r="B480" s="17"/>
      <c r="C480" s="17"/>
      <c r="D480" s="8">
        <f t="shared" si="7"/>
        <v>0</v>
      </c>
    </row>
    <row r="481" spans="1:4" ht="18" hidden="1" x14ac:dyDescent="0.3">
      <c r="A481" s="10" t="s">
        <v>246</v>
      </c>
      <c r="B481" s="17"/>
      <c r="C481" s="17"/>
      <c r="D481" s="8">
        <f t="shared" si="7"/>
        <v>0</v>
      </c>
    </row>
    <row r="482" spans="1:4" ht="18" hidden="1" x14ac:dyDescent="0.3">
      <c r="A482" s="13" t="s">
        <v>281</v>
      </c>
      <c r="B482" s="17"/>
      <c r="C482" s="17"/>
      <c r="D482" s="8">
        <f t="shared" si="7"/>
        <v>0</v>
      </c>
    </row>
    <row r="483" spans="1:4" ht="18" hidden="1" x14ac:dyDescent="0.3">
      <c r="A483" s="10" t="s">
        <v>293</v>
      </c>
      <c r="B483" s="8"/>
      <c r="C483" s="8"/>
      <c r="D483" s="8">
        <f t="shared" si="7"/>
        <v>0</v>
      </c>
    </row>
    <row r="484" spans="1:4" ht="18" hidden="1" x14ac:dyDescent="0.3">
      <c r="A484" s="14" t="s">
        <v>294</v>
      </c>
      <c r="B484" s="8"/>
      <c r="C484" s="8"/>
      <c r="D484" s="8">
        <f t="shared" si="7"/>
        <v>0</v>
      </c>
    </row>
    <row r="485" spans="1:4" ht="18" hidden="1" x14ac:dyDescent="0.3">
      <c r="A485" s="13" t="s">
        <v>304</v>
      </c>
      <c r="B485" s="8"/>
      <c r="C485" s="8"/>
      <c r="D485" s="8">
        <f t="shared" si="7"/>
        <v>0</v>
      </c>
    </row>
    <row r="486" spans="1:4" ht="18" x14ac:dyDescent="0.3">
      <c r="A486" s="10" t="s">
        <v>204</v>
      </c>
      <c r="B486" s="8">
        <f>160+40+210+140</f>
        <v>550</v>
      </c>
      <c r="C486" s="8">
        <v>11000</v>
      </c>
      <c r="D486" s="8">
        <f t="shared" si="7"/>
        <v>6050000</v>
      </c>
    </row>
    <row r="487" spans="1:4" ht="18" hidden="1" x14ac:dyDescent="0.3">
      <c r="A487" s="39" t="s">
        <v>205</v>
      </c>
      <c r="B487" s="8"/>
      <c r="C487" s="8"/>
      <c r="D487" s="8">
        <f t="shared" si="7"/>
        <v>0</v>
      </c>
    </row>
    <row r="488" spans="1:4" ht="18" hidden="1" x14ac:dyDescent="0.3">
      <c r="A488" s="39" t="s">
        <v>206</v>
      </c>
      <c r="B488" s="8"/>
      <c r="C488" s="8"/>
      <c r="D488" s="8">
        <f t="shared" si="7"/>
        <v>0</v>
      </c>
    </row>
    <row r="489" spans="1:4" ht="18" hidden="1" x14ac:dyDescent="0.3">
      <c r="A489" s="10" t="s">
        <v>41</v>
      </c>
      <c r="B489" s="8"/>
      <c r="C489" s="8"/>
      <c r="D489" s="8">
        <f t="shared" si="7"/>
        <v>0</v>
      </c>
    </row>
    <row r="490" spans="1:4" ht="18" hidden="1" x14ac:dyDescent="0.3">
      <c r="A490" s="10" t="s">
        <v>278</v>
      </c>
      <c r="B490" s="8"/>
      <c r="C490" s="8"/>
      <c r="D490" s="8">
        <f t="shared" si="7"/>
        <v>0</v>
      </c>
    </row>
    <row r="491" spans="1:4" ht="18" hidden="1" x14ac:dyDescent="0.3">
      <c r="A491" s="10" t="s">
        <v>53</v>
      </c>
      <c r="B491" s="8"/>
      <c r="C491" s="8"/>
      <c r="D491" s="8">
        <f t="shared" si="7"/>
        <v>0</v>
      </c>
    </row>
    <row r="492" spans="1:4" ht="18" hidden="1" x14ac:dyDescent="0.3">
      <c r="A492" s="18" t="s">
        <v>54</v>
      </c>
      <c r="B492" s="8"/>
      <c r="C492" s="8"/>
      <c r="D492" s="8">
        <f t="shared" si="7"/>
        <v>0</v>
      </c>
    </row>
    <row r="493" spans="1:4" ht="18" hidden="1" x14ac:dyDescent="0.3">
      <c r="A493" s="18" t="s">
        <v>55</v>
      </c>
      <c r="B493" s="8"/>
      <c r="C493" s="8"/>
      <c r="D493" s="8">
        <f t="shared" si="7"/>
        <v>0</v>
      </c>
    </row>
    <row r="494" spans="1:4" ht="18" hidden="1" x14ac:dyDescent="0.3">
      <c r="A494" s="18" t="s">
        <v>56</v>
      </c>
      <c r="B494" s="8"/>
      <c r="C494" s="8"/>
      <c r="D494" s="8">
        <f t="shared" si="7"/>
        <v>0</v>
      </c>
    </row>
    <row r="495" spans="1:4" ht="18" hidden="1" x14ac:dyDescent="0.3">
      <c r="A495" s="10" t="s">
        <v>57</v>
      </c>
      <c r="B495" s="8"/>
      <c r="C495" s="8"/>
      <c r="D495" s="8">
        <f t="shared" si="7"/>
        <v>0</v>
      </c>
    </row>
    <row r="496" spans="1:4" ht="18" hidden="1" x14ac:dyDescent="0.3">
      <c r="A496" s="12" t="s">
        <v>58</v>
      </c>
      <c r="B496" s="8"/>
      <c r="C496" s="8"/>
      <c r="D496" s="8">
        <f t="shared" si="7"/>
        <v>0</v>
      </c>
    </row>
    <row r="497" spans="1:4" ht="18" hidden="1" x14ac:dyDescent="0.3">
      <c r="A497" s="10" t="s">
        <v>59</v>
      </c>
      <c r="B497" s="8"/>
      <c r="C497" s="8"/>
      <c r="D497" s="8">
        <f t="shared" si="7"/>
        <v>0</v>
      </c>
    </row>
    <row r="498" spans="1:4" ht="18" hidden="1" x14ac:dyDescent="0.3">
      <c r="A498" s="10" t="s">
        <v>60</v>
      </c>
      <c r="B498" s="8"/>
      <c r="C498" s="8"/>
      <c r="D498" s="8">
        <f t="shared" si="7"/>
        <v>0</v>
      </c>
    </row>
    <row r="499" spans="1:4" ht="18" hidden="1" x14ac:dyDescent="0.3">
      <c r="A499" s="10" t="s">
        <v>64</v>
      </c>
      <c r="B499" s="8"/>
      <c r="C499" s="8"/>
      <c r="D499" s="8">
        <f t="shared" si="7"/>
        <v>0</v>
      </c>
    </row>
    <row r="500" spans="1:4" ht="18" hidden="1" x14ac:dyDescent="0.3">
      <c r="A500" s="31" t="s">
        <v>65</v>
      </c>
      <c r="B500" s="8"/>
      <c r="C500" s="8"/>
      <c r="D500" s="8">
        <f t="shared" si="7"/>
        <v>0</v>
      </c>
    </row>
    <row r="501" spans="1:4" ht="18" hidden="1" x14ac:dyDescent="0.3">
      <c r="A501" s="22" t="s">
        <v>66</v>
      </c>
      <c r="B501" s="8"/>
      <c r="C501" s="8"/>
      <c r="D501" s="8">
        <f t="shared" si="7"/>
        <v>0</v>
      </c>
    </row>
    <row r="502" spans="1:4" ht="18" hidden="1" x14ac:dyDescent="0.3">
      <c r="A502" s="10" t="s">
        <v>152</v>
      </c>
      <c r="B502" s="8"/>
      <c r="C502" s="8"/>
      <c r="D502" s="8">
        <f t="shared" si="7"/>
        <v>0</v>
      </c>
    </row>
    <row r="503" spans="1:4" ht="18" hidden="1" x14ac:dyDescent="0.3">
      <c r="A503" s="10" t="s">
        <v>349</v>
      </c>
      <c r="B503" s="8"/>
      <c r="C503" s="8"/>
      <c r="D503" s="8">
        <f t="shared" si="7"/>
        <v>0</v>
      </c>
    </row>
    <row r="504" spans="1:4" ht="18" hidden="1" x14ac:dyDescent="0.3">
      <c r="A504" s="10" t="s">
        <v>153</v>
      </c>
      <c r="B504" s="8"/>
      <c r="C504" s="8"/>
      <c r="D504" s="8">
        <f t="shared" si="7"/>
        <v>0</v>
      </c>
    </row>
    <row r="505" spans="1:4" ht="18" x14ac:dyDescent="0.3">
      <c r="A505" s="10" t="s">
        <v>154</v>
      </c>
      <c r="B505" s="8">
        <v>20</v>
      </c>
      <c r="C505" s="8">
        <v>11000</v>
      </c>
      <c r="D505" s="8">
        <f t="shared" si="7"/>
        <v>220000</v>
      </c>
    </row>
    <row r="506" spans="1:4" ht="18" hidden="1" x14ac:dyDescent="0.3">
      <c r="A506" s="10" t="s">
        <v>155</v>
      </c>
      <c r="B506" s="8"/>
      <c r="C506" s="8"/>
      <c r="D506" s="8">
        <f t="shared" si="7"/>
        <v>0</v>
      </c>
    </row>
    <row r="507" spans="1:4" ht="18" hidden="1" x14ac:dyDescent="0.3">
      <c r="A507" s="18" t="s">
        <v>156</v>
      </c>
      <c r="B507" s="8"/>
      <c r="C507" s="8"/>
      <c r="D507" s="8">
        <f t="shared" si="7"/>
        <v>0</v>
      </c>
    </row>
    <row r="508" spans="1:4" ht="18" x14ac:dyDescent="0.3">
      <c r="A508" s="10" t="s">
        <v>77</v>
      </c>
      <c r="B508" s="8">
        <f>150+80+50</f>
        <v>280</v>
      </c>
      <c r="C508" s="8">
        <v>26000</v>
      </c>
      <c r="D508" s="8">
        <f t="shared" si="7"/>
        <v>7280000</v>
      </c>
    </row>
    <row r="509" spans="1:4" ht="18" hidden="1" x14ac:dyDescent="0.3">
      <c r="A509" s="14" t="s">
        <v>78</v>
      </c>
      <c r="B509" s="8"/>
      <c r="C509" s="8"/>
      <c r="D509" s="8">
        <f t="shared" si="7"/>
        <v>0</v>
      </c>
    </row>
    <row r="510" spans="1:4" ht="18" hidden="1" x14ac:dyDescent="0.3">
      <c r="A510" s="10" t="s">
        <v>79</v>
      </c>
      <c r="B510" s="8"/>
      <c r="C510" s="8"/>
      <c r="D510" s="8">
        <f t="shared" si="7"/>
        <v>0</v>
      </c>
    </row>
    <row r="511" spans="1:4" ht="18" hidden="1" x14ac:dyDescent="0.3">
      <c r="A511" s="10" t="s">
        <v>80</v>
      </c>
      <c r="B511" s="8"/>
      <c r="C511" s="8"/>
      <c r="D511" s="8">
        <f t="shared" si="7"/>
        <v>0</v>
      </c>
    </row>
    <row r="512" spans="1:4" ht="18" hidden="1" x14ac:dyDescent="0.3">
      <c r="A512" s="10" t="s">
        <v>81</v>
      </c>
      <c r="B512" s="8"/>
      <c r="C512" s="8"/>
      <c r="D512" s="8">
        <f t="shared" si="7"/>
        <v>0</v>
      </c>
    </row>
    <row r="513" spans="1:4" ht="18" hidden="1" x14ac:dyDescent="0.3">
      <c r="A513" s="14" t="s">
        <v>95</v>
      </c>
      <c r="B513" s="8"/>
      <c r="C513" s="8"/>
      <c r="D513" s="8">
        <f t="shared" si="7"/>
        <v>0</v>
      </c>
    </row>
    <row r="514" spans="1:4" ht="18" hidden="1" x14ac:dyDescent="0.3">
      <c r="A514" s="10" t="s">
        <v>306</v>
      </c>
      <c r="B514" s="8"/>
      <c r="C514" s="8"/>
      <c r="D514" s="8">
        <f t="shared" si="7"/>
        <v>0</v>
      </c>
    </row>
    <row r="515" spans="1:4" ht="18" hidden="1" x14ac:dyDescent="0.3">
      <c r="A515" s="13" t="s">
        <v>320</v>
      </c>
      <c r="B515" s="8"/>
      <c r="C515" s="8"/>
      <c r="D515" s="8">
        <f t="shared" si="7"/>
        <v>0</v>
      </c>
    </row>
    <row r="516" spans="1:4" ht="18" hidden="1" x14ac:dyDescent="0.3">
      <c r="A516" s="10" t="s">
        <v>323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23" t="s">
        <v>92</v>
      </c>
      <c r="B517" s="8"/>
      <c r="C517" s="8"/>
      <c r="D517" s="8">
        <f t="shared" si="8"/>
        <v>0</v>
      </c>
    </row>
    <row r="518" spans="1:4" ht="18" hidden="1" x14ac:dyDescent="0.3">
      <c r="A518" s="23" t="s">
        <v>93</v>
      </c>
      <c r="B518" s="8"/>
      <c r="C518" s="8"/>
      <c r="D518" s="8">
        <f t="shared" si="8"/>
        <v>0</v>
      </c>
    </row>
    <row r="519" spans="1:4" ht="18" hidden="1" x14ac:dyDescent="0.3">
      <c r="A519" s="12" t="s">
        <v>94</v>
      </c>
      <c r="B519" s="8"/>
      <c r="C519" s="8"/>
      <c r="D519" s="8">
        <f t="shared" si="8"/>
        <v>0</v>
      </c>
    </row>
    <row r="520" spans="1:4" ht="18" hidden="1" x14ac:dyDescent="0.3">
      <c r="A520" s="13" t="s">
        <v>181</v>
      </c>
      <c r="B520" s="8"/>
      <c r="C520" s="8"/>
      <c r="D520" s="8">
        <f t="shared" si="8"/>
        <v>0</v>
      </c>
    </row>
    <row r="521" spans="1:4" ht="18" hidden="1" x14ac:dyDescent="0.3">
      <c r="A521" s="13" t="s">
        <v>182</v>
      </c>
      <c r="B521" s="8"/>
      <c r="C521" s="8"/>
      <c r="D521" s="8">
        <f t="shared" si="8"/>
        <v>0</v>
      </c>
    </row>
    <row r="522" spans="1:4" ht="18" x14ac:dyDescent="0.3">
      <c r="A522" s="13" t="s">
        <v>183</v>
      </c>
      <c r="B522" s="8">
        <f>210+240-150</f>
        <v>300</v>
      </c>
      <c r="C522" s="8">
        <v>7700</v>
      </c>
      <c r="D522" s="8">
        <f t="shared" si="8"/>
        <v>2310000</v>
      </c>
    </row>
    <row r="523" spans="1:4" ht="18" hidden="1" x14ac:dyDescent="0.3">
      <c r="A523" s="10" t="s">
        <v>184</v>
      </c>
      <c r="B523" s="8"/>
      <c r="C523" s="8"/>
      <c r="D523" s="8">
        <f t="shared" si="8"/>
        <v>0</v>
      </c>
    </row>
    <row r="524" spans="1:4" ht="18" hidden="1" x14ac:dyDescent="0.3">
      <c r="A524" s="13" t="s">
        <v>185</v>
      </c>
      <c r="B524" s="8"/>
      <c r="C524" s="8"/>
      <c r="D524" s="8">
        <f t="shared" si="8"/>
        <v>0</v>
      </c>
    </row>
    <row r="525" spans="1:4" ht="18" hidden="1" x14ac:dyDescent="0.3">
      <c r="A525" s="13" t="s">
        <v>186</v>
      </c>
      <c r="B525" s="8"/>
      <c r="C525" s="8"/>
      <c r="D525" s="8">
        <f t="shared" si="8"/>
        <v>0</v>
      </c>
    </row>
    <row r="526" spans="1:4" ht="18" hidden="1" x14ac:dyDescent="0.3">
      <c r="A526" s="13" t="s">
        <v>187</v>
      </c>
      <c r="B526" s="8"/>
      <c r="C526" s="8"/>
      <c r="D526" s="8">
        <f t="shared" si="8"/>
        <v>0</v>
      </c>
    </row>
    <row r="527" spans="1:4" ht="18" hidden="1" x14ac:dyDescent="0.3">
      <c r="A527" s="10" t="s">
        <v>188</v>
      </c>
      <c r="B527" s="8"/>
      <c r="C527" s="8"/>
      <c r="D527" s="8">
        <f t="shared" si="8"/>
        <v>0</v>
      </c>
    </row>
    <row r="528" spans="1:4" ht="18" hidden="1" x14ac:dyDescent="0.3">
      <c r="A528" s="10" t="s">
        <v>210</v>
      </c>
      <c r="B528" s="8"/>
      <c r="C528" s="8"/>
      <c r="D528" s="8">
        <f t="shared" si="8"/>
        <v>0</v>
      </c>
    </row>
    <row r="529" spans="1:4" ht="18" hidden="1" x14ac:dyDescent="0.3">
      <c r="A529" s="10" t="s">
        <v>211</v>
      </c>
      <c r="B529" s="8"/>
      <c r="C529" s="8"/>
      <c r="D529" s="8">
        <f t="shared" si="8"/>
        <v>0</v>
      </c>
    </row>
    <row r="530" spans="1:4" ht="18" hidden="1" x14ac:dyDescent="0.3">
      <c r="A530" s="10" t="s">
        <v>353</v>
      </c>
      <c r="B530" s="8"/>
      <c r="C530" s="8"/>
      <c r="D530" s="8">
        <f t="shared" si="8"/>
        <v>0</v>
      </c>
    </row>
    <row r="531" spans="1:4" ht="18" hidden="1" x14ac:dyDescent="0.3">
      <c r="A531" s="10" t="s">
        <v>354</v>
      </c>
      <c r="B531" s="8"/>
      <c r="C531" s="8"/>
      <c r="D531" s="8">
        <f t="shared" si="8"/>
        <v>0</v>
      </c>
    </row>
    <row r="532" spans="1:4" ht="18" hidden="1" x14ac:dyDescent="0.3">
      <c r="A532" s="10" t="s">
        <v>105</v>
      </c>
      <c r="B532" s="8"/>
      <c r="C532" s="8"/>
      <c r="D532" s="8">
        <f t="shared" si="8"/>
        <v>0</v>
      </c>
    </row>
    <row r="533" spans="1:4" ht="18" hidden="1" x14ac:dyDescent="0.3">
      <c r="A533" s="10" t="s">
        <v>106</v>
      </c>
      <c r="B533" s="8"/>
      <c r="C533" s="8"/>
      <c r="D533" s="8">
        <f t="shared" si="8"/>
        <v>0</v>
      </c>
    </row>
    <row r="534" spans="1:4" ht="18" x14ac:dyDescent="0.3">
      <c r="A534" s="10" t="s">
        <v>90</v>
      </c>
      <c r="B534" s="8">
        <f>7+7+46</f>
        <v>60</v>
      </c>
      <c r="C534" s="8">
        <v>9000</v>
      </c>
      <c r="D534" s="8">
        <f t="shared" si="8"/>
        <v>540000</v>
      </c>
    </row>
    <row r="535" spans="1:4" ht="18" hidden="1" x14ac:dyDescent="0.3">
      <c r="A535" s="23" t="s">
        <v>91</v>
      </c>
      <c r="B535" s="8"/>
      <c r="C535" s="8"/>
      <c r="D535" s="8">
        <f t="shared" si="8"/>
        <v>0</v>
      </c>
    </row>
    <row r="536" spans="1:4" ht="18" x14ac:dyDescent="0.3">
      <c r="A536" s="6" t="s">
        <v>5</v>
      </c>
      <c r="B536" s="8">
        <v>240</v>
      </c>
      <c r="C536" s="8">
        <v>7300</v>
      </c>
      <c r="D536" s="8">
        <f t="shared" si="8"/>
        <v>1752000</v>
      </c>
    </row>
    <row r="537" spans="1:4" ht="18" hidden="1" x14ac:dyDescent="0.3">
      <c r="A537" s="10" t="s">
        <v>6</v>
      </c>
      <c r="B537" s="8"/>
      <c r="C537" s="8"/>
      <c r="D537" s="8">
        <f t="shared" si="8"/>
        <v>0</v>
      </c>
    </row>
    <row r="538" spans="1:4" ht="18" hidden="1" x14ac:dyDescent="0.3">
      <c r="A538" s="6" t="s">
        <v>9</v>
      </c>
      <c r="B538" s="8"/>
      <c r="C538" s="8"/>
      <c r="D538" s="8">
        <f t="shared" si="8"/>
        <v>0</v>
      </c>
    </row>
    <row r="539" spans="1:4" ht="18" hidden="1" x14ac:dyDescent="0.3">
      <c r="A539" s="10" t="s">
        <v>350</v>
      </c>
      <c r="B539" s="8"/>
      <c r="C539" s="8"/>
      <c r="D539" s="8">
        <f t="shared" si="8"/>
        <v>0</v>
      </c>
    </row>
    <row r="540" spans="1:4" ht="18" hidden="1" x14ac:dyDescent="0.3">
      <c r="A540" s="13" t="s">
        <v>167</v>
      </c>
      <c r="B540" s="8"/>
      <c r="C540" s="8"/>
      <c r="D540" s="8">
        <f t="shared" si="8"/>
        <v>0</v>
      </c>
    </row>
    <row r="541" spans="1:4" ht="18" hidden="1" x14ac:dyDescent="0.3">
      <c r="A541" s="10" t="s">
        <v>168</v>
      </c>
      <c r="B541" s="8"/>
      <c r="C541" s="8"/>
      <c r="D541" s="8">
        <f t="shared" si="8"/>
        <v>0</v>
      </c>
    </row>
    <row r="542" spans="1:4" ht="18" hidden="1" x14ac:dyDescent="0.3">
      <c r="A542" s="10" t="s">
        <v>170</v>
      </c>
      <c r="B542" s="8"/>
      <c r="C542" s="8"/>
      <c r="D542" s="8">
        <f t="shared" si="8"/>
        <v>0</v>
      </c>
    </row>
    <row r="543" spans="1:4" ht="18" hidden="1" x14ac:dyDescent="0.3">
      <c r="A543" s="10" t="s">
        <v>171</v>
      </c>
      <c r="B543" s="8"/>
      <c r="C543" s="8"/>
      <c r="D543" s="8">
        <f t="shared" si="8"/>
        <v>0</v>
      </c>
    </row>
    <row r="544" spans="1:4" ht="18" hidden="1" x14ac:dyDescent="0.3">
      <c r="A544" s="22" t="s">
        <v>172</v>
      </c>
      <c r="B544" s="8"/>
      <c r="C544" s="8"/>
      <c r="D544" s="8">
        <f t="shared" si="8"/>
        <v>0</v>
      </c>
    </row>
    <row r="545" spans="1:4" ht="18" hidden="1" x14ac:dyDescent="0.3">
      <c r="A545" s="13" t="s">
        <v>227</v>
      </c>
      <c r="B545" s="8"/>
      <c r="C545" s="8"/>
      <c r="D545" s="8">
        <f t="shared" si="8"/>
        <v>0</v>
      </c>
    </row>
    <row r="546" spans="1:4" ht="18" hidden="1" x14ac:dyDescent="0.3">
      <c r="A546" s="13" t="s">
        <v>14</v>
      </c>
      <c r="B546" s="8"/>
      <c r="C546" s="8"/>
      <c r="D546" s="8">
        <f t="shared" si="8"/>
        <v>0</v>
      </c>
    </row>
    <row r="547" spans="1:4" ht="18" hidden="1" x14ac:dyDescent="0.3">
      <c r="A547" s="12" t="s">
        <v>343</v>
      </c>
      <c r="B547" s="8"/>
      <c r="C547" s="8"/>
      <c r="D547" s="8">
        <f t="shared" si="8"/>
        <v>0</v>
      </c>
    </row>
    <row r="548" spans="1:4" ht="18" hidden="1" x14ac:dyDescent="0.3">
      <c r="A548" s="12" t="s">
        <v>344</v>
      </c>
      <c r="B548" s="8"/>
      <c r="C548" s="8"/>
      <c r="D548" s="8">
        <f t="shared" si="8"/>
        <v>0</v>
      </c>
    </row>
    <row r="549" spans="1:4" ht="18" hidden="1" x14ac:dyDescent="0.3">
      <c r="A549" s="12" t="s">
        <v>345</v>
      </c>
      <c r="B549" s="8"/>
      <c r="C549" s="8"/>
      <c r="D549" s="8">
        <f t="shared" si="8"/>
        <v>0</v>
      </c>
    </row>
    <row r="550" spans="1:4" ht="18" hidden="1" x14ac:dyDescent="0.3">
      <c r="A550" s="12" t="s">
        <v>346</v>
      </c>
      <c r="B550" s="8"/>
      <c r="C550" s="8"/>
      <c r="D550" s="8">
        <f t="shared" si="8"/>
        <v>0</v>
      </c>
    </row>
    <row r="551" spans="1:4" ht="18" hidden="1" x14ac:dyDescent="0.3">
      <c r="A551" s="10" t="s">
        <v>114</v>
      </c>
      <c r="B551" s="8"/>
      <c r="C551" s="8"/>
      <c r="D551" s="8">
        <f t="shared" si="8"/>
        <v>0</v>
      </c>
    </row>
    <row r="552" spans="1:4" ht="18" hidden="1" x14ac:dyDescent="0.3">
      <c r="A552" s="10" t="s">
        <v>115</v>
      </c>
      <c r="B552" s="8"/>
      <c r="C552" s="8"/>
      <c r="D552" s="8">
        <f t="shared" si="8"/>
        <v>0</v>
      </c>
    </row>
    <row r="553" spans="1:4" ht="18" hidden="1" x14ac:dyDescent="0.3">
      <c r="A553" s="10" t="s">
        <v>347</v>
      </c>
      <c r="B553" s="8"/>
      <c r="C553" s="8"/>
      <c r="D553" s="8">
        <f t="shared" si="8"/>
        <v>0</v>
      </c>
    </row>
    <row r="554" spans="1:4" ht="18" hidden="1" x14ac:dyDescent="0.3">
      <c r="A554" s="10" t="s">
        <v>116</v>
      </c>
      <c r="B554" s="8"/>
      <c r="C554" s="8"/>
      <c r="D554" s="8">
        <f t="shared" si="8"/>
        <v>0</v>
      </c>
    </row>
    <row r="555" spans="1:4" ht="18" hidden="1" x14ac:dyDescent="0.3">
      <c r="A555" s="13" t="s">
        <v>137</v>
      </c>
      <c r="B555" s="8"/>
      <c r="C555" s="8"/>
      <c r="D555" s="8">
        <f t="shared" si="8"/>
        <v>0</v>
      </c>
    </row>
    <row r="556" spans="1:4" ht="18" hidden="1" x14ac:dyDescent="0.3">
      <c r="A556" s="13" t="s">
        <v>138</v>
      </c>
      <c r="B556" s="8"/>
      <c r="C556" s="8"/>
      <c r="D556" s="8">
        <f t="shared" si="8"/>
        <v>0</v>
      </c>
    </row>
    <row r="557" spans="1:4" ht="18" hidden="1" x14ac:dyDescent="0.3">
      <c r="A557" s="10" t="s">
        <v>139</v>
      </c>
      <c r="B557" s="8"/>
      <c r="C557" s="8"/>
      <c r="D557" s="8">
        <f t="shared" si="8"/>
        <v>0</v>
      </c>
    </row>
    <row r="558" spans="1:4" ht="18" hidden="1" x14ac:dyDescent="0.3">
      <c r="A558" s="10" t="s">
        <v>348</v>
      </c>
      <c r="B558" s="8"/>
      <c r="C558" s="8"/>
      <c r="D558" s="8">
        <f t="shared" si="8"/>
        <v>0</v>
      </c>
    </row>
    <row r="559" spans="1:4" ht="18" hidden="1" x14ac:dyDescent="0.3">
      <c r="A559" s="10" t="s">
        <v>207</v>
      </c>
      <c r="B559" s="8"/>
      <c r="C559" s="8"/>
      <c r="D559" s="8">
        <f t="shared" si="8"/>
        <v>0</v>
      </c>
    </row>
    <row r="560" spans="1:4" ht="18" hidden="1" x14ac:dyDescent="0.3">
      <c r="A560" s="12" t="s">
        <v>208</v>
      </c>
      <c r="B560" s="8"/>
      <c r="C560" s="8"/>
      <c r="D560" s="8">
        <f t="shared" si="8"/>
        <v>0</v>
      </c>
    </row>
    <row r="561" spans="1:4" ht="18" hidden="1" x14ac:dyDescent="0.3">
      <c r="A561" s="10" t="s">
        <v>209</v>
      </c>
      <c r="B561" s="8"/>
      <c r="C561" s="8"/>
      <c r="D561" s="8">
        <f t="shared" si="8"/>
        <v>0</v>
      </c>
    </row>
    <row r="562" spans="1:4" ht="18" hidden="1" x14ac:dyDescent="0.3">
      <c r="A562" s="12" t="s">
        <v>352</v>
      </c>
      <c r="B562" s="8"/>
      <c r="C562" s="8"/>
      <c r="D562" s="8">
        <f t="shared" si="8"/>
        <v>0</v>
      </c>
    </row>
    <row r="563" spans="1:4" ht="18" hidden="1" x14ac:dyDescent="0.3">
      <c r="A563" s="10" t="s">
        <v>247</v>
      </c>
      <c r="B563" s="8"/>
      <c r="C563" s="8"/>
      <c r="D563" s="8">
        <f t="shared" si="8"/>
        <v>0</v>
      </c>
    </row>
    <row r="564" spans="1:4" ht="18" hidden="1" x14ac:dyDescent="0.3">
      <c r="A564" s="10" t="s">
        <v>267</v>
      </c>
      <c r="B564" s="8"/>
      <c r="C564" s="8"/>
      <c r="D564" s="8">
        <f t="shared" si="8"/>
        <v>0</v>
      </c>
    </row>
    <row r="565" spans="1:4" ht="18" hidden="1" x14ac:dyDescent="0.3">
      <c r="A565" s="10" t="s">
        <v>271</v>
      </c>
      <c r="B565" s="8"/>
      <c r="C565" s="8"/>
      <c r="D565" s="8">
        <f t="shared" si="8"/>
        <v>0</v>
      </c>
    </row>
    <row r="566" spans="1:4" ht="18" hidden="1" x14ac:dyDescent="0.3">
      <c r="A566" s="10" t="s">
        <v>299</v>
      </c>
      <c r="B566" s="8"/>
      <c r="C566" s="8"/>
      <c r="D566" s="8">
        <f t="shared" si="8"/>
        <v>0</v>
      </c>
    </row>
    <row r="567" spans="1:4" ht="18" hidden="1" x14ac:dyDescent="0.3">
      <c r="A567" s="18" t="s">
        <v>300</v>
      </c>
      <c r="B567" s="8"/>
      <c r="C567" s="8"/>
      <c r="D567" s="8">
        <f t="shared" si="8"/>
        <v>0</v>
      </c>
    </row>
    <row r="568" spans="1:4" ht="18" hidden="1" x14ac:dyDescent="0.3">
      <c r="A568" s="13" t="s">
        <v>361</v>
      </c>
      <c r="B568" s="8"/>
      <c r="C568" s="8"/>
      <c r="D568" s="8">
        <f t="shared" si="8"/>
        <v>0</v>
      </c>
    </row>
    <row r="569" spans="1:4" ht="18" hidden="1" x14ac:dyDescent="0.3">
      <c r="A569" s="12" t="s">
        <v>342</v>
      </c>
      <c r="B569" s="8"/>
      <c r="C569" s="8"/>
      <c r="D569" s="8">
        <f t="shared" si="8"/>
        <v>0</v>
      </c>
    </row>
    <row r="570" spans="1:4" ht="18" hidden="1" x14ac:dyDescent="0.3">
      <c r="A570" s="10" t="s">
        <v>36</v>
      </c>
      <c r="B570" s="8"/>
      <c r="C570" s="8"/>
      <c r="D570" s="8">
        <f t="shared" si="8"/>
        <v>0</v>
      </c>
    </row>
    <row r="571" spans="1:4" ht="18" hidden="1" x14ac:dyDescent="0.3">
      <c r="A571" s="10" t="s">
        <v>37</v>
      </c>
      <c r="B571" s="8"/>
      <c r="C571" s="8"/>
      <c r="D571" s="8">
        <f t="shared" si="8"/>
        <v>0</v>
      </c>
    </row>
    <row r="572" spans="1:4" ht="18" hidden="1" x14ac:dyDescent="0.3">
      <c r="A572" s="12" t="s">
        <v>38</v>
      </c>
      <c r="B572" s="17"/>
      <c r="C572" s="17"/>
      <c r="D572" s="8">
        <f t="shared" si="8"/>
        <v>0</v>
      </c>
    </row>
    <row r="573" spans="1:4" ht="18" hidden="1" x14ac:dyDescent="0.3">
      <c r="A573" s="12" t="s">
        <v>39</v>
      </c>
      <c r="B573" s="17"/>
      <c r="C573" s="17"/>
      <c r="D573" s="8">
        <f t="shared" si="8"/>
        <v>0</v>
      </c>
    </row>
    <row r="574" spans="1:4" ht="18" hidden="1" x14ac:dyDescent="0.3">
      <c r="A574" s="18" t="s">
        <v>255</v>
      </c>
      <c r="B574" s="8"/>
      <c r="C574" s="8"/>
      <c r="D574" s="8">
        <f t="shared" si="8"/>
        <v>0</v>
      </c>
    </row>
    <row r="575" spans="1:4" ht="18" hidden="1" x14ac:dyDescent="0.3">
      <c r="A575" s="23" t="s">
        <v>256</v>
      </c>
      <c r="B575" s="8"/>
      <c r="C575" s="8"/>
      <c r="D575" s="8">
        <f t="shared" si="8"/>
        <v>0</v>
      </c>
    </row>
    <row r="576" spans="1:4" ht="18" hidden="1" x14ac:dyDescent="0.3">
      <c r="A576" s="23" t="s">
        <v>257</v>
      </c>
      <c r="B576" s="8"/>
      <c r="C576" s="8"/>
      <c r="D576" s="8">
        <f t="shared" si="8"/>
        <v>0</v>
      </c>
    </row>
    <row r="577" spans="1:4" ht="18" hidden="1" x14ac:dyDescent="0.3">
      <c r="A577" s="12" t="s">
        <v>268</v>
      </c>
      <c r="B577" s="8"/>
      <c r="C577" s="8"/>
      <c r="D577" s="8">
        <f t="shared" si="8"/>
        <v>0</v>
      </c>
    </row>
    <row r="578" spans="1:4" ht="18" hidden="1" x14ac:dyDescent="0.3">
      <c r="A578" s="12" t="s">
        <v>269</v>
      </c>
      <c r="B578" s="8"/>
      <c r="C578" s="8"/>
      <c r="D578" s="8">
        <f t="shared" si="8"/>
        <v>0</v>
      </c>
    </row>
    <row r="579" spans="1:4" ht="18" hidden="1" x14ac:dyDescent="0.3">
      <c r="A579" s="10" t="s">
        <v>270</v>
      </c>
      <c r="B579" s="8"/>
      <c r="C579" s="8"/>
      <c r="D579" s="8">
        <f t="shared" si="8"/>
        <v>0</v>
      </c>
    </row>
    <row r="580" spans="1:4" ht="18" hidden="1" x14ac:dyDescent="0.3">
      <c r="A580" s="10" t="s">
        <v>358</v>
      </c>
      <c r="B580" s="8"/>
      <c r="C580" s="8"/>
      <c r="D580" s="8">
        <f t="shared" ref="D580:D643" si="9">B580*C580</f>
        <v>0</v>
      </c>
    </row>
    <row r="581" spans="1:4" ht="18" hidden="1" x14ac:dyDescent="0.3">
      <c r="A581" s="10" t="s">
        <v>273</v>
      </c>
      <c r="B581" s="8"/>
      <c r="C581" s="8"/>
      <c r="D581" s="8">
        <f t="shared" si="9"/>
        <v>0</v>
      </c>
    </row>
    <row r="582" spans="1:4" ht="18" hidden="1" x14ac:dyDescent="0.3">
      <c r="A582" s="18" t="s">
        <v>284</v>
      </c>
      <c r="B582" s="8"/>
      <c r="C582" s="8"/>
      <c r="D582" s="8">
        <f t="shared" si="9"/>
        <v>0</v>
      </c>
    </row>
    <row r="583" spans="1:4" ht="18" hidden="1" x14ac:dyDescent="0.3">
      <c r="A583" s="13" t="s">
        <v>178</v>
      </c>
      <c r="B583" s="8"/>
      <c r="C583" s="8"/>
      <c r="D583" s="8">
        <f t="shared" si="9"/>
        <v>0</v>
      </c>
    </row>
    <row r="584" spans="1:4" ht="18" hidden="1" x14ac:dyDescent="0.3">
      <c r="A584" s="10" t="s">
        <v>179</v>
      </c>
      <c r="B584" s="8"/>
      <c r="C584" s="8"/>
      <c r="D584" s="8">
        <f t="shared" si="9"/>
        <v>0</v>
      </c>
    </row>
    <row r="585" spans="1:4" ht="18" hidden="1" x14ac:dyDescent="0.3">
      <c r="A585" s="10" t="s">
        <v>180</v>
      </c>
      <c r="B585" s="8"/>
      <c r="C585" s="8"/>
      <c r="D585" s="8">
        <f t="shared" si="9"/>
        <v>0</v>
      </c>
    </row>
    <row r="586" spans="1:4" ht="18" hidden="1" x14ac:dyDescent="0.3">
      <c r="A586" s="13" t="s">
        <v>305</v>
      </c>
      <c r="B586" s="8"/>
      <c r="C586" s="8"/>
      <c r="D586" s="8">
        <f t="shared" si="9"/>
        <v>0</v>
      </c>
    </row>
    <row r="587" spans="1:4" ht="18" hidden="1" x14ac:dyDescent="0.3">
      <c r="A587" s="10" t="s">
        <v>307</v>
      </c>
      <c r="B587" s="8"/>
      <c r="C587" s="8"/>
      <c r="D587" s="8">
        <f t="shared" si="9"/>
        <v>0</v>
      </c>
    </row>
    <row r="588" spans="1:4" ht="18" hidden="1" x14ac:dyDescent="0.3">
      <c r="A588" s="10" t="s">
        <v>308</v>
      </c>
      <c r="B588" s="8"/>
      <c r="C588" s="8"/>
      <c r="D588" s="8">
        <f t="shared" si="9"/>
        <v>0</v>
      </c>
    </row>
    <row r="589" spans="1:4" ht="18" hidden="1" x14ac:dyDescent="0.3">
      <c r="A589" s="23" t="s">
        <v>311</v>
      </c>
      <c r="B589" s="8"/>
      <c r="C589" s="8"/>
      <c r="D589" s="8">
        <f t="shared" si="9"/>
        <v>0</v>
      </c>
    </row>
    <row r="590" spans="1:4" ht="18" hidden="1" x14ac:dyDescent="0.3">
      <c r="A590" s="10" t="s">
        <v>313</v>
      </c>
      <c r="B590" s="8"/>
      <c r="C590" s="8"/>
      <c r="D590" s="8">
        <f t="shared" si="9"/>
        <v>0</v>
      </c>
    </row>
    <row r="591" spans="1:4" ht="18" hidden="1" x14ac:dyDescent="0.3">
      <c r="A591" s="10" t="s">
        <v>314</v>
      </c>
      <c r="B591" s="8"/>
      <c r="C591" s="8"/>
      <c r="D591" s="8">
        <f t="shared" si="9"/>
        <v>0</v>
      </c>
    </row>
    <row r="592" spans="1:4" ht="18" hidden="1" x14ac:dyDescent="0.3">
      <c r="A592" s="10" t="s">
        <v>315</v>
      </c>
      <c r="B592" s="8"/>
      <c r="C592" s="8"/>
      <c r="D592" s="8">
        <f t="shared" si="9"/>
        <v>0</v>
      </c>
    </row>
    <row r="593" spans="1:4" ht="18" hidden="1" x14ac:dyDescent="0.3">
      <c r="A593" s="10" t="s">
        <v>316</v>
      </c>
      <c r="B593" s="8"/>
      <c r="C593" s="8"/>
      <c r="D593" s="8">
        <f t="shared" si="9"/>
        <v>0</v>
      </c>
    </row>
    <row r="594" spans="1:4" ht="18" hidden="1" x14ac:dyDescent="0.3">
      <c r="A594" s="23" t="s">
        <v>317</v>
      </c>
      <c r="B594" s="8"/>
      <c r="C594" s="8"/>
      <c r="D594" s="8">
        <f t="shared" si="9"/>
        <v>0</v>
      </c>
    </row>
    <row r="595" spans="1:4" ht="18" hidden="1" x14ac:dyDescent="0.3">
      <c r="A595" s="10" t="s">
        <v>318</v>
      </c>
      <c r="B595" s="8"/>
      <c r="C595" s="8"/>
      <c r="D595" s="8">
        <f t="shared" si="9"/>
        <v>0</v>
      </c>
    </row>
    <row r="596" spans="1:4" ht="18" hidden="1" x14ac:dyDescent="0.3">
      <c r="A596" s="10" t="s">
        <v>322</v>
      </c>
      <c r="B596" s="8"/>
      <c r="C596" s="8"/>
      <c r="D596" s="8">
        <f t="shared" si="9"/>
        <v>0</v>
      </c>
    </row>
    <row r="597" spans="1:4" ht="18" hidden="1" x14ac:dyDescent="0.3">
      <c r="A597" s="23" t="s">
        <v>324</v>
      </c>
      <c r="B597" s="8"/>
      <c r="C597" s="8"/>
      <c r="D597" s="8">
        <f t="shared" si="9"/>
        <v>0</v>
      </c>
    </row>
    <row r="598" spans="1:4" ht="18" hidden="1" x14ac:dyDescent="0.3">
      <c r="A598" s="23" t="s">
        <v>325</v>
      </c>
      <c r="B598" s="8"/>
      <c r="C598" s="8"/>
      <c r="D598" s="8">
        <f t="shared" si="9"/>
        <v>0</v>
      </c>
    </row>
    <row r="599" spans="1:4" ht="18" hidden="1" x14ac:dyDescent="0.3">
      <c r="A599" s="10" t="s">
        <v>326</v>
      </c>
      <c r="B599" s="8"/>
      <c r="C599" s="8"/>
      <c r="D599" s="8">
        <f t="shared" si="9"/>
        <v>0</v>
      </c>
    </row>
    <row r="600" spans="1:4" ht="18" hidden="1" x14ac:dyDescent="0.3">
      <c r="A600" s="10" t="s">
        <v>327</v>
      </c>
      <c r="B600" s="8"/>
      <c r="C600" s="8"/>
      <c r="D600" s="8">
        <f t="shared" si="9"/>
        <v>0</v>
      </c>
    </row>
    <row r="601" spans="1:4" ht="18" hidden="1" x14ac:dyDescent="0.3">
      <c r="A601" s="23" t="s">
        <v>328</v>
      </c>
      <c r="B601" s="8"/>
      <c r="C601" s="8"/>
      <c r="D601" s="8">
        <f t="shared" si="9"/>
        <v>0</v>
      </c>
    </row>
    <row r="602" spans="1:4" ht="18" hidden="1" x14ac:dyDescent="0.3">
      <c r="A602" s="10" t="s">
        <v>329</v>
      </c>
      <c r="B602" s="8"/>
      <c r="C602" s="8"/>
      <c r="D602" s="8">
        <f t="shared" si="9"/>
        <v>0</v>
      </c>
    </row>
    <row r="603" spans="1:4" ht="18" hidden="1" x14ac:dyDescent="0.3">
      <c r="A603" s="10" t="s">
        <v>330</v>
      </c>
      <c r="B603" s="8"/>
      <c r="C603" s="8"/>
      <c r="D603" s="8">
        <f t="shared" si="9"/>
        <v>0</v>
      </c>
    </row>
    <row r="604" spans="1:4" ht="18" hidden="1" x14ac:dyDescent="0.3">
      <c r="A604" s="10" t="s">
        <v>331</v>
      </c>
      <c r="B604" s="8"/>
      <c r="C604" s="8"/>
      <c r="D604" s="8">
        <f t="shared" si="9"/>
        <v>0</v>
      </c>
    </row>
    <row r="605" spans="1:4" ht="18" hidden="1" x14ac:dyDescent="0.3">
      <c r="A605" s="10" t="s">
        <v>332</v>
      </c>
      <c r="B605" s="8"/>
      <c r="C605" s="8"/>
      <c r="D605" s="8">
        <f t="shared" si="9"/>
        <v>0</v>
      </c>
    </row>
    <row r="606" spans="1:4" ht="18" hidden="1" x14ac:dyDescent="0.3">
      <c r="A606" s="10" t="s">
        <v>333</v>
      </c>
      <c r="B606" s="8"/>
      <c r="C606" s="8"/>
      <c r="D606" s="8">
        <f t="shared" si="9"/>
        <v>0</v>
      </c>
    </row>
    <row r="607" spans="1:4" ht="18" hidden="1" x14ac:dyDescent="0.3">
      <c r="A607" s="10" t="s">
        <v>334</v>
      </c>
      <c r="B607" s="8"/>
      <c r="C607" s="8"/>
      <c r="D607" s="8">
        <f t="shared" si="9"/>
        <v>0</v>
      </c>
    </row>
    <row r="608" spans="1:4" ht="18" hidden="1" x14ac:dyDescent="0.3">
      <c r="A608" s="10" t="s">
        <v>335</v>
      </c>
      <c r="B608" s="8"/>
      <c r="C608" s="8"/>
      <c r="D608" s="8">
        <f t="shared" si="9"/>
        <v>0</v>
      </c>
    </row>
    <row r="609" spans="1:4" ht="18" hidden="1" x14ac:dyDescent="0.3">
      <c r="A609" s="10" t="s">
        <v>336</v>
      </c>
      <c r="B609" s="8"/>
      <c r="C609" s="8"/>
      <c r="D609" s="8">
        <f t="shared" si="9"/>
        <v>0</v>
      </c>
    </row>
    <row r="610" spans="1:4" ht="18" hidden="1" x14ac:dyDescent="0.3">
      <c r="A610" s="10" t="s">
        <v>287</v>
      </c>
      <c r="B610" s="8"/>
      <c r="C610" s="8"/>
      <c r="D610" s="8">
        <f t="shared" si="9"/>
        <v>0</v>
      </c>
    </row>
    <row r="611" spans="1:4" ht="18" hidden="1" x14ac:dyDescent="0.3">
      <c r="A611" s="18" t="s">
        <v>288</v>
      </c>
      <c r="B611" s="8"/>
      <c r="C611" s="8"/>
      <c r="D611" s="8">
        <f t="shared" si="9"/>
        <v>0</v>
      </c>
    </row>
    <row r="612" spans="1:4" ht="18" hidden="1" x14ac:dyDescent="0.3">
      <c r="A612" s="10" t="s">
        <v>289</v>
      </c>
      <c r="B612" s="8"/>
      <c r="C612" s="8"/>
      <c r="D612" s="8">
        <f t="shared" si="9"/>
        <v>0</v>
      </c>
    </row>
    <row r="613" spans="1:4" ht="18" hidden="1" x14ac:dyDescent="0.3">
      <c r="A613" s="10" t="s">
        <v>22</v>
      </c>
      <c r="B613" s="8"/>
      <c r="C613" s="8"/>
      <c r="D613" s="8">
        <f t="shared" si="9"/>
        <v>0</v>
      </c>
    </row>
    <row r="614" spans="1:4" ht="18" hidden="1" x14ac:dyDescent="0.3">
      <c r="A614" s="10" t="s">
        <v>23</v>
      </c>
      <c r="B614" s="8"/>
      <c r="C614" s="8"/>
      <c r="D614" s="8">
        <f t="shared" si="9"/>
        <v>0</v>
      </c>
    </row>
    <row r="615" spans="1:4" ht="18" hidden="1" x14ac:dyDescent="0.3">
      <c r="A615" s="10" t="s">
        <v>24</v>
      </c>
      <c r="B615" s="8"/>
      <c r="C615" s="8"/>
      <c r="D615" s="8">
        <f t="shared" si="9"/>
        <v>0</v>
      </c>
    </row>
    <row r="616" spans="1:4" ht="18" hidden="1" x14ac:dyDescent="0.3">
      <c r="A616" s="10" t="s">
        <v>25</v>
      </c>
      <c r="B616" s="8"/>
      <c r="C616" s="8"/>
      <c r="D616" s="8">
        <f t="shared" si="9"/>
        <v>0</v>
      </c>
    </row>
    <row r="617" spans="1:4" ht="18" hidden="1" x14ac:dyDescent="0.3">
      <c r="A617" s="10" t="s">
        <v>26</v>
      </c>
      <c r="B617" s="8"/>
      <c r="C617" s="8"/>
      <c r="D617" s="8">
        <f t="shared" si="9"/>
        <v>0</v>
      </c>
    </row>
    <row r="618" spans="1:4" ht="18" hidden="1" x14ac:dyDescent="0.3">
      <c r="A618" s="10" t="s">
        <v>45</v>
      </c>
      <c r="B618" s="8"/>
      <c r="C618" s="8"/>
      <c r="D618" s="8">
        <f t="shared" si="9"/>
        <v>0</v>
      </c>
    </row>
    <row r="619" spans="1:4" ht="18" hidden="1" x14ac:dyDescent="0.3">
      <c r="A619" s="10" t="s">
        <v>46</v>
      </c>
      <c r="B619" s="8"/>
      <c r="C619" s="8"/>
      <c r="D619" s="8">
        <f t="shared" si="9"/>
        <v>0</v>
      </c>
    </row>
    <row r="620" spans="1:4" ht="18" hidden="1" x14ac:dyDescent="0.3">
      <c r="A620" s="14" t="s">
        <v>47</v>
      </c>
      <c r="B620" s="8"/>
      <c r="C620" s="8"/>
      <c r="D620" s="8">
        <f t="shared" si="9"/>
        <v>0</v>
      </c>
    </row>
    <row r="621" spans="1:4" ht="18" hidden="1" x14ac:dyDescent="0.3">
      <c r="A621" s="10" t="s">
        <v>50</v>
      </c>
      <c r="B621" s="8"/>
      <c r="C621" s="8"/>
      <c r="D621" s="8">
        <f t="shared" si="9"/>
        <v>0</v>
      </c>
    </row>
    <row r="622" spans="1:4" ht="18" hidden="1" x14ac:dyDescent="0.3">
      <c r="A622" s="10" t="s">
        <v>51</v>
      </c>
      <c r="B622" s="8"/>
      <c r="C622" s="8"/>
      <c r="D622" s="8">
        <f t="shared" si="9"/>
        <v>0</v>
      </c>
    </row>
    <row r="623" spans="1:4" ht="18" hidden="1" x14ac:dyDescent="0.3">
      <c r="A623" s="30" t="s">
        <v>130</v>
      </c>
      <c r="B623" s="8"/>
      <c r="C623" s="8"/>
      <c r="D623" s="8">
        <f t="shared" si="9"/>
        <v>0</v>
      </c>
    </row>
    <row r="624" spans="1:4" ht="18" hidden="1" x14ac:dyDescent="0.3">
      <c r="A624" s="13" t="s">
        <v>131</v>
      </c>
      <c r="B624" s="17"/>
      <c r="C624" s="17"/>
      <c r="D624" s="8">
        <f t="shared" si="9"/>
        <v>0</v>
      </c>
    </row>
    <row r="625" spans="1:4" ht="18" hidden="1" x14ac:dyDescent="0.3">
      <c r="A625" s="10" t="s">
        <v>132</v>
      </c>
      <c r="B625" s="8"/>
      <c r="C625" s="8"/>
      <c r="D625" s="8">
        <f t="shared" si="9"/>
        <v>0</v>
      </c>
    </row>
    <row r="626" spans="1:4" ht="18" hidden="1" x14ac:dyDescent="0.3">
      <c r="A626" s="10" t="s">
        <v>133</v>
      </c>
      <c r="B626" s="8"/>
      <c r="C626" s="8"/>
      <c r="D626" s="8">
        <f t="shared" si="9"/>
        <v>0</v>
      </c>
    </row>
    <row r="627" spans="1:4" ht="18" hidden="1" x14ac:dyDescent="0.3">
      <c r="A627" s="10" t="s">
        <v>290</v>
      </c>
      <c r="B627" s="8"/>
      <c r="C627" s="8"/>
      <c r="D627" s="8">
        <f t="shared" si="9"/>
        <v>0</v>
      </c>
    </row>
    <row r="628" spans="1:4" ht="18" hidden="1" x14ac:dyDescent="0.3">
      <c r="A628" s="18" t="s">
        <v>291</v>
      </c>
      <c r="B628" s="8"/>
      <c r="C628" s="8"/>
      <c r="D628" s="8">
        <f t="shared" si="9"/>
        <v>0</v>
      </c>
    </row>
    <row r="629" spans="1:4" ht="18" hidden="1" x14ac:dyDescent="0.3">
      <c r="A629" s="10" t="s">
        <v>16</v>
      </c>
      <c r="B629" s="8"/>
      <c r="C629" s="8"/>
      <c r="D629" s="8">
        <f t="shared" si="9"/>
        <v>0</v>
      </c>
    </row>
    <row r="630" spans="1:4" ht="18" hidden="1" x14ac:dyDescent="0.3">
      <c r="A630" s="14" t="s">
        <v>17</v>
      </c>
      <c r="B630" s="8"/>
      <c r="C630" s="8"/>
      <c r="D630" s="8">
        <f t="shared" si="9"/>
        <v>0</v>
      </c>
    </row>
    <row r="631" spans="1:4" ht="18" hidden="1" x14ac:dyDescent="0.3">
      <c r="A631" s="12" t="s">
        <v>18</v>
      </c>
      <c r="B631" s="8"/>
      <c r="C631" s="8"/>
      <c r="D631" s="8">
        <f t="shared" si="9"/>
        <v>0</v>
      </c>
    </row>
    <row r="632" spans="1:4" ht="18" hidden="1" x14ac:dyDescent="0.3">
      <c r="A632" s="10" t="s">
        <v>157</v>
      </c>
      <c r="B632" s="8"/>
      <c r="C632" s="8"/>
      <c r="D632" s="8">
        <f t="shared" si="9"/>
        <v>0</v>
      </c>
    </row>
    <row r="633" spans="1:4" ht="18" hidden="1" x14ac:dyDescent="0.3">
      <c r="A633" s="10" t="s">
        <v>158</v>
      </c>
      <c r="B633" s="8"/>
      <c r="C633" s="8"/>
      <c r="D633" s="8">
        <f t="shared" si="9"/>
        <v>0</v>
      </c>
    </row>
    <row r="634" spans="1:4" ht="18" x14ac:dyDescent="0.3">
      <c r="A634" s="10" t="s">
        <v>159</v>
      </c>
      <c r="B634" s="8">
        <v>10</v>
      </c>
      <c r="C634" s="8">
        <v>10000</v>
      </c>
      <c r="D634" s="8">
        <f t="shared" si="9"/>
        <v>100000</v>
      </c>
    </row>
    <row r="635" spans="1:4" ht="18" hidden="1" x14ac:dyDescent="0.3">
      <c r="A635" s="10" t="s">
        <v>160</v>
      </c>
      <c r="B635" s="8"/>
      <c r="C635" s="8"/>
      <c r="D635" s="8">
        <f t="shared" si="9"/>
        <v>0</v>
      </c>
    </row>
    <row r="636" spans="1:4" ht="18" hidden="1" x14ac:dyDescent="0.3">
      <c r="A636" s="11" t="s">
        <v>7</v>
      </c>
      <c r="B636" s="8"/>
      <c r="C636" s="8"/>
      <c r="D636" s="8">
        <f t="shared" si="9"/>
        <v>0</v>
      </c>
    </row>
    <row r="637" spans="1:4" ht="18" hidden="1" x14ac:dyDescent="0.3">
      <c r="A637" s="6" t="s">
        <v>8</v>
      </c>
      <c r="B637" s="8"/>
      <c r="C637" s="8"/>
      <c r="D637" s="8">
        <f t="shared" si="9"/>
        <v>0</v>
      </c>
    </row>
    <row r="638" spans="1:4" ht="18" hidden="1" x14ac:dyDescent="0.3">
      <c r="A638" s="21" t="s">
        <v>63</v>
      </c>
      <c r="B638" s="8"/>
      <c r="C638" s="8"/>
      <c r="D638" s="8">
        <f t="shared" si="9"/>
        <v>0</v>
      </c>
    </row>
    <row r="639" spans="1:4" ht="18" hidden="1" x14ac:dyDescent="0.3">
      <c r="A639" s="13" t="s">
        <v>67</v>
      </c>
      <c r="B639" s="8"/>
      <c r="C639" s="8"/>
      <c r="D639" s="8">
        <f t="shared" si="9"/>
        <v>0</v>
      </c>
    </row>
    <row r="640" spans="1:4" ht="18" hidden="1" x14ac:dyDescent="0.3">
      <c r="A640" s="12" t="s">
        <v>102</v>
      </c>
      <c r="B640" s="8"/>
      <c r="C640" s="8"/>
      <c r="D640" s="8">
        <f t="shared" si="9"/>
        <v>0</v>
      </c>
    </row>
    <row r="641" spans="1:4" ht="18" hidden="1" x14ac:dyDescent="0.3">
      <c r="A641" s="27" t="s">
        <v>108</v>
      </c>
      <c r="B641" s="8"/>
      <c r="C641" s="8"/>
      <c r="D641" s="8">
        <f t="shared" si="9"/>
        <v>0</v>
      </c>
    </row>
    <row r="642" spans="1:4" ht="18" hidden="1" x14ac:dyDescent="0.3">
      <c r="A642" s="10" t="s">
        <v>119</v>
      </c>
      <c r="B642" s="8"/>
      <c r="C642" s="8"/>
      <c r="D642" s="8">
        <f t="shared" si="9"/>
        <v>0</v>
      </c>
    </row>
    <row r="643" spans="1:4" ht="18" hidden="1" x14ac:dyDescent="0.3">
      <c r="A643" s="12" t="s">
        <v>120</v>
      </c>
      <c r="B643" s="8"/>
      <c r="C643" s="8"/>
      <c r="D643" s="8">
        <f t="shared" si="9"/>
        <v>0</v>
      </c>
    </row>
    <row r="644" spans="1:4" ht="18" hidden="1" x14ac:dyDescent="0.3">
      <c r="A644" s="12" t="s">
        <v>121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10" t="s">
        <v>143</v>
      </c>
      <c r="B645" s="8"/>
      <c r="C645" s="8"/>
      <c r="D645" s="8">
        <f t="shared" si="10"/>
        <v>0</v>
      </c>
    </row>
    <row r="646" spans="1:4" ht="18" hidden="1" x14ac:dyDescent="0.3">
      <c r="A646" s="12" t="s">
        <v>175</v>
      </c>
      <c r="B646" s="8"/>
      <c r="C646" s="8"/>
      <c r="D646" s="8">
        <f t="shared" si="10"/>
        <v>0</v>
      </c>
    </row>
    <row r="647" spans="1:4" ht="18" hidden="1" x14ac:dyDescent="0.3">
      <c r="A647" s="18" t="s">
        <v>189</v>
      </c>
      <c r="B647" s="8"/>
      <c r="C647" s="8"/>
      <c r="D647" s="8">
        <f t="shared" si="10"/>
        <v>0</v>
      </c>
    </row>
    <row r="648" spans="1:4" ht="18" hidden="1" x14ac:dyDescent="0.3">
      <c r="A648" s="18" t="s">
        <v>190</v>
      </c>
      <c r="B648" s="8"/>
      <c r="C648" s="8"/>
      <c r="D648" s="8">
        <f t="shared" si="10"/>
        <v>0</v>
      </c>
    </row>
    <row r="649" spans="1:4" ht="18" hidden="1" x14ac:dyDescent="0.3">
      <c r="A649" s="18" t="s">
        <v>191</v>
      </c>
      <c r="B649" s="8"/>
      <c r="C649" s="8"/>
      <c r="D649" s="8">
        <f t="shared" si="10"/>
        <v>0</v>
      </c>
    </row>
    <row r="650" spans="1:4" ht="18" hidden="1" x14ac:dyDescent="0.3">
      <c r="A650" s="18" t="s">
        <v>192</v>
      </c>
      <c r="B650" s="8"/>
      <c r="C650" s="8"/>
      <c r="D650" s="8">
        <f t="shared" si="10"/>
        <v>0</v>
      </c>
    </row>
    <row r="651" spans="1:4" ht="18" hidden="1" x14ac:dyDescent="0.3">
      <c r="A651" s="10" t="s">
        <v>194</v>
      </c>
      <c r="B651" s="8"/>
      <c r="C651" s="8"/>
      <c r="D651" s="8">
        <f t="shared" si="10"/>
        <v>0</v>
      </c>
    </row>
    <row r="652" spans="1:4" ht="18" hidden="1" x14ac:dyDescent="0.3">
      <c r="A652" s="37" t="s">
        <v>195</v>
      </c>
      <c r="B652" s="8"/>
      <c r="C652" s="8"/>
      <c r="D652" s="8">
        <f t="shared" si="10"/>
        <v>0</v>
      </c>
    </row>
    <row r="653" spans="1:4" ht="18" hidden="1" x14ac:dyDescent="0.3">
      <c r="A653" s="37" t="s">
        <v>196</v>
      </c>
      <c r="B653" s="8"/>
      <c r="C653" s="8"/>
      <c r="D653" s="8">
        <f t="shared" si="10"/>
        <v>0</v>
      </c>
    </row>
    <row r="654" spans="1:4" ht="18" hidden="1" x14ac:dyDescent="0.3">
      <c r="A654" s="37" t="s">
        <v>197</v>
      </c>
      <c r="B654" s="8"/>
      <c r="C654" s="8"/>
      <c r="D654" s="8">
        <f t="shared" si="10"/>
        <v>0</v>
      </c>
    </row>
    <row r="655" spans="1:4" ht="18" hidden="1" x14ac:dyDescent="0.3">
      <c r="A655" s="37" t="s">
        <v>198</v>
      </c>
      <c r="B655" s="8"/>
      <c r="C655" s="8"/>
      <c r="D655" s="8">
        <f t="shared" si="10"/>
        <v>0</v>
      </c>
    </row>
    <row r="656" spans="1:4" ht="18" hidden="1" x14ac:dyDescent="0.3">
      <c r="A656" s="12" t="s">
        <v>226</v>
      </c>
      <c r="B656" s="8"/>
      <c r="C656" s="8"/>
      <c r="D656" s="8">
        <f t="shared" si="10"/>
        <v>0</v>
      </c>
    </row>
    <row r="657" spans="1:4" ht="18" hidden="1" x14ac:dyDescent="0.3">
      <c r="A657" s="23" t="s">
        <v>356</v>
      </c>
      <c r="B657" s="8"/>
      <c r="C657" s="8"/>
      <c r="D657" s="8">
        <f t="shared" si="10"/>
        <v>0</v>
      </c>
    </row>
    <row r="658" spans="1:4" ht="18" hidden="1" x14ac:dyDescent="0.3">
      <c r="A658" s="23" t="s">
        <v>357</v>
      </c>
      <c r="B658" s="8"/>
      <c r="C658" s="8"/>
      <c r="D658" s="8">
        <f t="shared" si="10"/>
        <v>0</v>
      </c>
    </row>
    <row r="659" spans="1:4" ht="18" hidden="1" x14ac:dyDescent="0.3">
      <c r="A659" s="12" t="s">
        <v>232</v>
      </c>
      <c r="B659" s="8"/>
      <c r="C659" s="8"/>
      <c r="D659" s="8">
        <f t="shared" si="10"/>
        <v>0</v>
      </c>
    </row>
    <row r="660" spans="1:4" ht="18" hidden="1" x14ac:dyDescent="0.3">
      <c r="A660" s="14" t="s">
        <v>239</v>
      </c>
      <c r="B660" s="8"/>
      <c r="C660" s="8"/>
      <c r="D660" s="8">
        <f t="shared" si="10"/>
        <v>0</v>
      </c>
    </row>
    <row r="661" spans="1:4" ht="18" hidden="1" x14ac:dyDescent="0.3">
      <c r="A661" s="14" t="s">
        <v>240</v>
      </c>
      <c r="B661" s="8"/>
      <c r="C661" s="8"/>
      <c r="D661" s="8">
        <f t="shared" si="10"/>
        <v>0</v>
      </c>
    </row>
    <row r="662" spans="1:4" ht="18" hidden="1" x14ac:dyDescent="0.3">
      <c r="A662" s="37" t="s">
        <v>241</v>
      </c>
      <c r="B662" s="8"/>
      <c r="C662" s="8"/>
      <c r="D662" s="8">
        <f t="shared" si="10"/>
        <v>0</v>
      </c>
    </row>
    <row r="663" spans="1:4" ht="18" hidden="1" x14ac:dyDescent="0.3">
      <c r="A663" s="37" t="s">
        <v>245</v>
      </c>
      <c r="B663" s="8"/>
      <c r="C663" s="8"/>
      <c r="D663" s="8">
        <f t="shared" si="10"/>
        <v>0</v>
      </c>
    </row>
    <row r="664" spans="1:4" ht="18" hidden="1" x14ac:dyDescent="0.3">
      <c r="A664" s="37" t="s">
        <v>277</v>
      </c>
      <c r="B664" s="8"/>
      <c r="C664" s="8"/>
      <c r="D664" s="8">
        <f t="shared" si="10"/>
        <v>0</v>
      </c>
    </row>
    <row r="665" spans="1:4" ht="18" hidden="1" x14ac:dyDescent="0.3">
      <c r="A665" s="37" t="s">
        <v>279</v>
      </c>
      <c r="B665" s="8"/>
      <c r="C665" s="8"/>
      <c r="D665" s="8">
        <f t="shared" si="10"/>
        <v>0</v>
      </c>
    </row>
    <row r="666" spans="1:4" ht="18" hidden="1" x14ac:dyDescent="0.3">
      <c r="A666" s="12" t="s">
        <v>360</v>
      </c>
      <c r="B666" s="8"/>
      <c r="C666" s="8"/>
      <c r="D666" s="8">
        <f t="shared" si="10"/>
        <v>0</v>
      </c>
    </row>
    <row r="667" spans="1:4" ht="18" hidden="1" x14ac:dyDescent="0.3">
      <c r="A667" s="37" t="s">
        <v>280</v>
      </c>
      <c r="B667" s="8"/>
      <c r="C667" s="8"/>
      <c r="D667" s="8">
        <f t="shared" si="10"/>
        <v>0</v>
      </c>
    </row>
    <row r="668" spans="1:4" ht="18" hidden="1" x14ac:dyDescent="0.3">
      <c r="A668" s="27" t="s">
        <v>292</v>
      </c>
      <c r="B668" s="8"/>
      <c r="C668" s="8"/>
      <c r="D668" s="8">
        <f t="shared" si="10"/>
        <v>0</v>
      </c>
    </row>
    <row r="669" spans="1:4" ht="18" hidden="1" x14ac:dyDescent="0.3">
      <c r="A669" s="10" t="s">
        <v>362</v>
      </c>
      <c r="B669" s="8"/>
      <c r="C669" s="8"/>
      <c r="D669" s="8">
        <f t="shared" si="10"/>
        <v>0</v>
      </c>
    </row>
    <row r="670" spans="1:4" ht="18" hidden="1" x14ac:dyDescent="0.3">
      <c r="A670" s="12" t="s">
        <v>303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4900</v>
      </c>
      <c r="C672" s="46"/>
      <c r="D672" s="46">
        <f t="shared" ref="D672" si="11">SUM(D345:D671)</f>
        <v>66447000</v>
      </c>
    </row>
    <row r="674" spans="4:4" x14ac:dyDescent="0.3">
      <c r="D674" s="49">
        <f>D672+D340</f>
        <v>127121500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19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D674"/>
  <sheetViews>
    <sheetView workbookViewId="0">
      <selection activeCell="I120" sqref="I120"/>
    </sheetView>
  </sheetViews>
  <sheetFormatPr defaultRowHeight="14.4" x14ac:dyDescent="0.3"/>
  <cols>
    <col min="1" max="1" width="31.6640625" customWidth="1"/>
    <col min="2" max="2" width="11.5546875" customWidth="1"/>
    <col min="3" max="3" width="12.109375" customWidth="1"/>
    <col min="4" max="4" width="19.5546875" customWidth="1"/>
  </cols>
  <sheetData>
    <row r="1" spans="1:4" x14ac:dyDescent="0.3">
      <c r="A1" s="1" t="s">
        <v>434</v>
      </c>
      <c r="B1" s="2"/>
      <c r="C1" s="2"/>
      <c r="D1" s="2"/>
    </row>
    <row r="2" spans="1:4" ht="26.4" x14ac:dyDescent="0.3">
      <c r="A2" s="3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13" t="s">
        <v>68</v>
      </c>
      <c r="B3" s="8"/>
      <c r="C3" s="8"/>
      <c r="D3" s="8">
        <f>B3*C3</f>
        <v>0</v>
      </c>
    </row>
    <row r="4" spans="1:4" ht="18" hidden="1" x14ac:dyDescent="0.3">
      <c r="A4" s="12" t="s">
        <v>69</v>
      </c>
      <c r="B4" s="8"/>
      <c r="C4" s="8"/>
      <c r="D4" s="8">
        <f t="shared" ref="D4:D67" si="0">B4*C4</f>
        <v>0</v>
      </c>
    </row>
    <row r="5" spans="1:4" ht="18" hidden="1" x14ac:dyDescent="0.3">
      <c r="A5" s="13" t="s">
        <v>70</v>
      </c>
      <c r="B5" s="8"/>
      <c r="C5" s="8"/>
      <c r="D5" s="8">
        <f t="shared" si="0"/>
        <v>0</v>
      </c>
    </row>
    <row r="6" spans="1:4" ht="18" hidden="1" x14ac:dyDescent="0.3">
      <c r="A6" s="13" t="s">
        <v>71</v>
      </c>
      <c r="B6" s="8"/>
      <c r="C6" s="8"/>
      <c r="D6" s="8">
        <f t="shared" si="0"/>
        <v>0</v>
      </c>
    </row>
    <row r="7" spans="1:4" ht="18" hidden="1" x14ac:dyDescent="0.3">
      <c r="A7" s="13" t="s">
        <v>72</v>
      </c>
      <c r="B7" s="8"/>
      <c r="C7" s="8"/>
      <c r="D7" s="8">
        <f t="shared" si="0"/>
        <v>0</v>
      </c>
    </row>
    <row r="8" spans="1:4" ht="18" hidden="1" x14ac:dyDescent="0.3">
      <c r="A8" s="22" t="s">
        <v>73</v>
      </c>
      <c r="B8" s="8"/>
      <c r="C8" s="8"/>
      <c r="D8" s="8">
        <f t="shared" si="0"/>
        <v>0</v>
      </c>
    </row>
    <row r="9" spans="1:4" ht="18" hidden="1" x14ac:dyDescent="0.3">
      <c r="A9" s="10" t="s">
        <v>74</v>
      </c>
      <c r="B9" s="8"/>
      <c r="C9" s="8"/>
      <c r="D9" s="8">
        <f t="shared" si="0"/>
        <v>0</v>
      </c>
    </row>
    <row r="10" spans="1:4" ht="18" hidden="1" x14ac:dyDescent="0.3">
      <c r="A10" s="13" t="s">
        <v>82</v>
      </c>
      <c r="B10" s="17"/>
      <c r="C10" s="17"/>
      <c r="D10" s="8">
        <f t="shared" si="0"/>
        <v>0</v>
      </c>
    </row>
    <row r="11" spans="1:4" ht="18" hidden="1" x14ac:dyDescent="0.3">
      <c r="A11" s="13" t="s">
        <v>83</v>
      </c>
      <c r="B11" s="17"/>
      <c r="C11" s="17"/>
      <c r="D11" s="8">
        <f t="shared" si="0"/>
        <v>0</v>
      </c>
    </row>
    <row r="12" spans="1:4" ht="18" hidden="1" x14ac:dyDescent="0.3">
      <c r="A12" s="13" t="s">
        <v>84</v>
      </c>
      <c r="B12" s="17"/>
      <c r="C12" s="17"/>
      <c r="D12" s="8">
        <f t="shared" si="0"/>
        <v>0</v>
      </c>
    </row>
    <row r="13" spans="1:4" ht="18" hidden="1" x14ac:dyDescent="0.3">
      <c r="A13" s="10" t="s">
        <v>96</v>
      </c>
      <c r="B13" s="8"/>
      <c r="C13" s="8"/>
      <c r="D13" s="8">
        <f t="shared" si="0"/>
        <v>0</v>
      </c>
    </row>
    <row r="14" spans="1:4" ht="18" hidden="1" x14ac:dyDescent="0.3">
      <c r="A14" s="10" t="s">
        <v>97</v>
      </c>
      <c r="B14" s="8"/>
      <c r="C14" s="8"/>
      <c r="D14" s="8">
        <f t="shared" si="0"/>
        <v>0</v>
      </c>
    </row>
    <row r="15" spans="1:4" ht="18" hidden="1" x14ac:dyDescent="0.3">
      <c r="A15" s="10" t="s">
        <v>99</v>
      </c>
      <c r="B15" s="17"/>
      <c r="C15" s="17"/>
      <c r="D15" s="8">
        <f t="shared" si="0"/>
        <v>0</v>
      </c>
    </row>
    <row r="16" spans="1:4" ht="18" hidden="1" x14ac:dyDescent="0.3">
      <c r="A16" s="12" t="s">
        <v>100</v>
      </c>
      <c r="B16" s="8"/>
      <c r="C16" s="8"/>
      <c r="D16" s="8">
        <f t="shared" si="0"/>
        <v>0</v>
      </c>
    </row>
    <row r="17" spans="1:4" ht="18" hidden="1" x14ac:dyDescent="0.3">
      <c r="A17" s="23" t="s">
        <v>101</v>
      </c>
      <c r="B17" s="8"/>
      <c r="C17" s="8"/>
      <c r="D17" s="8">
        <f t="shared" si="0"/>
        <v>0</v>
      </c>
    </row>
    <row r="18" spans="1:4" ht="18" hidden="1" x14ac:dyDescent="0.3">
      <c r="A18" s="12" t="s">
        <v>117</v>
      </c>
      <c r="B18" s="8"/>
      <c r="C18" s="8"/>
      <c r="D18" s="8">
        <f t="shared" si="0"/>
        <v>0</v>
      </c>
    </row>
    <row r="19" spans="1:4" ht="18" hidden="1" x14ac:dyDescent="0.3">
      <c r="A19" s="23" t="s">
        <v>118</v>
      </c>
      <c r="B19" s="8"/>
      <c r="C19" s="8"/>
      <c r="D19" s="8">
        <f t="shared" si="0"/>
        <v>0</v>
      </c>
    </row>
    <row r="20" spans="1:4" ht="18" hidden="1" x14ac:dyDescent="0.3">
      <c r="A20" s="10" t="s">
        <v>110</v>
      </c>
      <c r="B20" s="8"/>
      <c r="C20" s="8"/>
      <c r="D20" s="8">
        <f t="shared" si="0"/>
        <v>0</v>
      </c>
    </row>
    <row r="21" spans="1:4" ht="18" hidden="1" x14ac:dyDescent="0.3">
      <c r="A21" s="10" t="s">
        <v>111</v>
      </c>
      <c r="B21" s="8"/>
      <c r="C21" s="8"/>
      <c r="D21" s="8">
        <f t="shared" si="0"/>
        <v>0</v>
      </c>
    </row>
    <row r="22" spans="1:4" ht="18" hidden="1" x14ac:dyDescent="0.3">
      <c r="A22" s="10" t="s">
        <v>112</v>
      </c>
      <c r="B22" s="8"/>
      <c r="C22" s="8"/>
      <c r="D22" s="8">
        <f t="shared" si="0"/>
        <v>0</v>
      </c>
    </row>
    <row r="23" spans="1:4" ht="18" hidden="1" x14ac:dyDescent="0.3">
      <c r="A23" s="12" t="s">
        <v>249</v>
      </c>
      <c r="B23" s="8"/>
      <c r="C23" s="8"/>
      <c r="D23" s="8">
        <f t="shared" si="0"/>
        <v>0</v>
      </c>
    </row>
    <row r="24" spans="1:4" ht="18" x14ac:dyDescent="0.3">
      <c r="A24" s="10" t="s">
        <v>250</v>
      </c>
      <c r="B24" s="8">
        <f>20+40+25+20</f>
        <v>105</v>
      </c>
      <c r="C24" s="8">
        <v>26000</v>
      </c>
      <c r="D24" s="8">
        <f t="shared" si="0"/>
        <v>2730000</v>
      </c>
    </row>
    <row r="25" spans="1:4" ht="18" hidden="1" x14ac:dyDescent="0.3">
      <c r="A25" s="10" t="s">
        <v>251</v>
      </c>
      <c r="B25" s="8"/>
      <c r="C25" s="8"/>
      <c r="D25" s="8">
        <f t="shared" si="0"/>
        <v>0</v>
      </c>
    </row>
    <row r="26" spans="1:4" ht="18" hidden="1" x14ac:dyDescent="0.3">
      <c r="A26" s="10" t="s">
        <v>252</v>
      </c>
      <c r="B26" s="8"/>
      <c r="C26" s="8"/>
      <c r="D26" s="8">
        <f t="shared" si="0"/>
        <v>0</v>
      </c>
    </row>
    <row r="27" spans="1:4" ht="18" hidden="1" x14ac:dyDescent="0.3">
      <c r="A27" s="10" t="s">
        <v>253</v>
      </c>
      <c r="B27" s="8"/>
      <c r="C27" s="8"/>
      <c r="D27" s="8">
        <f t="shared" si="0"/>
        <v>0</v>
      </c>
    </row>
    <row r="28" spans="1:4" ht="18" hidden="1" x14ac:dyDescent="0.3">
      <c r="A28" s="10" t="s">
        <v>254</v>
      </c>
      <c r="B28" s="8"/>
      <c r="C28" s="8"/>
      <c r="D28" s="8">
        <f t="shared" si="0"/>
        <v>0</v>
      </c>
    </row>
    <row r="29" spans="1:4" ht="18" x14ac:dyDescent="0.3">
      <c r="A29" s="10" t="s">
        <v>258</v>
      </c>
      <c r="B29" s="8">
        <f>120+5+40+38+20</f>
        <v>223</v>
      </c>
      <c r="C29" s="8">
        <v>36000</v>
      </c>
      <c r="D29" s="8">
        <f t="shared" si="0"/>
        <v>8028000</v>
      </c>
    </row>
    <row r="30" spans="1:4" ht="18" hidden="1" x14ac:dyDescent="0.3">
      <c r="A30" s="10" t="s">
        <v>259</v>
      </c>
      <c r="B30" s="8"/>
      <c r="C30" s="8"/>
      <c r="D30" s="8">
        <f t="shared" si="0"/>
        <v>0</v>
      </c>
    </row>
    <row r="31" spans="1:4" ht="18" hidden="1" x14ac:dyDescent="0.3">
      <c r="A31" s="10" t="s">
        <v>260</v>
      </c>
      <c r="B31" s="8"/>
      <c r="C31" s="8"/>
      <c r="D31" s="8">
        <f t="shared" si="0"/>
        <v>0</v>
      </c>
    </row>
    <row r="32" spans="1:4" ht="18" hidden="1" x14ac:dyDescent="0.3">
      <c r="A32" s="10" t="s">
        <v>261</v>
      </c>
      <c r="B32" s="8"/>
      <c r="C32" s="8"/>
      <c r="D32" s="8">
        <f t="shared" si="0"/>
        <v>0</v>
      </c>
    </row>
    <row r="33" spans="1:4" ht="18" x14ac:dyDescent="0.3">
      <c r="A33" s="10" t="s">
        <v>262</v>
      </c>
      <c r="B33" s="8">
        <v>26</v>
      </c>
      <c r="C33" s="8">
        <v>22000</v>
      </c>
      <c r="D33" s="8">
        <f t="shared" si="0"/>
        <v>572000</v>
      </c>
    </row>
    <row r="34" spans="1:4" ht="18" hidden="1" x14ac:dyDescent="0.3">
      <c r="A34" s="10" t="s">
        <v>263</v>
      </c>
      <c r="B34" s="8"/>
      <c r="C34" s="8"/>
      <c r="D34" s="8">
        <f t="shared" si="0"/>
        <v>0</v>
      </c>
    </row>
    <row r="35" spans="1:4" ht="18" hidden="1" x14ac:dyDescent="0.3">
      <c r="A35" s="10" t="s">
        <v>264</v>
      </c>
      <c r="B35" s="8"/>
      <c r="C35" s="8"/>
      <c r="D35" s="8">
        <f t="shared" si="0"/>
        <v>0</v>
      </c>
    </row>
    <row r="36" spans="1:4" ht="18" hidden="1" x14ac:dyDescent="0.3">
      <c r="A36" s="10" t="s">
        <v>135</v>
      </c>
      <c r="B36" s="8"/>
      <c r="C36" s="8"/>
      <c r="D36" s="8">
        <f t="shared" si="0"/>
        <v>0</v>
      </c>
    </row>
    <row r="37" spans="1:4" ht="18" hidden="1" x14ac:dyDescent="0.3">
      <c r="A37" s="18" t="s">
        <v>136</v>
      </c>
      <c r="B37" s="8"/>
      <c r="C37" s="8"/>
      <c r="D37" s="8">
        <f t="shared" si="0"/>
        <v>0</v>
      </c>
    </row>
    <row r="38" spans="1:4" ht="18" hidden="1" x14ac:dyDescent="0.3">
      <c r="A38" s="10" t="s">
        <v>177</v>
      </c>
      <c r="B38" s="8"/>
      <c r="C38" s="8"/>
      <c r="D38" s="8">
        <f t="shared" si="0"/>
        <v>0</v>
      </c>
    </row>
    <row r="39" spans="1:4" ht="18" hidden="1" x14ac:dyDescent="0.3">
      <c r="A39" s="13" t="s">
        <v>193</v>
      </c>
      <c r="B39" s="8"/>
      <c r="C39" s="8"/>
      <c r="D39" s="8">
        <f t="shared" si="0"/>
        <v>0</v>
      </c>
    </row>
    <row r="40" spans="1:4" ht="18" hidden="1" x14ac:dyDescent="0.3">
      <c r="A40" s="10" t="s">
        <v>319</v>
      </c>
      <c r="B40" s="8"/>
      <c r="C40" s="8"/>
      <c r="D40" s="8">
        <f t="shared" si="0"/>
        <v>0</v>
      </c>
    </row>
    <row r="41" spans="1:4" ht="18" hidden="1" x14ac:dyDescent="0.3">
      <c r="A41" s="10" t="s">
        <v>212</v>
      </c>
      <c r="B41" s="8"/>
      <c r="C41" s="8"/>
      <c r="D41" s="8">
        <f t="shared" si="0"/>
        <v>0</v>
      </c>
    </row>
    <row r="42" spans="1:4" ht="18" hidden="1" x14ac:dyDescent="0.3">
      <c r="A42" s="40" t="s">
        <v>213</v>
      </c>
      <c r="B42" s="8"/>
      <c r="C42" s="8"/>
      <c r="D42" s="8">
        <f t="shared" si="0"/>
        <v>0</v>
      </c>
    </row>
    <row r="43" spans="1:4" ht="18" hidden="1" x14ac:dyDescent="0.3">
      <c r="A43" s="10" t="s">
        <v>214</v>
      </c>
      <c r="B43" s="8"/>
      <c r="C43" s="8"/>
      <c r="D43" s="8">
        <f t="shared" si="0"/>
        <v>0</v>
      </c>
    </row>
    <row r="44" spans="1:4" ht="18" hidden="1" x14ac:dyDescent="0.3">
      <c r="A44" s="10" t="s">
        <v>215</v>
      </c>
      <c r="B44" s="8"/>
      <c r="C44" s="8"/>
      <c r="D44" s="8">
        <f t="shared" si="0"/>
        <v>0</v>
      </c>
    </row>
    <row r="45" spans="1:4" ht="18" hidden="1" x14ac:dyDescent="0.3">
      <c r="A45" s="10" t="s">
        <v>216</v>
      </c>
      <c r="B45" s="8"/>
      <c r="C45" s="8"/>
      <c r="D45" s="8">
        <f t="shared" si="0"/>
        <v>0</v>
      </c>
    </row>
    <row r="46" spans="1:4" ht="18" x14ac:dyDescent="0.3">
      <c r="A46" s="10" t="s">
        <v>217</v>
      </c>
      <c r="B46" s="8">
        <v>180</v>
      </c>
      <c r="C46" s="8">
        <v>16000</v>
      </c>
      <c r="D46" s="8">
        <f t="shared" si="0"/>
        <v>2880000</v>
      </c>
    </row>
    <row r="47" spans="1:4" ht="18" hidden="1" x14ac:dyDescent="0.3">
      <c r="A47" s="10" t="s">
        <v>103</v>
      </c>
      <c r="B47" s="8"/>
      <c r="C47" s="8"/>
      <c r="D47" s="8">
        <f t="shared" si="0"/>
        <v>0</v>
      </c>
    </row>
    <row r="48" spans="1:4" ht="18" hidden="1" x14ac:dyDescent="0.3">
      <c r="A48" s="20" t="s">
        <v>104</v>
      </c>
      <c r="B48" s="8"/>
      <c r="C48" s="8"/>
      <c r="D48" s="8">
        <f t="shared" si="0"/>
        <v>0</v>
      </c>
    </row>
    <row r="49" spans="1:4" ht="18" hidden="1" x14ac:dyDescent="0.3">
      <c r="A49" s="12" t="s">
        <v>107</v>
      </c>
      <c r="B49" s="8"/>
      <c r="C49" s="8"/>
      <c r="D49" s="8">
        <f t="shared" si="0"/>
        <v>0</v>
      </c>
    </row>
    <row r="50" spans="1:4" ht="18" hidden="1" x14ac:dyDescent="0.3">
      <c r="A50" s="10" t="s">
        <v>109</v>
      </c>
      <c r="B50" s="8"/>
      <c r="C50" s="8"/>
      <c r="D50" s="8">
        <f t="shared" si="0"/>
        <v>0</v>
      </c>
    </row>
    <row r="51" spans="1:4" ht="18" hidden="1" x14ac:dyDescent="0.3">
      <c r="A51" s="10" t="s">
        <v>11</v>
      </c>
      <c r="B51" s="8"/>
      <c r="C51" s="8"/>
      <c r="D51" s="8">
        <f t="shared" si="0"/>
        <v>0</v>
      </c>
    </row>
    <row r="52" spans="1:4" ht="18" hidden="1" x14ac:dyDescent="0.3">
      <c r="A52" s="10" t="s">
        <v>12</v>
      </c>
      <c r="B52" s="8"/>
      <c r="C52" s="8"/>
      <c r="D52" s="8">
        <f t="shared" si="0"/>
        <v>0</v>
      </c>
    </row>
    <row r="53" spans="1:4" ht="18" hidden="1" x14ac:dyDescent="0.3">
      <c r="A53" s="13" t="s">
        <v>13</v>
      </c>
      <c r="B53" s="8"/>
      <c r="C53" s="8"/>
      <c r="D53" s="8">
        <f t="shared" si="0"/>
        <v>0</v>
      </c>
    </row>
    <row r="54" spans="1:4" ht="18" hidden="1" x14ac:dyDescent="0.3">
      <c r="A54" s="10" t="s">
        <v>165</v>
      </c>
      <c r="B54" s="8"/>
      <c r="C54" s="8"/>
      <c r="D54" s="8">
        <f t="shared" si="0"/>
        <v>0</v>
      </c>
    </row>
    <row r="55" spans="1:4" ht="18" hidden="1" x14ac:dyDescent="0.3">
      <c r="A55" s="18" t="s">
        <v>166</v>
      </c>
      <c r="B55" s="8"/>
      <c r="C55" s="8"/>
      <c r="D55" s="8">
        <f t="shared" si="0"/>
        <v>0</v>
      </c>
    </row>
    <row r="56" spans="1:4" ht="18" hidden="1" x14ac:dyDescent="0.3">
      <c r="A56" s="10" t="s">
        <v>199</v>
      </c>
      <c r="B56" s="8"/>
      <c r="C56" s="8"/>
      <c r="D56" s="8">
        <f t="shared" si="0"/>
        <v>0</v>
      </c>
    </row>
    <row r="57" spans="1:4" ht="18" hidden="1" x14ac:dyDescent="0.3">
      <c r="A57" s="38" t="s">
        <v>200</v>
      </c>
      <c r="B57" s="8"/>
      <c r="C57" s="8"/>
      <c r="D57" s="8">
        <f t="shared" si="0"/>
        <v>0</v>
      </c>
    </row>
    <row r="58" spans="1:4" ht="18" hidden="1" x14ac:dyDescent="0.3">
      <c r="A58" s="10" t="s">
        <v>237</v>
      </c>
      <c r="B58" s="8"/>
      <c r="C58" s="8"/>
      <c r="D58" s="8">
        <f t="shared" si="0"/>
        <v>0</v>
      </c>
    </row>
    <row r="59" spans="1:4" ht="18" hidden="1" x14ac:dyDescent="0.3">
      <c r="A59" s="10" t="s">
        <v>238</v>
      </c>
      <c r="B59" s="8"/>
      <c r="C59" s="8"/>
      <c r="D59" s="8">
        <f t="shared" si="0"/>
        <v>0</v>
      </c>
    </row>
    <row r="60" spans="1:4" ht="18" hidden="1" x14ac:dyDescent="0.3">
      <c r="A60" s="13" t="s">
        <v>20</v>
      </c>
      <c r="B60" s="8"/>
      <c r="C60" s="8"/>
      <c r="D60" s="8">
        <f t="shared" si="0"/>
        <v>0</v>
      </c>
    </row>
    <row r="61" spans="1:4" ht="18" hidden="1" x14ac:dyDescent="0.3">
      <c r="A61" s="13" t="s">
        <v>21</v>
      </c>
      <c r="B61" s="8"/>
      <c r="C61" s="8"/>
      <c r="D61" s="8">
        <f t="shared" si="0"/>
        <v>0</v>
      </c>
    </row>
    <row r="62" spans="1:4" ht="18" x14ac:dyDescent="0.3">
      <c r="A62" s="31" t="s">
        <v>173</v>
      </c>
      <c r="B62" s="8">
        <v>13</v>
      </c>
      <c r="C62" s="8">
        <v>18000</v>
      </c>
      <c r="D62" s="8">
        <f t="shared" si="0"/>
        <v>234000</v>
      </c>
    </row>
    <row r="63" spans="1:4" ht="18" hidden="1" x14ac:dyDescent="0.3">
      <c r="A63" s="34" t="s">
        <v>174</v>
      </c>
      <c r="B63" s="36"/>
      <c r="C63" s="36"/>
      <c r="D63" s="8">
        <f t="shared" si="0"/>
        <v>0</v>
      </c>
    </row>
    <row r="64" spans="1:4" ht="18" x14ac:dyDescent="0.3">
      <c r="A64" s="10" t="s">
        <v>27</v>
      </c>
      <c r="B64" s="8">
        <v>20</v>
      </c>
      <c r="C64" s="8">
        <v>12500</v>
      </c>
      <c r="D64" s="8">
        <f t="shared" si="0"/>
        <v>250000</v>
      </c>
    </row>
    <row r="65" spans="1:4" ht="18" hidden="1" x14ac:dyDescent="0.3">
      <c r="A65" s="13" t="s">
        <v>28</v>
      </c>
      <c r="B65" s="8"/>
      <c r="C65" s="8"/>
      <c r="D65" s="8">
        <f t="shared" si="0"/>
        <v>0</v>
      </c>
    </row>
    <row r="66" spans="1:4" ht="18" x14ac:dyDescent="0.3">
      <c r="A66" s="13" t="s">
        <v>35</v>
      </c>
      <c r="B66" s="8">
        <f>15+33+35</f>
        <v>83</v>
      </c>
      <c r="C66" s="8">
        <v>11000</v>
      </c>
      <c r="D66" s="8">
        <f t="shared" si="0"/>
        <v>913000</v>
      </c>
    </row>
    <row r="67" spans="1:4" ht="18" hidden="1" x14ac:dyDescent="0.3">
      <c r="A67" s="12" t="s">
        <v>412</v>
      </c>
      <c r="B67" s="17"/>
      <c r="C67" s="17"/>
      <c r="D67" s="8">
        <f t="shared" si="0"/>
        <v>0</v>
      </c>
    </row>
    <row r="68" spans="1:4" ht="18" x14ac:dyDescent="0.3">
      <c r="A68" s="10" t="s">
        <v>201</v>
      </c>
      <c r="B68" s="8">
        <f>50+340+100</f>
        <v>490</v>
      </c>
      <c r="C68" s="8">
        <v>18000</v>
      </c>
      <c r="D68" s="8">
        <f t="shared" ref="D68:D131" si="1">B68*C68</f>
        <v>8820000</v>
      </c>
    </row>
    <row r="69" spans="1:4" ht="18" x14ac:dyDescent="0.3">
      <c r="A69" s="13" t="s">
        <v>202</v>
      </c>
      <c r="B69" s="8">
        <v>320</v>
      </c>
      <c r="C69" s="8">
        <v>19000</v>
      </c>
      <c r="D69" s="8">
        <f t="shared" si="1"/>
        <v>6080000</v>
      </c>
    </row>
    <row r="70" spans="1:4" ht="18" hidden="1" x14ac:dyDescent="0.3">
      <c r="A70" s="10" t="s">
        <v>203</v>
      </c>
      <c r="B70" s="8"/>
      <c r="C70" s="8"/>
      <c r="D70" s="8">
        <f t="shared" si="1"/>
        <v>0</v>
      </c>
    </row>
    <row r="71" spans="1:4" ht="18" x14ac:dyDescent="0.3">
      <c r="A71" s="10" t="s">
        <v>274</v>
      </c>
      <c r="B71" s="8">
        <v>3</v>
      </c>
      <c r="C71" s="8">
        <v>16000</v>
      </c>
      <c r="D71" s="8">
        <f t="shared" si="1"/>
        <v>48000</v>
      </c>
    </row>
    <row r="72" spans="1:4" ht="18" hidden="1" x14ac:dyDescent="0.3">
      <c r="A72" s="10" t="s">
        <v>275</v>
      </c>
      <c r="B72" s="8"/>
      <c r="C72" s="8"/>
      <c r="D72" s="8">
        <f t="shared" si="1"/>
        <v>0</v>
      </c>
    </row>
    <row r="73" spans="1:4" ht="18" hidden="1" x14ac:dyDescent="0.3">
      <c r="A73" s="6" t="s">
        <v>2</v>
      </c>
      <c r="B73" s="8"/>
      <c r="C73" s="8"/>
      <c r="D73" s="8">
        <f t="shared" si="1"/>
        <v>0</v>
      </c>
    </row>
    <row r="74" spans="1:4" ht="18" hidden="1" x14ac:dyDescent="0.3">
      <c r="A74" s="9" t="s">
        <v>3</v>
      </c>
      <c r="B74" s="8"/>
      <c r="C74" s="8"/>
      <c r="D74" s="8">
        <f t="shared" si="1"/>
        <v>0</v>
      </c>
    </row>
    <row r="75" spans="1:4" ht="18" hidden="1" x14ac:dyDescent="0.3">
      <c r="A75" s="6" t="s">
        <v>4</v>
      </c>
      <c r="B75" s="8"/>
      <c r="C75" s="8"/>
      <c r="D75" s="8">
        <f t="shared" si="1"/>
        <v>0</v>
      </c>
    </row>
    <row r="76" spans="1:4" ht="18" hidden="1" x14ac:dyDescent="0.3">
      <c r="A76" s="18" t="s">
        <v>61</v>
      </c>
      <c r="B76" s="8"/>
      <c r="C76" s="8"/>
      <c r="D76" s="8">
        <f t="shared" si="1"/>
        <v>0</v>
      </c>
    </row>
    <row r="77" spans="1:4" ht="18" hidden="1" x14ac:dyDescent="0.3">
      <c r="A77" s="14" t="s">
        <v>298</v>
      </c>
      <c r="B77" s="8"/>
      <c r="C77" s="8"/>
      <c r="D77" s="8">
        <f t="shared" si="1"/>
        <v>0</v>
      </c>
    </row>
    <row r="78" spans="1:4" ht="18" x14ac:dyDescent="0.3">
      <c r="A78" s="14" t="s">
        <v>309</v>
      </c>
      <c r="B78" s="8">
        <v>5</v>
      </c>
      <c r="C78" s="8">
        <v>28000</v>
      </c>
      <c r="D78" s="8">
        <f t="shared" si="1"/>
        <v>140000</v>
      </c>
    </row>
    <row r="79" spans="1:4" ht="18" hidden="1" x14ac:dyDescent="0.3">
      <c r="A79" s="14" t="s">
        <v>310</v>
      </c>
      <c r="B79" s="8"/>
      <c r="C79" s="8"/>
      <c r="D79" s="8">
        <f t="shared" si="1"/>
        <v>0</v>
      </c>
    </row>
    <row r="80" spans="1:4" ht="18" hidden="1" x14ac:dyDescent="0.3">
      <c r="A80" s="14" t="s">
        <v>312</v>
      </c>
      <c r="B80" s="8"/>
      <c r="C80" s="8"/>
      <c r="D80" s="8">
        <f t="shared" si="1"/>
        <v>0</v>
      </c>
    </row>
    <row r="81" spans="1:4" ht="18" hidden="1" x14ac:dyDescent="0.3">
      <c r="A81" s="10" t="s">
        <v>321</v>
      </c>
      <c r="B81" s="42"/>
      <c r="C81" s="42"/>
      <c r="D81" s="8">
        <f t="shared" si="1"/>
        <v>0</v>
      </c>
    </row>
    <row r="82" spans="1:4" ht="18" hidden="1" x14ac:dyDescent="0.3">
      <c r="A82" s="10" t="s">
        <v>85</v>
      </c>
      <c r="B82" s="8"/>
      <c r="C82" s="8"/>
      <c r="D82" s="8">
        <f t="shared" si="1"/>
        <v>0</v>
      </c>
    </row>
    <row r="83" spans="1:4" ht="18" hidden="1" x14ac:dyDescent="0.3">
      <c r="A83" s="10" t="s">
        <v>86</v>
      </c>
      <c r="B83" s="8"/>
      <c r="C83" s="8"/>
      <c r="D83" s="8">
        <f t="shared" si="1"/>
        <v>0</v>
      </c>
    </row>
    <row r="84" spans="1:4" ht="18" hidden="1" x14ac:dyDescent="0.3">
      <c r="A84" s="10" t="s">
        <v>87</v>
      </c>
      <c r="B84" s="8"/>
      <c r="C84" s="8"/>
      <c r="D84" s="8">
        <f t="shared" si="1"/>
        <v>0</v>
      </c>
    </row>
    <row r="85" spans="1:4" ht="18" hidden="1" x14ac:dyDescent="0.3">
      <c r="A85" s="10" t="s">
        <v>88</v>
      </c>
      <c r="B85" s="8"/>
      <c r="C85" s="8"/>
      <c r="D85" s="8">
        <f t="shared" si="1"/>
        <v>0</v>
      </c>
    </row>
    <row r="86" spans="1:4" ht="18" hidden="1" x14ac:dyDescent="0.3">
      <c r="A86" s="10" t="s">
        <v>89</v>
      </c>
      <c r="B86" s="8"/>
      <c r="C86" s="8"/>
      <c r="D86" s="8">
        <f t="shared" si="1"/>
        <v>0</v>
      </c>
    </row>
    <row r="87" spans="1:4" ht="18" hidden="1" x14ac:dyDescent="0.3">
      <c r="A87" s="10" t="s">
        <v>176</v>
      </c>
      <c r="B87" s="8"/>
      <c r="C87" s="8"/>
      <c r="D87" s="8">
        <f t="shared" si="1"/>
        <v>0</v>
      </c>
    </row>
    <row r="88" spans="1:4" ht="18" hidden="1" x14ac:dyDescent="0.3">
      <c r="A88" s="39" t="s">
        <v>236</v>
      </c>
      <c r="B88" s="8"/>
      <c r="C88" s="8"/>
      <c r="D88" s="8">
        <f t="shared" si="1"/>
        <v>0</v>
      </c>
    </row>
    <row r="89" spans="1:4" ht="18" hidden="1" x14ac:dyDescent="0.3">
      <c r="A89" s="10" t="s">
        <v>242</v>
      </c>
      <c r="B89" s="8"/>
      <c r="C89" s="8"/>
      <c r="D89" s="8">
        <f t="shared" si="1"/>
        <v>0</v>
      </c>
    </row>
    <row r="90" spans="1:4" ht="18" hidden="1" x14ac:dyDescent="0.3">
      <c r="A90" s="10" t="s">
        <v>243</v>
      </c>
      <c r="B90" s="8"/>
      <c r="C90" s="8"/>
      <c r="D90" s="8">
        <f t="shared" si="1"/>
        <v>0</v>
      </c>
    </row>
    <row r="91" spans="1:4" ht="18" hidden="1" x14ac:dyDescent="0.3">
      <c r="A91" s="10" t="s">
        <v>265</v>
      </c>
      <c r="B91" s="17"/>
      <c r="C91" s="17"/>
      <c r="D91" s="8">
        <f t="shared" si="1"/>
        <v>0</v>
      </c>
    </row>
    <row r="92" spans="1:4" ht="18" hidden="1" x14ac:dyDescent="0.3">
      <c r="A92" s="14" t="s">
        <v>266</v>
      </c>
      <c r="B92" s="8"/>
      <c r="C92" s="8"/>
      <c r="D92" s="8">
        <f t="shared" si="1"/>
        <v>0</v>
      </c>
    </row>
    <row r="93" spans="1:4" ht="18" hidden="1" x14ac:dyDescent="0.3">
      <c r="A93" s="13" t="s">
        <v>296</v>
      </c>
      <c r="B93" s="8"/>
      <c r="C93" s="8"/>
      <c r="D93" s="8">
        <f t="shared" si="1"/>
        <v>0</v>
      </c>
    </row>
    <row r="94" spans="1:4" ht="18" hidden="1" x14ac:dyDescent="0.3">
      <c r="A94" s="18" t="s">
        <v>297</v>
      </c>
      <c r="B94" s="8"/>
      <c r="C94" s="8"/>
      <c r="D94" s="8">
        <f t="shared" si="1"/>
        <v>0</v>
      </c>
    </row>
    <row r="95" spans="1:4" ht="18" hidden="1" x14ac:dyDescent="0.3">
      <c r="A95" s="10" t="s">
        <v>122</v>
      </c>
      <c r="B95" s="8"/>
      <c r="C95" s="8"/>
      <c r="D95" s="8">
        <f t="shared" si="1"/>
        <v>0</v>
      </c>
    </row>
    <row r="96" spans="1:4" ht="18" hidden="1" x14ac:dyDescent="0.3">
      <c r="A96" s="18" t="s">
        <v>42</v>
      </c>
      <c r="B96" s="8"/>
      <c r="C96" s="8"/>
      <c r="D96" s="8">
        <f t="shared" si="1"/>
        <v>0</v>
      </c>
    </row>
    <row r="97" spans="1:4" ht="18" hidden="1" x14ac:dyDescent="0.3">
      <c r="A97" s="10" t="s">
        <v>43</v>
      </c>
      <c r="B97" s="8"/>
      <c r="C97" s="8"/>
      <c r="D97" s="8">
        <f t="shared" si="1"/>
        <v>0</v>
      </c>
    </row>
    <row r="98" spans="1:4" ht="18" hidden="1" x14ac:dyDescent="0.3">
      <c r="A98" s="10" t="s">
        <v>44</v>
      </c>
      <c r="B98" s="8"/>
      <c r="C98" s="8"/>
      <c r="D98" s="8">
        <f t="shared" si="1"/>
        <v>0</v>
      </c>
    </row>
    <row r="99" spans="1:4" ht="18" hidden="1" x14ac:dyDescent="0.3">
      <c r="A99" s="18" t="s">
        <v>284</v>
      </c>
      <c r="B99" s="8"/>
      <c r="C99" s="8"/>
      <c r="D99" s="8">
        <f t="shared" si="1"/>
        <v>0</v>
      </c>
    </row>
    <row r="100" spans="1:4" ht="18" hidden="1" x14ac:dyDescent="0.3">
      <c r="A100" s="18" t="s">
        <v>285</v>
      </c>
      <c r="B100" s="8"/>
      <c r="C100" s="8"/>
      <c r="D100" s="8">
        <f t="shared" si="1"/>
        <v>0</v>
      </c>
    </row>
    <row r="101" spans="1:4" ht="18" hidden="1" x14ac:dyDescent="0.3">
      <c r="A101" s="18" t="s">
        <v>286</v>
      </c>
      <c r="B101" s="8"/>
      <c r="C101" s="8"/>
      <c r="D101" s="8">
        <f t="shared" si="1"/>
        <v>0</v>
      </c>
    </row>
    <row r="102" spans="1:4" ht="18" hidden="1" x14ac:dyDescent="0.3">
      <c r="A102" s="26" t="s">
        <v>141</v>
      </c>
      <c r="B102" s="17"/>
      <c r="C102" s="17"/>
      <c r="D102" s="8">
        <f t="shared" si="1"/>
        <v>0</v>
      </c>
    </row>
    <row r="103" spans="1:4" ht="18" hidden="1" x14ac:dyDescent="0.3">
      <c r="A103" s="26" t="s">
        <v>142</v>
      </c>
      <c r="B103" s="17"/>
      <c r="C103" s="17"/>
      <c r="D103" s="8">
        <f t="shared" si="1"/>
        <v>0</v>
      </c>
    </row>
    <row r="104" spans="1:4" ht="18" hidden="1" x14ac:dyDescent="0.3">
      <c r="A104" s="26" t="s">
        <v>144</v>
      </c>
      <c r="B104" s="17"/>
      <c r="C104" s="17"/>
      <c r="D104" s="8">
        <f t="shared" si="1"/>
        <v>0</v>
      </c>
    </row>
    <row r="105" spans="1:4" ht="18" hidden="1" x14ac:dyDescent="0.3">
      <c r="A105" s="10" t="s">
        <v>145</v>
      </c>
      <c r="B105" s="17"/>
      <c r="C105" s="17"/>
      <c r="D105" s="8">
        <f t="shared" si="1"/>
        <v>0</v>
      </c>
    </row>
    <row r="106" spans="1:4" ht="18" hidden="1" x14ac:dyDescent="0.3">
      <c r="A106" s="10" t="s">
        <v>146</v>
      </c>
      <c r="B106" s="17"/>
      <c r="C106" s="17"/>
      <c r="D106" s="8">
        <f t="shared" si="1"/>
        <v>0</v>
      </c>
    </row>
    <row r="107" spans="1:4" ht="18" hidden="1" x14ac:dyDescent="0.3">
      <c r="A107" s="10" t="s">
        <v>147</v>
      </c>
      <c r="B107" s="17"/>
      <c r="C107" s="17"/>
      <c r="D107" s="8">
        <f t="shared" si="1"/>
        <v>0</v>
      </c>
    </row>
    <row r="108" spans="1:4" ht="18" hidden="1" x14ac:dyDescent="0.3">
      <c r="A108" s="10" t="s">
        <v>149</v>
      </c>
      <c r="B108" s="17"/>
      <c r="C108" s="17"/>
      <c r="D108" s="8">
        <f t="shared" si="1"/>
        <v>0</v>
      </c>
    </row>
    <row r="109" spans="1:4" ht="18" hidden="1" x14ac:dyDescent="0.3">
      <c r="A109" s="10" t="s">
        <v>150</v>
      </c>
      <c r="B109" s="17"/>
      <c r="C109" s="17"/>
      <c r="D109" s="8">
        <f t="shared" si="1"/>
        <v>0</v>
      </c>
    </row>
    <row r="110" spans="1:4" ht="18" hidden="1" x14ac:dyDescent="0.3">
      <c r="A110" s="10" t="s">
        <v>151</v>
      </c>
      <c r="B110" s="17"/>
      <c r="C110" s="17"/>
      <c r="D110" s="8">
        <f t="shared" si="1"/>
        <v>0</v>
      </c>
    </row>
    <row r="111" spans="1:4" ht="18" hidden="1" x14ac:dyDescent="0.3">
      <c r="A111" s="10" t="s">
        <v>161</v>
      </c>
      <c r="B111" s="17"/>
      <c r="C111" s="17"/>
      <c r="D111" s="8">
        <f t="shared" si="1"/>
        <v>0</v>
      </c>
    </row>
    <row r="112" spans="1:4" ht="18" hidden="1" x14ac:dyDescent="0.3">
      <c r="A112" s="10" t="s">
        <v>162</v>
      </c>
      <c r="B112" s="17"/>
      <c r="C112" s="17"/>
      <c r="D112" s="8">
        <f t="shared" si="1"/>
        <v>0</v>
      </c>
    </row>
    <row r="113" spans="1:4" ht="18" hidden="1" x14ac:dyDescent="0.3">
      <c r="A113" s="10" t="s">
        <v>163</v>
      </c>
      <c r="B113" s="17"/>
      <c r="C113" s="17"/>
      <c r="D113" s="8">
        <f t="shared" si="1"/>
        <v>0</v>
      </c>
    </row>
    <row r="114" spans="1:4" ht="18" hidden="1" x14ac:dyDescent="0.3">
      <c r="A114" s="13" t="s">
        <v>367</v>
      </c>
      <c r="B114" s="8"/>
      <c r="C114" s="8"/>
      <c r="D114" s="8">
        <f t="shared" si="1"/>
        <v>0</v>
      </c>
    </row>
    <row r="115" spans="1:4" ht="18" hidden="1" x14ac:dyDescent="0.3">
      <c r="A115" s="13" t="s">
        <v>52</v>
      </c>
      <c r="B115" s="8"/>
      <c r="C115" s="8"/>
      <c r="D115" s="8">
        <f t="shared" si="1"/>
        <v>0</v>
      </c>
    </row>
    <row r="116" spans="1:4" ht="18" x14ac:dyDescent="0.3">
      <c r="A116" s="10" t="s">
        <v>62</v>
      </c>
      <c r="B116" s="8">
        <f>70+80+80+20</f>
        <v>250</v>
      </c>
      <c r="C116" s="8">
        <v>16000</v>
      </c>
      <c r="D116" s="8">
        <f t="shared" si="1"/>
        <v>4000000</v>
      </c>
    </row>
    <row r="117" spans="1:4" ht="18" hidden="1" x14ac:dyDescent="0.3">
      <c r="A117" s="10" t="s">
        <v>75</v>
      </c>
      <c r="B117" s="8"/>
      <c r="C117" s="8"/>
      <c r="D117" s="8">
        <f t="shared" si="1"/>
        <v>0</v>
      </c>
    </row>
    <row r="118" spans="1:4" ht="18" hidden="1" x14ac:dyDescent="0.3">
      <c r="A118" s="10" t="s">
        <v>15</v>
      </c>
      <c r="B118" s="8"/>
      <c r="C118" s="8"/>
      <c r="D118" s="8">
        <f t="shared" si="1"/>
        <v>0</v>
      </c>
    </row>
    <row r="119" spans="1:4" ht="18" hidden="1" x14ac:dyDescent="0.3">
      <c r="A119" s="10" t="s">
        <v>272</v>
      </c>
      <c r="B119" s="8"/>
      <c r="C119" s="8"/>
      <c r="D119" s="8">
        <f t="shared" si="1"/>
        <v>0</v>
      </c>
    </row>
    <row r="120" spans="1:4" ht="18" x14ac:dyDescent="0.3">
      <c r="A120" s="10" t="s">
        <v>19</v>
      </c>
      <c r="B120" s="8">
        <v>200</v>
      </c>
      <c r="C120" s="8">
        <v>13000</v>
      </c>
      <c r="D120" s="8">
        <f t="shared" si="1"/>
        <v>2600000</v>
      </c>
    </row>
    <row r="121" spans="1:4" ht="18" hidden="1" x14ac:dyDescent="0.3">
      <c r="A121" s="10" t="s">
        <v>40</v>
      </c>
      <c r="B121" s="8"/>
      <c r="C121" s="8"/>
      <c r="D121" s="8">
        <f t="shared" si="1"/>
        <v>0</v>
      </c>
    </row>
    <row r="122" spans="1:4" ht="18" hidden="1" x14ac:dyDescent="0.3">
      <c r="A122" s="12" t="s">
        <v>48</v>
      </c>
      <c r="B122" s="8"/>
      <c r="C122" s="8"/>
      <c r="D122" s="8">
        <f t="shared" si="1"/>
        <v>0</v>
      </c>
    </row>
    <row r="123" spans="1:4" ht="18" hidden="1" x14ac:dyDescent="0.3">
      <c r="A123" s="14" t="s">
        <v>49</v>
      </c>
      <c r="B123" s="8"/>
      <c r="C123" s="8"/>
      <c r="D123" s="8">
        <f t="shared" si="1"/>
        <v>0</v>
      </c>
    </row>
    <row r="124" spans="1:4" ht="18" hidden="1" x14ac:dyDescent="0.3">
      <c r="A124" s="11" t="s">
        <v>124</v>
      </c>
      <c r="B124" s="8"/>
      <c r="C124" s="8"/>
      <c r="D124" s="8">
        <f t="shared" si="1"/>
        <v>0</v>
      </c>
    </row>
    <row r="125" spans="1:4" ht="18" hidden="1" x14ac:dyDescent="0.3">
      <c r="A125" s="14" t="s">
        <v>125</v>
      </c>
      <c r="B125" s="8"/>
      <c r="C125" s="8"/>
      <c r="D125" s="8">
        <f t="shared" si="1"/>
        <v>0</v>
      </c>
    </row>
    <row r="126" spans="1:4" ht="18" hidden="1" x14ac:dyDescent="0.3">
      <c r="A126" s="13" t="s">
        <v>126</v>
      </c>
      <c r="B126" s="17"/>
      <c r="C126" s="17"/>
      <c r="D126" s="8">
        <f t="shared" si="1"/>
        <v>0</v>
      </c>
    </row>
    <row r="127" spans="1:4" ht="18" hidden="1" x14ac:dyDescent="0.3">
      <c r="A127" s="13" t="s">
        <v>127</v>
      </c>
      <c r="B127" s="17"/>
      <c r="C127" s="17"/>
      <c r="D127" s="8">
        <f t="shared" si="1"/>
        <v>0</v>
      </c>
    </row>
    <row r="128" spans="1:4" ht="18" hidden="1" x14ac:dyDescent="0.3">
      <c r="A128" s="13" t="s">
        <v>128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129</v>
      </c>
      <c r="B129" s="29"/>
      <c r="C129" s="29"/>
      <c r="D129" s="8">
        <f t="shared" si="1"/>
        <v>0</v>
      </c>
    </row>
    <row r="130" spans="1:4" ht="18" hidden="1" x14ac:dyDescent="0.3">
      <c r="A130" s="10" t="s">
        <v>148</v>
      </c>
      <c r="B130" s="17"/>
      <c r="C130" s="17"/>
      <c r="D130" s="8">
        <f t="shared" si="1"/>
        <v>0</v>
      </c>
    </row>
    <row r="131" spans="1:4" ht="18" hidden="1" x14ac:dyDescent="0.3">
      <c r="A131" s="18" t="s">
        <v>218</v>
      </c>
      <c r="B131" s="8"/>
      <c r="C131" s="8"/>
      <c r="D131" s="8">
        <f t="shared" si="1"/>
        <v>0</v>
      </c>
    </row>
    <row r="132" spans="1:4" ht="18" hidden="1" x14ac:dyDescent="0.3">
      <c r="A132" s="18" t="s">
        <v>219</v>
      </c>
      <c r="B132" s="8"/>
      <c r="C132" s="8"/>
      <c r="D132" s="8">
        <f t="shared" ref="D132:D195" si="2">B132*C132</f>
        <v>0</v>
      </c>
    </row>
    <row r="133" spans="1:4" ht="18" hidden="1" x14ac:dyDescent="0.3">
      <c r="A133" s="18" t="s">
        <v>220</v>
      </c>
      <c r="B133" s="8"/>
      <c r="C133" s="8"/>
      <c r="D133" s="8">
        <f t="shared" si="2"/>
        <v>0</v>
      </c>
    </row>
    <row r="134" spans="1:4" ht="18" hidden="1" x14ac:dyDescent="0.3">
      <c r="A134" s="18" t="s">
        <v>221</v>
      </c>
      <c r="B134" s="8"/>
      <c r="C134" s="8"/>
      <c r="D134" s="8">
        <f t="shared" si="2"/>
        <v>0</v>
      </c>
    </row>
    <row r="135" spans="1:4" ht="18" hidden="1" x14ac:dyDescent="0.3">
      <c r="A135" s="10" t="s">
        <v>222</v>
      </c>
      <c r="B135" s="8"/>
      <c r="C135" s="8"/>
      <c r="D135" s="8">
        <f t="shared" si="2"/>
        <v>0</v>
      </c>
    </row>
    <row r="136" spans="1:4" ht="18" hidden="1" x14ac:dyDescent="0.3">
      <c r="A136" s="10" t="s">
        <v>223</v>
      </c>
      <c r="B136" s="8"/>
      <c r="C136" s="8"/>
      <c r="D136" s="8">
        <f t="shared" si="2"/>
        <v>0</v>
      </c>
    </row>
    <row r="137" spans="1:4" ht="18" hidden="1" x14ac:dyDescent="0.3">
      <c r="A137" s="18" t="s">
        <v>224</v>
      </c>
      <c r="B137" s="8"/>
      <c r="C137" s="8"/>
      <c r="D137" s="8">
        <f t="shared" si="2"/>
        <v>0</v>
      </c>
    </row>
    <row r="138" spans="1:4" ht="18" hidden="1" x14ac:dyDescent="0.3">
      <c r="A138" s="18" t="s">
        <v>225</v>
      </c>
      <c r="B138" s="8"/>
      <c r="C138" s="8"/>
      <c r="D138" s="8">
        <f t="shared" si="2"/>
        <v>0</v>
      </c>
    </row>
    <row r="139" spans="1:4" ht="18" hidden="1" x14ac:dyDescent="0.3">
      <c r="A139" s="10" t="s">
        <v>244</v>
      </c>
      <c r="B139" s="17"/>
      <c r="C139" s="17"/>
      <c r="D139" s="8">
        <f t="shared" si="2"/>
        <v>0</v>
      </c>
    </row>
    <row r="140" spans="1:4" ht="18" hidden="1" x14ac:dyDescent="0.3">
      <c r="A140" s="10" t="s">
        <v>246</v>
      </c>
      <c r="B140" s="17"/>
      <c r="C140" s="17"/>
      <c r="D140" s="8">
        <f t="shared" si="2"/>
        <v>0</v>
      </c>
    </row>
    <row r="141" spans="1:4" ht="18" hidden="1" x14ac:dyDescent="0.3">
      <c r="A141" s="13" t="s">
        <v>281</v>
      </c>
      <c r="B141" s="17"/>
      <c r="C141" s="17"/>
      <c r="D141" s="8">
        <f t="shared" si="2"/>
        <v>0</v>
      </c>
    </row>
    <row r="142" spans="1:4" ht="18" hidden="1" x14ac:dyDescent="0.3">
      <c r="A142" s="13" t="s">
        <v>282</v>
      </c>
      <c r="B142" s="8"/>
      <c r="C142" s="8"/>
      <c r="D142" s="8">
        <f t="shared" si="2"/>
        <v>0</v>
      </c>
    </row>
    <row r="143" spans="1:4" ht="18" x14ac:dyDescent="0.3">
      <c r="A143" s="10" t="s">
        <v>293</v>
      </c>
      <c r="B143" s="8">
        <f>45+40+10</f>
        <v>95</v>
      </c>
      <c r="C143" s="8">
        <v>13000</v>
      </c>
      <c r="D143" s="8">
        <f t="shared" si="2"/>
        <v>1235000</v>
      </c>
    </row>
    <row r="144" spans="1:4" ht="18" hidden="1" x14ac:dyDescent="0.3">
      <c r="A144" s="14" t="s">
        <v>294</v>
      </c>
      <c r="B144" s="8"/>
      <c r="C144" s="8"/>
      <c r="D144" s="8">
        <f t="shared" si="2"/>
        <v>0</v>
      </c>
    </row>
    <row r="145" spans="1:4" ht="18" hidden="1" x14ac:dyDescent="0.3">
      <c r="A145" s="13" t="s">
        <v>304</v>
      </c>
      <c r="B145" s="8"/>
      <c r="C145" s="8"/>
      <c r="D145" s="8">
        <f t="shared" si="2"/>
        <v>0</v>
      </c>
    </row>
    <row r="146" spans="1:4" ht="18" hidden="1" x14ac:dyDescent="0.3">
      <c r="A146" s="10" t="s">
        <v>204</v>
      </c>
      <c r="B146" s="8"/>
      <c r="C146" s="8"/>
      <c r="D146" s="8">
        <f t="shared" si="2"/>
        <v>0</v>
      </c>
    </row>
    <row r="147" spans="1:4" ht="18" hidden="1" x14ac:dyDescent="0.3">
      <c r="A147" s="39" t="s">
        <v>205</v>
      </c>
      <c r="B147" s="8"/>
      <c r="C147" s="8"/>
      <c r="D147" s="8">
        <f t="shared" si="2"/>
        <v>0</v>
      </c>
    </row>
    <row r="148" spans="1:4" ht="18" hidden="1" x14ac:dyDescent="0.3">
      <c r="A148" s="39" t="s">
        <v>206</v>
      </c>
      <c r="B148" s="8"/>
      <c r="C148" s="8"/>
      <c r="D148" s="8">
        <f t="shared" si="2"/>
        <v>0</v>
      </c>
    </row>
    <row r="149" spans="1:4" ht="18" hidden="1" x14ac:dyDescent="0.3">
      <c r="A149" s="10" t="s">
        <v>41</v>
      </c>
      <c r="B149" s="8"/>
      <c r="C149" s="8"/>
      <c r="D149" s="8">
        <f t="shared" si="2"/>
        <v>0</v>
      </c>
    </row>
    <row r="150" spans="1:4" ht="18" hidden="1" x14ac:dyDescent="0.3">
      <c r="A150" s="10" t="s">
        <v>278</v>
      </c>
      <c r="B150" s="8"/>
      <c r="C150" s="8"/>
      <c r="D150" s="8">
        <f t="shared" si="2"/>
        <v>0</v>
      </c>
    </row>
    <row r="151" spans="1:4" ht="18" hidden="1" x14ac:dyDescent="0.3">
      <c r="A151" s="10" t="s">
        <v>53</v>
      </c>
      <c r="B151" s="8"/>
      <c r="C151" s="8"/>
      <c r="D151" s="8">
        <f t="shared" si="2"/>
        <v>0</v>
      </c>
    </row>
    <row r="152" spans="1:4" ht="18" hidden="1" x14ac:dyDescent="0.3">
      <c r="A152" s="18" t="s">
        <v>54</v>
      </c>
      <c r="B152" s="8"/>
      <c r="C152" s="8"/>
      <c r="D152" s="8">
        <f t="shared" si="2"/>
        <v>0</v>
      </c>
    </row>
    <row r="153" spans="1:4" ht="18" hidden="1" x14ac:dyDescent="0.3">
      <c r="A153" s="18" t="s">
        <v>55</v>
      </c>
      <c r="B153" s="8"/>
      <c r="C153" s="8"/>
      <c r="D153" s="8">
        <f t="shared" si="2"/>
        <v>0</v>
      </c>
    </row>
    <row r="154" spans="1:4" ht="18" hidden="1" x14ac:dyDescent="0.3">
      <c r="A154" s="18" t="s">
        <v>56</v>
      </c>
      <c r="B154" s="8"/>
      <c r="C154" s="8"/>
      <c r="D154" s="8">
        <f t="shared" si="2"/>
        <v>0</v>
      </c>
    </row>
    <row r="155" spans="1:4" ht="18" hidden="1" x14ac:dyDescent="0.3">
      <c r="A155" s="10" t="s">
        <v>57</v>
      </c>
      <c r="B155" s="8"/>
      <c r="C155" s="8"/>
      <c r="D155" s="8">
        <f t="shared" si="2"/>
        <v>0</v>
      </c>
    </row>
    <row r="156" spans="1:4" ht="18" hidden="1" x14ac:dyDescent="0.3">
      <c r="A156" s="12" t="s">
        <v>58</v>
      </c>
      <c r="B156" s="8"/>
      <c r="C156" s="8"/>
      <c r="D156" s="8">
        <f t="shared" si="2"/>
        <v>0</v>
      </c>
    </row>
    <row r="157" spans="1:4" ht="18" hidden="1" x14ac:dyDescent="0.3">
      <c r="A157" s="10" t="s">
        <v>59</v>
      </c>
      <c r="B157" s="8"/>
      <c r="C157" s="8"/>
      <c r="D157" s="8">
        <f t="shared" si="2"/>
        <v>0</v>
      </c>
    </row>
    <row r="158" spans="1:4" ht="18" hidden="1" x14ac:dyDescent="0.3">
      <c r="A158" s="31" t="s">
        <v>60</v>
      </c>
      <c r="B158" s="8"/>
      <c r="C158" s="8"/>
      <c r="D158" s="8">
        <f t="shared" si="2"/>
        <v>0</v>
      </c>
    </row>
    <row r="159" spans="1:4" ht="18" hidden="1" x14ac:dyDescent="0.3">
      <c r="A159" s="10" t="s">
        <v>64</v>
      </c>
      <c r="B159" s="8"/>
      <c r="C159" s="8"/>
      <c r="D159" s="8">
        <f t="shared" si="2"/>
        <v>0</v>
      </c>
    </row>
    <row r="160" spans="1:4" ht="18" hidden="1" x14ac:dyDescent="0.3">
      <c r="A160" s="10" t="s">
        <v>65</v>
      </c>
      <c r="B160" s="8"/>
      <c r="C160" s="8"/>
      <c r="D160" s="8">
        <f t="shared" si="2"/>
        <v>0</v>
      </c>
    </row>
    <row r="161" spans="1:4" ht="18" hidden="1" x14ac:dyDescent="0.3">
      <c r="A161" s="22" t="s">
        <v>66</v>
      </c>
      <c r="B161" s="8"/>
      <c r="C161" s="8"/>
      <c r="D161" s="8">
        <f t="shared" si="2"/>
        <v>0</v>
      </c>
    </row>
    <row r="162" spans="1:4" ht="18" hidden="1" x14ac:dyDescent="0.3">
      <c r="A162" s="10" t="s">
        <v>140</v>
      </c>
      <c r="B162" s="8"/>
      <c r="C162" s="8"/>
      <c r="D162" s="8">
        <f t="shared" si="2"/>
        <v>0</v>
      </c>
    </row>
    <row r="163" spans="1:4" ht="18" hidden="1" x14ac:dyDescent="0.3">
      <c r="A163" s="10" t="s">
        <v>152</v>
      </c>
      <c r="B163" s="8"/>
      <c r="C163" s="8"/>
      <c r="D163" s="8">
        <f t="shared" si="2"/>
        <v>0</v>
      </c>
    </row>
    <row r="164" spans="1:4" ht="18" hidden="1" x14ac:dyDescent="0.3">
      <c r="A164" s="10" t="s">
        <v>153</v>
      </c>
      <c r="B164" s="8"/>
      <c r="C164" s="8"/>
      <c r="D164" s="8">
        <f t="shared" si="2"/>
        <v>0</v>
      </c>
    </row>
    <row r="165" spans="1:4" ht="18" hidden="1" x14ac:dyDescent="0.3">
      <c r="A165" s="10" t="s">
        <v>154</v>
      </c>
      <c r="B165" s="8"/>
      <c r="C165" s="8"/>
      <c r="D165" s="8">
        <f t="shared" si="2"/>
        <v>0</v>
      </c>
    </row>
    <row r="166" spans="1:4" ht="18" hidden="1" x14ac:dyDescent="0.3">
      <c r="A166" s="10" t="s">
        <v>155</v>
      </c>
      <c r="B166" s="8"/>
      <c r="C166" s="8"/>
      <c r="D166" s="8">
        <f t="shared" si="2"/>
        <v>0</v>
      </c>
    </row>
    <row r="167" spans="1:4" ht="18" hidden="1" x14ac:dyDescent="0.3">
      <c r="A167" s="18" t="s">
        <v>156</v>
      </c>
      <c r="B167" s="8"/>
      <c r="C167" s="8"/>
      <c r="D167" s="8">
        <f t="shared" si="2"/>
        <v>0</v>
      </c>
    </row>
    <row r="168" spans="1:4" ht="18" x14ac:dyDescent="0.3">
      <c r="A168" s="10" t="s">
        <v>77</v>
      </c>
      <c r="B168" s="8">
        <v>60</v>
      </c>
      <c r="C168" s="8">
        <v>25000</v>
      </c>
      <c r="D168" s="8">
        <f t="shared" si="2"/>
        <v>1500000</v>
      </c>
    </row>
    <row r="169" spans="1:4" ht="18" hidden="1" x14ac:dyDescent="0.3">
      <c r="A169" s="14" t="s">
        <v>78</v>
      </c>
      <c r="B169" s="8"/>
      <c r="C169" s="8"/>
      <c r="D169" s="8">
        <f t="shared" si="2"/>
        <v>0</v>
      </c>
    </row>
    <row r="170" spans="1:4" ht="18" hidden="1" x14ac:dyDescent="0.3">
      <c r="A170" s="10" t="s">
        <v>79</v>
      </c>
      <c r="B170" s="8"/>
      <c r="C170" s="8"/>
      <c r="D170" s="8">
        <f t="shared" si="2"/>
        <v>0</v>
      </c>
    </row>
    <row r="171" spans="1:4" ht="18" x14ac:dyDescent="0.3">
      <c r="A171" s="10" t="s">
        <v>80</v>
      </c>
      <c r="B171" s="8">
        <v>15</v>
      </c>
      <c r="C171" s="8">
        <v>21000</v>
      </c>
      <c r="D171" s="8">
        <f t="shared" si="2"/>
        <v>315000</v>
      </c>
    </row>
    <row r="172" spans="1:4" ht="18" hidden="1" x14ac:dyDescent="0.3">
      <c r="A172" s="10" t="s">
        <v>81</v>
      </c>
      <c r="B172" s="8"/>
      <c r="C172" s="8"/>
      <c r="D172" s="8">
        <f t="shared" si="2"/>
        <v>0</v>
      </c>
    </row>
    <row r="173" spans="1:4" ht="18" hidden="1" x14ac:dyDescent="0.3">
      <c r="A173" s="14" t="s">
        <v>95</v>
      </c>
      <c r="B173" s="8"/>
      <c r="C173" s="8"/>
      <c r="D173" s="8">
        <f t="shared" si="2"/>
        <v>0</v>
      </c>
    </row>
    <row r="174" spans="1:4" ht="18" hidden="1" x14ac:dyDescent="0.3">
      <c r="A174" s="10" t="s">
        <v>306</v>
      </c>
      <c r="B174" s="8"/>
      <c r="C174" s="8"/>
      <c r="D174" s="8">
        <f t="shared" si="2"/>
        <v>0</v>
      </c>
    </row>
    <row r="175" spans="1:4" ht="18" hidden="1" x14ac:dyDescent="0.3">
      <c r="A175" s="13" t="s">
        <v>320</v>
      </c>
      <c r="B175" s="8"/>
      <c r="C175" s="8"/>
      <c r="D175" s="8">
        <f t="shared" si="2"/>
        <v>0</v>
      </c>
    </row>
    <row r="176" spans="1:4" ht="18" hidden="1" x14ac:dyDescent="0.3">
      <c r="A176" s="10" t="s">
        <v>323</v>
      </c>
      <c r="B176" s="8"/>
      <c r="C176" s="8"/>
      <c r="D176" s="8">
        <f t="shared" si="2"/>
        <v>0</v>
      </c>
    </row>
    <row r="177" spans="1:4" ht="18" hidden="1" x14ac:dyDescent="0.3">
      <c r="A177" s="23" t="s">
        <v>92</v>
      </c>
      <c r="B177" s="8"/>
      <c r="C177" s="8"/>
      <c r="D177" s="8">
        <f t="shared" si="2"/>
        <v>0</v>
      </c>
    </row>
    <row r="178" spans="1:4" ht="18" hidden="1" x14ac:dyDescent="0.3">
      <c r="A178" s="23" t="s">
        <v>93</v>
      </c>
      <c r="B178" s="8"/>
      <c r="C178" s="8"/>
      <c r="D178" s="8">
        <f t="shared" si="2"/>
        <v>0</v>
      </c>
    </row>
    <row r="179" spans="1:4" ht="18" hidden="1" x14ac:dyDescent="0.3">
      <c r="A179" s="12" t="s">
        <v>94</v>
      </c>
      <c r="B179" s="8"/>
      <c r="C179" s="8"/>
      <c r="D179" s="8">
        <f t="shared" si="2"/>
        <v>0</v>
      </c>
    </row>
    <row r="180" spans="1:4" ht="18" hidden="1" x14ac:dyDescent="0.3">
      <c r="A180" s="13" t="s">
        <v>181</v>
      </c>
      <c r="B180" s="8"/>
      <c r="C180" s="8"/>
      <c r="D180" s="8">
        <f t="shared" si="2"/>
        <v>0</v>
      </c>
    </row>
    <row r="181" spans="1:4" ht="18" hidden="1" x14ac:dyDescent="0.3">
      <c r="A181" s="13" t="s">
        <v>182</v>
      </c>
      <c r="B181" s="8"/>
      <c r="C181" s="8"/>
      <c r="D181" s="8">
        <f t="shared" si="2"/>
        <v>0</v>
      </c>
    </row>
    <row r="182" spans="1:4" ht="18" x14ac:dyDescent="0.3">
      <c r="A182" s="13" t="s">
        <v>183</v>
      </c>
      <c r="B182" s="8">
        <f>115+120</f>
        <v>235</v>
      </c>
      <c r="C182" s="8">
        <v>6000</v>
      </c>
      <c r="D182" s="8">
        <f t="shared" si="2"/>
        <v>1410000</v>
      </c>
    </row>
    <row r="183" spans="1:4" ht="18" hidden="1" x14ac:dyDescent="0.3">
      <c r="A183" s="10" t="s">
        <v>184</v>
      </c>
      <c r="B183" s="8"/>
      <c r="C183" s="8"/>
      <c r="D183" s="8">
        <f t="shared" si="2"/>
        <v>0</v>
      </c>
    </row>
    <row r="184" spans="1:4" ht="18" hidden="1" x14ac:dyDescent="0.3">
      <c r="A184" s="13" t="s">
        <v>185</v>
      </c>
      <c r="B184" s="8"/>
      <c r="C184" s="8"/>
      <c r="D184" s="8">
        <f t="shared" si="2"/>
        <v>0</v>
      </c>
    </row>
    <row r="185" spans="1:4" ht="18" x14ac:dyDescent="0.3">
      <c r="A185" s="13" t="s">
        <v>186</v>
      </c>
      <c r="B185" s="8">
        <v>12</v>
      </c>
      <c r="C185" s="8">
        <v>20000</v>
      </c>
      <c r="D185" s="8">
        <f t="shared" si="2"/>
        <v>240000</v>
      </c>
    </row>
    <row r="186" spans="1:4" ht="18" hidden="1" x14ac:dyDescent="0.3">
      <c r="A186" s="13" t="s">
        <v>187</v>
      </c>
      <c r="B186" s="8"/>
      <c r="C186" s="8"/>
      <c r="D186" s="8">
        <f t="shared" si="2"/>
        <v>0</v>
      </c>
    </row>
    <row r="187" spans="1:4" ht="18" hidden="1" x14ac:dyDescent="0.3">
      <c r="A187" s="10" t="s">
        <v>188</v>
      </c>
      <c r="B187" s="8"/>
      <c r="C187" s="8"/>
      <c r="D187" s="8">
        <f t="shared" si="2"/>
        <v>0</v>
      </c>
    </row>
    <row r="188" spans="1:4" ht="18" x14ac:dyDescent="0.3">
      <c r="A188" s="10" t="s">
        <v>210</v>
      </c>
      <c r="B188" s="8">
        <v>15</v>
      </c>
      <c r="C188" s="8">
        <v>10000</v>
      </c>
      <c r="D188" s="8">
        <f t="shared" si="2"/>
        <v>150000</v>
      </c>
    </row>
    <row r="189" spans="1:4" ht="18" hidden="1" x14ac:dyDescent="0.3">
      <c r="A189" s="10" t="s">
        <v>211</v>
      </c>
      <c r="B189" s="8"/>
      <c r="C189" s="8"/>
      <c r="D189" s="8">
        <f t="shared" si="2"/>
        <v>0</v>
      </c>
    </row>
    <row r="190" spans="1:4" ht="18" hidden="1" x14ac:dyDescent="0.3">
      <c r="A190" s="10" t="s">
        <v>105</v>
      </c>
      <c r="B190" s="8"/>
      <c r="C190" s="8"/>
      <c r="D190" s="8">
        <f t="shared" si="2"/>
        <v>0</v>
      </c>
    </row>
    <row r="191" spans="1:4" ht="18" hidden="1" x14ac:dyDescent="0.3">
      <c r="A191" s="10" t="s">
        <v>106</v>
      </c>
      <c r="B191" s="8"/>
      <c r="C191" s="8"/>
      <c r="D191" s="8">
        <f t="shared" si="2"/>
        <v>0</v>
      </c>
    </row>
    <row r="192" spans="1:4" ht="18" hidden="1" x14ac:dyDescent="0.3">
      <c r="A192" s="10" t="s">
        <v>90</v>
      </c>
      <c r="B192" s="8"/>
      <c r="C192" s="8"/>
      <c r="D192" s="8">
        <f t="shared" si="2"/>
        <v>0</v>
      </c>
    </row>
    <row r="193" spans="1:4" ht="18" hidden="1" x14ac:dyDescent="0.3">
      <c r="A193" s="23" t="s">
        <v>91</v>
      </c>
      <c r="B193" s="8"/>
      <c r="C193" s="8"/>
      <c r="D193" s="8">
        <f t="shared" si="2"/>
        <v>0</v>
      </c>
    </row>
    <row r="194" spans="1:4" ht="18" hidden="1" x14ac:dyDescent="0.3">
      <c r="A194" s="6" t="s">
        <v>5</v>
      </c>
      <c r="B194" s="8"/>
      <c r="C194" s="8"/>
      <c r="D194" s="8">
        <f t="shared" si="2"/>
        <v>0</v>
      </c>
    </row>
    <row r="195" spans="1:4" ht="18" hidden="1" x14ac:dyDescent="0.3">
      <c r="A195" s="10" t="s">
        <v>6</v>
      </c>
      <c r="B195" s="8"/>
      <c r="C195" s="8"/>
      <c r="D195" s="8">
        <f t="shared" si="2"/>
        <v>0</v>
      </c>
    </row>
    <row r="196" spans="1:4" ht="18" hidden="1" x14ac:dyDescent="0.3">
      <c r="A196" s="6" t="s">
        <v>9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13" t="s">
        <v>167</v>
      </c>
      <c r="B197" s="8"/>
      <c r="C197" s="8"/>
      <c r="D197" s="8">
        <f t="shared" si="3"/>
        <v>0</v>
      </c>
    </row>
    <row r="198" spans="1:4" ht="18" hidden="1" x14ac:dyDescent="0.3">
      <c r="A198" s="10" t="s">
        <v>168</v>
      </c>
      <c r="B198" s="8"/>
      <c r="C198" s="48"/>
      <c r="D198" s="8">
        <f t="shared" si="3"/>
        <v>0</v>
      </c>
    </row>
    <row r="199" spans="1:4" ht="18" hidden="1" x14ac:dyDescent="0.3">
      <c r="A199" s="33" t="s">
        <v>169</v>
      </c>
      <c r="B199" s="8"/>
      <c r="C199" s="8"/>
      <c r="D199" s="8">
        <f t="shared" si="3"/>
        <v>0</v>
      </c>
    </row>
    <row r="200" spans="1:4" ht="18" hidden="1" x14ac:dyDescent="0.3">
      <c r="A200" s="10" t="s">
        <v>170</v>
      </c>
      <c r="B200" s="8"/>
      <c r="C200" s="8"/>
      <c r="D200" s="8">
        <f t="shared" si="3"/>
        <v>0</v>
      </c>
    </row>
    <row r="201" spans="1:4" ht="18" hidden="1" x14ac:dyDescent="0.3">
      <c r="A201" s="10" t="s">
        <v>171</v>
      </c>
      <c r="B201" s="8"/>
      <c r="C201" s="8"/>
      <c r="D201" s="8">
        <f t="shared" si="3"/>
        <v>0</v>
      </c>
    </row>
    <row r="202" spans="1:4" ht="18" hidden="1" x14ac:dyDescent="0.3">
      <c r="A202" s="22" t="s">
        <v>172</v>
      </c>
      <c r="B202" s="8"/>
      <c r="C202" s="8"/>
      <c r="D202" s="8">
        <f t="shared" si="3"/>
        <v>0</v>
      </c>
    </row>
    <row r="203" spans="1:4" ht="18" hidden="1" x14ac:dyDescent="0.3">
      <c r="A203" s="13" t="s">
        <v>227</v>
      </c>
      <c r="B203" s="8"/>
      <c r="C203" s="8"/>
      <c r="D203" s="8">
        <f t="shared" si="3"/>
        <v>0</v>
      </c>
    </row>
    <row r="204" spans="1:4" ht="18" x14ac:dyDescent="0.3">
      <c r="A204" s="13" t="s">
        <v>14</v>
      </c>
      <c r="B204" s="8">
        <v>5</v>
      </c>
      <c r="C204" s="8">
        <v>18000</v>
      </c>
      <c r="D204" s="8">
        <f t="shared" si="3"/>
        <v>90000</v>
      </c>
    </row>
    <row r="205" spans="1:4" ht="18" hidden="1" x14ac:dyDescent="0.3">
      <c r="A205" s="12" t="s">
        <v>98</v>
      </c>
      <c r="B205" s="8"/>
      <c r="C205" s="8"/>
      <c r="D205" s="8">
        <f t="shared" si="3"/>
        <v>0</v>
      </c>
    </row>
    <row r="206" spans="1:4" ht="18" hidden="1" x14ac:dyDescent="0.3">
      <c r="A206" s="10" t="s">
        <v>113</v>
      </c>
      <c r="B206" s="8"/>
      <c r="C206" s="8"/>
      <c r="D206" s="8">
        <f t="shared" si="3"/>
        <v>0</v>
      </c>
    </row>
    <row r="207" spans="1:4" ht="18" hidden="1" x14ac:dyDescent="0.3">
      <c r="A207" s="10" t="s">
        <v>114</v>
      </c>
      <c r="B207" s="8"/>
      <c r="C207" s="8"/>
      <c r="D207" s="8">
        <f t="shared" si="3"/>
        <v>0</v>
      </c>
    </row>
    <row r="208" spans="1:4" ht="18" hidden="1" x14ac:dyDescent="0.3">
      <c r="A208" s="10" t="s">
        <v>115</v>
      </c>
      <c r="B208" s="8"/>
      <c r="C208" s="8"/>
      <c r="D208" s="8">
        <f t="shared" si="3"/>
        <v>0</v>
      </c>
    </row>
    <row r="209" spans="1:4" ht="18" hidden="1" x14ac:dyDescent="0.3">
      <c r="A209" s="10" t="s">
        <v>116</v>
      </c>
      <c r="B209" s="8"/>
      <c r="C209" s="8"/>
      <c r="D209" s="8">
        <f t="shared" si="3"/>
        <v>0</v>
      </c>
    </row>
    <row r="210" spans="1:4" ht="18" hidden="1" x14ac:dyDescent="0.3">
      <c r="A210" s="10" t="s">
        <v>123</v>
      </c>
      <c r="B210" s="8"/>
      <c r="C210" s="8"/>
      <c r="D210" s="8">
        <f t="shared" si="3"/>
        <v>0</v>
      </c>
    </row>
    <row r="211" spans="1:4" ht="18" hidden="1" x14ac:dyDescent="0.3">
      <c r="A211" s="10" t="s">
        <v>134</v>
      </c>
      <c r="B211" s="8"/>
      <c r="C211" s="8"/>
      <c r="D211" s="8">
        <f t="shared" si="3"/>
        <v>0</v>
      </c>
    </row>
    <row r="212" spans="1:4" ht="18" hidden="1" x14ac:dyDescent="0.3">
      <c r="A212" s="13" t="s">
        <v>137</v>
      </c>
      <c r="B212" s="8"/>
      <c r="C212" s="8"/>
      <c r="D212" s="8">
        <f t="shared" si="3"/>
        <v>0</v>
      </c>
    </row>
    <row r="213" spans="1:4" ht="18" hidden="1" x14ac:dyDescent="0.3">
      <c r="A213" s="13" t="s">
        <v>138</v>
      </c>
      <c r="B213" s="8"/>
      <c r="C213" s="8"/>
      <c r="D213" s="8">
        <f t="shared" si="3"/>
        <v>0</v>
      </c>
    </row>
    <row r="214" spans="1:4" ht="18" hidden="1" x14ac:dyDescent="0.3">
      <c r="A214" s="10" t="s">
        <v>139</v>
      </c>
      <c r="B214" s="8"/>
      <c r="C214" s="8"/>
      <c r="D214" s="8">
        <f t="shared" si="3"/>
        <v>0</v>
      </c>
    </row>
    <row r="215" spans="1:4" ht="18" hidden="1" x14ac:dyDescent="0.3">
      <c r="A215" s="10" t="s">
        <v>207</v>
      </c>
      <c r="B215" s="8"/>
      <c r="C215" s="8"/>
      <c r="D215" s="8">
        <f t="shared" si="3"/>
        <v>0</v>
      </c>
    </row>
    <row r="216" spans="1:4" ht="18" hidden="1" x14ac:dyDescent="0.3">
      <c r="A216" s="12" t="s">
        <v>208</v>
      </c>
      <c r="B216" s="8"/>
      <c r="C216" s="8"/>
      <c r="D216" s="8">
        <f t="shared" si="3"/>
        <v>0</v>
      </c>
    </row>
    <row r="217" spans="1:4" ht="18" hidden="1" x14ac:dyDescent="0.3">
      <c r="A217" s="10" t="s">
        <v>209</v>
      </c>
      <c r="B217" s="8"/>
      <c r="C217" s="8"/>
      <c r="D217" s="8">
        <f t="shared" si="3"/>
        <v>0</v>
      </c>
    </row>
    <row r="218" spans="1:4" ht="18" hidden="1" x14ac:dyDescent="0.3">
      <c r="A218" s="12" t="s">
        <v>230</v>
      </c>
      <c r="B218" s="8"/>
      <c r="C218" s="8"/>
      <c r="D218" s="8">
        <f t="shared" si="3"/>
        <v>0</v>
      </c>
    </row>
    <row r="219" spans="1:4" ht="18" x14ac:dyDescent="0.3">
      <c r="A219" s="10" t="s">
        <v>247</v>
      </c>
      <c r="B219" s="8">
        <v>11</v>
      </c>
      <c r="C219" s="8">
        <v>14000</v>
      </c>
      <c r="D219" s="8">
        <f t="shared" si="3"/>
        <v>154000</v>
      </c>
    </row>
    <row r="220" spans="1:4" ht="18" hidden="1" x14ac:dyDescent="0.3">
      <c r="A220" s="12" t="s">
        <v>248</v>
      </c>
      <c r="B220" s="8"/>
      <c r="C220" s="8"/>
      <c r="D220" s="8">
        <f t="shared" si="3"/>
        <v>0</v>
      </c>
    </row>
    <row r="221" spans="1:4" ht="18" hidden="1" x14ac:dyDescent="0.3">
      <c r="A221" s="10" t="s">
        <v>267</v>
      </c>
      <c r="B221" s="8"/>
      <c r="C221" s="8"/>
      <c r="D221" s="8">
        <f t="shared" si="3"/>
        <v>0</v>
      </c>
    </row>
    <row r="222" spans="1:4" ht="18" hidden="1" x14ac:dyDescent="0.3">
      <c r="A222" s="10" t="s">
        <v>271</v>
      </c>
      <c r="B222" s="8"/>
      <c r="C222" s="8"/>
      <c r="D222" s="8">
        <f t="shared" si="3"/>
        <v>0</v>
      </c>
    </row>
    <row r="223" spans="1:4" ht="18" hidden="1" x14ac:dyDescent="0.3">
      <c r="A223" s="12" t="s">
        <v>283</v>
      </c>
      <c r="B223" s="8"/>
      <c r="C223" s="8"/>
      <c r="D223" s="8">
        <f t="shared" si="3"/>
        <v>0</v>
      </c>
    </row>
    <row r="224" spans="1:4" ht="18" hidden="1" x14ac:dyDescent="0.3">
      <c r="A224" s="10" t="s">
        <v>299</v>
      </c>
      <c r="B224" s="8"/>
      <c r="C224" s="8"/>
      <c r="D224" s="8">
        <f t="shared" si="3"/>
        <v>0</v>
      </c>
    </row>
    <row r="225" spans="1:4" ht="18" hidden="1" x14ac:dyDescent="0.3">
      <c r="A225" s="18" t="s">
        <v>300</v>
      </c>
      <c r="B225" s="8"/>
      <c r="C225" s="8"/>
      <c r="D225" s="8">
        <f t="shared" si="3"/>
        <v>0</v>
      </c>
    </row>
    <row r="226" spans="1:4" ht="18" hidden="1" x14ac:dyDescent="0.3">
      <c r="A226" s="12" t="s">
        <v>10</v>
      </c>
      <c r="B226" s="8"/>
      <c r="C226" s="8"/>
      <c r="D226" s="8">
        <f t="shared" si="3"/>
        <v>0</v>
      </c>
    </row>
    <row r="227" spans="1:4" ht="18" x14ac:dyDescent="0.3">
      <c r="A227" s="10" t="s">
        <v>36</v>
      </c>
      <c r="B227" s="8">
        <v>5</v>
      </c>
      <c r="C227" s="8">
        <v>32000</v>
      </c>
      <c r="D227" s="8">
        <f t="shared" si="3"/>
        <v>160000</v>
      </c>
    </row>
    <row r="228" spans="1:4" ht="18" hidden="1" x14ac:dyDescent="0.3">
      <c r="A228" s="10" t="s">
        <v>37</v>
      </c>
      <c r="B228" s="8"/>
      <c r="C228" s="8"/>
      <c r="D228" s="8">
        <f t="shared" si="3"/>
        <v>0</v>
      </c>
    </row>
    <row r="229" spans="1:4" ht="18" hidden="1" x14ac:dyDescent="0.3">
      <c r="A229" s="12" t="s">
        <v>39</v>
      </c>
      <c r="B229" s="17"/>
      <c r="C229" s="17"/>
      <c r="D229" s="8">
        <f t="shared" si="3"/>
        <v>0</v>
      </c>
    </row>
    <row r="230" spans="1:4" ht="18" hidden="1" x14ac:dyDescent="0.3">
      <c r="A230" s="18" t="s">
        <v>255</v>
      </c>
      <c r="B230" s="8"/>
      <c r="C230" s="8"/>
      <c r="D230" s="8">
        <f t="shared" si="3"/>
        <v>0</v>
      </c>
    </row>
    <row r="231" spans="1:4" ht="18" hidden="1" x14ac:dyDescent="0.3">
      <c r="A231" s="23" t="s">
        <v>256</v>
      </c>
      <c r="B231" s="8"/>
      <c r="C231" s="8"/>
      <c r="D231" s="8">
        <f t="shared" si="3"/>
        <v>0</v>
      </c>
    </row>
    <row r="232" spans="1:4" ht="18" hidden="1" x14ac:dyDescent="0.3">
      <c r="A232" s="23" t="s">
        <v>257</v>
      </c>
      <c r="B232" s="8"/>
      <c r="C232" s="8"/>
      <c r="D232" s="8">
        <f t="shared" si="3"/>
        <v>0</v>
      </c>
    </row>
    <row r="233" spans="1:4" ht="18" hidden="1" x14ac:dyDescent="0.3">
      <c r="A233" s="12" t="s">
        <v>269</v>
      </c>
      <c r="B233" s="8"/>
      <c r="C233" s="8"/>
      <c r="D233" s="8">
        <f t="shared" si="3"/>
        <v>0</v>
      </c>
    </row>
    <row r="234" spans="1:4" ht="18" x14ac:dyDescent="0.3">
      <c r="A234" s="10" t="s">
        <v>270</v>
      </c>
      <c r="B234" s="8">
        <v>20</v>
      </c>
      <c r="C234" s="8">
        <v>12000</v>
      </c>
      <c r="D234" s="8">
        <f t="shared" si="3"/>
        <v>240000</v>
      </c>
    </row>
    <row r="235" spans="1:4" ht="18" hidden="1" x14ac:dyDescent="0.3">
      <c r="A235" s="10" t="s">
        <v>273</v>
      </c>
      <c r="B235" s="8"/>
      <c r="C235" s="8"/>
      <c r="D235" s="8">
        <f t="shared" si="3"/>
        <v>0</v>
      </c>
    </row>
    <row r="236" spans="1:4" ht="18" hidden="1" x14ac:dyDescent="0.3">
      <c r="A236" s="12" t="s">
        <v>418</v>
      </c>
      <c r="B236" s="8"/>
      <c r="C236" s="8"/>
      <c r="D236" s="8">
        <f t="shared" si="3"/>
        <v>0</v>
      </c>
    </row>
    <row r="237" spans="1:4" ht="18" hidden="1" x14ac:dyDescent="0.3">
      <c r="A237" s="13" t="s">
        <v>178</v>
      </c>
      <c r="B237" s="8"/>
      <c r="C237" s="8"/>
      <c r="D237" s="8">
        <f t="shared" si="3"/>
        <v>0</v>
      </c>
    </row>
    <row r="238" spans="1:4" ht="18" hidden="1" x14ac:dyDescent="0.3">
      <c r="A238" s="10" t="s">
        <v>179</v>
      </c>
      <c r="B238" s="8"/>
      <c r="C238" s="8"/>
      <c r="D238" s="8">
        <f t="shared" si="3"/>
        <v>0</v>
      </c>
    </row>
    <row r="239" spans="1:4" ht="18" hidden="1" x14ac:dyDescent="0.3">
      <c r="A239" s="10" t="s">
        <v>180</v>
      </c>
      <c r="B239" s="8"/>
      <c r="C239" s="8"/>
      <c r="D239" s="8">
        <f t="shared" si="3"/>
        <v>0</v>
      </c>
    </row>
    <row r="240" spans="1:4" ht="18" hidden="1" x14ac:dyDescent="0.3">
      <c r="A240" s="13" t="s">
        <v>305</v>
      </c>
      <c r="B240" s="8"/>
      <c r="C240" s="8"/>
      <c r="D240" s="8">
        <f t="shared" si="3"/>
        <v>0</v>
      </c>
    </row>
    <row r="241" spans="1:4" ht="18" hidden="1" x14ac:dyDescent="0.3">
      <c r="A241" s="10" t="s">
        <v>307</v>
      </c>
      <c r="B241" s="8"/>
      <c r="C241" s="8"/>
      <c r="D241" s="8">
        <f t="shared" si="3"/>
        <v>0</v>
      </c>
    </row>
    <row r="242" spans="1:4" ht="18" hidden="1" x14ac:dyDescent="0.3">
      <c r="A242" s="10" t="s">
        <v>308</v>
      </c>
      <c r="B242" s="8"/>
      <c r="C242" s="8"/>
      <c r="D242" s="8">
        <f t="shared" si="3"/>
        <v>0</v>
      </c>
    </row>
    <row r="243" spans="1:4" ht="18" hidden="1" x14ac:dyDescent="0.3">
      <c r="A243" s="23" t="s">
        <v>311</v>
      </c>
      <c r="B243" s="8"/>
      <c r="C243" s="8"/>
      <c r="D243" s="8">
        <f t="shared" si="3"/>
        <v>0</v>
      </c>
    </row>
    <row r="244" spans="1:4" ht="18" hidden="1" x14ac:dyDescent="0.3">
      <c r="A244" s="10" t="s">
        <v>313</v>
      </c>
      <c r="B244" s="8"/>
      <c r="C244" s="8"/>
      <c r="D244" s="8">
        <f t="shared" si="3"/>
        <v>0</v>
      </c>
    </row>
    <row r="245" spans="1:4" ht="18" hidden="1" x14ac:dyDescent="0.3">
      <c r="A245" s="10" t="s">
        <v>314</v>
      </c>
      <c r="B245" s="8"/>
      <c r="C245" s="8"/>
      <c r="D245" s="8">
        <f t="shared" si="3"/>
        <v>0</v>
      </c>
    </row>
    <row r="246" spans="1:4" ht="18" hidden="1" x14ac:dyDescent="0.3">
      <c r="A246" s="10" t="s">
        <v>315</v>
      </c>
      <c r="B246" s="8"/>
      <c r="C246" s="8"/>
      <c r="D246" s="8">
        <f t="shared" si="3"/>
        <v>0</v>
      </c>
    </row>
    <row r="247" spans="1:4" ht="18" hidden="1" x14ac:dyDescent="0.3">
      <c r="A247" s="10" t="s">
        <v>316</v>
      </c>
      <c r="B247" s="8"/>
      <c r="C247" s="8"/>
      <c r="D247" s="8">
        <f t="shared" si="3"/>
        <v>0</v>
      </c>
    </row>
    <row r="248" spans="1:4" ht="18" hidden="1" x14ac:dyDescent="0.3">
      <c r="A248" s="23" t="s">
        <v>317</v>
      </c>
      <c r="B248" s="8"/>
      <c r="C248" s="8"/>
      <c r="D248" s="8">
        <f t="shared" si="3"/>
        <v>0</v>
      </c>
    </row>
    <row r="249" spans="1:4" ht="18" hidden="1" x14ac:dyDescent="0.3">
      <c r="A249" s="10" t="s">
        <v>318</v>
      </c>
      <c r="B249" s="8"/>
      <c r="C249" s="8"/>
      <c r="D249" s="8">
        <f t="shared" si="3"/>
        <v>0</v>
      </c>
    </row>
    <row r="250" spans="1:4" ht="18" hidden="1" x14ac:dyDescent="0.3">
      <c r="A250" s="10" t="s">
        <v>322</v>
      </c>
      <c r="B250" s="8"/>
      <c r="C250" s="8"/>
      <c r="D250" s="8">
        <f t="shared" si="3"/>
        <v>0</v>
      </c>
    </row>
    <row r="251" spans="1:4" ht="18" hidden="1" x14ac:dyDescent="0.3">
      <c r="A251" s="23" t="s">
        <v>324</v>
      </c>
      <c r="B251" s="8"/>
      <c r="C251" s="8"/>
      <c r="D251" s="8">
        <f t="shared" si="3"/>
        <v>0</v>
      </c>
    </row>
    <row r="252" spans="1:4" ht="18" hidden="1" x14ac:dyDescent="0.3">
      <c r="A252" s="23" t="s">
        <v>325</v>
      </c>
      <c r="B252" s="8"/>
      <c r="C252" s="8"/>
      <c r="D252" s="8">
        <f t="shared" si="3"/>
        <v>0</v>
      </c>
    </row>
    <row r="253" spans="1:4" ht="18" hidden="1" x14ac:dyDescent="0.3">
      <c r="A253" s="10" t="s">
        <v>326</v>
      </c>
      <c r="B253" s="8"/>
      <c r="C253" s="8"/>
      <c r="D253" s="8">
        <f t="shared" si="3"/>
        <v>0</v>
      </c>
    </row>
    <row r="254" spans="1:4" ht="18" hidden="1" x14ac:dyDescent="0.3">
      <c r="A254" s="10" t="s">
        <v>327</v>
      </c>
      <c r="B254" s="8"/>
      <c r="C254" s="8"/>
      <c r="D254" s="8">
        <f t="shared" si="3"/>
        <v>0</v>
      </c>
    </row>
    <row r="255" spans="1:4" ht="18" hidden="1" x14ac:dyDescent="0.3">
      <c r="A255" s="23" t="s">
        <v>328</v>
      </c>
      <c r="B255" s="8"/>
      <c r="C255" s="8"/>
      <c r="D255" s="8">
        <f t="shared" si="3"/>
        <v>0</v>
      </c>
    </row>
    <row r="256" spans="1:4" ht="18" hidden="1" x14ac:dyDescent="0.3">
      <c r="A256" s="10" t="s">
        <v>329</v>
      </c>
      <c r="B256" s="8"/>
      <c r="C256" s="8"/>
      <c r="D256" s="8">
        <f t="shared" si="3"/>
        <v>0</v>
      </c>
    </row>
    <row r="257" spans="1:4" ht="18" hidden="1" x14ac:dyDescent="0.3">
      <c r="A257" s="10" t="s">
        <v>330</v>
      </c>
      <c r="B257" s="8"/>
      <c r="C257" s="8"/>
      <c r="D257" s="8">
        <f t="shared" si="3"/>
        <v>0</v>
      </c>
    </row>
    <row r="258" spans="1:4" ht="18" hidden="1" x14ac:dyDescent="0.3">
      <c r="A258" s="10" t="s">
        <v>331</v>
      </c>
      <c r="B258" s="8"/>
      <c r="C258" s="8"/>
      <c r="D258" s="8">
        <f t="shared" si="3"/>
        <v>0</v>
      </c>
    </row>
    <row r="259" spans="1:4" ht="18" hidden="1" x14ac:dyDescent="0.3">
      <c r="A259" s="10" t="s">
        <v>332</v>
      </c>
      <c r="B259" s="8"/>
      <c r="C259" s="8"/>
      <c r="D259" s="8">
        <f t="shared" si="3"/>
        <v>0</v>
      </c>
    </row>
    <row r="260" spans="1:4" ht="18" hidden="1" x14ac:dyDescent="0.3">
      <c r="A260" s="10" t="s">
        <v>333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0" t="s">
        <v>334</v>
      </c>
      <c r="B261" s="8"/>
      <c r="C261" s="8"/>
      <c r="D261" s="8">
        <f t="shared" si="4"/>
        <v>0</v>
      </c>
    </row>
    <row r="262" spans="1:4" ht="18" hidden="1" x14ac:dyDescent="0.3">
      <c r="A262" s="10" t="s">
        <v>335</v>
      </c>
      <c r="B262" s="8"/>
      <c r="C262" s="8"/>
      <c r="D262" s="8">
        <f t="shared" si="4"/>
        <v>0</v>
      </c>
    </row>
    <row r="263" spans="1:4" ht="18" hidden="1" x14ac:dyDescent="0.3">
      <c r="A263" s="10" t="s">
        <v>336</v>
      </c>
      <c r="B263" s="8"/>
      <c r="C263" s="8"/>
      <c r="D263" s="8">
        <f t="shared" si="4"/>
        <v>0</v>
      </c>
    </row>
    <row r="264" spans="1:4" ht="18" x14ac:dyDescent="0.3">
      <c r="A264" s="10" t="s">
        <v>287</v>
      </c>
      <c r="B264" s="8">
        <v>18</v>
      </c>
      <c r="C264" s="8">
        <v>9000</v>
      </c>
      <c r="D264" s="8">
        <f t="shared" si="4"/>
        <v>162000</v>
      </c>
    </row>
    <row r="265" spans="1:4" ht="18" hidden="1" x14ac:dyDescent="0.3">
      <c r="A265" s="18" t="s">
        <v>288</v>
      </c>
      <c r="B265" s="8"/>
      <c r="C265" s="8"/>
      <c r="D265" s="8">
        <f t="shared" si="4"/>
        <v>0</v>
      </c>
    </row>
    <row r="266" spans="1:4" ht="18" hidden="1" x14ac:dyDescent="0.3">
      <c r="A266" s="10" t="s">
        <v>289</v>
      </c>
      <c r="B266" s="8"/>
      <c r="C266" s="8"/>
      <c r="D266" s="8">
        <f t="shared" si="4"/>
        <v>0</v>
      </c>
    </row>
    <row r="267" spans="1:4" ht="18" hidden="1" x14ac:dyDescent="0.3">
      <c r="A267" s="10" t="s">
        <v>22</v>
      </c>
      <c r="B267" s="8"/>
      <c r="C267" s="8"/>
      <c r="D267" s="8">
        <f t="shared" si="4"/>
        <v>0</v>
      </c>
    </row>
    <row r="268" spans="1:4" ht="18" hidden="1" x14ac:dyDescent="0.3">
      <c r="A268" s="10" t="s">
        <v>23</v>
      </c>
      <c r="B268" s="8"/>
      <c r="C268" s="8"/>
      <c r="D268" s="8">
        <f t="shared" si="4"/>
        <v>0</v>
      </c>
    </row>
    <row r="269" spans="1:4" ht="18" x14ac:dyDescent="0.3">
      <c r="A269" s="10" t="s">
        <v>24</v>
      </c>
      <c r="B269" s="8">
        <f>18+28+100</f>
        <v>146</v>
      </c>
      <c r="C269" s="8">
        <v>12000</v>
      </c>
      <c r="D269" s="8">
        <f t="shared" si="4"/>
        <v>1752000</v>
      </c>
    </row>
    <row r="270" spans="1:4" ht="18" hidden="1" x14ac:dyDescent="0.3">
      <c r="A270" s="10" t="s">
        <v>25</v>
      </c>
      <c r="B270" s="8"/>
      <c r="C270" s="8"/>
      <c r="D270" s="8">
        <f t="shared" si="4"/>
        <v>0</v>
      </c>
    </row>
    <row r="271" spans="1:4" ht="18" hidden="1" x14ac:dyDescent="0.3">
      <c r="A271" s="10" t="s">
        <v>26</v>
      </c>
      <c r="B271" s="8"/>
      <c r="C271" s="8"/>
      <c r="D271" s="8">
        <f t="shared" si="4"/>
        <v>0</v>
      </c>
    </row>
    <row r="272" spans="1:4" ht="18" hidden="1" x14ac:dyDescent="0.3">
      <c r="A272" s="10" t="s">
        <v>45</v>
      </c>
      <c r="B272" s="8"/>
      <c r="C272" s="8"/>
      <c r="D272" s="8">
        <f t="shared" si="4"/>
        <v>0</v>
      </c>
    </row>
    <row r="273" spans="1:4" ht="18" hidden="1" x14ac:dyDescent="0.3">
      <c r="A273" s="10" t="s">
        <v>46</v>
      </c>
      <c r="B273" s="8"/>
      <c r="C273" s="8"/>
      <c r="D273" s="8">
        <f t="shared" si="4"/>
        <v>0</v>
      </c>
    </row>
    <row r="274" spans="1:4" ht="18" hidden="1" x14ac:dyDescent="0.3">
      <c r="A274" s="14" t="s">
        <v>47</v>
      </c>
      <c r="B274" s="8"/>
      <c r="C274" s="8"/>
      <c r="D274" s="8">
        <f t="shared" si="4"/>
        <v>0</v>
      </c>
    </row>
    <row r="275" spans="1:4" ht="18" hidden="1" x14ac:dyDescent="0.3">
      <c r="A275" s="10" t="s">
        <v>50</v>
      </c>
      <c r="B275" s="8"/>
      <c r="C275" s="8"/>
      <c r="D275" s="8">
        <f t="shared" si="4"/>
        <v>0</v>
      </c>
    </row>
    <row r="276" spans="1:4" ht="18" hidden="1" x14ac:dyDescent="0.3">
      <c r="A276" s="10" t="s">
        <v>51</v>
      </c>
      <c r="B276" s="8"/>
      <c r="C276" s="8"/>
      <c r="D276" s="8">
        <f t="shared" si="4"/>
        <v>0</v>
      </c>
    </row>
    <row r="277" spans="1:4" ht="18" hidden="1" x14ac:dyDescent="0.3">
      <c r="A277" s="30" t="s">
        <v>130</v>
      </c>
      <c r="B277" s="8"/>
      <c r="C277" s="8"/>
      <c r="D277" s="8">
        <f t="shared" si="4"/>
        <v>0</v>
      </c>
    </row>
    <row r="278" spans="1:4" ht="18" hidden="1" x14ac:dyDescent="0.3">
      <c r="A278" s="13" t="s">
        <v>131</v>
      </c>
      <c r="B278" s="17"/>
      <c r="C278" s="17"/>
      <c r="D278" s="8">
        <f t="shared" si="4"/>
        <v>0</v>
      </c>
    </row>
    <row r="279" spans="1:4" ht="18" hidden="1" x14ac:dyDescent="0.3">
      <c r="A279" s="10" t="s">
        <v>132</v>
      </c>
      <c r="B279" s="8"/>
      <c r="C279" s="8"/>
      <c r="D279" s="8">
        <f t="shared" si="4"/>
        <v>0</v>
      </c>
    </row>
    <row r="280" spans="1:4" ht="18" hidden="1" x14ac:dyDescent="0.3">
      <c r="A280" s="10" t="s">
        <v>133</v>
      </c>
      <c r="B280" s="8"/>
      <c r="C280" s="8"/>
      <c r="D280" s="8">
        <f t="shared" si="4"/>
        <v>0</v>
      </c>
    </row>
    <row r="281" spans="1:4" ht="18" hidden="1" x14ac:dyDescent="0.3">
      <c r="A281" s="10" t="s">
        <v>290</v>
      </c>
      <c r="B281" s="8"/>
      <c r="C281" s="8"/>
      <c r="D281" s="8">
        <f t="shared" si="4"/>
        <v>0</v>
      </c>
    </row>
    <row r="282" spans="1:4" ht="18" hidden="1" x14ac:dyDescent="0.3">
      <c r="A282" s="18" t="s">
        <v>291</v>
      </c>
      <c r="B282" s="8"/>
      <c r="C282" s="8"/>
      <c r="D282" s="8">
        <f t="shared" si="4"/>
        <v>0</v>
      </c>
    </row>
    <row r="283" spans="1:4" ht="18" hidden="1" x14ac:dyDescent="0.3">
      <c r="A283" s="10" t="s">
        <v>16</v>
      </c>
      <c r="B283" s="8"/>
      <c r="C283" s="8"/>
      <c r="D283" s="8">
        <f t="shared" si="4"/>
        <v>0</v>
      </c>
    </row>
    <row r="284" spans="1:4" ht="18" hidden="1" x14ac:dyDescent="0.3">
      <c r="A284" s="14" t="s">
        <v>17</v>
      </c>
      <c r="B284" s="8"/>
      <c r="C284" s="8"/>
      <c r="D284" s="8">
        <f t="shared" si="4"/>
        <v>0</v>
      </c>
    </row>
    <row r="285" spans="1:4" ht="18" hidden="1" x14ac:dyDescent="0.3">
      <c r="A285" s="12" t="s">
        <v>18</v>
      </c>
      <c r="B285" s="8"/>
      <c r="C285" s="47"/>
      <c r="D285" s="8">
        <f t="shared" si="4"/>
        <v>0</v>
      </c>
    </row>
    <row r="286" spans="1:4" ht="18" hidden="1" x14ac:dyDescent="0.3">
      <c r="A286" s="10" t="s">
        <v>157</v>
      </c>
      <c r="B286" s="8"/>
      <c r="C286" s="8"/>
      <c r="D286" s="8">
        <f t="shared" si="4"/>
        <v>0</v>
      </c>
    </row>
    <row r="287" spans="1:4" ht="18" hidden="1" x14ac:dyDescent="0.3">
      <c r="A287" s="10" t="s">
        <v>158</v>
      </c>
      <c r="B287" s="8"/>
      <c r="C287" s="8"/>
      <c r="D287" s="8">
        <f t="shared" si="4"/>
        <v>0</v>
      </c>
    </row>
    <row r="288" spans="1:4" ht="18" hidden="1" x14ac:dyDescent="0.3">
      <c r="A288" s="10" t="s">
        <v>159</v>
      </c>
      <c r="B288" s="8"/>
      <c r="C288" s="8"/>
      <c r="D288" s="8">
        <f t="shared" si="4"/>
        <v>0</v>
      </c>
    </row>
    <row r="289" spans="1:4" ht="18" hidden="1" x14ac:dyDescent="0.3">
      <c r="A289" s="10" t="s">
        <v>160</v>
      </c>
      <c r="B289" s="8"/>
      <c r="C289" s="8"/>
      <c r="D289" s="8">
        <f t="shared" si="4"/>
        <v>0</v>
      </c>
    </row>
    <row r="290" spans="1:4" ht="18" hidden="1" x14ac:dyDescent="0.3">
      <c r="A290" s="11" t="s">
        <v>7</v>
      </c>
      <c r="B290" s="8"/>
      <c r="C290" s="8"/>
      <c r="D290" s="8">
        <f t="shared" si="4"/>
        <v>0</v>
      </c>
    </row>
    <row r="291" spans="1:4" ht="18" hidden="1" x14ac:dyDescent="0.3">
      <c r="A291" s="6" t="s">
        <v>8</v>
      </c>
      <c r="B291" s="8"/>
      <c r="C291" s="8"/>
      <c r="D291" s="8">
        <f t="shared" si="4"/>
        <v>0</v>
      </c>
    </row>
    <row r="292" spans="1:4" ht="18" hidden="1" x14ac:dyDescent="0.3">
      <c r="A292" s="12" t="s">
        <v>29</v>
      </c>
      <c r="B292" s="8"/>
      <c r="C292" s="8"/>
      <c r="D292" s="8">
        <f t="shared" si="4"/>
        <v>0</v>
      </c>
    </row>
    <row r="293" spans="1:4" ht="18" hidden="1" x14ac:dyDescent="0.3">
      <c r="A293" s="12" t="s">
        <v>30</v>
      </c>
      <c r="B293" s="8"/>
      <c r="C293" s="8"/>
      <c r="D293" s="8">
        <f t="shared" si="4"/>
        <v>0</v>
      </c>
    </row>
    <row r="294" spans="1:4" ht="18" hidden="1" x14ac:dyDescent="0.3">
      <c r="A294" s="12" t="s">
        <v>31</v>
      </c>
      <c r="B294" s="8"/>
      <c r="C294" s="8"/>
      <c r="D294" s="8">
        <f t="shared" si="4"/>
        <v>0</v>
      </c>
    </row>
    <row r="295" spans="1:4" ht="18" hidden="1" x14ac:dyDescent="0.3">
      <c r="A295" s="12" t="s">
        <v>32</v>
      </c>
      <c r="B295" s="8"/>
      <c r="C295" s="8"/>
      <c r="D295" s="8">
        <f t="shared" si="4"/>
        <v>0</v>
      </c>
    </row>
    <row r="296" spans="1:4" ht="18" hidden="1" x14ac:dyDescent="0.3">
      <c r="A296" s="12" t="s">
        <v>33</v>
      </c>
      <c r="B296" s="8"/>
      <c r="C296" s="8"/>
      <c r="D296" s="8">
        <f t="shared" si="4"/>
        <v>0</v>
      </c>
    </row>
    <row r="297" spans="1:4" ht="18" hidden="1" x14ac:dyDescent="0.3">
      <c r="A297" s="12" t="s">
        <v>34</v>
      </c>
      <c r="B297" s="8"/>
      <c r="C297" s="8"/>
      <c r="D297" s="8">
        <f t="shared" si="4"/>
        <v>0</v>
      </c>
    </row>
    <row r="298" spans="1:4" ht="18" hidden="1" x14ac:dyDescent="0.3">
      <c r="A298" s="21" t="s">
        <v>63</v>
      </c>
      <c r="B298" s="8"/>
      <c r="C298" s="8"/>
      <c r="D298" s="8">
        <f t="shared" si="4"/>
        <v>0</v>
      </c>
    </row>
    <row r="299" spans="1:4" ht="18" hidden="1" x14ac:dyDescent="0.3">
      <c r="A299" s="13" t="s">
        <v>67</v>
      </c>
      <c r="B299" s="8"/>
      <c r="C299" s="8"/>
      <c r="D299" s="8">
        <f t="shared" si="4"/>
        <v>0</v>
      </c>
    </row>
    <row r="300" spans="1:4" ht="18" hidden="1" x14ac:dyDescent="0.3">
      <c r="A300" s="12" t="s">
        <v>102</v>
      </c>
      <c r="B300" s="8"/>
      <c r="C300" s="8"/>
      <c r="D300" s="8">
        <f t="shared" si="4"/>
        <v>0</v>
      </c>
    </row>
    <row r="301" spans="1:4" ht="18" hidden="1" x14ac:dyDescent="0.3">
      <c r="A301" s="27" t="s">
        <v>108</v>
      </c>
      <c r="B301" s="8"/>
      <c r="C301" s="8"/>
      <c r="D301" s="8">
        <f t="shared" si="4"/>
        <v>0</v>
      </c>
    </row>
    <row r="302" spans="1:4" ht="18" hidden="1" x14ac:dyDescent="0.3">
      <c r="A302" s="10" t="s">
        <v>119</v>
      </c>
      <c r="B302" s="8"/>
      <c r="C302" s="8"/>
      <c r="D302" s="8">
        <f t="shared" si="4"/>
        <v>0</v>
      </c>
    </row>
    <row r="303" spans="1:4" ht="18" hidden="1" x14ac:dyDescent="0.3">
      <c r="A303" s="12" t="s">
        <v>120</v>
      </c>
      <c r="B303" s="8"/>
      <c r="C303" s="8"/>
      <c r="D303" s="8">
        <f t="shared" si="4"/>
        <v>0</v>
      </c>
    </row>
    <row r="304" spans="1:4" ht="18" hidden="1" x14ac:dyDescent="0.3">
      <c r="A304" s="12" t="s">
        <v>121</v>
      </c>
      <c r="B304" s="8"/>
      <c r="C304" s="8"/>
      <c r="D304" s="8">
        <f t="shared" si="4"/>
        <v>0</v>
      </c>
    </row>
    <row r="305" spans="1:4" ht="18" hidden="1" x14ac:dyDescent="0.3">
      <c r="A305" s="10" t="s">
        <v>143</v>
      </c>
      <c r="B305" s="8"/>
      <c r="C305" s="8"/>
      <c r="D305" s="8">
        <f t="shared" si="4"/>
        <v>0</v>
      </c>
    </row>
    <row r="306" spans="1:4" ht="18" hidden="1" x14ac:dyDescent="0.3">
      <c r="A306" s="10" t="s">
        <v>164</v>
      </c>
      <c r="B306" s="8"/>
      <c r="C306" s="8"/>
      <c r="D306" s="8">
        <f t="shared" si="4"/>
        <v>0</v>
      </c>
    </row>
    <row r="307" spans="1:4" ht="18" hidden="1" x14ac:dyDescent="0.3">
      <c r="A307" s="12" t="s">
        <v>175</v>
      </c>
      <c r="B307" s="8"/>
      <c r="C307" s="8"/>
      <c r="D307" s="8">
        <f t="shared" si="4"/>
        <v>0</v>
      </c>
    </row>
    <row r="308" spans="1:4" ht="18" hidden="1" x14ac:dyDescent="0.3">
      <c r="A308" s="18" t="s">
        <v>189</v>
      </c>
      <c r="B308" s="8"/>
      <c r="C308" s="8"/>
      <c r="D308" s="8">
        <f t="shared" si="4"/>
        <v>0</v>
      </c>
    </row>
    <row r="309" spans="1:4" ht="18" hidden="1" x14ac:dyDescent="0.3">
      <c r="A309" s="18" t="s">
        <v>190</v>
      </c>
      <c r="B309" s="8"/>
      <c r="C309" s="8"/>
      <c r="D309" s="8">
        <f t="shared" si="4"/>
        <v>0</v>
      </c>
    </row>
    <row r="310" spans="1:4" ht="18" hidden="1" x14ac:dyDescent="0.3">
      <c r="A310" s="18" t="s">
        <v>191</v>
      </c>
      <c r="B310" s="8"/>
      <c r="C310" s="8"/>
      <c r="D310" s="8">
        <f t="shared" si="4"/>
        <v>0</v>
      </c>
    </row>
    <row r="311" spans="1:4" ht="18" hidden="1" x14ac:dyDescent="0.3">
      <c r="A311" s="18" t="s">
        <v>192</v>
      </c>
      <c r="B311" s="8"/>
      <c r="C311" s="8"/>
      <c r="D311" s="8">
        <f t="shared" si="4"/>
        <v>0</v>
      </c>
    </row>
    <row r="312" spans="1:4" ht="18" hidden="1" x14ac:dyDescent="0.3">
      <c r="A312" s="10" t="s">
        <v>194</v>
      </c>
      <c r="B312" s="8"/>
      <c r="C312" s="8"/>
      <c r="D312" s="8">
        <f t="shared" si="4"/>
        <v>0</v>
      </c>
    </row>
    <row r="313" spans="1:4" ht="18" hidden="1" x14ac:dyDescent="0.3">
      <c r="A313" s="37" t="s">
        <v>195</v>
      </c>
      <c r="B313" s="8"/>
      <c r="C313" s="8"/>
      <c r="D313" s="8">
        <f t="shared" si="4"/>
        <v>0</v>
      </c>
    </row>
    <row r="314" spans="1:4" ht="18" hidden="1" x14ac:dyDescent="0.3">
      <c r="A314" s="37" t="s">
        <v>196</v>
      </c>
      <c r="B314" s="8"/>
      <c r="C314" s="8"/>
      <c r="D314" s="8">
        <f t="shared" si="4"/>
        <v>0</v>
      </c>
    </row>
    <row r="315" spans="1:4" ht="18" hidden="1" x14ac:dyDescent="0.3">
      <c r="A315" s="37" t="s">
        <v>197</v>
      </c>
      <c r="B315" s="8"/>
      <c r="C315" s="8"/>
      <c r="D315" s="8">
        <f t="shared" si="4"/>
        <v>0</v>
      </c>
    </row>
    <row r="316" spans="1:4" ht="18" hidden="1" x14ac:dyDescent="0.3">
      <c r="A316" s="37" t="s">
        <v>198</v>
      </c>
      <c r="B316" s="8"/>
      <c r="C316" s="8"/>
      <c r="D316" s="8">
        <f t="shared" si="4"/>
        <v>0</v>
      </c>
    </row>
    <row r="317" spans="1:4" ht="18" x14ac:dyDescent="0.3">
      <c r="A317" s="139" t="s">
        <v>226</v>
      </c>
      <c r="B317" s="51">
        <f>1340-20</f>
        <v>1320</v>
      </c>
      <c r="C317" s="51">
        <v>37000</v>
      </c>
      <c r="D317" s="51">
        <f t="shared" si="4"/>
        <v>48840000</v>
      </c>
    </row>
    <row r="318" spans="1:4" ht="18" hidden="1" x14ac:dyDescent="0.3">
      <c r="A318" s="12" t="s">
        <v>228</v>
      </c>
      <c r="B318" s="8"/>
      <c r="C318" s="8"/>
      <c r="D318" s="8">
        <f t="shared" si="4"/>
        <v>0</v>
      </c>
    </row>
    <row r="319" spans="1:4" ht="18" hidden="1" x14ac:dyDescent="0.3">
      <c r="A319" s="18" t="s">
        <v>229</v>
      </c>
      <c r="B319" s="8"/>
      <c r="C319" s="8"/>
      <c r="D319" s="8">
        <f t="shared" si="4"/>
        <v>0</v>
      </c>
    </row>
    <row r="320" spans="1:4" ht="18" hidden="1" x14ac:dyDescent="0.3">
      <c r="A320" s="12" t="s">
        <v>231</v>
      </c>
      <c r="B320" s="8"/>
      <c r="C320" s="8"/>
      <c r="D320" s="8">
        <f t="shared" si="4"/>
        <v>0</v>
      </c>
    </row>
    <row r="321" spans="1:4" ht="18" hidden="1" x14ac:dyDescent="0.3">
      <c r="A321" s="12" t="s">
        <v>232</v>
      </c>
      <c r="B321" s="8"/>
      <c r="C321" s="8"/>
      <c r="D321" s="8">
        <f t="shared" si="4"/>
        <v>0</v>
      </c>
    </row>
    <row r="322" spans="1:4" ht="18" hidden="1" x14ac:dyDescent="0.3">
      <c r="A322" s="10" t="s">
        <v>233</v>
      </c>
      <c r="B322" s="8"/>
      <c r="C322" s="8"/>
      <c r="D322" s="8">
        <f t="shared" si="4"/>
        <v>0</v>
      </c>
    </row>
    <row r="323" spans="1:4" ht="18" hidden="1" x14ac:dyDescent="0.3">
      <c r="A323" s="10" t="s">
        <v>234</v>
      </c>
      <c r="B323" s="8"/>
      <c r="C323" s="8"/>
      <c r="D323" s="8">
        <f t="shared" si="4"/>
        <v>0</v>
      </c>
    </row>
    <row r="324" spans="1:4" ht="18" hidden="1" x14ac:dyDescent="0.3">
      <c r="A324" s="12" t="s">
        <v>235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14" t="s">
        <v>239</v>
      </c>
      <c r="B325" s="8"/>
      <c r="C325" s="8"/>
      <c r="D325" s="8">
        <f t="shared" si="5"/>
        <v>0</v>
      </c>
    </row>
    <row r="326" spans="1:4" ht="18" hidden="1" x14ac:dyDescent="0.3">
      <c r="A326" s="14" t="s">
        <v>240</v>
      </c>
      <c r="B326" s="8"/>
      <c r="C326" s="8"/>
      <c r="D326" s="8">
        <f t="shared" si="5"/>
        <v>0</v>
      </c>
    </row>
    <row r="327" spans="1:4" ht="18" hidden="1" x14ac:dyDescent="0.3">
      <c r="A327" s="37" t="s">
        <v>241</v>
      </c>
      <c r="B327" s="8"/>
      <c r="C327" s="8"/>
      <c r="D327" s="8">
        <f t="shared" si="5"/>
        <v>0</v>
      </c>
    </row>
    <row r="328" spans="1:4" ht="18" hidden="1" x14ac:dyDescent="0.3">
      <c r="A328" s="37" t="s">
        <v>245</v>
      </c>
      <c r="B328" s="8"/>
      <c r="C328" s="8"/>
      <c r="D328" s="8">
        <f t="shared" si="5"/>
        <v>0</v>
      </c>
    </row>
    <row r="329" spans="1:4" ht="18" hidden="1" x14ac:dyDescent="0.3">
      <c r="A329" s="10" t="s">
        <v>276</v>
      </c>
      <c r="B329" s="8"/>
      <c r="C329" s="8"/>
      <c r="D329" s="8">
        <f t="shared" si="5"/>
        <v>0</v>
      </c>
    </row>
    <row r="330" spans="1:4" ht="18" hidden="1" x14ac:dyDescent="0.3">
      <c r="A330" s="37" t="s">
        <v>277</v>
      </c>
      <c r="B330" s="8"/>
      <c r="C330" s="8"/>
      <c r="D330" s="8">
        <f t="shared" si="5"/>
        <v>0</v>
      </c>
    </row>
    <row r="331" spans="1:4" ht="18" hidden="1" x14ac:dyDescent="0.3">
      <c r="A331" s="37" t="s">
        <v>279</v>
      </c>
      <c r="B331" s="8"/>
      <c r="C331" s="8"/>
      <c r="D331" s="8">
        <f t="shared" si="5"/>
        <v>0</v>
      </c>
    </row>
    <row r="332" spans="1:4" ht="18" hidden="1" x14ac:dyDescent="0.3">
      <c r="A332" s="37" t="s">
        <v>280</v>
      </c>
      <c r="B332" s="8"/>
      <c r="C332" s="8"/>
      <c r="D332" s="8">
        <f t="shared" si="5"/>
        <v>0</v>
      </c>
    </row>
    <row r="333" spans="1:4" ht="18" hidden="1" x14ac:dyDescent="0.3">
      <c r="A333" s="27" t="s">
        <v>292</v>
      </c>
      <c r="B333" s="8"/>
      <c r="C333" s="8"/>
      <c r="D333" s="8">
        <f t="shared" si="5"/>
        <v>0</v>
      </c>
    </row>
    <row r="334" spans="1:4" ht="18" hidden="1" x14ac:dyDescent="0.3">
      <c r="A334" s="14" t="s">
        <v>295</v>
      </c>
      <c r="B334" s="8"/>
      <c r="C334" s="8"/>
      <c r="D334" s="8">
        <f t="shared" si="5"/>
        <v>0</v>
      </c>
    </row>
    <row r="335" spans="1:4" ht="18" hidden="1" x14ac:dyDescent="0.3">
      <c r="A335" s="10" t="s">
        <v>301</v>
      </c>
      <c r="B335" s="8"/>
      <c r="C335" s="8"/>
      <c r="D335" s="8">
        <f t="shared" si="5"/>
        <v>0</v>
      </c>
    </row>
    <row r="336" spans="1:4" ht="18" hidden="1" x14ac:dyDescent="0.3">
      <c r="A336" s="10" t="s">
        <v>302</v>
      </c>
      <c r="B336" s="8"/>
      <c r="C336" s="8"/>
      <c r="D336" s="8">
        <f t="shared" si="5"/>
        <v>0</v>
      </c>
    </row>
    <row r="337" spans="1:4" ht="18" hidden="1" x14ac:dyDescent="0.3">
      <c r="A337" s="12" t="s">
        <v>303</v>
      </c>
      <c r="B337" s="8"/>
      <c r="C337" s="8"/>
      <c r="D337" s="8">
        <f t="shared" si="5"/>
        <v>0</v>
      </c>
    </row>
    <row r="338" spans="1:4" ht="18" hidden="1" x14ac:dyDescent="0.3">
      <c r="A338" s="12" t="s">
        <v>337</v>
      </c>
      <c r="B338" s="8"/>
      <c r="C338" s="8"/>
      <c r="D338" s="8">
        <f t="shared" si="5"/>
        <v>0</v>
      </c>
    </row>
    <row r="339" spans="1:4" ht="18" hidden="1" x14ac:dyDescent="0.3">
      <c r="A339" s="12" t="s">
        <v>338</v>
      </c>
      <c r="B339" s="8"/>
      <c r="C339" s="8"/>
      <c r="D339" s="8">
        <f t="shared" si="5"/>
        <v>0</v>
      </c>
    </row>
    <row r="340" spans="1:4" ht="18" x14ac:dyDescent="0.3">
      <c r="A340" s="43"/>
      <c r="B340" s="46">
        <f>SUM(B3:B339)</f>
        <v>3875</v>
      </c>
      <c r="C340" s="46"/>
      <c r="D340" s="8">
        <f>SUM(D24:D317)</f>
        <v>93543000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433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6" t="s">
        <v>2</v>
      </c>
      <c r="B345" s="8"/>
      <c r="C345" s="8"/>
      <c r="D345" s="8">
        <f t="shared" si="5"/>
        <v>0</v>
      </c>
    </row>
    <row r="346" spans="1:4" ht="18" hidden="1" x14ac:dyDescent="0.3">
      <c r="A346" s="9" t="s">
        <v>3</v>
      </c>
      <c r="B346" s="8"/>
      <c r="C346" s="8"/>
      <c r="D346" s="8">
        <f t="shared" si="5"/>
        <v>0</v>
      </c>
    </row>
    <row r="347" spans="1:4" ht="18" hidden="1" x14ac:dyDescent="0.3">
      <c r="A347" s="6" t="s">
        <v>4</v>
      </c>
      <c r="B347" s="8"/>
      <c r="C347" s="8"/>
      <c r="D347" s="8">
        <f t="shared" si="5"/>
        <v>0</v>
      </c>
    </row>
    <row r="348" spans="1:4" ht="18" hidden="1" x14ac:dyDescent="0.3">
      <c r="A348" s="6" t="s">
        <v>5</v>
      </c>
      <c r="B348" s="8"/>
      <c r="C348" s="8"/>
      <c r="D348" s="8">
        <f t="shared" si="5"/>
        <v>0</v>
      </c>
    </row>
    <row r="349" spans="1:4" ht="18" hidden="1" x14ac:dyDescent="0.3">
      <c r="A349" s="10" t="s">
        <v>6</v>
      </c>
      <c r="B349" s="8"/>
      <c r="C349" s="8"/>
      <c r="D349" s="8">
        <f t="shared" si="5"/>
        <v>0</v>
      </c>
    </row>
    <row r="350" spans="1:4" ht="18" hidden="1" x14ac:dyDescent="0.3">
      <c r="A350" s="11" t="s">
        <v>7</v>
      </c>
      <c r="B350" s="8"/>
      <c r="C350" s="8"/>
      <c r="D350" s="8">
        <f t="shared" si="5"/>
        <v>0</v>
      </c>
    </row>
    <row r="351" spans="1:4" ht="18" hidden="1" x14ac:dyDescent="0.3">
      <c r="A351" s="6" t="s">
        <v>8</v>
      </c>
      <c r="B351" s="8"/>
      <c r="C351" s="8"/>
      <c r="D351" s="8">
        <f t="shared" si="5"/>
        <v>0</v>
      </c>
    </row>
    <row r="352" spans="1:4" ht="18" hidden="1" x14ac:dyDescent="0.3">
      <c r="A352" s="6" t="s">
        <v>9</v>
      </c>
      <c r="B352" s="8"/>
      <c r="C352" s="8"/>
      <c r="D352" s="8">
        <f t="shared" si="5"/>
        <v>0</v>
      </c>
    </row>
    <row r="353" spans="1:4" ht="18" hidden="1" x14ac:dyDescent="0.3">
      <c r="A353" s="12" t="s">
        <v>342</v>
      </c>
      <c r="B353" s="8"/>
      <c r="C353" s="8"/>
      <c r="D353" s="8">
        <f t="shared" si="5"/>
        <v>0</v>
      </c>
    </row>
    <row r="354" spans="1:4" ht="18" hidden="1" x14ac:dyDescent="0.3">
      <c r="A354" s="10" t="s">
        <v>11</v>
      </c>
      <c r="B354" s="8"/>
      <c r="C354" s="8"/>
      <c r="D354" s="8">
        <f t="shared" si="5"/>
        <v>0</v>
      </c>
    </row>
    <row r="355" spans="1:4" ht="18" x14ac:dyDescent="0.3">
      <c r="A355" s="10" t="s">
        <v>12</v>
      </c>
      <c r="B355" s="8">
        <v>15</v>
      </c>
      <c r="C355" s="8">
        <v>10000</v>
      </c>
      <c r="D355" s="8">
        <f t="shared" si="5"/>
        <v>150000</v>
      </c>
    </row>
    <row r="356" spans="1:4" ht="18" hidden="1" x14ac:dyDescent="0.3">
      <c r="A356" s="13" t="s">
        <v>13</v>
      </c>
      <c r="B356" s="8"/>
      <c r="C356" s="8"/>
      <c r="D356" s="8">
        <f t="shared" si="5"/>
        <v>0</v>
      </c>
    </row>
    <row r="357" spans="1:4" ht="18" hidden="1" x14ac:dyDescent="0.3">
      <c r="A357" s="13" t="s">
        <v>14</v>
      </c>
      <c r="B357" s="8"/>
      <c r="C357" s="8"/>
      <c r="D357" s="8">
        <f t="shared" si="5"/>
        <v>0</v>
      </c>
    </row>
    <row r="358" spans="1:4" ht="18" hidden="1" x14ac:dyDescent="0.3">
      <c r="A358" s="10" t="s">
        <v>15</v>
      </c>
      <c r="B358" s="8"/>
      <c r="C358" s="8"/>
      <c r="D358" s="8">
        <f t="shared" si="5"/>
        <v>0</v>
      </c>
    </row>
    <row r="359" spans="1:4" ht="18" hidden="1" x14ac:dyDescent="0.3">
      <c r="A359" s="10" t="s">
        <v>16</v>
      </c>
      <c r="B359" s="8"/>
      <c r="C359" s="8"/>
      <c r="D359" s="8">
        <f t="shared" si="5"/>
        <v>0</v>
      </c>
    </row>
    <row r="360" spans="1:4" ht="18" hidden="1" x14ac:dyDescent="0.3">
      <c r="A360" s="14" t="s">
        <v>17</v>
      </c>
      <c r="B360" s="8"/>
      <c r="C360" s="8"/>
      <c r="D360" s="8">
        <f t="shared" si="5"/>
        <v>0</v>
      </c>
    </row>
    <row r="361" spans="1:4" ht="18" hidden="1" x14ac:dyDescent="0.3">
      <c r="A361" s="12" t="s">
        <v>18</v>
      </c>
      <c r="B361" s="8"/>
      <c r="C361" s="8"/>
      <c r="D361" s="8">
        <f t="shared" si="5"/>
        <v>0</v>
      </c>
    </row>
    <row r="362" spans="1:4" ht="18" x14ac:dyDescent="0.3">
      <c r="A362" s="10" t="s">
        <v>19</v>
      </c>
      <c r="B362" s="8">
        <f>400+120+45+390-200+915+900+60+430</f>
        <v>3060</v>
      </c>
      <c r="C362" s="8">
        <v>13000</v>
      </c>
      <c r="D362" s="8">
        <f t="shared" si="5"/>
        <v>39780000</v>
      </c>
    </row>
    <row r="363" spans="1:4" ht="18" hidden="1" x14ac:dyDescent="0.3">
      <c r="A363" s="13" t="s">
        <v>20</v>
      </c>
      <c r="B363" s="8"/>
      <c r="C363" s="8"/>
      <c r="D363" s="8">
        <f t="shared" si="5"/>
        <v>0</v>
      </c>
    </row>
    <row r="364" spans="1:4" ht="18" hidden="1" x14ac:dyDescent="0.3">
      <c r="A364" s="13" t="s">
        <v>21</v>
      </c>
      <c r="B364" s="8"/>
      <c r="C364" s="8"/>
      <c r="D364" s="8">
        <f t="shared" si="5"/>
        <v>0</v>
      </c>
    </row>
    <row r="365" spans="1:4" ht="18" x14ac:dyDescent="0.3">
      <c r="A365" s="10" t="s">
        <v>22</v>
      </c>
      <c r="B365" s="8">
        <v>3</v>
      </c>
      <c r="C365" s="8">
        <v>14000</v>
      </c>
      <c r="D365" s="8">
        <f t="shared" si="5"/>
        <v>42000</v>
      </c>
    </row>
    <row r="366" spans="1:4" ht="18" hidden="1" x14ac:dyDescent="0.3">
      <c r="A366" s="10" t="s">
        <v>23</v>
      </c>
      <c r="B366" s="8"/>
      <c r="C366" s="8"/>
      <c r="D366" s="8">
        <f t="shared" si="5"/>
        <v>0</v>
      </c>
    </row>
    <row r="367" spans="1:4" ht="18" hidden="1" x14ac:dyDescent="0.3">
      <c r="A367" s="10" t="s">
        <v>24</v>
      </c>
      <c r="B367" s="8"/>
      <c r="C367" s="8"/>
      <c r="D367" s="8">
        <f t="shared" si="5"/>
        <v>0</v>
      </c>
    </row>
    <row r="368" spans="1:4" ht="18" hidden="1" x14ac:dyDescent="0.3">
      <c r="A368" s="10" t="s">
        <v>25</v>
      </c>
      <c r="B368" s="8"/>
      <c r="C368" s="8"/>
      <c r="D368" s="8">
        <f t="shared" si="5"/>
        <v>0</v>
      </c>
    </row>
    <row r="369" spans="1:4" ht="18" hidden="1" x14ac:dyDescent="0.3">
      <c r="A369" s="10" t="s">
        <v>26</v>
      </c>
      <c r="B369" s="8"/>
      <c r="C369" s="8"/>
      <c r="D369" s="8">
        <f t="shared" si="5"/>
        <v>0</v>
      </c>
    </row>
    <row r="370" spans="1:4" ht="18" hidden="1" x14ac:dyDescent="0.3">
      <c r="A370" s="10" t="s">
        <v>27</v>
      </c>
      <c r="B370" s="8"/>
      <c r="C370" s="8"/>
      <c r="D370" s="8">
        <f t="shared" si="5"/>
        <v>0</v>
      </c>
    </row>
    <row r="371" spans="1:4" ht="18" hidden="1" x14ac:dyDescent="0.3">
      <c r="A371" s="13" t="s">
        <v>28</v>
      </c>
      <c r="B371" s="8"/>
      <c r="C371" s="8"/>
      <c r="D371" s="8">
        <f t="shared" si="5"/>
        <v>0</v>
      </c>
    </row>
    <row r="372" spans="1:4" ht="18" hidden="1" x14ac:dyDescent="0.3">
      <c r="A372" s="13" t="s">
        <v>35</v>
      </c>
      <c r="B372" s="8"/>
      <c r="C372" s="8"/>
      <c r="D372" s="8">
        <f t="shared" si="5"/>
        <v>0</v>
      </c>
    </row>
    <row r="373" spans="1:4" ht="18" hidden="1" x14ac:dyDescent="0.3">
      <c r="A373" s="10" t="s">
        <v>36</v>
      </c>
      <c r="B373" s="8"/>
      <c r="C373" s="8"/>
      <c r="D373" s="8">
        <f t="shared" si="5"/>
        <v>0</v>
      </c>
    </row>
    <row r="374" spans="1:4" ht="18" hidden="1" x14ac:dyDescent="0.3">
      <c r="A374" s="10" t="s">
        <v>37</v>
      </c>
      <c r="B374" s="8"/>
      <c r="C374" s="8"/>
      <c r="D374" s="8">
        <f t="shared" si="5"/>
        <v>0</v>
      </c>
    </row>
    <row r="375" spans="1:4" ht="18" hidden="1" x14ac:dyDescent="0.3">
      <c r="A375" s="12" t="s">
        <v>38</v>
      </c>
      <c r="B375" s="17"/>
      <c r="C375" s="17"/>
      <c r="D375" s="8">
        <f t="shared" si="5"/>
        <v>0</v>
      </c>
    </row>
    <row r="376" spans="1:4" ht="18" hidden="1" x14ac:dyDescent="0.3">
      <c r="A376" s="12" t="s">
        <v>39</v>
      </c>
      <c r="B376" s="17"/>
      <c r="C376" s="17"/>
      <c r="D376" s="8">
        <f t="shared" si="5"/>
        <v>0</v>
      </c>
    </row>
    <row r="377" spans="1:4" ht="18" hidden="1" x14ac:dyDescent="0.3">
      <c r="A377" s="10" t="s">
        <v>40</v>
      </c>
      <c r="B377" s="8"/>
      <c r="C377" s="8"/>
      <c r="D377" s="8">
        <f t="shared" si="5"/>
        <v>0</v>
      </c>
    </row>
    <row r="378" spans="1:4" ht="18" hidden="1" x14ac:dyDescent="0.3">
      <c r="A378" s="10" t="s">
        <v>41</v>
      </c>
      <c r="B378" s="8"/>
      <c r="C378" s="8"/>
      <c r="D378" s="8">
        <f t="shared" si="5"/>
        <v>0</v>
      </c>
    </row>
    <row r="379" spans="1:4" ht="18" hidden="1" x14ac:dyDescent="0.3">
      <c r="A379" s="18" t="s">
        <v>42</v>
      </c>
      <c r="B379" s="8"/>
      <c r="C379" s="8"/>
      <c r="D379" s="8">
        <f t="shared" si="5"/>
        <v>0</v>
      </c>
    </row>
    <row r="380" spans="1:4" ht="18" hidden="1" x14ac:dyDescent="0.3">
      <c r="A380" s="10" t="s">
        <v>43</v>
      </c>
      <c r="B380" s="8"/>
      <c r="C380" s="8"/>
      <c r="D380" s="8">
        <f t="shared" si="5"/>
        <v>0</v>
      </c>
    </row>
    <row r="381" spans="1:4" ht="18" hidden="1" x14ac:dyDescent="0.3">
      <c r="A381" s="10" t="s">
        <v>44</v>
      </c>
      <c r="B381" s="8"/>
      <c r="C381" s="8"/>
      <c r="D381" s="8">
        <f t="shared" si="5"/>
        <v>0</v>
      </c>
    </row>
    <row r="382" spans="1:4" ht="18" hidden="1" x14ac:dyDescent="0.3">
      <c r="A382" s="10" t="s">
        <v>45</v>
      </c>
      <c r="B382" s="8"/>
      <c r="C382" s="8"/>
      <c r="D382" s="8">
        <f t="shared" si="5"/>
        <v>0</v>
      </c>
    </row>
    <row r="383" spans="1:4" ht="18" hidden="1" x14ac:dyDescent="0.3">
      <c r="A383" s="10" t="s">
        <v>46</v>
      </c>
      <c r="B383" s="8"/>
      <c r="C383" s="8"/>
      <c r="D383" s="8">
        <f t="shared" si="5"/>
        <v>0</v>
      </c>
    </row>
    <row r="384" spans="1:4" ht="18" hidden="1" x14ac:dyDescent="0.3">
      <c r="A384" s="14" t="s">
        <v>47</v>
      </c>
      <c r="B384" s="8"/>
      <c r="C384" s="8"/>
      <c r="D384" s="8">
        <f t="shared" si="5"/>
        <v>0</v>
      </c>
    </row>
    <row r="385" spans="1:4" ht="18" hidden="1" x14ac:dyDescent="0.3">
      <c r="A385" s="12" t="s">
        <v>48</v>
      </c>
      <c r="B385" s="8"/>
      <c r="C385" s="8"/>
      <c r="D385" s="8">
        <f t="shared" si="5"/>
        <v>0</v>
      </c>
    </row>
    <row r="386" spans="1:4" ht="18" hidden="1" x14ac:dyDescent="0.3">
      <c r="A386" s="14" t="s">
        <v>49</v>
      </c>
      <c r="B386" s="8"/>
      <c r="C386" s="8"/>
      <c r="D386" s="8">
        <f t="shared" si="5"/>
        <v>0</v>
      </c>
    </row>
    <row r="387" spans="1:4" ht="18" hidden="1" x14ac:dyDescent="0.3">
      <c r="A387" s="10" t="s">
        <v>50</v>
      </c>
      <c r="B387" s="8"/>
      <c r="C387" s="8"/>
      <c r="D387" s="8">
        <f t="shared" si="5"/>
        <v>0</v>
      </c>
    </row>
    <row r="388" spans="1:4" ht="18" hidden="1" x14ac:dyDescent="0.3">
      <c r="A388" s="10" t="s">
        <v>51</v>
      </c>
      <c r="B388" s="8"/>
      <c r="C388" s="8"/>
      <c r="D388" s="8">
        <f t="shared" ref="D388:D451" si="6">B388*C388</f>
        <v>0</v>
      </c>
    </row>
    <row r="389" spans="1:4" ht="18" x14ac:dyDescent="0.3">
      <c r="A389" s="13" t="s">
        <v>52</v>
      </c>
      <c r="B389" s="8">
        <f>200+60+80</f>
        <v>340</v>
      </c>
      <c r="C389" s="8">
        <v>19000</v>
      </c>
      <c r="D389" s="8">
        <f t="shared" si="6"/>
        <v>6460000</v>
      </c>
    </row>
    <row r="390" spans="1:4" ht="18" hidden="1" x14ac:dyDescent="0.3">
      <c r="A390" s="31" t="s">
        <v>53</v>
      </c>
      <c r="B390" s="8"/>
      <c r="C390" s="8"/>
      <c r="D390" s="8">
        <f t="shared" si="6"/>
        <v>0</v>
      </c>
    </row>
    <row r="391" spans="1:4" ht="18" hidden="1" x14ac:dyDescent="0.3">
      <c r="A391" s="18" t="s">
        <v>54</v>
      </c>
      <c r="B391" s="8"/>
      <c r="C391" s="8"/>
      <c r="D391" s="8">
        <f t="shared" si="6"/>
        <v>0</v>
      </c>
    </row>
    <row r="392" spans="1:4" ht="18" hidden="1" x14ac:dyDescent="0.3">
      <c r="A392" s="18" t="s">
        <v>55</v>
      </c>
      <c r="B392" s="8"/>
      <c r="C392" s="8"/>
      <c r="D392" s="8">
        <f t="shared" si="6"/>
        <v>0</v>
      </c>
    </row>
    <row r="393" spans="1:4" ht="18" hidden="1" x14ac:dyDescent="0.3">
      <c r="A393" s="18" t="s">
        <v>56</v>
      </c>
      <c r="B393" s="8"/>
      <c r="C393" s="8"/>
      <c r="D393" s="8">
        <f t="shared" si="6"/>
        <v>0</v>
      </c>
    </row>
    <row r="394" spans="1:4" ht="18" hidden="1" x14ac:dyDescent="0.3">
      <c r="A394" s="10" t="s">
        <v>57</v>
      </c>
      <c r="B394" s="8"/>
      <c r="C394" s="8"/>
      <c r="D394" s="8">
        <f t="shared" si="6"/>
        <v>0</v>
      </c>
    </row>
    <row r="395" spans="1:4" ht="18" hidden="1" x14ac:dyDescent="0.3">
      <c r="A395" s="12" t="s">
        <v>58</v>
      </c>
      <c r="B395" s="8"/>
      <c r="C395" s="8"/>
      <c r="D395" s="8">
        <f t="shared" si="6"/>
        <v>0</v>
      </c>
    </row>
    <row r="396" spans="1:4" ht="18" hidden="1" x14ac:dyDescent="0.3">
      <c r="A396" s="10" t="s">
        <v>59</v>
      </c>
      <c r="B396" s="8"/>
      <c r="C396" s="8"/>
      <c r="D396" s="8">
        <f t="shared" si="6"/>
        <v>0</v>
      </c>
    </row>
    <row r="397" spans="1:4" ht="18" hidden="1" x14ac:dyDescent="0.3">
      <c r="A397" s="10" t="s">
        <v>60</v>
      </c>
      <c r="B397" s="8"/>
      <c r="C397" s="8"/>
      <c r="D397" s="8">
        <f t="shared" si="6"/>
        <v>0</v>
      </c>
    </row>
    <row r="398" spans="1:4" ht="18" hidden="1" x14ac:dyDescent="0.3">
      <c r="A398" s="18" t="s">
        <v>61</v>
      </c>
      <c r="B398" s="8"/>
      <c r="C398" s="8"/>
      <c r="D398" s="8">
        <f t="shared" si="6"/>
        <v>0</v>
      </c>
    </row>
    <row r="399" spans="1:4" ht="18" hidden="1" x14ac:dyDescent="0.3">
      <c r="A399" s="10" t="s">
        <v>62</v>
      </c>
      <c r="B399" s="8"/>
      <c r="C399" s="8"/>
      <c r="D399" s="8">
        <f t="shared" si="6"/>
        <v>0</v>
      </c>
    </row>
    <row r="400" spans="1:4" ht="18" hidden="1" x14ac:dyDescent="0.3">
      <c r="A400" s="21" t="s">
        <v>63</v>
      </c>
      <c r="B400" s="8"/>
      <c r="C400" s="8"/>
      <c r="D400" s="8">
        <f t="shared" si="6"/>
        <v>0</v>
      </c>
    </row>
    <row r="401" spans="1:4" ht="18" hidden="1" x14ac:dyDescent="0.3">
      <c r="A401" s="10" t="s">
        <v>64</v>
      </c>
      <c r="B401" s="8"/>
      <c r="C401" s="8"/>
      <c r="D401" s="8">
        <f t="shared" si="6"/>
        <v>0</v>
      </c>
    </row>
    <row r="402" spans="1:4" ht="18" hidden="1" x14ac:dyDescent="0.3">
      <c r="A402" s="10" t="s">
        <v>65</v>
      </c>
      <c r="B402" s="8"/>
      <c r="C402" s="8"/>
      <c r="D402" s="8">
        <f t="shared" si="6"/>
        <v>0</v>
      </c>
    </row>
    <row r="403" spans="1:4" ht="18" hidden="1" x14ac:dyDescent="0.3">
      <c r="A403" s="22" t="s">
        <v>66</v>
      </c>
      <c r="B403" s="8"/>
      <c r="C403" s="8"/>
      <c r="D403" s="8">
        <f t="shared" si="6"/>
        <v>0</v>
      </c>
    </row>
    <row r="404" spans="1:4" ht="18" hidden="1" x14ac:dyDescent="0.3">
      <c r="A404" s="45" t="s">
        <v>67</v>
      </c>
      <c r="B404" s="8"/>
      <c r="C404" s="8"/>
      <c r="D404" s="8">
        <f t="shared" si="6"/>
        <v>0</v>
      </c>
    </row>
    <row r="405" spans="1:4" ht="18" hidden="1" x14ac:dyDescent="0.3">
      <c r="A405" s="13" t="s">
        <v>68</v>
      </c>
      <c r="B405" s="8"/>
      <c r="C405" s="8"/>
      <c r="D405" s="8">
        <f t="shared" si="6"/>
        <v>0</v>
      </c>
    </row>
    <row r="406" spans="1:4" ht="18" hidden="1" x14ac:dyDescent="0.3">
      <c r="A406" s="12" t="s">
        <v>69</v>
      </c>
      <c r="B406" s="8"/>
      <c r="C406" s="8"/>
      <c r="D406" s="8">
        <f t="shared" si="6"/>
        <v>0</v>
      </c>
    </row>
    <row r="407" spans="1:4" ht="18" hidden="1" x14ac:dyDescent="0.3">
      <c r="A407" s="13" t="s">
        <v>70</v>
      </c>
      <c r="B407" s="8"/>
      <c r="C407" s="8"/>
      <c r="D407" s="8">
        <f t="shared" si="6"/>
        <v>0</v>
      </c>
    </row>
    <row r="408" spans="1:4" ht="18" hidden="1" x14ac:dyDescent="0.3">
      <c r="A408" s="13" t="s">
        <v>71</v>
      </c>
      <c r="B408" s="8"/>
      <c r="C408" s="8"/>
      <c r="D408" s="8">
        <f t="shared" si="6"/>
        <v>0</v>
      </c>
    </row>
    <row r="409" spans="1:4" ht="18" hidden="1" x14ac:dyDescent="0.3">
      <c r="A409" s="13" t="s">
        <v>72</v>
      </c>
      <c r="B409" s="8"/>
      <c r="C409" s="8"/>
      <c r="D409" s="8">
        <f t="shared" si="6"/>
        <v>0</v>
      </c>
    </row>
    <row r="410" spans="1:4" ht="18" hidden="1" x14ac:dyDescent="0.3">
      <c r="A410" s="22" t="s">
        <v>73</v>
      </c>
      <c r="B410" s="8"/>
      <c r="C410" s="8"/>
      <c r="D410" s="8">
        <f t="shared" si="6"/>
        <v>0</v>
      </c>
    </row>
    <row r="411" spans="1:4" ht="18" hidden="1" x14ac:dyDescent="0.3">
      <c r="A411" s="10" t="s">
        <v>74</v>
      </c>
      <c r="B411" s="8"/>
      <c r="C411" s="8"/>
      <c r="D411" s="8">
        <f t="shared" si="6"/>
        <v>0</v>
      </c>
    </row>
    <row r="412" spans="1:4" ht="18" hidden="1" x14ac:dyDescent="0.3">
      <c r="A412" s="10" t="s">
        <v>75</v>
      </c>
      <c r="B412" s="8"/>
      <c r="C412" s="8"/>
      <c r="D412" s="8">
        <f t="shared" si="6"/>
        <v>0</v>
      </c>
    </row>
    <row r="413" spans="1:4" ht="18" hidden="1" x14ac:dyDescent="0.3">
      <c r="A413" s="13" t="s">
        <v>76</v>
      </c>
      <c r="B413" s="8"/>
      <c r="C413" s="8"/>
      <c r="D413" s="8">
        <f t="shared" si="6"/>
        <v>0</v>
      </c>
    </row>
    <row r="414" spans="1:4" ht="18" hidden="1" x14ac:dyDescent="0.3">
      <c r="A414" s="10" t="s">
        <v>77</v>
      </c>
      <c r="B414" s="8"/>
      <c r="C414" s="8"/>
      <c r="D414" s="8">
        <f t="shared" si="6"/>
        <v>0</v>
      </c>
    </row>
    <row r="415" spans="1:4" ht="18" hidden="1" x14ac:dyDescent="0.3">
      <c r="A415" s="14" t="s">
        <v>78</v>
      </c>
      <c r="B415" s="8"/>
      <c r="C415" s="8"/>
      <c r="D415" s="8">
        <f t="shared" si="6"/>
        <v>0</v>
      </c>
    </row>
    <row r="416" spans="1:4" ht="18" hidden="1" x14ac:dyDescent="0.3">
      <c r="A416" s="10" t="s">
        <v>79</v>
      </c>
      <c r="B416" s="8"/>
      <c r="C416" s="8"/>
      <c r="D416" s="8">
        <f t="shared" si="6"/>
        <v>0</v>
      </c>
    </row>
    <row r="417" spans="1:4" ht="18" hidden="1" x14ac:dyDescent="0.3">
      <c r="A417" s="10" t="s">
        <v>80</v>
      </c>
      <c r="B417" s="8"/>
      <c r="C417" s="8"/>
      <c r="D417" s="8">
        <f t="shared" si="6"/>
        <v>0</v>
      </c>
    </row>
    <row r="418" spans="1:4" ht="18" hidden="1" x14ac:dyDescent="0.3">
      <c r="A418" s="10" t="s">
        <v>81</v>
      </c>
      <c r="B418" s="8"/>
      <c r="C418" s="8"/>
      <c r="D418" s="8">
        <f t="shared" si="6"/>
        <v>0</v>
      </c>
    </row>
    <row r="419" spans="1:4" ht="18" hidden="1" x14ac:dyDescent="0.3">
      <c r="A419" s="13" t="s">
        <v>82</v>
      </c>
      <c r="B419" s="17"/>
      <c r="C419" s="17"/>
      <c r="D419" s="8">
        <f t="shared" si="6"/>
        <v>0</v>
      </c>
    </row>
    <row r="420" spans="1:4" ht="18" hidden="1" x14ac:dyDescent="0.3">
      <c r="A420" s="13" t="s">
        <v>83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84</v>
      </c>
      <c r="B421" s="17"/>
      <c r="C421" s="17"/>
      <c r="D421" s="8">
        <f t="shared" si="6"/>
        <v>0</v>
      </c>
    </row>
    <row r="422" spans="1:4" ht="18" hidden="1" x14ac:dyDescent="0.3">
      <c r="A422" s="10" t="s">
        <v>85</v>
      </c>
      <c r="B422" s="8"/>
      <c r="C422" s="8"/>
      <c r="D422" s="8">
        <f t="shared" si="6"/>
        <v>0</v>
      </c>
    </row>
    <row r="423" spans="1:4" ht="18" hidden="1" x14ac:dyDescent="0.3">
      <c r="A423" s="10" t="s">
        <v>86</v>
      </c>
      <c r="B423" s="8"/>
      <c r="C423" s="8"/>
      <c r="D423" s="8">
        <f t="shared" si="6"/>
        <v>0</v>
      </c>
    </row>
    <row r="424" spans="1:4" ht="18" hidden="1" x14ac:dyDescent="0.3">
      <c r="A424" s="10" t="s">
        <v>87</v>
      </c>
      <c r="B424" s="8"/>
      <c r="C424" s="8"/>
      <c r="D424" s="8">
        <f t="shared" si="6"/>
        <v>0</v>
      </c>
    </row>
    <row r="425" spans="1:4" ht="18" hidden="1" x14ac:dyDescent="0.3">
      <c r="A425" s="10" t="s">
        <v>88</v>
      </c>
      <c r="B425" s="8"/>
      <c r="C425" s="8"/>
      <c r="D425" s="8">
        <f t="shared" si="6"/>
        <v>0</v>
      </c>
    </row>
    <row r="426" spans="1:4" ht="18" hidden="1" x14ac:dyDescent="0.3">
      <c r="A426" s="10" t="s">
        <v>89</v>
      </c>
      <c r="B426" s="8"/>
      <c r="C426" s="8"/>
      <c r="D426" s="8">
        <f t="shared" si="6"/>
        <v>0</v>
      </c>
    </row>
    <row r="427" spans="1:4" ht="18" hidden="1" x14ac:dyDescent="0.3">
      <c r="A427" s="10" t="s">
        <v>90</v>
      </c>
      <c r="B427" s="8"/>
      <c r="C427" s="8"/>
      <c r="D427" s="8">
        <f t="shared" si="6"/>
        <v>0</v>
      </c>
    </row>
    <row r="428" spans="1:4" ht="18" hidden="1" x14ac:dyDescent="0.3">
      <c r="A428" s="23" t="s">
        <v>91</v>
      </c>
      <c r="B428" s="8"/>
      <c r="C428" s="8"/>
      <c r="D428" s="8">
        <f t="shared" si="6"/>
        <v>0</v>
      </c>
    </row>
    <row r="429" spans="1:4" ht="18" hidden="1" x14ac:dyDescent="0.3">
      <c r="A429" s="23" t="s">
        <v>92</v>
      </c>
      <c r="B429" s="8"/>
      <c r="C429" s="8"/>
      <c r="D429" s="8">
        <f t="shared" si="6"/>
        <v>0</v>
      </c>
    </row>
    <row r="430" spans="1:4" ht="18" hidden="1" x14ac:dyDescent="0.3">
      <c r="A430" s="23" t="s">
        <v>93</v>
      </c>
      <c r="B430" s="8"/>
      <c r="C430" s="8"/>
      <c r="D430" s="8">
        <f t="shared" si="6"/>
        <v>0</v>
      </c>
    </row>
    <row r="431" spans="1:4" ht="18" hidden="1" x14ac:dyDescent="0.3">
      <c r="A431" s="12" t="s">
        <v>94</v>
      </c>
      <c r="B431" s="8"/>
      <c r="C431" s="8"/>
      <c r="D431" s="8">
        <f t="shared" si="6"/>
        <v>0</v>
      </c>
    </row>
    <row r="432" spans="1:4" ht="18" hidden="1" x14ac:dyDescent="0.3">
      <c r="A432" s="14" t="s">
        <v>95</v>
      </c>
      <c r="B432" s="8"/>
      <c r="C432" s="8"/>
      <c r="D432" s="8">
        <f t="shared" si="6"/>
        <v>0</v>
      </c>
    </row>
    <row r="433" spans="1:4" ht="18" hidden="1" x14ac:dyDescent="0.3">
      <c r="A433" s="12" t="s">
        <v>343</v>
      </c>
      <c r="B433" s="8"/>
      <c r="C433" s="8"/>
      <c r="D433" s="8">
        <f t="shared" si="6"/>
        <v>0</v>
      </c>
    </row>
    <row r="434" spans="1:4" ht="18" hidden="1" x14ac:dyDescent="0.3">
      <c r="A434" s="10" t="s">
        <v>96</v>
      </c>
      <c r="B434" s="8"/>
      <c r="C434" s="8"/>
      <c r="D434" s="8">
        <f t="shared" si="6"/>
        <v>0</v>
      </c>
    </row>
    <row r="435" spans="1:4" ht="18" hidden="1" x14ac:dyDescent="0.3">
      <c r="A435" s="10" t="s">
        <v>97</v>
      </c>
      <c r="B435" s="8"/>
      <c r="C435" s="8"/>
      <c r="D435" s="8">
        <f t="shared" si="6"/>
        <v>0</v>
      </c>
    </row>
    <row r="436" spans="1:4" ht="18" hidden="1" x14ac:dyDescent="0.3">
      <c r="A436" s="12" t="s">
        <v>344</v>
      </c>
      <c r="B436" s="8"/>
      <c r="C436" s="8"/>
      <c r="D436" s="8">
        <f t="shared" si="6"/>
        <v>0</v>
      </c>
    </row>
    <row r="437" spans="1:4" ht="18" hidden="1" x14ac:dyDescent="0.3">
      <c r="A437" s="12" t="s">
        <v>345</v>
      </c>
      <c r="B437" s="8"/>
      <c r="C437" s="8"/>
      <c r="D437" s="8">
        <f t="shared" si="6"/>
        <v>0</v>
      </c>
    </row>
    <row r="438" spans="1:4" ht="18" hidden="1" x14ac:dyDescent="0.3">
      <c r="A438" s="10" t="s">
        <v>99</v>
      </c>
      <c r="B438" s="17"/>
      <c r="C438" s="17"/>
      <c r="D438" s="8">
        <f t="shared" si="6"/>
        <v>0</v>
      </c>
    </row>
    <row r="439" spans="1:4" ht="18" hidden="1" x14ac:dyDescent="0.3">
      <c r="A439" s="23" t="s">
        <v>101</v>
      </c>
      <c r="B439" s="8"/>
      <c r="C439" s="8"/>
      <c r="D439" s="8">
        <f t="shared" si="6"/>
        <v>0</v>
      </c>
    </row>
    <row r="440" spans="1:4" ht="18" hidden="1" x14ac:dyDescent="0.3">
      <c r="A440" s="12" t="s">
        <v>102</v>
      </c>
      <c r="B440" s="8"/>
      <c r="C440" s="8"/>
      <c r="D440" s="8">
        <f t="shared" si="6"/>
        <v>0</v>
      </c>
    </row>
    <row r="441" spans="1:4" ht="18" hidden="1" x14ac:dyDescent="0.3">
      <c r="A441" s="12" t="s">
        <v>346</v>
      </c>
      <c r="B441" s="8"/>
      <c r="C441" s="8"/>
      <c r="D441" s="8">
        <f t="shared" si="6"/>
        <v>0</v>
      </c>
    </row>
    <row r="442" spans="1:4" ht="18" hidden="1" x14ac:dyDescent="0.3">
      <c r="A442" s="10" t="s">
        <v>103</v>
      </c>
      <c r="B442" s="8"/>
      <c r="C442" s="8"/>
      <c r="D442" s="8">
        <f t="shared" si="6"/>
        <v>0</v>
      </c>
    </row>
    <row r="443" spans="1:4" ht="18" hidden="1" x14ac:dyDescent="0.3">
      <c r="A443" s="18" t="s">
        <v>104</v>
      </c>
      <c r="B443" s="8"/>
      <c r="C443" s="8"/>
      <c r="D443" s="8">
        <f t="shared" si="6"/>
        <v>0</v>
      </c>
    </row>
    <row r="444" spans="1:4" ht="18" hidden="1" x14ac:dyDescent="0.3">
      <c r="A444" s="26" t="s">
        <v>105</v>
      </c>
      <c r="B444" s="8"/>
      <c r="C444" s="8"/>
      <c r="D444" s="8">
        <f t="shared" si="6"/>
        <v>0</v>
      </c>
    </row>
    <row r="445" spans="1:4" ht="18" hidden="1" x14ac:dyDescent="0.3">
      <c r="A445" s="26" t="s">
        <v>106</v>
      </c>
      <c r="B445" s="8"/>
      <c r="C445" s="8"/>
      <c r="D445" s="8">
        <f t="shared" si="6"/>
        <v>0</v>
      </c>
    </row>
    <row r="446" spans="1:4" ht="18" hidden="1" x14ac:dyDescent="0.3">
      <c r="A446" s="25" t="s">
        <v>107</v>
      </c>
      <c r="B446" s="8"/>
      <c r="C446" s="8"/>
      <c r="D446" s="8">
        <f t="shared" si="6"/>
        <v>0</v>
      </c>
    </row>
    <row r="447" spans="1:4" ht="18" hidden="1" x14ac:dyDescent="0.3">
      <c r="A447" s="27" t="s">
        <v>108</v>
      </c>
      <c r="B447" s="8"/>
      <c r="C447" s="8"/>
      <c r="D447" s="8">
        <f t="shared" si="6"/>
        <v>0</v>
      </c>
    </row>
    <row r="448" spans="1:4" ht="18" hidden="1" x14ac:dyDescent="0.3">
      <c r="A448" s="10" t="s">
        <v>109</v>
      </c>
      <c r="B448" s="8"/>
      <c r="C448" s="8"/>
      <c r="D448" s="8">
        <f t="shared" si="6"/>
        <v>0</v>
      </c>
    </row>
    <row r="449" spans="1:4" ht="18" hidden="1" x14ac:dyDescent="0.3">
      <c r="A449" s="10" t="s">
        <v>110</v>
      </c>
      <c r="B449" s="8"/>
      <c r="C449" s="8"/>
      <c r="D449" s="8">
        <f t="shared" si="6"/>
        <v>0</v>
      </c>
    </row>
    <row r="450" spans="1:4" ht="18" hidden="1" x14ac:dyDescent="0.3">
      <c r="A450" s="10" t="s">
        <v>111</v>
      </c>
      <c r="B450" s="8"/>
      <c r="C450" s="8"/>
      <c r="D450" s="8">
        <f t="shared" si="6"/>
        <v>0</v>
      </c>
    </row>
    <row r="451" spans="1:4" ht="18" hidden="1" x14ac:dyDescent="0.3">
      <c r="A451" s="10" t="s">
        <v>112</v>
      </c>
      <c r="B451" s="8"/>
      <c r="C451" s="8"/>
      <c r="D451" s="8">
        <f t="shared" si="6"/>
        <v>0</v>
      </c>
    </row>
    <row r="452" spans="1:4" ht="18" hidden="1" x14ac:dyDescent="0.3">
      <c r="A452" s="10" t="s">
        <v>114</v>
      </c>
      <c r="B452" s="8"/>
      <c r="C452" s="8"/>
      <c r="D452" s="8">
        <f t="shared" ref="D452:D515" si="7">B452*C452</f>
        <v>0</v>
      </c>
    </row>
    <row r="453" spans="1:4" ht="18" hidden="1" x14ac:dyDescent="0.3">
      <c r="A453" s="10" t="s">
        <v>115</v>
      </c>
      <c r="B453" s="8"/>
      <c r="C453" s="8"/>
      <c r="D453" s="8">
        <f t="shared" si="7"/>
        <v>0</v>
      </c>
    </row>
    <row r="454" spans="1:4" ht="18" hidden="1" x14ac:dyDescent="0.3">
      <c r="A454" s="10" t="s">
        <v>347</v>
      </c>
      <c r="B454" s="8"/>
      <c r="C454" s="8"/>
      <c r="D454" s="8">
        <f t="shared" si="7"/>
        <v>0</v>
      </c>
    </row>
    <row r="455" spans="1:4" ht="18" hidden="1" x14ac:dyDescent="0.3">
      <c r="A455" s="10" t="s">
        <v>116</v>
      </c>
      <c r="B455" s="8"/>
      <c r="C455" s="8"/>
      <c r="D455" s="8">
        <f t="shared" si="7"/>
        <v>0</v>
      </c>
    </row>
    <row r="456" spans="1:4" ht="18" hidden="1" x14ac:dyDescent="0.3">
      <c r="A456" s="12" t="s">
        <v>117</v>
      </c>
      <c r="B456" s="8"/>
      <c r="C456" s="8"/>
      <c r="D456" s="8">
        <f t="shared" si="7"/>
        <v>0</v>
      </c>
    </row>
    <row r="457" spans="1:4" ht="18" hidden="1" x14ac:dyDescent="0.3">
      <c r="A457" s="23" t="s">
        <v>118</v>
      </c>
      <c r="B457" s="8"/>
      <c r="C457" s="8"/>
      <c r="D457" s="8">
        <f t="shared" si="7"/>
        <v>0</v>
      </c>
    </row>
    <row r="458" spans="1:4" ht="18" hidden="1" x14ac:dyDescent="0.3">
      <c r="A458" s="10" t="s">
        <v>119</v>
      </c>
      <c r="B458" s="8"/>
      <c r="C458" s="8"/>
      <c r="D458" s="8">
        <f t="shared" si="7"/>
        <v>0</v>
      </c>
    </row>
    <row r="459" spans="1:4" ht="18" hidden="1" x14ac:dyDescent="0.3">
      <c r="A459" s="12" t="s">
        <v>120</v>
      </c>
      <c r="B459" s="8"/>
      <c r="C459" s="8"/>
      <c r="D459" s="8">
        <f t="shared" si="7"/>
        <v>0</v>
      </c>
    </row>
    <row r="460" spans="1:4" ht="18" hidden="1" x14ac:dyDescent="0.3">
      <c r="A460" s="12" t="s">
        <v>121</v>
      </c>
      <c r="B460" s="8"/>
      <c r="C460" s="8"/>
      <c r="D460" s="8">
        <f t="shared" si="7"/>
        <v>0</v>
      </c>
    </row>
    <row r="461" spans="1:4" ht="18" hidden="1" x14ac:dyDescent="0.3">
      <c r="A461" s="10" t="s">
        <v>122</v>
      </c>
      <c r="B461" s="8"/>
      <c r="C461" s="8"/>
      <c r="D461" s="8">
        <f t="shared" si="7"/>
        <v>0</v>
      </c>
    </row>
    <row r="462" spans="1:4" ht="18" hidden="1" x14ac:dyDescent="0.3">
      <c r="A462" s="11" t="s">
        <v>124</v>
      </c>
      <c r="B462" s="8"/>
      <c r="C462" s="8"/>
      <c r="D462" s="8">
        <f t="shared" si="7"/>
        <v>0</v>
      </c>
    </row>
    <row r="463" spans="1:4" ht="18" hidden="1" x14ac:dyDescent="0.3">
      <c r="A463" s="14" t="s">
        <v>125</v>
      </c>
      <c r="B463" s="8"/>
      <c r="C463" s="8"/>
      <c r="D463" s="8">
        <f t="shared" si="7"/>
        <v>0</v>
      </c>
    </row>
    <row r="464" spans="1:4" ht="18" hidden="1" x14ac:dyDescent="0.3">
      <c r="A464" s="13" t="s">
        <v>126</v>
      </c>
      <c r="B464" s="17"/>
      <c r="C464" s="17"/>
      <c r="D464" s="8">
        <f t="shared" si="7"/>
        <v>0</v>
      </c>
    </row>
    <row r="465" spans="1:4" ht="18" hidden="1" x14ac:dyDescent="0.3">
      <c r="A465" s="13" t="s">
        <v>127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128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129</v>
      </c>
      <c r="B467" s="29"/>
      <c r="C467" s="29"/>
      <c r="D467" s="8">
        <f t="shared" si="7"/>
        <v>0</v>
      </c>
    </row>
    <row r="468" spans="1:4" ht="18" hidden="1" x14ac:dyDescent="0.3">
      <c r="A468" s="30" t="s">
        <v>130</v>
      </c>
      <c r="B468" s="8"/>
      <c r="C468" s="8"/>
      <c r="D468" s="8">
        <f t="shared" si="7"/>
        <v>0</v>
      </c>
    </row>
    <row r="469" spans="1:4" ht="18" hidden="1" x14ac:dyDescent="0.3">
      <c r="A469" s="13" t="s">
        <v>131</v>
      </c>
      <c r="B469" s="17"/>
      <c r="C469" s="17"/>
      <c r="D469" s="8">
        <f t="shared" si="7"/>
        <v>0</v>
      </c>
    </row>
    <row r="470" spans="1:4" ht="18" hidden="1" x14ac:dyDescent="0.3">
      <c r="A470" s="10" t="s">
        <v>132</v>
      </c>
      <c r="B470" s="8"/>
      <c r="C470" s="8"/>
      <c r="D470" s="8">
        <f t="shared" si="7"/>
        <v>0</v>
      </c>
    </row>
    <row r="471" spans="1:4" ht="18" hidden="1" x14ac:dyDescent="0.3">
      <c r="A471" s="10" t="s">
        <v>133</v>
      </c>
      <c r="B471" s="8"/>
      <c r="C471" s="8"/>
      <c r="D471" s="8">
        <f t="shared" si="7"/>
        <v>0</v>
      </c>
    </row>
    <row r="472" spans="1:4" ht="18" x14ac:dyDescent="0.3">
      <c r="A472" s="10" t="s">
        <v>135</v>
      </c>
      <c r="B472" s="8">
        <v>100</v>
      </c>
      <c r="C472" s="8">
        <v>11000</v>
      </c>
      <c r="D472" s="8">
        <f t="shared" si="7"/>
        <v>1100000</v>
      </c>
    </row>
    <row r="473" spans="1:4" ht="18" hidden="1" x14ac:dyDescent="0.3">
      <c r="A473" s="18" t="s">
        <v>136</v>
      </c>
      <c r="B473" s="8"/>
      <c r="C473" s="8"/>
      <c r="D473" s="8">
        <f t="shared" si="7"/>
        <v>0</v>
      </c>
    </row>
    <row r="474" spans="1:4" ht="18" hidden="1" x14ac:dyDescent="0.3">
      <c r="A474" s="13" t="s">
        <v>137</v>
      </c>
      <c r="B474" s="8"/>
      <c r="C474" s="8"/>
      <c r="D474" s="8">
        <f t="shared" si="7"/>
        <v>0</v>
      </c>
    </row>
    <row r="475" spans="1:4" ht="18" hidden="1" x14ac:dyDescent="0.3">
      <c r="A475" s="13" t="s">
        <v>138</v>
      </c>
      <c r="B475" s="8"/>
      <c r="C475" s="8"/>
      <c r="D475" s="8">
        <f t="shared" si="7"/>
        <v>0</v>
      </c>
    </row>
    <row r="476" spans="1:4" ht="18" hidden="1" x14ac:dyDescent="0.3">
      <c r="A476" s="10" t="s">
        <v>139</v>
      </c>
      <c r="B476" s="8"/>
      <c r="C476" s="8"/>
      <c r="D476" s="8">
        <f t="shared" si="7"/>
        <v>0</v>
      </c>
    </row>
    <row r="477" spans="1:4" ht="18" hidden="1" x14ac:dyDescent="0.3">
      <c r="A477" s="10" t="s">
        <v>348</v>
      </c>
      <c r="B477" s="8"/>
      <c r="C477" s="8"/>
      <c r="D477" s="8">
        <f t="shared" si="7"/>
        <v>0</v>
      </c>
    </row>
    <row r="478" spans="1:4" ht="18" hidden="1" x14ac:dyDescent="0.3">
      <c r="A478" s="10" t="s">
        <v>141</v>
      </c>
      <c r="B478" s="17"/>
      <c r="C478" s="17"/>
      <c r="D478" s="8">
        <f t="shared" si="7"/>
        <v>0</v>
      </c>
    </row>
    <row r="479" spans="1:4" ht="18" hidden="1" x14ac:dyDescent="0.3">
      <c r="A479" s="10" t="s">
        <v>142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143</v>
      </c>
      <c r="B480" s="8"/>
      <c r="C480" s="8"/>
      <c r="D480" s="8">
        <f t="shared" si="7"/>
        <v>0</v>
      </c>
    </row>
    <row r="481" spans="1:4" ht="18" hidden="1" x14ac:dyDescent="0.3">
      <c r="A481" s="10" t="s">
        <v>144</v>
      </c>
      <c r="B481" s="17"/>
      <c r="C481" s="17"/>
      <c r="D481" s="8">
        <f t="shared" si="7"/>
        <v>0</v>
      </c>
    </row>
    <row r="482" spans="1:4" ht="18" hidden="1" x14ac:dyDescent="0.3">
      <c r="A482" s="10" t="s">
        <v>145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146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147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148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149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150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151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152</v>
      </c>
      <c r="B489" s="8"/>
      <c r="C489" s="8"/>
      <c r="D489" s="8">
        <f t="shared" si="7"/>
        <v>0</v>
      </c>
    </row>
    <row r="490" spans="1:4" ht="18" hidden="1" x14ac:dyDescent="0.3">
      <c r="A490" s="10" t="s">
        <v>349</v>
      </c>
      <c r="B490" s="8"/>
      <c r="C490" s="8"/>
      <c r="D490" s="8">
        <f t="shared" si="7"/>
        <v>0</v>
      </c>
    </row>
    <row r="491" spans="1:4" ht="18" hidden="1" x14ac:dyDescent="0.3">
      <c r="A491" s="10" t="s">
        <v>153</v>
      </c>
      <c r="B491" s="8"/>
      <c r="C491" s="8"/>
      <c r="D491" s="8">
        <f t="shared" si="7"/>
        <v>0</v>
      </c>
    </row>
    <row r="492" spans="1:4" ht="18" x14ac:dyDescent="0.3">
      <c r="A492" s="10" t="s">
        <v>154</v>
      </c>
      <c r="B492" s="8">
        <v>11</v>
      </c>
      <c r="C492" s="8">
        <v>10000</v>
      </c>
      <c r="D492" s="8">
        <f t="shared" si="7"/>
        <v>110000</v>
      </c>
    </row>
    <row r="493" spans="1:4" ht="18" hidden="1" x14ac:dyDescent="0.3">
      <c r="A493" s="10" t="s">
        <v>155</v>
      </c>
      <c r="B493" s="8"/>
      <c r="C493" s="8"/>
      <c r="D493" s="8">
        <f t="shared" si="7"/>
        <v>0</v>
      </c>
    </row>
    <row r="494" spans="1:4" ht="18" hidden="1" x14ac:dyDescent="0.3">
      <c r="A494" s="18" t="s">
        <v>156</v>
      </c>
      <c r="B494" s="8"/>
      <c r="C494" s="8"/>
      <c r="D494" s="8">
        <f t="shared" si="7"/>
        <v>0</v>
      </c>
    </row>
    <row r="495" spans="1:4" ht="18" hidden="1" x14ac:dyDescent="0.3">
      <c r="A495" s="10" t="s">
        <v>157</v>
      </c>
      <c r="B495" s="8"/>
      <c r="C495" s="8"/>
      <c r="D495" s="8">
        <f t="shared" si="7"/>
        <v>0</v>
      </c>
    </row>
    <row r="496" spans="1:4" ht="18" hidden="1" x14ac:dyDescent="0.3">
      <c r="A496" s="10" t="s">
        <v>158</v>
      </c>
      <c r="B496" s="8"/>
      <c r="C496" s="8"/>
      <c r="D496" s="8">
        <f t="shared" si="7"/>
        <v>0</v>
      </c>
    </row>
    <row r="497" spans="1:4" ht="18" hidden="1" x14ac:dyDescent="0.3">
      <c r="A497" s="10" t="s">
        <v>159</v>
      </c>
      <c r="B497" s="8"/>
      <c r="C497" s="8"/>
      <c r="D497" s="8">
        <f t="shared" si="7"/>
        <v>0</v>
      </c>
    </row>
    <row r="498" spans="1:4" ht="18" hidden="1" x14ac:dyDescent="0.3">
      <c r="A498" s="10" t="s">
        <v>160</v>
      </c>
      <c r="B498" s="8"/>
      <c r="C498" s="8"/>
      <c r="D498" s="8">
        <f t="shared" si="7"/>
        <v>0</v>
      </c>
    </row>
    <row r="499" spans="1:4" ht="18" hidden="1" x14ac:dyDescent="0.3">
      <c r="A499" s="10" t="s">
        <v>161</v>
      </c>
      <c r="B499" s="17"/>
      <c r="C499" s="17"/>
      <c r="D499" s="8">
        <f t="shared" si="7"/>
        <v>0</v>
      </c>
    </row>
    <row r="500" spans="1:4" ht="18" hidden="1" x14ac:dyDescent="0.3">
      <c r="A500" s="31" t="s">
        <v>162</v>
      </c>
      <c r="B500" s="17"/>
      <c r="C500" s="17"/>
      <c r="D500" s="8">
        <f t="shared" si="7"/>
        <v>0</v>
      </c>
    </row>
    <row r="501" spans="1:4" ht="18" hidden="1" x14ac:dyDescent="0.3">
      <c r="A501" s="10" t="s">
        <v>163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165</v>
      </c>
      <c r="B502" s="8"/>
      <c r="C502" s="8"/>
      <c r="D502" s="8">
        <f t="shared" si="7"/>
        <v>0</v>
      </c>
    </row>
    <row r="503" spans="1:4" ht="18" hidden="1" x14ac:dyDescent="0.3">
      <c r="A503" s="18" t="s">
        <v>166</v>
      </c>
      <c r="B503" s="8"/>
      <c r="C503" s="8"/>
      <c r="D503" s="8">
        <f t="shared" si="7"/>
        <v>0</v>
      </c>
    </row>
    <row r="504" spans="1:4" ht="18" hidden="1" x14ac:dyDescent="0.3">
      <c r="A504" s="10" t="s">
        <v>350</v>
      </c>
      <c r="B504" s="8"/>
      <c r="C504" s="8"/>
      <c r="D504" s="8">
        <f t="shared" si="7"/>
        <v>0</v>
      </c>
    </row>
    <row r="505" spans="1:4" ht="18" hidden="1" x14ac:dyDescent="0.3">
      <c r="A505" s="13" t="s">
        <v>167</v>
      </c>
      <c r="B505" s="8"/>
      <c r="C505" s="8"/>
      <c r="D505" s="8">
        <f t="shared" si="7"/>
        <v>0</v>
      </c>
    </row>
    <row r="506" spans="1:4" ht="18" hidden="1" x14ac:dyDescent="0.3">
      <c r="A506" s="10" t="s">
        <v>168</v>
      </c>
      <c r="B506" s="8"/>
      <c r="C506" s="8"/>
      <c r="D506" s="8">
        <f t="shared" si="7"/>
        <v>0</v>
      </c>
    </row>
    <row r="507" spans="1:4" ht="18" hidden="1" x14ac:dyDescent="0.3">
      <c r="A507" s="10" t="s">
        <v>170</v>
      </c>
      <c r="B507" s="8"/>
      <c r="C507" s="8"/>
      <c r="D507" s="8">
        <f t="shared" si="7"/>
        <v>0</v>
      </c>
    </row>
    <row r="508" spans="1:4" ht="18" hidden="1" x14ac:dyDescent="0.3">
      <c r="A508" s="10" t="s">
        <v>171</v>
      </c>
      <c r="B508" s="8"/>
      <c r="C508" s="8"/>
      <c r="D508" s="8">
        <f t="shared" si="7"/>
        <v>0</v>
      </c>
    </row>
    <row r="509" spans="1:4" ht="18" hidden="1" x14ac:dyDescent="0.3">
      <c r="A509" s="22" t="s">
        <v>172</v>
      </c>
      <c r="B509" s="8"/>
      <c r="C509" s="8"/>
      <c r="D509" s="8">
        <f t="shared" si="7"/>
        <v>0</v>
      </c>
    </row>
    <row r="510" spans="1:4" ht="18" hidden="1" x14ac:dyDescent="0.3">
      <c r="A510" s="10" t="s">
        <v>173</v>
      </c>
      <c r="B510" s="8"/>
      <c r="C510" s="8"/>
      <c r="D510" s="8">
        <f t="shared" si="7"/>
        <v>0</v>
      </c>
    </row>
    <row r="511" spans="1:4" ht="18" hidden="1" x14ac:dyDescent="0.3">
      <c r="A511" s="34" t="s">
        <v>174</v>
      </c>
      <c r="B511" s="36"/>
      <c r="C511" s="36"/>
      <c r="D511" s="8">
        <f t="shared" si="7"/>
        <v>0</v>
      </c>
    </row>
    <row r="512" spans="1:4" ht="18" hidden="1" x14ac:dyDescent="0.3">
      <c r="A512" s="12" t="s">
        <v>175</v>
      </c>
      <c r="B512" s="8"/>
      <c r="C512" s="8"/>
      <c r="D512" s="8">
        <f t="shared" si="7"/>
        <v>0</v>
      </c>
    </row>
    <row r="513" spans="1:4" ht="18" hidden="1" x14ac:dyDescent="0.3">
      <c r="A513" s="10" t="s">
        <v>176</v>
      </c>
      <c r="B513" s="8"/>
      <c r="C513" s="8"/>
      <c r="D513" s="8">
        <f t="shared" si="7"/>
        <v>0</v>
      </c>
    </row>
    <row r="514" spans="1:4" ht="18" hidden="1" x14ac:dyDescent="0.3">
      <c r="A514" s="10" t="s">
        <v>177</v>
      </c>
      <c r="B514" s="8"/>
      <c r="C514" s="8"/>
      <c r="D514" s="8">
        <f t="shared" si="7"/>
        <v>0</v>
      </c>
    </row>
    <row r="515" spans="1:4" ht="18" hidden="1" x14ac:dyDescent="0.3">
      <c r="A515" s="13" t="s">
        <v>178</v>
      </c>
      <c r="B515" s="8"/>
      <c r="C515" s="8"/>
      <c r="D515" s="8">
        <f t="shared" si="7"/>
        <v>0</v>
      </c>
    </row>
    <row r="516" spans="1:4" ht="18" hidden="1" x14ac:dyDescent="0.3">
      <c r="A516" s="10" t="s">
        <v>179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10" t="s">
        <v>180</v>
      </c>
      <c r="B517" s="8"/>
      <c r="C517" s="8"/>
      <c r="D517" s="8">
        <f t="shared" si="8"/>
        <v>0</v>
      </c>
    </row>
    <row r="518" spans="1:4" ht="18" hidden="1" x14ac:dyDescent="0.3">
      <c r="A518" s="13" t="s">
        <v>181</v>
      </c>
      <c r="B518" s="8"/>
      <c r="C518" s="8"/>
      <c r="D518" s="8">
        <f t="shared" si="8"/>
        <v>0</v>
      </c>
    </row>
    <row r="519" spans="1:4" ht="18" hidden="1" x14ac:dyDescent="0.3">
      <c r="A519" s="13" t="s">
        <v>182</v>
      </c>
      <c r="B519" s="8"/>
      <c r="C519" s="8"/>
      <c r="D519" s="8">
        <f t="shared" si="8"/>
        <v>0</v>
      </c>
    </row>
    <row r="520" spans="1:4" ht="18" hidden="1" x14ac:dyDescent="0.3">
      <c r="A520" s="13" t="s">
        <v>183</v>
      </c>
      <c r="B520" s="8"/>
      <c r="C520" s="8"/>
      <c r="D520" s="8">
        <f t="shared" si="8"/>
        <v>0</v>
      </c>
    </row>
    <row r="521" spans="1:4" ht="18" hidden="1" x14ac:dyDescent="0.3">
      <c r="A521" s="10" t="s">
        <v>184</v>
      </c>
      <c r="B521" s="8"/>
      <c r="C521" s="8"/>
      <c r="D521" s="8">
        <f t="shared" si="8"/>
        <v>0</v>
      </c>
    </row>
    <row r="522" spans="1:4" ht="18" hidden="1" x14ac:dyDescent="0.3">
      <c r="A522" s="13" t="s">
        <v>185</v>
      </c>
      <c r="B522" s="8"/>
      <c r="C522" s="8"/>
      <c r="D522" s="8">
        <f t="shared" si="8"/>
        <v>0</v>
      </c>
    </row>
    <row r="523" spans="1:4" ht="18" hidden="1" x14ac:dyDescent="0.3">
      <c r="A523" s="13" t="s">
        <v>186</v>
      </c>
      <c r="B523" s="8"/>
      <c r="C523" s="8"/>
      <c r="D523" s="8">
        <f t="shared" si="8"/>
        <v>0</v>
      </c>
    </row>
    <row r="524" spans="1:4" ht="18" hidden="1" x14ac:dyDescent="0.3">
      <c r="A524" s="13" t="s">
        <v>187</v>
      </c>
      <c r="B524" s="8"/>
      <c r="C524" s="8"/>
      <c r="D524" s="8">
        <f t="shared" si="8"/>
        <v>0</v>
      </c>
    </row>
    <row r="525" spans="1:4" ht="18" hidden="1" x14ac:dyDescent="0.3">
      <c r="A525" s="10" t="s">
        <v>188</v>
      </c>
      <c r="B525" s="8"/>
      <c r="C525" s="8"/>
      <c r="D525" s="8">
        <f t="shared" si="8"/>
        <v>0</v>
      </c>
    </row>
    <row r="526" spans="1:4" ht="18" hidden="1" x14ac:dyDescent="0.3">
      <c r="A526" s="18" t="s">
        <v>189</v>
      </c>
      <c r="B526" s="8"/>
      <c r="C526" s="8"/>
      <c r="D526" s="8">
        <f t="shared" si="8"/>
        <v>0</v>
      </c>
    </row>
    <row r="527" spans="1:4" ht="18" hidden="1" x14ac:dyDescent="0.3">
      <c r="A527" s="18" t="s">
        <v>190</v>
      </c>
      <c r="B527" s="8"/>
      <c r="C527" s="8"/>
      <c r="D527" s="8">
        <f t="shared" si="8"/>
        <v>0</v>
      </c>
    </row>
    <row r="528" spans="1:4" ht="18" hidden="1" x14ac:dyDescent="0.3">
      <c r="A528" s="18" t="s">
        <v>191</v>
      </c>
      <c r="B528" s="8"/>
      <c r="C528" s="8"/>
      <c r="D528" s="8">
        <f t="shared" si="8"/>
        <v>0</v>
      </c>
    </row>
    <row r="529" spans="1:4" ht="18" hidden="1" x14ac:dyDescent="0.3">
      <c r="A529" s="18" t="s">
        <v>192</v>
      </c>
      <c r="B529" s="8"/>
      <c r="C529" s="8"/>
      <c r="D529" s="8">
        <f t="shared" si="8"/>
        <v>0</v>
      </c>
    </row>
    <row r="530" spans="1:4" ht="18" hidden="1" x14ac:dyDescent="0.3">
      <c r="A530" s="13" t="s">
        <v>193</v>
      </c>
      <c r="B530" s="8"/>
      <c r="C530" s="8"/>
      <c r="D530" s="8">
        <f t="shared" si="8"/>
        <v>0</v>
      </c>
    </row>
    <row r="531" spans="1:4" ht="18" hidden="1" x14ac:dyDescent="0.3">
      <c r="A531" s="10" t="s">
        <v>194</v>
      </c>
      <c r="B531" s="8"/>
      <c r="C531" s="8"/>
      <c r="D531" s="8">
        <f t="shared" si="8"/>
        <v>0</v>
      </c>
    </row>
    <row r="532" spans="1:4" ht="18" hidden="1" x14ac:dyDescent="0.3">
      <c r="A532" s="37" t="s">
        <v>195</v>
      </c>
      <c r="B532" s="8"/>
      <c r="C532" s="8"/>
      <c r="D532" s="8">
        <f t="shared" si="8"/>
        <v>0</v>
      </c>
    </row>
    <row r="533" spans="1:4" ht="18" hidden="1" x14ac:dyDescent="0.3">
      <c r="A533" s="37" t="s">
        <v>196</v>
      </c>
      <c r="B533" s="8"/>
      <c r="C533" s="8"/>
      <c r="D533" s="8">
        <f t="shared" si="8"/>
        <v>0</v>
      </c>
    </row>
    <row r="534" spans="1:4" ht="18" hidden="1" x14ac:dyDescent="0.3">
      <c r="A534" s="37" t="s">
        <v>197</v>
      </c>
      <c r="B534" s="8"/>
      <c r="C534" s="8"/>
      <c r="D534" s="8">
        <f t="shared" si="8"/>
        <v>0</v>
      </c>
    </row>
    <row r="535" spans="1:4" ht="18" hidden="1" x14ac:dyDescent="0.3">
      <c r="A535" s="37" t="s">
        <v>198</v>
      </c>
      <c r="B535" s="8"/>
      <c r="C535" s="8"/>
      <c r="D535" s="8">
        <f t="shared" si="8"/>
        <v>0</v>
      </c>
    </row>
    <row r="536" spans="1:4" ht="18" hidden="1" x14ac:dyDescent="0.3">
      <c r="A536" s="10" t="s">
        <v>199</v>
      </c>
      <c r="B536" s="8"/>
      <c r="C536" s="8"/>
      <c r="D536" s="8">
        <f t="shared" si="8"/>
        <v>0</v>
      </c>
    </row>
    <row r="537" spans="1:4" ht="18" hidden="1" x14ac:dyDescent="0.3">
      <c r="A537" s="38" t="s">
        <v>200</v>
      </c>
      <c r="B537" s="8"/>
      <c r="C537" s="8"/>
      <c r="D537" s="8">
        <f t="shared" si="8"/>
        <v>0</v>
      </c>
    </row>
    <row r="538" spans="1:4" ht="18" hidden="1" x14ac:dyDescent="0.3">
      <c r="A538" s="10" t="s">
        <v>201</v>
      </c>
      <c r="B538" s="8"/>
      <c r="C538" s="8"/>
      <c r="D538" s="8">
        <f t="shared" si="8"/>
        <v>0</v>
      </c>
    </row>
    <row r="539" spans="1:4" ht="18" hidden="1" x14ac:dyDescent="0.3">
      <c r="A539" s="13" t="s">
        <v>202</v>
      </c>
      <c r="B539" s="8"/>
      <c r="C539" s="8"/>
      <c r="D539" s="8">
        <f t="shared" si="8"/>
        <v>0</v>
      </c>
    </row>
    <row r="540" spans="1:4" ht="18" hidden="1" x14ac:dyDescent="0.3">
      <c r="A540" s="10" t="s">
        <v>351</v>
      </c>
      <c r="B540" s="8"/>
      <c r="C540" s="8"/>
      <c r="D540" s="8">
        <f t="shared" si="8"/>
        <v>0</v>
      </c>
    </row>
    <row r="541" spans="1:4" ht="18" hidden="1" x14ac:dyDescent="0.3">
      <c r="A541" s="10" t="s">
        <v>203</v>
      </c>
      <c r="B541" s="8"/>
      <c r="C541" s="8"/>
      <c r="D541" s="8">
        <f t="shared" si="8"/>
        <v>0</v>
      </c>
    </row>
    <row r="542" spans="1:4" ht="18" x14ac:dyDescent="0.3">
      <c r="A542" s="10" t="s">
        <v>204</v>
      </c>
      <c r="B542" s="8">
        <v>600</v>
      </c>
      <c r="C542" s="8">
        <v>12250</v>
      </c>
      <c r="D542" s="8">
        <f t="shared" si="8"/>
        <v>7350000</v>
      </c>
    </row>
    <row r="543" spans="1:4" ht="18" hidden="1" x14ac:dyDescent="0.3">
      <c r="A543" s="39" t="s">
        <v>205</v>
      </c>
      <c r="B543" s="8"/>
      <c r="C543" s="8"/>
      <c r="D543" s="8">
        <f t="shared" si="8"/>
        <v>0</v>
      </c>
    </row>
    <row r="544" spans="1:4" ht="18" hidden="1" x14ac:dyDescent="0.3">
      <c r="A544" s="39" t="s">
        <v>206</v>
      </c>
      <c r="B544" s="8"/>
      <c r="C544" s="8"/>
      <c r="D544" s="8">
        <f t="shared" si="8"/>
        <v>0</v>
      </c>
    </row>
    <row r="545" spans="1:4" ht="18" hidden="1" x14ac:dyDescent="0.3">
      <c r="A545" s="10" t="s">
        <v>207</v>
      </c>
      <c r="B545" s="8"/>
      <c r="C545" s="8"/>
      <c r="D545" s="8">
        <f t="shared" si="8"/>
        <v>0</v>
      </c>
    </row>
    <row r="546" spans="1:4" ht="18" hidden="1" x14ac:dyDescent="0.3">
      <c r="A546" s="12" t="s">
        <v>208</v>
      </c>
      <c r="B546" s="8"/>
      <c r="C546" s="8"/>
      <c r="D546" s="8">
        <f t="shared" si="8"/>
        <v>0</v>
      </c>
    </row>
    <row r="547" spans="1:4" ht="18" hidden="1" x14ac:dyDescent="0.3">
      <c r="A547" s="10" t="s">
        <v>209</v>
      </c>
      <c r="B547" s="8"/>
      <c r="C547" s="8"/>
      <c r="D547" s="8">
        <f t="shared" si="8"/>
        <v>0</v>
      </c>
    </row>
    <row r="548" spans="1:4" ht="18" hidden="1" x14ac:dyDescent="0.3">
      <c r="A548" s="12" t="s">
        <v>352</v>
      </c>
      <c r="B548" s="8"/>
      <c r="C548" s="8"/>
      <c r="D548" s="8">
        <f t="shared" si="8"/>
        <v>0</v>
      </c>
    </row>
    <row r="549" spans="1:4" ht="18" hidden="1" x14ac:dyDescent="0.3">
      <c r="A549" s="10" t="s">
        <v>210</v>
      </c>
      <c r="B549" s="8"/>
      <c r="C549" s="8"/>
      <c r="D549" s="8">
        <f t="shared" si="8"/>
        <v>0</v>
      </c>
    </row>
    <row r="550" spans="1:4" ht="18" hidden="1" x14ac:dyDescent="0.3">
      <c r="A550" s="10" t="s">
        <v>211</v>
      </c>
      <c r="B550" s="8"/>
      <c r="C550" s="8"/>
      <c r="D550" s="8">
        <f t="shared" si="8"/>
        <v>0</v>
      </c>
    </row>
    <row r="551" spans="1:4" ht="18" hidden="1" x14ac:dyDescent="0.3">
      <c r="A551" s="10" t="s">
        <v>353</v>
      </c>
      <c r="B551" s="8"/>
      <c r="C551" s="8"/>
      <c r="D551" s="8">
        <f t="shared" si="8"/>
        <v>0</v>
      </c>
    </row>
    <row r="552" spans="1:4" ht="18" hidden="1" x14ac:dyDescent="0.3">
      <c r="A552" s="10" t="s">
        <v>354</v>
      </c>
      <c r="B552" s="8"/>
      <c r="C552" s="8"/>
      <c r="D552" s="8">
        <f t="shared" si="8"/>
        <v>0</v>
      </c>
    </row>
    <row r="553" spans="1:4" ht="18" hidden="1" x14ac:dyDescent="0.3">
      <c r="A553" s="10" t="s">
        <v>212</v>
      </c>
      <c r="B553" s="8"/>
      <c r="C553" s="8"/>
      <c r="D553" s="8">
        <f t="shared" si="8"/>
        <v>0</v>
      </c>
    </row>
    <row r="554" spans="1:4" ht="18" hidden="1" x14ac:dyDescent="0.3">
      <c r="A554" s="40" t="s">
        <v>213</v>
      </c>
      <c r="B554" s="8"/>
      <c r="C554" s="8"/>
      <c r="D554" s="8">
        <f t="shared" si="8"/>
        <v>0</v>
      </c>
    </row>
    <row r="555" spans="1:4" ht="18" hidden="1" x14ac:dyDescent="0.3">
      <c r="A555" s="10" t="s">
        <v>214</v>
      </c>
      <c r="B555" s="8"/>
      <c r="C555" s="8"/>
      <c r="D555" s="8">
        <f t="shared" si="8"/>
        <v>0</v>
      </c>
    </row>
    <row r="556" spans="1:4" ht="18" x14ac:dyDescent="0.3">
      <c r="A556" s="10" t="s">
        <v>215</v>
      </c>
      <c r="B556" s="8">
        <v>425</v>
      </c>
      <c r="C556" s="8">
        <v>16000</v>
      </c>
      <c r="D556" s="8">
        <f t="shared" si="8"/>
        <v>6800000</v>
      </c>
    </row>
    <row r="557" spans="1:4" ht="18" hidden="1" x14ac:dyDescent="0.3">
      <c r="A557" s="10" t="s">
        <v>216</v>
      </c>
      <c r="B557" s="8"/>
      <c r="C557" s="8"/>
      <c r="D557" s="8">
        <f t="shared" si="8"/>
        <v>0</v>
      </c>
    </row>
    <row r="558" spans="1:4" ht="18" hidden="1" x14ac:dyDescent="0.3">
      <c r="A558" s="10" t="s">
        <v>355</v>
      </c>
      <c r="B558" s="8"/>
      <c r="C558" s="8"/>
      <c r="D558" s="8">
        <f t="shared" si="8"/>
        <v>0</v>
      </c>
    </row>
    <row r="559" spans="1:4" ht="18" hidden="1" x14ac:dyDescent="0.3">
      <c r="A559" s="10" t="s">
        <v>217</v>
      </c>
      <c r="B559" s="8"/>
      <c r="C559" s="8"/>
      <c r="D559" s="8">
        <f t="shared" si="8"/>
        <v>0</v>
      </c>
    </row>
    <row r="560" spans="1:4" ht="18" hidden="1" x14ac:dyDescent="0.3">
      <c r="A560" s="18" t="s">
        <v>218</v>
      </c>
      <c r="B560" s="8"/>
      <c r="C560" s="8"/>
      <c r="D560" s="8">
        <f t="shared" si="8"/>
        <v>0</v>
      </c>
    </row>
    <row r="561" spans="1:4" ht="18" hidden="1" x14ac:dyDescent="0.3">
      <c r="A561" s="18" t="s">
        <v>219</v>
      </c>
      <c r="B561" s="8"/>
      <c r="C561" s="8"/>
      <c r="D561" s="8">
        <f t="shared" si="8"/>
        <v>0</v>
      </c>
    </row>
    <row r="562" spans="1:4" ht="18" hidden="1" x14ac:dyDescent="0.3">
      <c r="A562" s="18" t="s">
        <v>220</v>
      </c>
      <c r="B562" s="8"/>
      <c r="C562" s="8"/>
      <c r="D562" s="8">
        <f t="shared" si="8"/>
        <v>0</v>
      </c>
    </row>
    <row r="563" spans="1:4" ht="18" hidden="1" x14ac:dyDescent="0.3">
      <c r="A563" s="18" t="s">
        <v>221</v>
      </c>
      <c r="B563" s="8"/>
      <c r="C563" s="8"/>
      <c r="D563" s="8">
        <f t="shared" si="8"/>
        <v>0</v>
      </c>
    </row>
    <row r="564" spans="1:4" ht="18" hidden="1" x14ac:dyDescent="0.3">
      <c r="A564" s="10" t="s">
        <v>222</v>
      </c>
      <c r="B564" s="8"/>
      <c r="C564" s="8"/>
      <c r="D564" s="8">
        <f t="shared" si="8"/>
        <v>0</v>
      </c>
    </row>
    <row r="565" spans="1:4" ht="18" hidden="1" x14ac:dyDescent="0.3">
      <c r="A565" s="10" t="s">
        <v>223</v>
      </c>
      <c r="B565" s="8"/>
      <c r="C565" s="8"/>
      <c r="D565" s="8">
        <f t="shared" si="8"/>
        <v>0</v>
      </c>
    </row>
    <row r="566" spans="1:4" ht="18" hidden="1" x14ac:dyDescent="0.3">
      <c r="A566" s="18" t="s">
        <v>224</v>
      </c>
      <c r="B566" s="8"/>
      <c r="C566" s="8"/>
      <c r="D566" s="8">
        <f t="shared" si="8"/>
        <v>0</v>
      </c>
    </row>
    <row r="567" spans="1:4" ht="18" hidden="1" x14ac:dyDescent="0.3">
      <c r="A567" s="18" t="s">
        <v>225</v>
      </c>
      <c r="B567" s="8"/>
      <c r="C567" s="8"/>
      <c r="D567" s="8">
        <f t="shared" si="8"/>
        <v>0</v>
      </c>
    </row>
    <row r="568" spans="1:4" ht="18" hidden="1" x14ac:dyDescent="0.3">
      <c r="A568" s="12" t="s">
        <v>226</v>
      </c>
      <c r="B568" s="8"/>
      <c r="C568" s="8"/>
      <c r="D568" s="8">
        <f t="shared" si="8"/>
        <v>0</v>
      </c>
    </row>
    <row r="569" spans="1:4" ht="18" hidden="1" x14ac:dyDescent="0.3">
      <c r="A569" s="13" t="s">
        <v>227</v>
      </c>
      <c r="B569" s="8"/>
      <c r="C569" s="8"/>
      <c r="D569" s="8">
        <f t="shared" si="8"/>
        <v>0</v>
      </c>
    </row>
    <row r="570" spans="1:4" ht="18" hidden="1" x14ac:dyDescent="0.3">
      <c r="A570" s="23" t="s">
        <v>356</v>
      </c>
      <c r="B570" s="8"/>
      <c r="C570" s="8"/>
      <c r="D570" s="8">
        <f t="shared" si="8"/>
        <v>0</v>
      </c>
    </row>
    <row r="571" spans="1:4" ht="18" hidden="1" x14ac:dyDescent="0.3">
      <c r="A571" s="23" t="s">
        <v>357</v>
      </c>
      <c r="B571" s="8"/>
      <c r="C571" s="8"/>
      <c r="D571" s="8">
        <f t="shared" si="8"/>
        <v>0</v>
      </c>
    </row>
    <row r="572" spans="1:4" ht="18" hidden="1" x14ac:dyDescent="0.3">
      <c r="A572" s="12" t="s">
        <v>232</v>
      </c>
      <c r="B572" s="8"/>
      <c r="C572" s="8"/>
      <c r="D572" s="8">
        <f t="shared" si="8"/>
        <v>0</v>
      </c>
    </row>
    <row r="573" spans="1:4" ht="18" hidden="1" x14ac:dyDescent="0.3">
      <c r="A573" s="10" t="s">
        <v>237</v>
      </c>
      <c r="B573" s="8"/>
      <c r="C573" s="8"/>
      <c r="D573" s="8">
        <f t="shared" si="8"/>
        <v>0</v>
      </c>
    </row>
    <row r="574" spans="1:4" ht="18" hidden="1" x14ac:dyDescent="0.3">
      <c r="A574" s="10" t="s">
        <v>238</v>
      </c>
      <c r="B574" s="8"/>
      <c r="C574" s="8"/>
      <c r="D574" s="8">
        <f t="shared" si="8"/>
        <v>0</v>
      </c>
    </row>
    <row r="575" spans="1:4" ht="18" hidden="1" x14ac:dyDescent="0.3">
      <c r="A575" s="14" t="s">
        <v>239</v>
      </c>
      <c r="B575" s="8"/>
      <c r="C575" s="8"/>
      <c r="D575" s="8">
        <f t="shared" si="8"/>
        <v>0</v>
      </c>
    </row>
    <row r="576" spans="1:4" ht="18" hidden="1" x14ac:dyDescent="0.3">
      <c r="A576" s="14" t="s">
        <v>240</v>
      </c>
      <c r="B576" s="8"/>
      <c r="C576" s="8"/>
      <c r="D576" s="8">
        <f t="shared" si="8"/>
        <v>0</v>
      </c>
    </row>
    <row r="577" spans="1:4" ht="18" hidden="1" x14ac:dyDescent="0.3">
      <c r="A577" s="37" t="s">
        <v>241</v>
      </c>
      <c r="B577" s="8"/>
      <c r="C577" s="8"/>
      <c r="D577" s="8">
        <f t="shared" si="8"/>
        <v>0</v>
      </c>
    </row>
    <row r="578" spans="1:4" ht="18" hidden="1" x14ac:dyDescent="0.3">
      <c r="A578" s="10" t="s">
        <v>242</v>
      </c>
      <c r="B578" s="8"/>
      <c r="C578" s="8"/>
      <c r="D578" s="8">
        <f t="shared" si="8"/>
        <v>0</v>
      </c>
    </row>
    <row r="579" spans="1:4" ht="18" hidden="1" x14ac:dyDescent="0.3">
      <c r="A579" s="10" t="s">
        <v>243</v>
      </c>
      <c r="B579" s="8"/>
      <c r="C579" s="8"/>
      <c r="D579" s="8">
        <f t="shared" si="8"/>
        <v>0</v>
      </c>
    </row>
    <row r="580" spans="1:4" ht="18" hidden="1" x14ac:dyDescent="0.3">
      <c r="A580" s="10" t="s">
        <v>244</v>
      </c>
      <c r="B580" s="17"/>
      <c r="C580" s="17"/>
      <c r="D580" s="8">
        <f t="shared" ref="D580:D643" si="9">B580*C580</f>
        <v>0</v>
      </c>
    </row>
    <row r="581" spans="1:4" ht="18" hidden="1" x14ac:dyDescent="0.3">
      <c r="A581" s="37" t="s">
        <v>245</v>
      </c>
      <c r="B581" s="8"/>
      <c r="C581" s="8"/>
      <c r="D581" s="8">
        <f t="shared" si="9"/>
        <v>0</v>
      </c>
    </row>
    <row r="582" spans="1:4" ht="18" hidden="1" x14ac:dyDescent="0.3">
      <c r="A582" s="10" t="s">
        <v>246</v>
      </c>
      <c r="B582" s="17"/>
      <c r="C582" s="17"/>
      <c r="D582" s="8">
        <f t="shared" si="9"/>
        <v>0</v>
      </c>
    </row>
    <row r="583" spans="1:4" ht="18" hidden="1" x14ac:dyDescent="0.3">
      <c r="A583" s="10" t="s">
        <v>247</v>
      </c>
      <c r="B583" s="8"/>
      <c r="C583" s="8"/>
      <c r="D583" s="8">
        <f t="shared" si="9"/>
        <v>0</v>
      </c>
    </row>
    <row r="584" spans="1:4" ht="18" hidden="1" x14ac:dyDescent="0.3">
      <c r="A584" s="12" t="s">
        <v>249</v>
      </c>
      <c r="B584" s="8"/>
      <c r="C584" s="8"/>
      <c r="D584" s="8">
        <f t="shared" si="9"/>
        <v>0</v>
      </c>
    </row>
    <row r="585" spans="1:4" ht="18" hidden="1" x14ac:dyDescent="0.3">
      <c r="A585" s="10" t="s">
        <v>250</v>
      </c>
      <c r="B585" s="8"/>
      <c r="C585" s="8"/>
      <c r="D585" s="8">
        <f t="shared" si="9"/>
        <v>0</v>
      </c>
    </row>
    <row r="586" spans="1:4" ht="18" hidden="1" x14ac:dyDescent="0.3">
      <c r="A586" s="10" t="s">
        <v>251</v>
      </c>
      <c r="B586" s="8"/>
      <c r="C586" s="8"/>
      <c r="D586" s="8">
        <f t="shared" si="9"/>
        <v>0</v>
      </c>
    </row>
    <row r="587" spans="1:4" ht="18" hidden="1" x14ac:dyDescent="0.3">
      <c r="A587" s="10" t="s">
        <v>252</v>
      </c>
      <c r="B587" s="8"/>
      <c r="C587" s="8"/>
      <c r="D587" s="8">
        <f t="shared" si="9"/>
        <v>0</v>
      </c>
    </row>
    <row r="588" spans="1:4" ht="18" hidden="1" x14ac:dyDescent="0.3">
      <c r="A588" s="10" t="s">
        <v>253</v>
      </c>
      <c r="B588" s="8"/>
      <c r="C588" s="8"/>
      <c r="D588" s="8">
        <f t="shared" si="9"/>
        <v>0</v>
      </c>
    </row>
    <row r="589" spans="1:4" ht="18" hidden="1" x14ac:dyDescent="0.3">
      <c r="A589" s="10" t="s">
        <v>254</v>
      </c>
      <c r="B589" s="8"/>
      <c r="C589" s="8"/>
      <c r="D589" s="8">
        <f t="shared" si="9"/>
        <v>0</v>
      </c>
    </row>
    <row r="590" spans="1:4" ht="18" hidden="1" x14ac:dyDescent="0.3">
      <c r="A590" s="18" t="s">
        <v>255</v>
      </c>
      <c r="B590" s="8"/>
      <c r="C590" s="8"/>
      <c r="D590" s="8">
        <f t="shared" si="9"/>
        <v>0</v>
      </c>
    </row>
    <row r="591" spans="1:4" ht="18" hidden="1" x14ac:dyDescent="0.3">
      <c r="A591" s="23" t="s">
        <v>256</v>
      </c>
      <c r="B591" s="8"/>
      <c r="C591" s="8"/>
      <c r="D591" s="8">
        <f t="shared" si="9"/>
        <v>0</v>
      </c>
    </row>
    <row r="592" spans="1:4" ht="18" hidden="1" x14ac:dyDescent="0.3">
      <c r="A592" s="23" t="s">
        <v>257</v>
      </c>
      <c r="B592" s="8"/>
      <c r="C592" s="8"/>
      <c r="D592" s="8">
        <f t="shared" si="9"/>
        <v>0</v>
      </c>
    </row>
    <row r="593" spans="1:4" ht="18" hidden="1" x14ac:dyDescent="0.3">
      <c r="A593" s="10" t="s">
        <v>258</v>
      </c>
      <c r="B593" s="8"/>
      <c r="C593" s="8"/>
      <c r="D593" s="8">
        <f t="shared" si="9"/>
        <v>0</v>
      </c>
    </row>
    <row r="594" spans="1:4" ht="18" hidden="1" x14ac:dyDescent="0.3">
      <c r="A594" s="10" t="s">
        <v>259</v>
      </c>
      <c r="B594" s="8"/>
      <c r="C594" s="8"/>
      <c r="D594" s="8">
        <f t="shared" si="9"/>
        <v>0</v>
      </c>
    </row>
    <row r="595" spans="1:4" ht="18" hidden="1" x14ac:dyDescent="0.3">
      <c r="A595" s="10" t="s">
        <v>260</v>
      </c>
      <c r="B595" s="8"/>
      <c r="C595" s="8"/>
      <c r="D595" s="8">
        <f t="shared" si="9"/>
        <v>0</v>
      </c>
    </row>
    <row r="596" spans="1:4" ht="18" hidden="1" x14ac:dyDescent="0.3">
      <c r="A596" s="10" t="s">
        <v>261</v>
      </c>
      <c r="B596" s="8"/>
      <c r="C596" s="8"/>
      <c r="D596" s="8">
        <f t="shared" si="9"/>
        <v>0</v>
      </c>
    </row>
    <row r="597" spans="1:4" ht="18" x14ac:dyDescent="0.3">
      <c r="A597" s="10" t="s">
        <v>262</v>
      </c>
      <c r="B597" s="8">
        <v>7</v>
      </c>
      <c r="C597" s="8">
        <v>22000</v>
      </c>
      <c r="D597" s="8">
        <f t="shared" si="9"/>
        <v>154000</v>
      </c>
    </row>
    <row r="598" spans="1:4" ht="18" hidden="1" x14ac:dyDescent="0.3">
      <c r="A598" s="10" t="s">
        <v>263</v>
      </c>
      <c r="B598" s="8"/>
      <c r="C598" s="8"/>
      <c r="D598" s="8">
        <f t="shared" si="9"/>
        <v>0</v>
      </c>
    </row>
    <row r="599" spans="1:4" ht="18" hidden="1" x14ac:dyDescent="0.3">
      <c r="A599" s="10" t="s">
        <v>264</v>
      </c>
      <c r="B599" s="8"/>
      <c r="C599" s="8"/>
      <c r="D599" s="8">
        <f t="shared" si="9"/>
        <v>0</v>
      </c>
    </row>
    <row r="600" spans="1:4" ht="18" hidden="1" x14ac:dyDescent="0.3">
      <c r="A600" s="10" t="s">
        <v>265</v>
      </c>
      <c r="B600" s="17"/>
      <c r="C600" s="17"/>
      <c r="D600" s="8">
        <f t="shared" si="9"/>
        <v>0</v>
      </c>
    </row>
    <row r="601" spans="1:4" ht="18" hidden="1" x14ac:dyDescent="0.3">
      <c r="A601" s="14" t="s">
        <v>266</v>
      </c>
      <c r="B601" s="8"/>
      <c r="C601" s="8"/>
      <c r="D601" s="8">
        <f t="shared" si="9"/>
        <v>0</v>
      </c>
    </row>
    <row r="602" spans="1:4" ht="18" hidden="1" x14ac:dyDescent="0.3">
      <c r="A602" s="10" t="s">
        <v>267</v>
      </c>
      <c r="B602" s="8"/>
      <c r="C602" s="8"/>
      <c r="D602" s="8">
        <f t="shared" si="9"/>
        <v>0</v>
      </c>
    </row>
    <row r="603" spans="1:4" ht="18" hidden="1" x14ac:dyDescent="0.3">
      <c r="A603" s="12" t="s">
        <v>268</v>
      </c>
      <c r="B603" s="8"/>
      <c r="C603" s="8"/>
      <c r="D603" s="8">
        <f t="shared" si="9"/>
        <v>0</v>
      </c>
    </row>
    <row r="604" spans="1:4" ht="18" hidden="1" x14ac:dyDescent="0.3">
      <c r="A604" s="12" t="s">
        <v>269</v>
      </c>
      <c r="B604" s="8"/>
      <c r="C604" s="8"/>
      <c r="D604" s="8">
        <f t="shared" si="9"/>
        <v>0</v>
      </c>
    </row>
    <row r="605" spans="1:4" ht="18" hidden="1" x14ac:dyDescent="0.3">
      <c r="A605" s="10" t="s">
        <v>270</v>
      </c>
      <c r="B605" s="8"/>
      <c r="C605" s="8"/>
      <c r="D605" s="8">
        <f t="shared" si="9"/>
        <v>0</v>
      </c>
    </row>
    <row r="606" spans="1:4" ht="18" hidden="1" x14ac:dyDescent="0.3">
      <c r="A606" s="10" t="s">
        <v>358</v>
      </c>
      <c r="B606" s="8"/>
      <c r="C606" s="8"/>
      <c r="D606" s="8">
        <f t="shared" si="9"/>
        <v>0</v>
      </c>
    </row>
    <row r="607" spans="1:4" ht="18" hidden="1" x14ac:dyDescent="0.3">
      <c r="A607" s="10" t="s">
        <v>271</v>
      </c>
      <c r="B607" s="8"/>
      <c r="C607" s="8"/>
      <c r="D607" s="8">
        <f t="shared" si="9"/>
        <v>0</v>
      </c>
    </row>
    <row r="608" spans="1:4" ht="18" hidden="1" x14ac:dyDescent="0.3">
      <c r="A608" s="10" t="s">
        <v>359</v>
      </c>
      <c r="B608" s="8"/>
      <c r="C608" s="8"/>
      <c r="D608" s="8">
        <f t="shared" si="9"/>
        <v>0</v>
      </c>
    </row>
    <row r="609" spans="1:4" ht="18" hidden="1" x14ac:dyDescent="0.3">
      <c r="A609" s="10" t="s">
        <v>273</v>
      </c>
      <c r="B609" s="8"/>
      <c r="C609" s="8"/>
      <c r="D609" s="8">
        <f t="shared" si="9"/>
        <v>0</v>
      </c>
    </row>
    <row r="610" spans="1:4" ht="18" hidden="1" x14ac:dyDescent="0.3">
      <c r="A610" s="10" t="s">
        <v>274</v>
      </c>
      <c r="B610" s="8"/>
      <c r="C610" s="8"/>
      <c r="D610" s="8">
        <f t="shared" si="9"/>
        <v>0</v>
      </c>
    </row>
    <row r="611" spans="1:4" ht="18" hidden="1" x14ac:dyDescent="0.3">
      <c r="A611" s="10" t="s">
        <v>275</v>
      </c>
      <c r="B611" s="8"/>
      <c r="C611" s="8"/>
      <c r="D611" s="8">
        <f t="shared" si="9"/>
        <v>0</v>
      </c>
    </row>
    <row r="612" spans="1:4" ht="18" hidden="1" x14ac:dyDescent="0.3">
      <c r="A612" s="37" t="s">
        <v>277</v>
      </c>
      <c r="B612" s="8"/>
      <c r="C612" s="8"/>
      <c r="D612" s="8">
        <f t="shared" si="9"/>
        <v>0</v>
      </c>
    </row>
    <row r="613" spans="1:4" ht="18" hidden="1" x14ac:dyDescent="0.3">
      <c r="A613" s="10" t="s">
        <v>278</v>
      </c>
      <c r="B613" s="8"/>
      <c r="C613" s="8"/>
      <c r="D613" s="8">
        <f t="shared" si="9"/>
        <v>0</v>
      </c>
    </row>
    <row r="614" spans="1:4" ht="18" hidden="1" x14ac:dyDescent="0.3">
      <c r="A614" s="37" t="s">
        <v>279</v>
      </c>
      <c r="B614" s="8"/>
      <c r="C614" s="8"/>
      <c r="D614" s="8">
        <f t="shared" si="9"/>
        <v>0</v>
      </c>
    </row>
    <row r="615" spans="1:4" ht="18" hidden="1" x14ac:dyDescent="0.3">
      <c r="A615" s="12" t="s">
        <v>360</v>
      </c>
      <c r="B615" s="8"/>
      <c r="C615" s="8"/>
      <c r="D615" s="8">
        <f t="shared" si="9"/>
        <v>0</v>
      </c>
    </row>
    <row r="616" spans="1:4" ht="18" hidden="1" x14ac:dyDescent="0.3">
      <c r="A616" s="37" t="s">
        <v>280</v>
      </c>
      <c r="B616" s="8"/>
      <c r="C616" s="8"/>
      <c r="D616" s="8">
        <f t="shared" si="9"/>
        <v>0</v>
      </c>
    </row>
    <row r="617" spans="1:4" ht="18" hidden="1" x14ac:dyDescent="0.3">
      <c r="A617" s="13" t="s">
        <v>281</v>
      </c>
      <c r="B617" s="17"/>
      <c r="C617" s="17"/>
      <c r="D617" s="8">
        <f t="shared" si="9"/>
        <v>0</v>
      </c>
    </row>
    <row r="618" spans="1:4" ht="18" hidden="1" x14ac:dyDescent="0.3">
      <c r="A618" s="18" t="s">
        <v>284</v>
      </c>
      <c r="B618" s="8"/>
      <c r="C618" s="8"/>
      <c r="D618" s="8">
        <f t="shared" si="9"/>
        <v>0</v>
      </c>
    </row>
    <row r="619" spans="1:4" ht="18" hidden="1" x14ac:dyDescent="0.3">
      <c r="A619" s="18" t="s">
        <v>285</v>
      </c>
      <c r="B619" s="8"/>
      <c r="C619" s="8"/>
      <c r="D619" s="8">
        <f t="shared" si="9"/>
        <v>0</v>
      </c>
    </row>
    <row r="620" spans="1:4" ht="18" hidden="1" x14ac:dyDescent="0.3">
      <c r="A620" s="18" t="s">
        <v>286</v>
      </c>
      <c r="B620" s="8"/>
      <c r="C620" s="8"/>
      <c r="D620" s="8">
        <f t="shared" si="9"/>
        <v>0</v>
      </c>
    </row>
    <row r="621" spans="1:4" ht="18" hidden="1" x14ac:dyDescent="0.3">
      <c r="A621" s="10" t="s">
        <v>287</v>
      </c>
      <c r="B621" s="8"/>
      <c r="C621" s="8"/>
      <c r="D621" s="8">
        <f t="shared" si="9"/>
        <v>0</v>
      </c>
    </row>
    <row r="622" spans="1:4" ht="18" hidden="1" x14ac:dyDescent="0.3">
      <c r="A622" s="18" t="s">
        <v>288</v>
      </c>
      <c r="B622" s="8"/>
      <c r="C622" s="8"/>
      <c r="D622" s="8">
        <f t="shared" si="9"/>
        <v>0</v>
      </c>
    </row>
    <row r="623" spans="1:4" ht="18" hidden="1" x14ac:dyDescent="0.3">
      <c r="A623" s="10" t="s">
        <v>289</v>
      </c>
      <c r="B623" s="8"/>
      <c r="C623" s="8"/>
      <c r="D623" s="8">
        <f t="shared" si="9"/>
        <v>0</v>
      </c>
    </row>
    <row r="624" spans="1:4" ht="18" hidden="1" x14ac:dyDescent="0.3">
      <c r="A624" s="10" t="s">
        <v>290</v>
      </c>
      <c r="B624" s="8"/>
      <c r="C624" s="8"/>
      <c r="D624" s="8">
        <f t="shared" si="9"/>
        <v>0</v>
      </c>
    </row>
    <row r="625" spans="1:4" ht="18" hidden="1" x14ac:dyDescent="0.3">
      <c r="A625" s="18" t="s">
        <v>291</v>
      </c>
      <c r="B625" s="8"/>
      <c r="C625" s="8"/>
      <c r="D625" s="8">
        <f t="shared" si="9"/>
        <v>0</v>
      </c>
    </row>
    <row r="626" spans="1:4" ht="18" hidden="1" x14ac:dyDescent="0.3">
      <c r="A626" s="27" t="s">
        <v>292</v>
      </c>
      <c r="B626" s="8"/>
      <c r="C626" s="8"/>
      <c r="D626" s="8">
        <f t="shared" si="9"/>
        <v>0</v>
      </c>
    </row>
    <row r="627" spans="1:4" ht="18" hidden="1" x14ac:dyDescent="0.3">
      <c r="A627" s="10" t="s">
        <v>293</v>
      </c>
      <c r="B627" s="8"/>
      <c r="C627" s="8"/>
      <c r="D627" s="8">
        <f t="shared" si="9"/>
        <v>0</v>
      </c>
    </row>
    <row r="628" spans="1:4" ht="18" hidden="1" x14ac:dyDescent="0.3">
      <c r="A628" s="14" t="s">
        <v>294</v>
      </c>
      <c r="B628" s="8"/>
      <c r="C628" s="8"/>
      <c r="D628" s="8">
        <f t="shared" si="9"/>
        <v>0</v>
      </c>
    </row>
    <row r="629" spans="1:4" ht="18" hidden="1" x14ac:dyDescent="0.3">
      <c r="A629" s="13" t="s">
        <v>296</v>
      </c>
      <c r="B629" s="8"/>
      <c r="C629" s="8"/>
      <c r="D629" s="8">
        <f t="shared" si="9"/>
        <v>0</v>
      </c>
    </row>
    <row r="630" spans="1:4" ht="18" hidden="1" x14ac:dyDescent="0.3">
      <c r="A630" s="18" t="s">
        <v>297</v>
      </c>
      <c r="B630" s="8"/>
      <c r="C630" s="8"/>
      <c r="D630" s="8">
        <f t="shared" si="9"/>
        <v>0</v>
      </c>
    </row>
    <row r="631" spans="1:4" ht="18" hidden="1" x14ac:dyDescent="0.3">
      <c r="A631" s="14" t="s">
        <v>298</v>
      </c>
      <c r="B631" s="8"/>
      <c r="C631" s="8"/>
      <c r="D631" s="8">
        <f t="shared" si="9"/>
        <v>0</v>
      </c>
    </row>
    <row r="632" spans="1:4" ht="18" hidden="1" x14ac:dyDescent="0.3">
      <c r="A632" s="10" t="s">
        <v>299</v>
      </c>
      <c r="B632" s="8"/>
      <c r="C632" s="8"/>
      <c r="D632" s="8">
        <f t="shared" si="9"/>
        <v>0</v>
      </c>
    </row>
    <row r="633" spans="1:4" ht="18" hidden="1" x14ac:dyDescent="0.3">
      <c r="A633" s="18" t="s">
        <v>300</v>
      </c>
      <c r="B633" s="8"/>
      <c r="C633" s="8"/>
      <c r="D633" s="8">
        <f t="shared" si="9"/>
        <v>0</v>
      </c>
    </row>
    <row r="634" spans="1:4" ht="18" hidden="1" x14ac:dyDescent="0.3">
      <c r="A634" s="13" t="s">
        <v>361</v>
      </c>
      <c r="B634" s="8"/>
      <c r="C634" s="8"/>
      <c r="D634" s="8">
        <f t="shared" si="9"/>
        <v>0</v>
      </c>
    </row>
    <row r="635" spans="1:4" ht="18" hidden="1" x14ac:dyDescent="0.3">
      <c r="A635" s="10" t="s">
        <v>362</v>
      </c>
      <c r="B635" s="8"/>
      <c r="C635" s="8"/>
      <c r="D635" s="8">
        <f t="shared" si="9"/>
        <v>0</v>
      </c>
    </row>
    <row r="636" spans="1:4" ht="18" hidden="1" x14ac:dyDescent="0.3">
      <c r="A636" s="12" t="s">
        <v>303</v>
      </c>
      <c r="B636" s="8"/>
      <c r="C636" s="8"/>
      <c r="D636" s="8">
        <f t="shared" si="9"/>
        <v>0</v>
      </c>
    </row>
    <row r="637" spans="1:4" ht="18" hidden="1" x14ac:dyDescent="0.3">
      <c r="A637" s="10" t="s">
        <v>363</v>
      </c>
      <c r="B637" s="8"/>
      <c r="C637" s="8"/>
      <c r="D637" s="8">
        <f t="shared" si="9"/>
        <v>0</v>
      </c>
    </row>
    <row r="638" spans="1:4" ht="18" hidden="1" x14ac:dyDescent="0.3">
      <c r="A638" s="13" t="s">
        <v>304</v>
      </c>
      <c r="B638" s="8"/>
      <c r="C638" s="8"/>
      <c r="D638" s="8">
        <f t="shared" si="9"/>
        <v>0</v>
      </c>
    </row>
    <row r="639" spans="1:4" ht="18" hidden="1" x14ac:dyDescent="0.3">
      <c r="A639" s="13" t="s">
        <v>305</v>
      </c>
      <c r="B639" s="8"/>
      <c r="C639" s="8"/>
      <c r="D639" s="8">
        <f t="shared" si="9"/>
        <v>0</v>
      </c>
    </row>
    <row r="640" spans="1:4" ht="18" hidden="1" x14ac:dyDescent="0.3">
      <c r="A640" s="10" t="s">
        <v>306</v>
      </c>
      <c r="B640" s="8"/>
      <c r="C640" s="8"/>
      <c r="D640" s="8">
        <f t="shared" si="9"/>
        <v>0</v>
      </c>
    </row>
    <row r="641" spans="1:4" ht="18" hidden="1" x14ac:dyDescent="0.3">
      <c r="A641" s="10" t="s">
        <v>307</v>
      </c>
      <c r="B641" s="8"/>
      <c r="C641" s="8"/>
      <c r="D641" s="8">
        <f t="shared" si="9"/>
        <v>0</v>
      </c>
    </row>
    <row r="642" spans="1:4" ht="18" hidden="1" x14ac:dyDescent="0.3">
      <c r="A642" s="10" t="s">
        <v>308</v>
      </c>
      <c r="B642" s="8"/>
      <c r="C642" s="8"/>
      <c r="D642" s="8">
        <f t="shared" si="9"/>
        <v>0</v>
      </c>
    </row>
    <row r="643" spans="1:4" ht="18" hidden="1" x14ac:dyDescent="0.3">
      <c r="A643" s="14" t="s">
        <v>309</v>
      </c>
      <c r="B643" s="8"/>
      <c r="C643" s="8"/>
      <c r="D643" s="8">
        <f t="shared" si="9"/>
        <v>0</v>
      </c>
    </row>
    <row r="644" spans="1:4" ht="18" hidden="1" x14ac:dyDescent="0.3">
      <c r="A644" s="14" t="s">
        <v>310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23" t="s">
        <v>311</v>
      </c>
      <c r="B645" s="8"/>
      <c r="C645" s="8"/>
      <c r="D645" s="8">
        <f t="shared" si="10"/>
        <v>0</v>
      </c>
    </row>
    <row r="646" spans="1:4" ht="18" hidden="1" x14ac:dyDescent="0.3">
      <c r="A646" s="14" t="s">
        <v>312</v>
      </c>
      <c r="B646" s="8"/>
      <c r="C646" s="8"/>
      <c r="D646" s="8">
        <f t="shared" si="10"/>
        <v>0</v>
      </c>
    </row>
    <row r="647" spans="1:4" ht="18" hidden="1" x14ac:dyDescent="0.3">
      <c r="A647" s="10" t="s">
        <v>313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314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315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316</v>
      </c>
      <c r="B650" s="8"/>
      <c r="C650" s="8"/>
      <c r="D650" s="8">
        <f t="shared" si="10"/>
        <v>0</v>
      </c>
    </row>
    <row r="651" spans="1:4" ht="18" hidden="1" x14ac:dyDescent="0.3">
      <c r="A651" s="23" t="s">
        <v>317</v>
      </c>
      <c r="B651" s="8"/>
      <c r="C651" s="8"/>
      <c r="D651" s="8">
        <f t="shared" si="10"/>
        <v>0</v>
      </c>
    </row>
    <row r="652" spans="1:4" ht="18" hidden="1" x14ac:dyDescent="0.3">
      <c r="A652" s="10" t="s">
        <v>318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319</v>
      </c>
      <c r="B653" s="8"/>
      <c r="C653" s="8"/>
      <c r="D653" s="8">
        <f t="shared" si="10"/>
        <v>0</v>
      </c>
    </row>
    <row r="654" spans="1:4" ht="18" hidden="1" x14ac:dyDescent="0.3">
      <c r="A654" s="13" t="s">
        <v>320</v>
      </c>
      <c r="B654" s="8"/>
      <c r="C654" s="8"/>
      <c r="D654" s="8">
        <f t="shared" si="10"/>
        <v>0</v>
      </c>
    </row>
    <row r="655" spans="1:4" ht="18" hidden="1" x14ac:dyDescent="0.3">
      <c r="A655" s="10" t="s">
        <v>321</v>
      </c>
      <c r="B655" s="42"/>
      <c r="C655" s="42"/>
      <c r="D655" s="8">
        <f t="shared" si="10"/>
        <v>0</v>
      </c>
    </row>
    <row r="656" spans="1:4" ht="18" hidden="1" x14ac:dyDescent="0.3">
      <c r="A656" s="10" t="s">
        <v>322</v>
      </c>
      <c r="B656" s="8"/>
      <c r="C656" s="8"/>
      <c r="D656" s="8">
        <f t="shared" si="10"/>
        <v>0</v>
      </c>
    </row>
    <row r="657" spans="1:4" ht="18" hidden="1" x14ac:dyDescent="0.3">
      <c r="A657" s="10" t="s">
        <v>323</v>
      </c>
      <c r="B657" s="8"/>
      <c r="C657" s="8"/>
      <c r="D657" s="8">
        <f t="shared" si="10"/>
        <v>0</v>
      </c>
    </row>
    <row r="658" spans="1:4" ht="18" hidden="1" x14ac:dyDescent="0.3">
      <c r="A658" s="23" t="s">
        <v>324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325</v>
      </c>
      <c r="B659" s="8"/>
      <c r="C659" s="8"/>
      <c r="D659" s="8">
        <f t="shared" si="10"/>
        <v>0</v>
      </c>
    </row>
    <row r="660" spans="1:4" ht="18" hidden="1" x14ac:dyDescent="0.3">
      <c r="A660" s="10" t="s">
        <v>326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327</v>
      </c>
      <c r="B661" s="8"/>
      <c r="C661" s="8"/>
      <c r="D661" s="8">
        <f t="shared" si="10"/>
        <v>0</v>
      </c>
    </row>
    <row r="662" spans="1:4" ht="18" hidden="1" x14ac:dyDescent="0.3">
      <c r="A662" s="23" t="s">
        <v>328</v>
      </c>
      <c r="B662" s="8"/>
      <c r="C662" s="8"/>
      <c r="D662" s="8">
        <f t="shared" si="10"/>
        <v>0</v>
      </c>
    </row>
    <row r="663" spans="1:4" ht="18" hidden="1" x14ac:dyDescent="0.3">
      <c r="A663" s="10" t="s">
        <v>329</v>
      </c>
      <c r="B663" s="8"/>
      <c r="C663" s="8"/>
      <c r="D663" s="8">
        <f t="shared" si="10"/>
        <v>0</v>
      </c>
    </row>
    <row r="664" spans="1:4" ht="18" hidden="1" x14ac:dyDescent="0.3">
      <c r="A664" s="10" t="s">
        <v>330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331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332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333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334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335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336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4561</v>
      </c>
      <c r="C672" s="46"/>
      <c r="D672" s="46">
        <f t="shared" ref="D672" si="11">SUM(D345:D671)</f>
        <v>61946000</v>
      </c>
    </row>
    <row r="674" spans="4:4" x14ac:dyDescent="0.3">
      <c r="D674" s="49">
        <f>D672+D340</f>
        <v>155489000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1A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674"/>
  <sheetViews>
    <sheetView topLeftCell="A81" workbookViewId="0">
      <selection activeCell="C672" sqref="C672"/>
    </sheetView>
  </sheetViews>
  <sheetFormatPr defaultRowHeight="14.4" x14ac:dyDescent="0.3"/>
  <cols>
    <col min="1" max="1" width="39.21875" customWidth="1"/>
    <col min="3" max="3" width="11.88671875" customWidth="1"/>
    <col min="4" max="4" width="20.44140625" customWidth="1"/>
  </cols>
  <sheetData>
    <row r="1" spans="1:4" x14ac:dyDescent="0.3">
      <c r="A1" s="119" t="s">
        <v>436</v>
      </c>
      <c r="B1" s="2"/>
      <c r="C1" s="2"/>
      <c r="D1" s="2"/>
    </row>
    <row r="2" spans="1:4" ht="26.4" x14ac:dyDescent="0.3">
      <c r="A2" s="138" t="s">
        <v>0</v>
      </c>
      <c r="B2" s="4" t="s">
        <v>1</v>
      </c>
      <c r="C2" s="4" t="s">
        <v>340</v>
      </c>
      <c r="D2" s="4" t="s">
        <v>341</v>
      </c>
    </row>
    <row r="3" spans="1:4" ht="18" hidden="1" x14ac:dyDescent="0.3">
      <c r="A3" s="120" t="s">
        <v>2</v>
      </c>
      <c r="B3" s="8"/>
      <c r="C3" s="8"/>
      <c r="D3" s="8">
        <f>B3*C3</f>
        <v>0</v>
      </c>
    </row>
    <row r="4" spans="1:4" ht="18" hidden="1" x14ac:dyDescent="0.3">
      <c r="A4" s="121" t="s">
        <v>3</v>
      </c>
      <c r="B4" s="8"/>
      <c r="C4" s="8"/>
      <c r="D4" s="8">
        <f t="shared" ref="D4:D67" si="0">B4*C4</f>
        <v>0</v>
      </c>
    </row>
    <row r="5" spans="1:4" ht="18" hidden="1" x14ac:dyDescent="0.3">
      <c r="A5" s="120" t="s">
        <v>4</v>
      </c>
      <c r="B5" s="8"/>
      <c r="C5" s="8"/>
      <c r="D5" s="8">
        <f t="shared" si="0"/>
        <v>0</v>
      </c>
    </row>
    <row r="6" spans="1:4" ht="18" hidden="1" x14ac:dyDescent="0.3">
      <c r="A6" s="120" t="s">
        <v>5</v>
      </c>
      <c r="B6" s="8"/>
      <c r="C6" s="8"/>
      <c r="D6" s="8">
        <f t="shared" si="0"/>
        <v>0</v>
      </c>
    </row>
    <row r="7" spans="1:4" ht="18" hidden="1" x14ac:dyDescent="0.3">
      <c r="A7" s="113" t="s">
        <v>6</v>
      </c>
      <c r="B7" s="8"/>
      <c r="C7" s="8"/>
      <c r="D7" s="8">
        <f t="shared" si="0"/>
        <v>0</v>
      </c>
    </row>
    <row r="8" spans="1:4" ht="18" hidden="1" x14ac:dyDescent="0.3">
      <c r="A8" s="122" t="s">
        <v>7</v>
      </c>
      <c r="B8" s="8"/>
      <c r="C8" s="8"/>
      <c r="D8" s="8">
        <f t="shared" si="0"/>
        <v>0</v>
      </c>
    </row>
    <row r="9" spans="1:4" ht="18" hidden="1" x14ac:dyDescent="0.3">
      <c r="A9" s="120" t="s">
        <v>8</v>
      </c>
      <c r="B9" s="8"/>
      <c r="C9" s="8"/>
      <c r="D9" s="8">
        <f t="shared" si="0"/>
        <v>0</v>
      </c>
    </row>
    <row r="10" spans="1:4" ht="18" hidden="1" x14ac:dyDescent="0.3">
      <c r="A10" s="120" t="s">
        <v>9</v>
      </c>
      <c r="B10" s="8"/>
      <c r="C10" s="8"/>
      <c r="D10" s="8">
        <f t="shared" si="0"/>
        <v>0</v>
      </c>
    </row>
    <row r="11" spans="1:4" ht="18" hidden="1" x14ac:dyDescent="0.3">
      <c r="A11" s="118" t="s">
        <v>10</v>
      </c>
      <c r="B11" s="8"/>
      <c r="C11" s="8"/>
      <c r="D11" s="8">
        <f t="shared" si="0"/>
        <v>0</v>
      </c>
    </row>
    <row r="12" spans="1:4" ht="18" hidden="1" x14ac:dyDescent="0.3">
      <c r="A12" s="113" t="s">
        <v>11</v>
      </c>
      <c r="B12" s="8"/>
      <c r="C12" s="8"/>
      <c r="D12" s="8">
        <f t="shared" si="0"/>
        <v>0</v>
      </c>
    </row>
    <row r="13" spans="1:4" ht="18" hidden="1" x14ac:dyDescent="0.3">
      <c r="A13" s="113" t="s">
        <v>12</v>
      </c>
      <c r="B13" s="8"/>
      <c r="C13" s="8"/>
      <c r="D13" s="8">
        <f t="shared" si="0"/>
        <v>0</v>
      </c>
    </row>
    <row r="14" spans="1:4" ht="18" hidden="1" x14ac:dyDescent="0.3">
      <c r="A14" s="30" t="s">
        <v>13</v>
      </c>
      <c r="B14" s="8"/>
      <c r="C14" s="8"/>
      <c r="D14" s="8">
        <f t="shared" si="0"/>
        <v>0</v>
      </c>
    </row>
    <row r="15" spans="1:4" ht="18" x14ac:dyDescent="0.3">
      <c r="A15" s="30" t="s">
        <v>14</v>
      </c>
      <c r="B15" s="8">
        <f>15+17</f>
        <v>32</v>
      </c>
      <c r="C15" s="8">
        <v>18000</v>
      </c>
      <c r="D15" s="8">
        <f t="shared" si="0"/>
        <v>576000</v>
      </c>
    </row>
    <row r="16" spans="1:4" ht="18" hidden="1" x14ac:dyDescent="0.3">
      <c r="A16" s="113" t="s">
        <v>15</v>
      </c>
      <c r="B16" s="8"/>
      <c r="C16" s="8"/>
      <c r="D16" s="8">
        <f t="shared" si="0"/>
        <v>0</v>
      </c>
    </row>
    <row r="17" spans="1:4" ht="18" hidden="1" x14ac:dyDescent="0.3">
      <c r="A17" s="113" t="s">
        <v>16</v>
      </c>
      <c r="B17" s="8"/>
      <c r="C17" s="8"/>
      <c r="D17" s="8">
        <f t="shared" si="0"/>
        <v>0</v>
      </c>
    </row>
    <row r="18" spans="1:4" ht="18" x14ac:dyDescent="0.3">
      <c r="A18" s="123" t="s">
        <v>17</v>
      </c>
      <c r="B18" s="8">
        <f>16+28+50+22</f>
        <v>116</v>
      </c>
      <c r="C18" s="8">
        <v>4000</v>
      </c>
      <c r="D18" s="8">
        <f t="shared" si="0"/>
        <v>464000</v>
      </c>
    </row>
    <row r="19" spans="1:4" ht="18" hidden="1" x14ac:dyDescent="0.3">
      <c r="A19" s="118" t="s">
        <v>18</v>
      </c>
      <c r="B19" s="8"/>
      <c r="C19" s="47"/>
      <c r="D19" s="8">
        <f t="shared" si="0"/>
        <v>0</v>
      </c>
    </row>
    <row r="20" spans="1:4" ht="18" x14ac:dyDescent="0.3">
      <c r="A20" s="113" t="s">
        <v>19</v>
      </c>
      <c r="B20" s="8">
        <v>160</v>
      </c>
      <c r="C20" s="8">
        <v>13000</v>
      </c>
      <c r="D20" s="8">
        <f t="shared" si="0"/>
        <v>2080000</v>
      </c>
    </row>
    <row r="21" spans="1:4" ht="18" hidden="1" x14ac:dyDescent="0.3">
      <c r="A21" s="30" t="s">
        <v>20</v>
      </c>
      <c r="B21" s="8"/>
      <c r="C21" s="8"/>
      <c r="D21" s="8">
        <f t="shared" si="0"/>
        <v>0</v>
      </c>
    </row>
    <row r="22" spans="1:4" ht="18" hidden="1" x14ac:dyDescent="0.3">
      <c r="A22" s="30" t="s">
        <v>21</v>
      </c>
      <c r="B22" s="8"/>
      <c r="C22" s="8"/>
      <c r="D22" s="8">
        <f t="shared" si="0"/>
        <v>0</v>
      </c>
    </row>
    <row r="23" spans="1:4" ht="18" hidden="1" x14ac:dyDescent="0.3">
      <c r="A23" s="113" t="s">
        <v>22</v>
      </c>
      <c r="B23" s="8"/>
      <c r="C23" s="8"/>
      <c r="D23" s="8">
        <f t="shared" si="0"/>
        <v>0</v>
      </c>
    </row>
    <row r="24" spans="1:4" ht="18" hidden="1" x14ac:dyDescent="0.3">
      <c r="A24" s="113" t="s">
        <v>23</v>
      </c>
      <c r="B24" s="8"/>
      <c r="C24" s="8"/>
      <c r="D24" s="8">
        <f t="shared" si="0"/>
        <v>0</v>
      </c>
    </row>
    <row r="25" spans="1:4" ht="18" x14ac:dyDescent="0.3">
      <c r="A25" s="113" t="s">
        <v>24</v>
      </c>
      <c r="B25" s="8">
        <f>22+55+60+35+30</f>
        <v>202</v>
      </c>
      <c r="C25" s="8">
        <v>12500</v>
      </c>
      <c r="D25" s="8">
        <f t="shared" si="0"/>
        <v>2525000</v>
      </c>
    </row>
    <row r="26" spans="1:4" ht="18" hidden="1" x14ac:dyDescent="0.3">
      <c r="A26" s="113" t="s">
        <v>25</v>
      </c>
      <c r="B26" s="8"/>
      <c r="C26" s="8"/>
      <c r="D26" s="8">
        <f t="shared" si="0"/>
        <v>0</v>
      </c>
    </row>
    <row r="27" spans="1:4" ht="18" hidden="1" x14ac:dyDescent="0.3">
      <c r="A27" s="113" t="s">
        <v>26</v>
      </c>
      <c r="B27" s="8"/>
      <c r="C27" s="8"/>
      <c r="D27" s="8">
        <f t="shared" si="0"/>
        <v>0</v>
      </c>
    </row>
    <row r="28" spans="1:4" ht="18" hidden="1" x14ac:dyDescent="0.3">
      <c r="A28" s="113" t="s">
        <v>27</v>
      </c>
      <c r="B28" s="8"/>
      <c r="C28" s="8"/>
      <c r="D28" s="8">
        <f t="shared" si="0"/>
        <v>0</v>
      </c>
    </row>
    <row r="29" spans="1:4" ht="18" x14ac:dyDescent="0.3">
      <c r="A29" s="118" t="s">
        <v>412</v>
      </c>
      <c r="B29" s="17">
        <v>40</v>
      </c>
      <c r="C29" s="17">
        <v>12500</v>
      </c>
      <c r="D29" s="8">
        <f t="shared" si="0"/>
        <v>500000</v>
      </c>
    </row>
    <row r="30" spans="1:4" ht="18" hidden="1" x14ac:dyDescent="0.3">
      <c r="A30" s="30" t="s">
        <v>28</v>
      </c>
      <c r="B30" s="8"/>
      <c r="C30" s="8"/>
      <c r="D30" s="8">
        <f t="shared" si="0"/>
        <v>0</v>
      </c>
    </row>
    <row r="31" spans="1:4" ht="18" hidden="1" x14ac:dyDescent="0.3">
      <c r="A31" s="118" t="s">
        <v>29</v>
      </c>
      <c r="B31" s="8"/>
      <c r="C31" s="8"/>
      <c r="D31" s="8">
        <f t="shared" si="0"/>
        <v>0</v>
      </c>
    </row>
    <row r="32" spans="1:4" ht="18" hidden="1" x14ac:dyDescent="0.3">
      <c r="A32" s="118" t="s">
        <v>30</v>
      </c>
      <c r="B32" s="8"/>
      <c r="C32" s="8"/>
      <c r="D32" s="8">
        <f t="shared" si="0"/>
        <v>0</v>
      </c>
    </row>
    <row r="33" spans="1:4" ht="18" hidden="1" x14ac:dyDescent="0.3">
      <c r="A33" s="118" t="s">
        <v>31</v>
      </c>
      <c r="B33" s="8"/>
      <c r="C33" s="8"/>
      <c r="D33" s="8">
        <f t="shared" si="0"/>
        <v>0</v>
      </c>
    </row>
    <row r="34" spans="1:4" ht="18" hidden="1" x14ac:dyDescent="0.3">
      <c r="A34" s="30" t="s">
        <v>367</v>
      </c>
      <c r="B34" s="8"/>
      <c r="C34" s="8"/>
      <c r="D34" s="8">
        <f t="shared" si="0"/>
        <v>0</v>
      </c>
    </row>
    <row r="35" spans="1:4" ht="18" hidden="1" x14ac:dyDescent="0.3">
      <c r="A35" s="118" t="s">
        <v>32</v>
      </c>
      <c r="B35" s="8"/>
      <c r="C35" s="8"/>
      <c r="D35" s="8">
        <f t="shared" si="0"/>
        <v>0</v>
      </c>
    </row>
    <row r="36" spans="1:4" ht="18" hidden="1" x14ac:dyDescent="0.3">
      <c r="A36" s="118" t="s">
        <v>33</v>
      </c>
      <c r="B36" s="8"/>
      <c r="C36" s="8"/>
      <c r="D36" s="8">
        <f t="shared" si="0"/>
        <v>0</v>
      </c>
    </row>
    <row r="37" spans="1:4" ht="18" hidden="1" x14ac:dyDescent="0.3">
      <c r="A37" s="118" t="s">
        <v>34</v>
      </c>
      <c r="B37" s="8"/>
      <c r="C37" s="8"/>
      <c r="D37" s="8">
        <f t="shared" si="0"/>
        <v>0</v>
      </c>
    </row>
    <row r="38" spans="1:4" ht="18" x14ac:dyDescent="0.3">
      <c r="A38" s="30" t="s">
        <v>35</v>
      </c>
      <c r="B38" s="8">
        <v>22</v>
      </c>
      <c r="C38" s="8">
        <v>11000</v>
      </c>
      <c r="D38" s="8">
        <f t="shared" si="0"/>
        <v>242000</v>
      </c>
    </row>
    <row r="39" spans="1:4" ht="18" hidden="1" x14ac:dyDescent="0.3">
      <c r="A39" s="113" t="s">
        <v>36</v>
      </c>
      <c r="B39" s="8"/>
      <c r="C39" s="8"/>
      <c r="D39" s="8">
        <f t="shared" si="0"/>
        <v>0</v>
      </c>
    </row>
    <row r="40" spans="1:4" ht="18" hidden="1" x14ac:dyDescent="0.3">
      <c r="A40" s="113" t="s">
        <v>37</v>
      </c>
      <c r="B40" s="8"/>
      <c r="C40" s="8"/>
      <c r="D40" s="8">
        <f t="shared" si="0"/>
        <v>0</v>
      </c>
    </row>
    <row r="41" spans="1:4" ht="18" hidden="1" x14ac:dyDescent="0.3">
      <c r="A41" s="118" t="s">
        <v>39</v>
      </c>
      <c r="B41" s="17"/>
      <c r="C41" s="17"/>
      <c r="D41" s="8">
        <f t="shared" si="0"/>
        <v>0</v>
      </c>
    </row>
    <row r="42" spans="1:4" ht="18" hidden="1" x14ac:dyDescent="0.3">
      <c r="A42" s="113" t="s">
        <v>40</v>
      </c>
      <c r="B42" s="8"/>
      <c r="C42" s="8"/>
      <c r="D42" s="8">
        <f t="shared" si="0"/>
        <v>0</v>
      </c>
    </row>
    <row r="43" spans="1:4" ht="18" hidden="1" x14ac:dyDescent="0.3">
      <c r="A43" s="113" t="s">
        <v>41</v>
      </c>
      <c r="B43" s="8"/>
      <c r="C43" s="8"/>
      <c r="D43" s="8">
        <f t="shared" si="0"/>
        <v>0</v>
      </c>
    </row>
    <row r="44" spans="1:4" ht="18" hidden="1" x14ac:dyDescent="0.3">
      <c r="A44" s="115" t="s">
        <v>42</v>
      </c>
      <c r="B44" s="8"/>
      <c r="C44" s="8"/>
      <c r="D44" s="8">
        <f t="shared" si="0"/>
        <v>0</v>
      </c>
    </row>
    <row r="45" spans="1:4" ht="18" hidden="1" x14ac:dyDescent="0.3">
      <c r="A45" s="113" t="s">
        <v>43</v>
      </c>
      <c r="B45" s="8"/>
      <c r="C45" s="8"/>
      <c r="D45" s="8">
        <f t="shared" si="0"/>
        <v>0</v>
      </c>
    </row>
    <row r="46" spans="1:4" ht="18" hidden="1" x14ac:dyDescent="0.3">
      <c r="A46" s="113" t="s">
        <v>44</v>
      </c>
      <c r="B46" s="8"/>
      <c r="C46" s="8"/>
      <c r="D46" s="8">
        <f t="shared" si="0"/>
        <v>0</v>
      </c>
    </row>
    <row r="47" spans="1:4" ht="18" hidden="1" x14ac:dyDescent="0.3">
      <c r="A47" s="113" t="s">
        <v>45</v>
      </c>
      <c r="B47" s="8"/>
      <c r="C47" s="8"/>
      <c r="D47" s="8">
        <f t="shared" si="0"/>
        <v>0</v>
      </c>
    </row>
    <row r="48" spans="1:4" ht="18" hidden="1" x14ac:dyDescent="0.3">
      <c r="A48" s="116" t="s">
        <v>46</v>
      </c>
      <c r="B48" s="8"/>
      <c r="C48" s="8"/>
      <c r="D48" s="8">
        <f t="shared" si="0"/>
        <v>0</v>
      </c>
    </row>
    <row r="49" spans="1:4" ht="18" hidden="1" x14ac:dyDescent="0.3">
      <c r="A49" s="123" t="s">
        <v>47</v>
      </c>
      <c r="B49" s="8"/>
      <c r="C49" s="8"/>
      <c r="D49" s="8">
        <f t="shared" si="0"/>
        <v>0</v>
      </c>
    </row>
    <row r="50" spans="1:4" ht="18" hidden="1" x14ac:dyDescent="0.3">
      <c r="A50" s="118" t="s">
        <v>48</v>
      </c>
      <c r="B50" s="8"/>
      <c r="C50" s="8"/>
      <c r="D50" s="8">
        <f t="shared" si="0"/>
        <v>0</v>
      </c>
    </row>
    <row r="51" spans="1:4" ht="18" hidden="1" x14ac:dyDescent="0.3">
      <c r="A51" s="123" t="s">
        <v>49</v>
      </c>
      <c r="B51" s="8"/>
      <c r="C51" s="8"/>
      <c r="D51" s="8">
        <f t="shared" si="0"/>
        <v>0</v>
      </c>
    </row>
    <row r="52" spans="1:4" ht="18" hidden="1" x14ac:dyDescent="0.3">
      <c r="A52" s="113" t="s">
        <v>50</v>
      </c>
      <c r="B52" s="8"/>
      <c r="C52" s="8"/>
      <c r="D52" s="8">
        <f t="shared" si="0"/>
        <v>0</v>
      </c>
    </row>
    <row r="53" spans="1:4" ht="18" hidden="1" x14ac:dyDescent="0.3">
      <c r="A53" s="113" t="s">
        <v>51</v>
      </c>
      <c r="B53" s="8"/>
      <c r="C53" s="8"/>
      <c r="D53" s="8">
        <f t="shared" si="0"/>
        <v>0</v>
      </c>
    </row>
    <row r="54" spans="1:4" ht="18" hidden="1" x14ac:dyDescent="0.3">
      <c r="A54" s="30" t="s">
        <v>52</v>
      </c>
      <c r="B54" s="8"/>
      <c r="C54" s="8"/>
      <c r="D54" s="8">
        <f t="shared" si="0"/>
        <v>0</v>
      </c>
    </row>
    <row r="55" spans="1:4" ht="18" hidden="1" x14ac:dyDescent="0.3">
      <c r="A55" s="113" t="s">
        <v>53</v>
      </c>
      <c r="B55" s="8"/>
      <c r="C55" s="8"/>
      <c r="D55" s="8">
        <f t="shared" si="0"/>
        <v>0</v>
      </c>
    </row>
    <row r="56" spans="1:4" ht="18" hidden="1" x14ac:dyDescent="0.3">
      <c r="A56" s="115" t="s">
        <v>54</v>
      </c>
      <c r="B56" s="8"/>
      <c r="C56" s="8"/>
      <c r="D56" s="8">
        <f t="shared" si="0"/>
        <v>0</v>
      </c>
    </row>
    <row r="57" spans="1:4" ht="18" x14ac:dyDescent="0.3">
      <c r="A57" s="115" t="s">
        <v>55</v>
      </c>
      <c r="B57" s="8">
        <v>7</v>
      </c>
      <c r="C57" s="8">
        <v>9000</v>
      </c>
      <c r="D57" s="8">
        <f t="shared" si="0"/>
        <v>63000</v>
      </c>
    </row>
    <row r="58" spans="1:4" ht="18" hidden="1" x14ac:dyDescent="0.3">
      <c r="A58" s="115" t="s">
        <v>56</v>
      </c>
      <c r="B58" s="8"/>
      <c r="C58" s="8"/>
      <c r="D58" s="8">
        <f t="shared" si="0"/>
        <v>0</v>
      </c>
    </row>
    <row r="59" spans="1:4" ht="18" hidden="1" x14ac:dyDescent="0.3">
      <c r="A59" s="113" t="s">
        <v>57</v>
      </c>
      <c r="B59" s="8"/>
      <c r="C59" s="8"/>
      <c r="D59" s="8">
        <f t="shared" si="0"/>
        <v>0</v>
      </c>
    </row>
    <row r="60" spans="1:4" ht="18" hidden="1" x14ac:dyDescent="0.3">
      <c r="A60" s="118" t="s">
        <v>58</v>
      </c>
      <c r="B60" s="8"/>
      <c r="C60" s="8"/>
      <c r="D60" s="8">
        <f t="shared" si="0"/>
        <v>0</v>
      </c>
    </row>
    <row r="61" spans="1:4" ht="18" x14ac:dyDescent="0.3">
      <c r="A61" s="113" t="s">
        <v>59</v>
      </c>
      <c r="B61" s="8">
        <v>7</v>
      </c>
      <c r="C61" s="8">
        <v>15000</v>
      </c>
      <c r="D61" s="8">
        <f t="shared" si="0"/>
        <v>105000</v>
      </c>
    </row>
    <row r="62" spans="1:4" ht="18" hidden="1" x14ac:dyDescent="0.3">
      <c r="A62" s="116" t="s">
        <v>60</v>
      </c>
      <c r="B62" s="8"/>
      <c r="C62" s="8"/>
      <c r="D62" s="8">
        <f t="shared" si="0"/>
        <v>0</v>
      </c>
    </row>
    <row r="63" spans="1:4" ht="18" x14ac:dyDescent="0.3">
      <c r="A63" s="115" t="s">
        <v>61</v>
      </c>
      <c r="B63" s="8">
        <v>7</v>
      </c>
      <c r="C63" s="8">
        <v>20000</v>
      </c>
      <c r="D63" s="8">
        <f t="shared" si="0"/>
        <v>140000</v>
      </c>
    </row>
    <row r="64" spans="1:4" ht="18" hidden="1" x14ac:dyDescent="0.3">
      <c r="A64" s="113" t="s">
        <v>62</v>
      </c>
      <c r="B64" s="8"/>
      <c r="C64" s="8"/>
      <c r="D64" s="8">
        <f t="shared" si="0"/>
        <v>0</v>
      </c>
    </row>
    <row r="65" spans="1:4" ht="18" hidden="1" x14ac:dyDescent="0.3">
      <c r="A65" s="124" t="s">
        <v>63</v>
      </c>
      <c r="B65" s="8"/>
      <c r="C65" s="8"/>
      <c r="D65" s="8">
        <f t="shared" si="0"/>
        <v>0</v>
      </c>
    </row>
    <row r="66" spans="1:4" ht="18" hidden="1" x14ac:dyDescent="0.3">
      <c r="A66" s="113" t="s">
        <v>64</v>
      </c>
      <c r="B66" s="8"/>
      <c r="C66" s="8"/>
      <c r="D66" s="8">
        <f t="shared" si="0"/>
        <v>0</v>
      </c>
    </row>
    <row r="67" spans="1:4" ht="18" hidden="1" x14ac:dyDescent="0.3">
      <c r="A67" s="113" t="s">
        <v>65</v>
      </c>
      <c r="B67" s="8"/>
      <c r="C67" s="8"/>
      <c r="D67" s="8">
        <f t="shared" si="0"/>
        <v>0</v>
      </c>
    </row>
    <row r="68" spans="1:4" ht="18" hidden="1" x14ac:dyDescent="0.3">
      <c r="A68" s="125" t="s">
        <v>66</v>
      </c>
      <c r="B68" s="8"/>
      <c r="C68" s="8"/>
      <c r="D68" s="8">
        <f t="shared" ref="D68:D131" si="1">B68*C68</f>
        <v>0</v>
      </c>
    </row>
    <row r="69" spans="1:4" ht="18" hidden="1" x14ac:dyDescent="0.3">
      <c r="A69" s="30" t="s">
        <v>67</v>
      </c>
      <c r="B69" s="8"/>
      <c r="C69" s="8"/>
      <c r="D69" s="8">
        <f t="shared" si="1"/>
        <v>0</v>
      </c>
    </row>
    <row r="70" spans="1:4" ht="18" hidden="1" x14ac:dyDescent="0.3">
      <c r="A70" s="30" t="s">
        <v>68</v>
      </c>
      <c r="B70" s="8"/>
      <c r="C70" s="8"/>
      <c r="D70" s="8">
        <f t="shared" si="1"/>
        <v>0</v>
      </c>
    </row>
    <row r="71" spans="1:4" ht="18" hidden="1" x14ac:dyDescent="0.3">
      <c r="A71" s="118" t="s">
        <v>69</v>
      </c>
      <c r="B71" s="8"/>
      <c r="C71" s="8"/>
      <c r="D71" s="8">
        <f t="shared" si="1"/>
        <v>0</v>
      </c>
    </row>
    <row r="72" spans="1:4" ht="18" hidden="1" x14ac:dyDescent="0.3">
      <c r="A72" s="30" t="s">
        <v>70</v>
      </c>
      <c r="B72" s="8"/>
      <c r="C72" s="8"/>
      <c r="D72" s="8">
        <f t="shared" si="1"/>
        <v>0</v>
      </c>
    </row>
    <row r="73" spans="1:4" ht="18" hidden="1" x14ac:dyDescent="0.3">
      <c r="A73" s="30" t="s">
        <v>71</v>
      </c>
      <c r="B73" s="8"/>
      <c r="C73" s="8"/>
      <c r="D73" s="8">
        <f t="shared" si="1"/>
        <v>0</v>
      </c>
    </row>
    <row r="74" spans="1:4" ht="18" hidden="1" x14ac:dyDescent="0.3">
      <c r="A74" s="30" t="s">
        <v>72</v>
      </c>
      <c r="B74" s="8"/>
      <c r="C74" s="8"/>
      <c r="D74" s="8">
        <f t="shared" si="1"/>
        <v>0</v>
      </c>
    </row>
    <row r="75" spans="1:4" ht="18" hidden="1" x14ac:dyDescent="0.3">
      <c r="A75" s="125" t="s">
        <v>73</v>
      </c>
      <c r="B75" s="8"/>
      <c r="C75" s="8"/>
      <c r="D75" s="8">
        <f t="shared" si="1"/>
        <v>0</v>
      </c>
    </row>
    <row r="76" spans="1:4" ht="18" hidden="1" x14ac:dyDescent="0.3">
      <c r="A76" s="113" t="s">
        <v>74</v>
      </c>
      <c r="B76" s="8"/>
      <c r="C76" s="8"/>
      <c r="D76" s="8">
        <f t="shared" si="1"/>
        <v>0</v>
      </c>
    </row>
    <row r="77" spans="1:4" ht="18" hidden="1" x14ac:dyDescent="0.3">
      <c r="A77" s="113" t="s">
        <v>75</v>
      </c>
      <c r="B77" s="8"/>
      <c r="C77" s="8"/>
      <c r="D77" s="8">
        <f t="shared" si="1"/>
        <v>0</v>
      </c>
    </row>
    <row r="78" spans="1:4" ht="18" hidden="1" x14ac:dyDescent="0.3">
      <c r="A78" s="113" t="s">
        <v>77</v>
      </c>
      <c r="B78" s="8"/>
      <c r="C78" s="8"/>
      <c r="D78" s="8">
        <f t="shared" si="1"/>
        <v>0</v>
      </c>
    </row>
    <row r="79" spans="1:4" ht="18" hidden="1" x14ac:dyDescent="0.3">
      <c r="A79" s="123" t="s">
        <v>78</v>
      </c>
      <c r="B79" s="8"/>
      <c r="C79" s="8"/>
      <c r="D79" s="8">
        <f t="shared" si="1"/>
        <v>0</v>
      </c>
    </row>
    <row r="80" spans="1:4" ht="18" hidden="1" x14ac:dyDescent="0.3">
      <c r="A80" s="113" t="s">
        <v>79</v>
      </c>
      <c r="B80" s="8"/>
      <c r="C80" s="8"/>
      <c r="D80" s="8">
        <f t="shared" si="1"/>
        <v>0</v>
      </c>
    </row>
    <row r="81" spans="1:4" ht="18" x14ac:dyDescent="0.3">
      <c r="A81" s="113" t="s">
        <v>80</v>
      </c>
      <c r="B81" s="8">
        <f>25+34-15</f>
        <v>44</v>
      </c>
      <c r="C81" s="8">
        <v>21000</v>
      </c>
      <c r="D81" s="8">
        <f t="shared" si="1"/>
        <v>924000</v>
      </c>
    </row>
    <row r="82" spans="1:4" ht="18" hidden="1" x14ac:dyDescent="0.3">
      <c r="A82" s="113" t="s">
        <v>81</v>
      </c>
      <c r="B82" s="8"/>
      <c r="C82" s="8"/>
      <c r="D82" s="8">
        <f t="shared" si="1"/>
        <v>0</v>
      </c>
    </row>
    <row r="83" spans="1:4" ht="18" hidden="1" x14ac:dyDescent="0.3">
      <c r="A83" s="30" t="s">
        <v>82</v>
      </c>
      <c r="B83" s="17"/>
      <c r="C83" s="17"/>
      <c r="D83" s="8">
        <f t="shared" si="1"/>
        <v>0</v>
      </c>
    </row>
    <row r="84" spans="1:4" ht="18" hidden="1" x14ac:dyDescent="0.3">
      <c r="A84" s="30" t="s">
        <v>83</v>
      </c>
      <c r="B84" s="17"/>
      <c r="C84" s="17"/>
      <c r="D84" s="8">
        <f t="shared" si="1"/>
        <v>0</v>
      </c>
    </row>
    <row r="85" spans="1:4" ht="18" hidden="1" x14ac:dyDescent="0.3">
      <c r="A85" s="30" t="s">
        <v>84</v>
      </c>
      <c r="B85" s="17"/>
      <c r="C85" s="17"/>
      <c r="D85" s="8">
        <f t="shared" si="1"/>
        <v>0</v>
      </c>
    </row>
    <row r="86" spans="1:4" ht="18" hidden="1" x14ac:dyDescent="0.3">
      <c r="A86" s="113" t="s">
        <v>85</v>
      </c>
      <c r="B86" s="8"/>
      <c r="C86" s="8"/>
      <c r="D86" s="8">
        <f t="shared" si="1"/>
        <v>0</v>
      </c>
    </row>
    <row r="87" spans="1:4" ht="18" hidden="1" x14ac:dyDescent="0.3">
      <c r="A87" s="113" t="s">
        <v>86</v>
      </c>
      <c r="B87" s="8"/>
      <c r="C87" s="8"/>
      <c r="D87" s="8">
        <f t="shared" si="1"/>
        <v>0</v>
      </c>
    </row>
    <row r="88" spans="1:4" ht="18" hidden="1" x14ac:dyDescent="0.3">
      <c r="A88" s="113" t="s">
        <v>87</v>
      </c>
      <c r="B88" s="8"/>
      <c r="C88" s="8"/>
      <c r="D88" s="8">
        <f t="shared" si="1"/>
        <v>0</v>
      </c>
    </row>
    <row r="89" spans="1:4" ht="18" hidden="1" x14ac:dyDescent="0.3">
      <c r="A89" s="113" t="s">
        <v>88</v>
      </c>
      <c r="B89" s="8"/>
      <c r="C89" s="8"/>
      <c r="D89" s="8">
        <f t="shared" si="1"/>
        <v>0</v>
      </c>
    </row>
    <row r="90" spans="1:4" ht="18" hidden="1" x14ac:dyDescent="0.3">
      <c r="A90" s="113" t="s">
        <v>89</v>
      </c>
      <c r="B90" s="8"/>
      <c r="C90" s="8"/>
      <c r="D90" s="8">
        <f t="shared" si="1"/>
        <v>0</v>
      </c>
    </row>
    <row r="91" spans="1:4" ht="18" x14ac:dyDescent="0.3">
      <c r="A91" s="113" t="s">
        <v>90</v>
      </c>
      <c r="B91" s="8">
        <f>15+10</f>
        <v>25</v>
      </c>
      <c r="C91" s="8">
        <v>9000</v>
      </c>
      <c r="D91" s="8">
        <f t="shared" si="1"/>
        <v>225000</v>
      </c>
    </row>
    <row r="92" spans="1:4" ht="18" hidden="1" x14ac:dyDescent="0.3">
      <c r="A92" s="126" t="s">
        <v>91</v>
      </c>
      <c r="B92" s="8"/>
      <c r="C92" s="8"/>
      <c r="D92" s="8">
        <f t="shared" si="1"/>
        <v>0</v>
      </c>
    </row>
    <row r="93" spans="1:4" ht="18" hidden="1" x14ac:dyDescent="0.3">
      <c r="A93" s="126" t="s">
        <v>92</v>
      </c>
      <c r="B93" s="8"/>
      <c r="C93" s="8"/>
      <c r="D93" s="8">
        <f t="shared" si="1"/>
        <v>0</v>
      </c>
    </row>
    <row r="94" spans="1:4" ht="18" hidden="1" x14ac:dyDescent="0.3">
      <c r="A94" s="126" t="s">
        <v>93</v>
      </c>
      <c r="B94" s="8"/>
      <c r="C94" s="8"/>
      <c r="D94" s="8">
        <f t="shared" si="1"/>
        <v>0</v>
      </c>
    </row>
    <row r="95" spans="1:4" ht="18" hidden="1" x14ac:dyDescent="0.3">
      <c r="A95" s="118" t="s">
        <v>94</v>
      </c>
      <c r="B95" s="8"/>
      <c r="C95" s="8"/>
      <c r="D95" s="8">
        <f t="shared" si="1"/>
        <v>0</v>
      </c>
    </row>
    <row r="96" spans="1:4" ht="18" hidden="1" x14ac:dyDescent="0.3">
      <c r="A96" s="123" t="s">
        <v>95</v>
      </c>
      <c r="B96" s="8"/>
      <c r="C96" s="8"/>
      <c r="D96" s="8">
        <f t="shared" si="1"/>
        <v>0</v>
      </c>
    </row>
    <row r="97" spans="1:4" ht="18" hidden="1" x14ac:dyDescent="0.3">
      <c r="A97" s="113" t="s">
        <v>96</v>
      </c>
      <c r="B97" s="8"/>
      <c r="C97" s="8"/>
      <c r="D97" s="8">
        <f t="shared" si="1"/>
        <v>0</v>
      </c>
    </row>
    <row r="98" spans="1:4" ht="18" hidden="1" x14ac:dyDescent="0.3">
      <c r="A98" s="113" t="s">
        <v>97</v>
      </c>
      <c r="B98" s="8"/>
      <c r="C98" s="8"/>
      <c r="D98" s="8">
        <f t="shared" si="1"/>
        <v>0</v>
      </c>
    </row>
    <row r="99" spans="1:4" ht="18" hidden="1" x14ac:dyDescent="0.3">
      <c r="A99" s="118" t="s">
        <v>98</v>
      </c>
      <c r="B99" s="8"/>
      <c r="C99" s="8"/>
      <c r="D99" s="8">
        <f t="shared" si="1"/>
        <v>0</v>
      </c>
    </row>
    <row r="100" spans="1:4" ht="18" hidden="1" x14ac:dyDescent="0.3">
      <c r="A100" s="113" t="s">
        <v>99</v>
      </c>
      <c r="B100" s="17"/>
      <c r="C100" s="17"/>
      <c r="D100" s="8">
        <f t="shared" si="1"/>
        <v>0</v>
      </c>
    </row>
    <row r="101" spans="1:4" ht="18" hidden="1" x14ac:dyDescent="0.3">
      <c r="A101" s="118" t="s">
        <v>100</v>
      </c>
      <c r="B101" s="8"/>
      <c r="C101" s="8"/>
      <c r="D101" s="8">
        <f t="shared" si="1"/>
        <v>0</v>
      </c>
    </row>
    <row r="102" spans="1:4" ht="18" hidden="1" x14ac:dyDescent="0.3">
      <c r="A102" s="127" t="s">
        <v>101</v>
      </c>
      <c r="B102" s="8"/>
      <c r="C102" s="8"/>
      <c r="D102" s="8">
        <f t="shared" si="1"/>
        <v>0</v>
      </c>
    </row>
    <row r="103" spans="1:4" ht="18" hidden="1" x14ac:dyDescent="0.3">
      <c r="A103" s="128" t="s">
        <v>102</v>
      </c>
      <c r="B103" s="8"/>
      <c r="C103" s="8"/>
      <c r="D103" s="8">
        <f t="shared" si="1"/>
        <v>0</v>
      </c>
    </row>
    <row r="104" spans="1:4" ht="18" hidden="1" x14ac:dyDescent="0.3">
      <c r="A104" s="129" t="s">
        <v>103</v>
      </c>
      <c r="B104" s="8"/>
      <c r="C104" s="8"/>
      <c r="D104" s="8">
        <f t="shared" si="1"/>
        <v>0</v>
      </c>
    </row>
    <row r="105" spans="1:4" ht="18" hidden="1" x14ac:dyDescent="0.3">
      <c r="A105" s="115" t="s">
        <v>104</v>
      </c>
      <c r="B105" s="8"/>
      <c r="C105" s="8"/>
      <c r="D105" s="8">
        <f t="shared" si="1"/>
        <v>0</v>
      </c>
    </row>
    <row r="106" spans="1:4" ht="18" hidden="1" x14ac:dyDescent="0.3">
      <c r="A106" s="113" t="s">
        <v>105</v>
      </c>
      <c r="B106" s="8"/>
      <c r="C106" s="8"/>
      <c r="D106" s="8">
        <f t="shared" si="1"/>
        <v>0</v>
      </c>
    </row>
    <row r="107" spans="1:4" ht="18" hidden="1" x14ac:dyDescent="0.3">
      <c r="A107" s="113" t="s">
        <v>106</v>
      </c>
      <c r="B107" s="8"/>
      <c r="C107" s="8"/>
      <c r="D107" s="8">
        <f t="shared" si="1"/>
        <v>0</v>
      </c>
    </row>
    <row r="108" spans="1:4" ht="18" hidden="1" x14ac:dyDescent="0.3">
      <c r="A108" s="118" t="s">
        <v>107</v>
      </c>
      <c r="B108" s="8"/>
      <c r="C108" s="8"/>
      <c r="D108" s="8">
        <f t="shared" si="1"/>
        <v>0</v>
      </c>
    </row>
    <row r="109" spans="1:4" ht="18" hidden="1" x14ac:dyDescent="0.3">
      <c r="A109" s="130" t="s">
        <v>108</v>
      </c>
      <c r="B109" s="8"/>
      <c r="C109" s="8"/>
      <c r="D109" s="8">
        <f t="shared" si="1"/>
        <v>0</v>
      </c>
    </row>
    <row r="110" spans="1:4" ht="18" hidden="1" x14ac:dyDescent="0.3">
      <c r="A110" s="113" t="s">
        <v>109</v>
      </c>
      <c r="B110" s="8"/>
      <c r="C110" s="8"/>
      <c r="D110" s="8">
        <f t="shared" si="1"/>
        <v>0</v>
      </c>
    </row>
    <row r="111" spans="1:4" ht="18" hidden="1" x14ac:dyDescent="0.3">
      <c r="A111" s="113" t="s">
        <v>110</v>
      </c>
      <c r="B111" s="8"/>
      <c r="C111" s="8"/>
      <c r="D111" s="8">
        <f t="shared" si="1"/>
        <v>0</v>
      </c>
    </row>
    <row r="112" spans="1:4" ht="18" hidden="1" x14ac:dyDescent="0.3">
      <c r="A112" s="113" t="s">
        <v>111</v>
      </c>
      <c r="B112" s="8"/>
      <c r="C112" s="8"/>
      <c r="D112" s="8">
        <f t="shared" si="1"/>
        <v>0</v>
      </c>
    </row>
    <row r="113" spans="1:4" ht="18" hidden="1" x14ac:dyDescent="0.3">
      <c r="A113" s="113" t="s">
        <v>112</v>
      </c>
      <c r="B113" s="8"/>
      <c r="C113" s="8"/>
      <c r="D113" s="8">
        <f t="shared" si="1"/>
        <v>0</v>
      </c>
    </row>
    <row r="114" spans="1:4" ht="18" hidden="1" x14ac:dyDescent="0.3">
      <c r="A114" s="113" t="s">
        <v>113</v>
      </c>
      <c r="B114" s="8"/>
      <c r="C114" s="8"/>
      <c r="D114" s="8">
        <f t="shared" si="1"/>
        <v>0</v>
      </c>
    </row>
    <row r="115" spans="1:4" ht="18" hidden="1" x14ac:dyDescent="0.3">
      <c r="A115" s="113" t="s">
        <v>114</v>
      </c>
      <c r="B115" s="8"/>
      <c r="C115" s="8"/>
      <c r="D115" s="8">
        <f t="shared" si="1"/>
        <v>0</v>
      </c>
    </row>
    <row r="116" spans="1:4" ht="18" hidden="1" x14ac:dyDescent="0.3">
      <c r="A116" s="113" t="s">
        <v>115</v>
      </c>
      <c r="B116" s="8"/>
      <c r="C116" s="8"/>
      <c r="D116" s="8">
        <f t="shared" si="1"/>
        <v>0</v>
      </c>
    </row>
    <row r="117" spans="1:4" ht="18" hidden="1" x14ac:dyDescent="0.3">
      <c r="A117" s="113" t="s">
        <v>116</v>
      </c>
      <c r="B117" s="8"/>
      <c r="C117" s="8"/>
      <c r="D117" s="8">
        <f t="shared" si="1"/>
        <v>0</v>
      </c>
    </row>
    <row r="118" spans="1:4" ht="18" hidden="1" x14ac:dyDescent="0.3">
      <c r="A118" s="118" t="s">
        <v>117</v>
      </c>
      <c r="B118" s="8"/>
      <c r="C118" s="8"/>
      <c r="D118" s="8">
        <f t="shared" si="1"/>
        <v>0</v>
      </c>
    </row>
    <row r="119" spans="1:4" ht="18" hidden="1" x14ac:dyDescent="0.3">
      <c r="A119" s="126" t="s">
        <v>118</v>
      </c>
      <c r="B119" s="8"/>
      <c r="C119" s="8"/>
      <c r="D119" s="8">
        <f t="shared" si="1"/>
        <v>0</v>
      </c>
    </row>
    <row r="120" spans="1:4" ht="18" hidden="1" x14ac:dyDescent="0.3">
      <c r="A120" s="113" t="s">
        <v>119</v>
      </c>
      <c r="B120" s="8"/>
      <c r="C120" s="8"/>
      <c r="D120" s="8">
        <f t="shared" si="1"/>
        <v>0</v>
      </c>
    </row>
    <row r="121" spans="1:4" ht="18" hidden="1" x14ac:dyDescent="0.3">
      <c r="A121" s="118" t="s">
        <v>120</v>
      </c>
      <c r="B121" s="8"/>
      <c r="C121" s="8"/>
      <c r="D121" s="8">
        <f t="shared" si="1"/>
        <v>0</v>
      </c>
    </row>
    <row r="122" spans="1:4" ht="18" hidden="1" x14ac:dyDescent="0.3">
      <c r="A122" s="118" t="s">
        <v>121</v>
      </c>
      <c r="B122" s="8"/>
      <c r="C122" s="8"/>
      <c r="D122" s="8">
        <f t="shared" si="1"/>
        <v>0</v>
      </c>
    </row>
    <row r="123" spans="1:4" ht="18" hidden="1" x14ac:dyDescent="0.3">
      <c r="A123" s="113" t="s">
        <v>122</v>
      </c>
      <c r="B123" s="8"/>
      <c r="C123" s="8"/>
      <c r="D123" s="8">
        <f t="shared" si="1"/>
        <v>0</v>
      </c>
    </row>
    <row r="124" spans="1:4" ht="18" hidden="1" x14ac:dyDescent="0.3">
      <c r="A124" s="113" t="s">
        <v>123</v>
      </c>
      <c r="B124" s="8"/>
      <c r="C124" s="8"/>
      <c r="D124" s="8">
        <f t="shared" si="1"/>
        <v>0</v>
      </c>
    </row>
    <row r="125" spans="1:4" ht="18" hidden="1" x14ac:dyDescent="0.3">
      <c r="A125" s="122" t="s">
        <v>124</v>
      </c>
      <c r="B125" s="8"/>
      <c r="C125" s="8"/>
      <c r="D125" s="8">
        <f t="shared" si="1"/>
        <v>0</v>
      </c>
    </row>
    <row r="126" spans="1:4" ht="18" hidden="1" x14ac:dyDescent="0.3">
      <c r="A126" s="123" t="s">
        <v>125</v>
      </c>
      <c r="B126" s="8"/>
      <c r="C126" s="8"/>
      <c r="D126" s="8">
        <f t="shared" si="1"/>
        <v>0</v>
      </c>
    </row>
    <row r="127" spans="1:4" ht="18" hidden="1" x14ac:dyDescent="0.3">
      <c r="A127" s="30" t="s">
        <v>126</v>
      </c>
      <c r="B127" s="17"/>
      <c r="C127" s="17"/>
      <c r="D127" s="8">
        <f t="shared" si="1"/>
        <v>0</v>
      </c>
    </row>
    <row r="128" spans="1:4" ht="18" hidden="1" x14ac:dyDescent="0.3">
      <c r="A128" s="30" t="s">
        <v>127</v>
      </c>
      <c r="B128" s="17"/>
      <c r="C128" s="17"/>
      <c r="D128" s="8">
        <f t="shared" si="1"/>
        <v>0</v>
      </c>
    </row>
    <row r="129" spans="1:4" ht="18" hidden="1" x14ac:dyDescent="0.3">
      <c r="A129" s="30" t="s">
        <v>128</v>
      </c>
      <c r="B129" s="17"/>
      <c r="C129" s="17"/>
      <c r="D129" s="8">
        <f t="shared" si="1"/>
        <v>0</v>
      </c>
    </row>
    <row r="130" spans="1:4" ht="18" hidden="1" x14ac:dyDescent="0.3">
      <c r="A130" s="30" t="s">
        <v>129</v>
      </c>
      <c r="B130" s="29"/>
      <c r="C130" s="29"/>
      <c r="D130" s="8">
        <f t="shared" si="1"/>
        <v>0</v>
      </c>
    </row>
    <row r="131" spans="1:4" ht="18" hidden="1" x14ac:dyDescent="0.3">
      <c r="A131" s="30" t="s">
        <v>130</v>
      </c>
      <c r="B131" s="8"/>
      <c r="C131" s="8"/>
      <c r="D131" s="8">
        <f t="shared" si="1"/>
        <v>0</v>
      </c>
    </row>
    <row r="132" spans="1:4" ht="18" hidden="1" x14ac:dyDescent="0.3">
      <c r="A132" s="30" t="s">
        <v>131</v>
      </c>
      <c r="B132" s="17"/>
      <c r="C132" s="17"/>
      <c r="D132" s="8">
        <f t="shared" ref="D132:D195" si="2">B132*C132</f>
        <v>0</v>
      </c>
    </row>
    <row r="133" spans="1:4" ht="18" hidden="1" x14ac:dyDescent="0.3">
      <c r="A133" s="113" t="s">
        <v>132</v>
      </c>
      <c r="B133" s="8"/>
      <c r="C133" s="8"/>
      <c r="D133" s="8">
        <f t="shared" si="2"/>
        <v>0</v>
      </c>
    </row>
    <row r="134" spans="1:4" ht="18" hidden="1" x14ac:dyDescent="0.3">
      <c r="A134" s="113" t="s">
        <v>133</v>
      </c>
      <c r="B134" s="8"/>
      <c r="C134" s="8"/>
      <c r="D134" s="8">
        <f t="shared" si="2"/>
        <v>0</v>
      </c>
    </row>
    <row r="135" spans="1:4" ht="18" hidden="1" x14ac:dyDescent="0.3">
      <c r="A135" s="113" t="s">
        <v>134</v>
      </c>
      <c r="B135" s="8"/>
      <c r="C135" s="8"/>
      <c r="D135" s="8">
        <f t="shared" si="2"/>
        <v>0</v>
      </c>
    </row>
    <row r="136" spans="1:4" ht="18" hidden="1" x14ac:dyDescent="0.3">
      <c r="A136" s="113" t="s">
        <v>135</v>
      </c>
      <c r="B136" s="8"/>
      <c r="C136" s="8"/>
      <c r="D136" s="8">
        <f t="shared" si="2"/>
        <v>0</v>
      </c>
    </row>
    <row r="137" spans="1:4" ht="18" hidden="1" x14ac:dyDescent="0.3">
      <c r="A137" s="115" t="s">
        <v>136</v>
      </c>
      <c r="B137" s="8"/>
      <c r="C137" s="8"/>
      <c r="D137" s="8">
        <f t="shared" si="2"/>
        <v>0</v>
      </c>
    </row>
    <row r="138" spans="1:4" ht="18" x14ac:dyDescent="0.3">
      <c r="A138" s="30" t="s">
        <v>137</v>
      </c>
      <c r="B138" s="8">
        <v>1</v>
      </c>
      <c r="C138" s="8">
        <v>42000</v>
      </c>
      <c r="D138" s="8">
        <f t="shared" si="2"/>
        <v>42000</v>
      </c>
    </row>
    <row r="139" spans="1:4" ht="18" hidden="1" x14ac:dyDescent="0.3">
      <c r="A139" s="30" t="s">
        <v>138</v>
      </c>
      <c r="B139" s="8"/>
      <c r="C139" s="8"/>
      <c r="D139" s="8">
        <f t="shared" si="2"/>
        <v>0</v>
      </c>
    </row>
    <row r="140" spans="1:4" ht="18" hidden="1" x14ac:dyDescent="0.3">
      <c r="A140" s="113" t="s">
        <v>139</v>
      </c>
      <c r="B140" s="8"/>
      <c r="C140" s="8"/>
      <c r="D140" s="8">
        <f t="shared" si="2"/>
        <v>0</v>
      </c>
    </row>
    <row r="141" spans="1:4" ht="18" hidden="1" x14ac:dyDescent="0.3">
      <c r="A141" s="113" t="s">
        <v>140</v>
      </c>
      <c r="B141" s="8"/>
      <c r="C141" s="8"/>
      <c r="D141" s="8">
        <f t="shared" si="2"/>
        <v>0</v>
      </c>
    </row>
    <row r="142" spans="1:4" ht="18" hidden="1" x14ac:dyDescent="0.3">
      <c r="A142" s="113" t="s">
        <v>141</v>
      </c>
      <c r="B142" s="17"/>
      <c r="C142" s="17"/>
      <c r="D142" s="8">
        <f t="shared" si="2"/>
        <v>0</v>
      </c>
    </row>
    <row r="143" spans="1:4" ht="18" hidden="1" x14ac:dyDescent="0.3">
      <c r="A143" s="113" t="s">
        <v>142</v>
      </c>
      <c r="B143" s="17"/>
      <c r="C143" s="17"/>
      <c r="D143" s="8">
        <f t="shared" si="2"/>
        <v>0</v>
      </c>
    </row>
    <row r="144" spans="1:4" ht="18" hidden="1" x14ac:dyDescent="0.3">
      <c r="A144" s="113" t="s">
        <v>143</v>
      </c>
      <c r="B144" s="8"/>
      <c r="C144" s="8"/>
      <c r="D144" s="8">
        <f t="shared" si="2"/>
        <v>0</v>
      </c>
    </row>
    <row r="145" spans="1:4" ht="18" hidden="1" x14ac:dyDescent="0.3">
      <c r="A145" s="113" t="s">
        <v>144</v>
      </c>
      <c r="B145" s="17"/>
      <c r="C145" s="17"/>
      <c r="D145" s="8">
        <f t="shared" si="2"/>
        <v>0</v>
      </c>
    </row>
    <row r="146" spans="1:4" ht="18" hidden="1" x14ac:dyDescent="0.3">
      <c r="A146" s="113" t="s">
        <v>145</v>
      </c>
      <c r="B146" s="17"/>
      <c r="C146" s="17"/>
      <c r="D146" s="8">
        <f t="shared" si="2"/>
        <v>0</v>
      </c>
    </row>
    <row r="147" spans="1:4" ht="18" hidden="1" x14ac:dyDescent="0.3">
      <c r="A147" s="113" t="s">
        <v>146</v>
      </c>
      <c r="B147" s="17"/>
      <c r="C147" s="17"/>
      <c r="D147" s="8">
        <f t="shared" si="2"/>
        <v>0</v>
      </c>
    </row>
    <row r="148" spans="1:4" ht="18" hidden="1" x14ac:dyDescent="0.3">
      <c r="A148" s="113" t="s">
        <v>147</v>
      </c>
      <c r="B148" s="17"/>
      <c r="C148" s="17"/>
      <c r="D148" s="8">
        <f t="shared" si="2"/>
        <v>0</v>
      </c>
    </row>
    <row r="149" spans="1:4" ht="18" x14ac:dyDescent="0.3">
      <c r="A149" s="113" t="s">
        <v>148</v>
      </c>
      <c r="B149" s="17">
        <v>0.9</v>
      </c>
      <c r="C149" s="17">
        <v>60000</v>
      </c>
      <c r="D149" s="8">
        <f t="shared" si="2"/>
        <v>54000</v>
      </c>
    </row>
    <row r="150" spans="1:4" ht="18" hidden="1" x14ac:dyDescent="0.3">
      <c r="A150" s="113" t="s">
        <v>149</v>
      </c>
      <c r="B150" s="17"/>
      <c r="C150" s="17"/>
      <c r="D150" s="8">
        <f t="shared" si="2"/>
        <v>0</v>
      </c>
    </row>
    <row r="151" spans="1:4" ht="18" hidden="1" x14ac:dyDescent="0.3">
      <c r="A151" s="113" t="s">
        <v>150</v>
      </c>
      <c r="B151" s="17"/>
      <c r="C151" s="17"/>
      <c r="D151" s="8">
        <f t="shared" si="2"/>
        <v>0</v>
      </c>
    </row>
    <row r="152" spans="1:4" ht="18" hidden="1" x14ac:dyDescent="0.3">
      <c r="A152" s="113" t="s">
        <v>151</v>
      </c>
      <c r="B152" s="17"/>
      <c r="C152" s="17"/>
      <c r="D152" s="8">
        <f t="shared" si="2"/>
        <v>0</v>
      </c>
    </row>
    <row r="153" spans="1:4" ht="18" hidden="1" x14ac:dyDescent="0.3">
      <c r="A153" s="113" t="s">
        <v>152</v>
      </c>
      <c r="B153" s="8"/>
      <c r="C153" s="8"/>
      <c r="D153" s="8">
        <f t="shared" si="2"/>
        <v>0</v>
      </c>
    </row>
    <row r="154" spans="1:4" ht="18" hidden="1" x14ac:dyDescent="0.3">
      <c r="A154" s="113" t="s">
        <v>153</v>
      </c>
      <c r="B154" s="8"/>
      <c r="C154" s="8"/>
      <c r="D154" s="8">
        <f t="shared" si="2"/>
        <v>0</v>
      </c>
    </row>
    <row r="155" spans="1:4" ht="18" hidden="1" x14ac:dyDescent="0.3">
      <c r="A155" s="113" t="s">
        <v>154</v>
      </c>
      <c r="B155" s="8"/>
      <c r="C155" s="8"/>
      <c r="D155" s="8">
        <f t="shared" si="2"/>
        <v>0</v>
      </c>
    </row>
    <row r="156" spans="1:4" ht="18" hidden="1" x14ac:dyDescent="0.3">
      <c r="A156" s="113" t="s">
        <v>155</v>
      </c>
      <c r="B156" s="8"/>
      <c r="C156" s="8"/>
      <c r="D156" s="8">
        <f t="shared" si="2"/>
        <v>0</v>
      </c>
    </row>
    <row r="157" spans="1:4" ht="18" hidden="1" x14ac:dyDescent="0.3">
      <c r="A157" s="115" t="s">
        <v>156</v>
      </c>
      <c r="B157" s="8"/>
      <c r="C157" s="8"/>
      <c r="D157" s="8">
        <f t="shared" si="2"/>
        <v>0</v>
      </c>
    </row>
    <row r="158" spans="1:4" ht="18" hidden="1" x14ac:dyDescent="0.3">
      <c r="A158" s="116" t="s">
        <v>157</v>
      </c>
      <c r="B158" s="8"/>
      <c r="C158" s="8"/>
      <c r="D158" s="8">
        <f t="shared" si="2"/>
        <v>0</v>
      </c>
    </row>
    <row r="159" spans="1:4" ht="18" hidden="1" x14ac:dyDescent="0.3">
      <c r="A159" s="113" t="s">
        <v>158</v>
      </c>
      <c r="B159" s="8"/>
      <c r="C159" s="8"/>
      <c r="D159" s="8">
        <f t="shared" si="2"/>
        <v>0</v>
      </c>
    </row>
    <row r="160" spans="1:4" ht="18" hidden="1" x14ac:dyDescent="0.3">
      <c r="A160" s="113" t="s">
        <v>159</v>
      </c>
      <c r="B160" s="8"/>
      <c r="C160" s="8"/>
      <c r="D160" s="8">
        <f t="shared" si="2"/>
        <v>0</v>
      </c>
    </row>
    <row r="161" spans="1:4" ht="18" hidden="1" x14ac:dyDescent="0.3">
      <c r="A161" s="113" t="s">
        <v>160</v>
      </c>
      <c r="B161" s="8"/>
      <c r="C161" s="8"/>
      <c r="D161" s="8">
        <f t="shared" si="2"/>
        <v>0</v>
      </c>
    </row>
    <row r="162" spans="1:4" ht="18" hidden="1" x14ac:dyDescent="0.3">
      <c r="A162" s="113" t="s">
        <v>161</v>
      </c>
      <c r="B162" s="17"/>
      <c r="C162" s="17"/>
      <c r="D162" s="8">
        <f t="shared" si="2"/>
        <v>0</v>
      </c>
    </row>
    <row r="163" spans="1:4" ht="18" hidden="1" x14ac:dyDescent="0.3">
      <c r="A163" s="113" t="s">
        <v>162</v>
      </c>
      <c r="B163" s="17"/>
      <c r="C163" s="17"/>
      <c r="D163" s="8">
        <f t="shared" si="2"/>
        <v>0</v>
      </c>
    </row>
    <row r="164" spans="1:4" ht="18" hidden="1" x14ac:dyDescent="0.3">
      <c r="A164" s="113" t="s">
        <v>163</v>
      </c>
      <c r="B164" s="17"/>
      <c r="C164" s="17"/>
      <c r="D164" s="8">
        <f t="shared" si="2"/>
        <v>0</v>
      </c>
    </row>
    <row r="165" spans="1:4" ht="18" hidden="1" x14ac:dyDescent="0.3">
      <c r="A165" s="113" t="s">
        <v>164</v>
      </c>
      <c r="B165" s="8"/>
      <c r="C165" s="8"/>
      <c r="D165" s="8">
        <f t="shared" si="2"/>
        <v>0</v>
      </c>
    </row>
    <row r="166" spans="1:4" ht="18" hidden="1" x14ac:dyDescent="0.3">
      <c r="A166" s="113" t="s">
        <v>165</v>
      </c>
      <c r="B166" s="8"/>
      <c r="C166" s="8"/>
      <c r="D166" s="8">
        <f t="shared" si="2"/>
        <v>0</v>
      </c>
    </row>
    <row r="167" spans="1:4" ht="18" hidden="1" x14ac:dyDescent="0.3">
      <c r="A167" s="115" t="s">
        <v>166</v>
      </c>
      <c r="B167" s="8"/>
      <c r="C167" s="8"/>
      <c r="D167" s="8">
        <f t="shared" si="2"/>
        <v>0</v>
      </c>
    </row>
    <row r="168" spans="1:4" ht="18" hidden="1" x14ac:dyDescent="0.3">
      <c r="A168" s="30" t="s">
        <v>167</v>
      </c>
      <c r="B168" s="8"/>
      <c r="C168" s="8"/>
      <c r="D168" s="8">
        <f t="shared" si="2"/>
        <v>0</v>
      </c>
    </row>
    <row r="169" spans="1:4" ht="18" hidden="1" x14ac:dyDescent="0.3">
      <c r="A169" s="113" t="s">
        <v>168</v>
      </c>
      <c r="B169" s="8"/>
      <c r="C169" s="48"/>
      <c r="D169" s="8">
        <f t="shared" si="2"/>
        <v>0</v>
      </c>
    </row>
    <row r="170" spans="1:4" ht="18" hidden="1" x14ac:dyDescent="0.3">
      <c r="A170" s="131" t="s">
        <v>169</v>
      </c>
      <c r="B170" s="8"/>
      <c r="C170" s="8"/>
      <c r="D170" s="8">
        <f t="shared" si="2"/>
        <v>0</v>
      </c>
    </row>
    <row r="171" spans="1:4" ht="18" hidden="1" x14ac:dyDescent="0.3">
      <c r="A171" s="113" t="s">
        <v>170</v>
      </c>
      <c r="B171" s="8"/>
      <c r="C171" s="8"/>
      <c r="D171" s="8">
        <f t="shared" si="2"/>
        <v>0</v>
      </c>
    </row>
    <row r="172" spans="1:4" ht="18" hidden="1" x14ac:dyDescent="0.3">
      <c r="A172" s="113" t="s">
        <v>171</v>
      </c>
      <c r="B172" s="8"/>
      <c r="C172" s="8"/>
      <c r="D172" s="8">
        <f t="shared" si="2"/>
        <v>0</v>
      </c>
    </row>
    <row r="173" spans="1:4" ht="18" hidden="1" x14ac:dyDescent="0.3">
      <c r="A173" s="125" t="s">
        <v>172</v>
      </c>
      <c r="B173" s="8"/>
      <c r="C173" s="8"/>
      <c r="D173" s="8">
        <f t="shared" si="2"/>
        <v>0</v>
      </c>
    </row>
    <row r="174" spans="1:4" ht="18" hidden="1" x14ac:dyDescent="0.3">
      <c r="A174" s="113" t="s">
        <v>173</v>
      </c>
      <c r="B174" s="8"/>
      <c r="C174" s="8"/>
      <c r="D174" s="8">
        <f t="shared" si="2"/>
        <v>0</v>
      </c>
    </row>
    <row r="175" spans="1:4" ht="18" hidden="1" x14ac:dyDescent="0.3">
      <c r="A175" s="132" t="s">
        <v>174</v>
      </c>
      <c r="B175" s="36"/>
      <c r="C175" s="36"/>
      <c r="D175" s="8">
        <f t="shared" si="2"/>
        <v>0</v>
      </c>
    </row>
    <row r="176" spans="1:4" ht="18" hidden="1" x14ac:dyDescent="0.3">
      <c r="A176" s="118" t="s">
        <v>175</v>
      </c>
      <c r="B176" s="8"/>
      <c r="C176" s="8"/>
      <c r="D176" s="8">
        <f t="shared" si="2"/>
        <v>0</v>
      </c>
    </row>
    <row r="177" spans="1:4" ht="18" hidden="1" x14ac:dyDescent="0.3">
      <c r="A177" s="113" t="s">
        <v>176</v>
      </c>
      <c r="B177" s="8"/>
      <c r="C177" s="8"/>
      <c r="D177" s="8">
        <f t="shared" si="2"/>
        <v>0</v>
      </c>
    </row>
    <row r="178" spans="1:4" ht="18" hidden="1" x14ac:dyDescent="0.3">
      <c r="A178" s="113" t="s">
        <v>177</v>
      </c>
      <c r="B178" s="8"/>
      <c r="C178" s="8"/>
      <c r="D178" s="8">
        <f t="shared" si="2"/>
        <v>0</v>
      </c>
    </row>
    <row r="179" spans="1:4" ht="18" hidden="1" x14ac:dyDescent="0.3">
      <c r="A179" s="30" t="s">
        <v>178</v>
      </c>
      <c r="B179" s="8"/>
      <c r="C179" s="8"/>
      <c r="D179" s="8">
        <f t="shared" si="2"/>
        <v>0</v>
      </c>
    </row>
    <row r="180" spans="1:4" ht="18" hidden="1" x14ac:dyDescent="0.3">
      <c r="A180" s="113" t="s">
        <v>179</v>
      </c>
      <c r="B180" s="8"/>
      <c r="C180" s="8"/>
      <c r="D180" s="8">
        <f t="shared" si="2"/>
        <v>0</v>
      </c>
    </row>
    <row r="181" spans="1:4" ht="18" hidden="1" x14ac:dyDescent="0.3">
      <c r="A181" s="113" t="s">
        <v>180</v>
      </c>
      <c r="B181" s="8"/>
      <c r="C181" s="8"/>
      <c r="D181" s="8">
        <f t="shared" si="2"/>
        <v>0</v>
      </c>
    </row>
    <row r="182" spans="1:4" ht="18" hidden="1" x14ac:dyDescent="0.3">
      <c r="A182" s="30" t="s">
        <v>181</v>
      </c>
      <c r="B182" s="8"/>
      <c r="C182" s="8"/>
      <c r="D182" s="8">
        <f t="shared" si="2"/>
        <v>0</v>
      </c>
    </row>
    <row r="183" spans="1:4" ht="18" hidden="1" x14ac:dyDescent="0.3">
      <c r="A183" s="30" t="s">
        <v>182</v>
      </c>
      <c r="B183" s="8"/>
      <c r="C183" s="8"/>
      <c r="D183" s="8">
        <f t="shared" si="2"/>
        <v>0</v>
      </c>
    </row>
    <row r="184" spans="1:4" ht="18" hidden="1" x14ac:dyDescent="0.3">
      <c r="A184" s="30" t="s">
        <v>183</v>
      </c>
      <c r="B184" s="8"/>
      <c r="C184" s="8"/>
      <c r="D184" s="8">
        <f t="shared" si="2"/>
        <v>0</v>
      </c>
    </row>
    <row r="185" spans="1:4" ht="18" hidden="1" x14ac:dyDescent="0.3">
      <c r="A185" s="113" t="s">
        <v>184</v>
      </c>
      <c r="B185" s="8"/>
      <c r="C185" s="8"/>
      <c r="D185" s="8">
        <f t="shared" si="2"/>
        <v>0</v>
      </c>
    </row>
    <row r="186" spans="1:4" ht="18" hidden="1" x14ac:dyDescent="0.3">
      <c r="A186" s="30" t="s">
        <v>185</v>
      </c>
      <c r="B186" s="8"/>
      <c r="C186" s="8"/>
      <c r="D186" s="8">
        <f t="shared" si="2"/>
        <v>0</v>
      </c>
    </row>
    <row r="187" spans="1:4" ht="18" hidden="1" x14ac:dyDescent="0.3">
      <c r="A187" s="30" t="s">
        <v>186</v>
      </c>
      <c r="B187" s="8"/>
      <c r="C187" s="8"/>
      <c r="D187" s="8">
        <f t="shared" si="2"/>
        <v>0</v>
      </c>
    </row>
    <row r="188" spans="1:4" ht="18" hidden="1" x14ac:dyDescent="0.3">
      <c r="A188" s="30" t="s">
        <v>187</v>
      </c>
      <c r="B188" s="8"/>
      <c r="C188" s="8"/>
      <c r="D188" s="8">
        <f t="shared" si="2"/>
        <v>0</v>
      </c>
    </row>
    <row r="189" spans="1:4" ht="18" hidden="1" x14ac:dyDescent="0.3">
      <c r="A189" s="113" t="s">
        <v>188</v>
      </c>
      <c r="B189" s="8"/>
      <c r="C189" s="8"/>
      <c r="D189" s="8">
        <f t="shared" si="2"/>
        <v>0</v>
      </c>
    </row>
    <row r="190" spans="1:4" ht="18" hidden="1" x14ac:dyDescent="0.3">
      <c r="A190" s="115" t="s">
        <v>189</v>
      </c>
      <c r="B190" s="8"/>
      <c r="C190" s="8"/>
      <c r="D190" s="8">
        <f t="shared" si="2"/>
        <v>0</v>
      </c>
    </row>
    <row r="191" spans="1:4" ht="18" hidden="1" x14ac:dyDescent="0.3">
      <c r="A191" s="115" t="s">
        <v>190</v>
      </c>
      <c r="B191" s="8"/>
      <c r="C191" s="8"/>
      <c r="D191" s="8">
        <f t="shared" si="2"/>
        <v>0</v>
      </c>
    </row>
    <row r="192" spans="1:4" ht="18" hidden="1" x14ac:dyDescent="0.3">
      <c r="A192" s="115" t="s">
        <v>191</v>
      </c>
      <c r="B192" s="8"/>
      <c r="C192" s="8"/>
      <c r="D192" s="8">
        <f t="shared" si="2"/>
        <v>0</v>
      </c>
    </row>
    <row r="193" spans="1:4" ht="18" hidden="1" x14ac:dyDescent="0.3">
      <c r="A193" s="115" t="s">
        <v>192</v>
      </c>
      <c r="B193" s="8"/>
      <c r="C193" s="8"/>
      <c r="D193" s="8">
        <f t="shared" si="2"/>
        <v>0</v>
      </c>
    </row>
    <row r="194" spans="1:4" ht="18" hidden="1" x14ac:dyDescent="0.3">
      <c r="A194" s="30" t="s">
        <v>193</v>
      </c>
      <c r="B194" s="8"/>
      <c r="C194" s="8"/>
      <c r="D194" s="8">
        <f t="shared" si="2"/>
        <v>0</v>
      </c>
    </row>
    <row r="195" spans="1:4" ht="18" hidden="1" x14ac:dyDescent="0.3">
      <c r="A195" s="113" t="s">
        <v>194</v>
      </c>
      <c r="B195" s="8"/>
      <c r="C195" s="8"/>
      <c r="D195" s="8">
        <f t="shared" si="2"/>
        <v>0</v>
      </c>
    </row>
    <row r="196" spans="1:4" ht="18" hidden="1" x14ac:dyDescent="0.3">
      <c r="A196" s="133" t="s">
        <v>195</v>
      </c>
      <c r="B196" s="8"/>
      <c r="C196" s="8"/>
      <c r="D196" s="8">
        <f t="shared" ref="D196:D259" si="3">B196*C196</f>
        <v>0</v>
      </c>
    </row>
    <row r="197" spans="1:4" ht="18" hidden="1" x14ac:dyDescent="0.3">
      <c r="A197" s="133" t="s">
        <v>196</v>
      </c>
      <c r="B197" s="8"/>
      <c r="C197" s="8"/>
      <c r="D197" s="8">
        <f t="shared" si="3"/>
        <v>0</v>
      </c>
    </row>
    <row r="198" spans="1:4" ht="18" hidden="1" x14ac:dyDescent="0.3">
      <c r="A198" s="133" t="s">
        <v>197</v>
      </c>
      <c r="B198" s="8"/>
      <c r="C198" s="8"/>
      <c r="D198" s="8">
        <f t="shared" si="3"/>
        <v>0</v>
      </c>
    </row>
    <row r="199" spans="1:4" ht="18" hidden="1" x14ac:dyDescent="0.3">
      <c r="A199" s="133" t="s">
        <v>198</v>
      </c>
      <c r="B199" s="8"/>
      <c r="C199" s="8"/>
      <c r="D199" s="8">
        <f t="shared" si="3"/>
        <v>0</v>
      </c>
    </row>
    <row r="200" spans="1:4" ht="18" hidden="1" x14ac:dyDescent="0.3">
      <c r="A200" s="113" t="s">
        <v>199</v>
      </c>
      <c r="B200" s="8"/>
      <c r="C200" s="8"/>
      <c r="D200" s="8">
        <f t="shared" si="3"/>
        <v>0</v>
      </c>
    </row>
    <row r="201" spans="1:4" ht="18" hidden="1" x14ac:dyDescent="0.3">
      <c r="A201" s="134" t="s">
        <v>200</v>
      </c>
      <c r="B201" s="8"/>
      <c r="C201" s="8"/>
      <c r="D201" s="8">
        <f t="shared" si="3"/>
        <v>0</v>
      </c>
    </row>
    <row r="202" spans="1:4" ht="18" x14ac:dyDescent="0.3">
      <c r="A202" s="113" t="s">
        <v>201</v>
      </c>
      <c r="B202" s="8">
        <f>200+100+160</f>
        <v>460</v>
      </c>
      <c r="C202" s="8">
        <v>18000</v>
      </c>
      <c r="D202" s="8">
        <f t="shared" si="3"/>
        <v>8280000</v>
      </c>
    </row>
    <row r="203" spans="1:4" ht="18" x14ac:dyDescent="0.3">
      <c r="A203" s="30" t="s">
        <v>202</v>
      </c>
      <c r="B203" s="8">
        <v>160</v>
      </c>
      <c r="C203" s="8">
        <v>19000</v>
      </c>
      <c r="D203" s="8">
        <f t="shared" si="3"/>
        <v>3040000</v>
      </c>
    </row>
    <row r="204" spans="1:4" ht="18" hidden="1" x14ac:dyDescent="0.3">
      <c r="A204" s="113" t="s">
        <v>203</v>
      </c>
      <c r="B204" s="8"/>
      <c r="C204" s="8"/>
      <c r="D204" s="8">
        <f t="shared" si="3"/>
        <v>0</v>
      </c>
    </row>
    <row r="205" spans="1:4" ht="18" hidden="1" x14ac:dyDescent="0.3">
      <c r="A205" s="113" t="s">
        <v>204</v>
      </c>
      <c r="B205" s="8"/>
      <c r="C205" s="8"/>
      <c r="D205" s="8">
        <f t="shared" si="3"/>
        <v>0</v>
      </c>
    </row>
    <row r="206" spans="1:4" ht="18" hidden="1" x14ac:dyDescent="0.3">
      <c r="A206" s="135" t="s">
        <v>205</v>
      </c>
      <c r="B206" s="8"/>
      <c r="C206" s="8"/>
      <c r="D206" s="8">
        <f t="shared" si="3"/>
        <v>0</v>
      </c>
    </row>
    <row r="207" spans="1:4" ht="18" hidden="1" x14ac:dyDescent="0.3">
      <c r="A207" s="135" t="s">
        <v>206</v>
      </c>
      <c r="B207" s="8"/>
      <c r="C207" s="8"/>
      <c r="D207" s="8">
        <f t="shared" si="3"/>
        <v>0</v>
      </c>
    </row>
    <row r="208" spans="1:4" ht="18" hidden="1" x14ac:dyDescent="0.3">
      <c r="A208" s="113" t="s">
        <v>207</v>
      </c>
      <c r="B208" s="8"/>
      <c r="C208" s="8"/>
      <c r="D208" s="8">
        <f t="shared" si="3"/>
        <v>0</v>
      </c>
    </row>
    <row r="209" spans="1:4" ht="18" hidden="1" x14ac:dyDescent="0.3">
      <c r="A209" s="118" t="s">
        <v>208</v>
      </c>
      <c r="B209" s="8"/>
      <c r="C209" s="8"/>
      <c r="D209" s="8">
        <f t="shared" si="3"/>
        <v>0</v>
      </c>
    </row>
    <row r="210" spans="1:4" ht="18" hidden="1" x14ac:dyDescent="0.3">
      <c r="A210" s="113" t="s">
        <v>209</v>
      </c>
      <c r="B210" s="8"/>
      <c r="C210" s="8"/>
      <c r="D210" s="8">
        <f t="shared" si="3"/>
        <v>0</v>
      </c>
    </row>
    <row r="211" spans="1:4" ht="18" hidden="1" x14ac:dyDescent="0.3">
      <c r="A211" s="113" t="s">
        <v>210</v>
      </c>
      <c r="B211" s="8"/>
      <c r="C211" s="8"/>
      <c r="D211" s="8">
        <f t="shared" si="3"/>
        <v>0</v>
      </c>
    </row>
    <row r="212" spans="1:4" ht="18" x14ac:dyDescent="0.3">
      <c r="A212" s="113" t="s">
        <v>211</v>
      </c>
      <c r="B212" s="8">
        <f>6+40</f>
        <v>46</v>
      </c>
      <c r="C212" s="8">
        <v>12000</v>
      </c>
      <c r="D212" s="8">
        <f t="shared" si="3"/>
        <v>552000</v>
      </c>
    </row>
    <row r="213" spans="1:4" ht="18" hidden="1" x14ac:dyDescent="0.3">
      <c r="A213" s="113" t="s">
        <v>212</v>
      </c>
      <c r="B213" s="8"/>
      <c r="C213" s="8"/>
      <c r="D213" s="8">
        <f t="shared" si="3"/>
        <v>0</v>
      </c>
    </row>
    <row r="214" spans="1:4" ht="18" hidden="1" x14ac:dyDescent="0.3">
      <c r="A214" s="136" t="s">
        <v>213</v>
      </c>
      <c r="B214" s="8"/>
      <c r="C214" s="8"/>
      <c r="D214" s="8">
        <f t="shared" si="3"/>
        <v>0</v>
      </c>
    </row>
    <row r="215" spans="1:4" ht="18" hidden="1" x14ac:dyDescent="0.3">
      <c r="A215" s="113" t="s">
        <v>214</v>
      </c>
      <c r="B215" s="8"/>
      <c r="C215" s="8"/>
      <c r="D215" s="8">
        <f t="shared" si="3"/>
        <v>0</v>
      </c>
    </row>
    <row r="216" spans="1:4" ht="18" x14ac:dyDescent="0.3">
      <c r="A216" s="113" t="s">
        <v>215</v>
      </c>
      <c r="B216" s="8">
        <v>200</v>
      </c>
      <c r="C216" s="8">
        <v>16000</v>
      </c>
      <c r="D216" s="8">
        <f t="shared" si="3"/>
        <v>3200000</v>
      </c>
    </row>
    <row r="217" spans="1:4" ht="18" hidden="1" x14ac:dyDescent="0.3">
      <c r="A217" s="113" t="s">
        <v>216</v>
      </c>
      <c r="B217" s="8"/>
      <c r="C217" s="8"/>
      <c r="D217" s="8">
        <f t="shared" si="3"/>
        <v>0</v>
      </c>
    </row>
    <row r="218" spans="1:4" ht="18" hidden="1" x14ac:dyDescent="0.3">
      <c r="A218" s="113" t="s">
        <v>217</v>
      </c>
      <c r="B218" s="8"/>
      <c r="C218" s="8"/>
      <c r="D218" s="8">
        <f t="shared" si="3"/>
        <v>0</v>
      </c>
    </row>
    <row r="219" spans="1:4" ht="18" hidden="1" x14ac:dyDescent="0.3">
      <c r="A219" s="115" t="s">
        <v>218</v>
      </c>
      <c r="B219" s="8"/>
      <c r="C219" s="8"/>
      <c r="D219" s="8">
        <f t="shared" si="3"/>
        <v>0</v>
      </c>
    </row>
    <row r="220" spans="1:4" ht="18" hidden="1" x14ac:dyDescent="0.3">
      <c r="A220" s="115" t="s">
        <v>219</v>
      </c>
      <c r="B220" s="8"/>
      <c r="C220" s="8"/>
      <c r="D220" s="8">
        <f t="shared" si="3"/>
        <v>0</v>
      </c>
    </row>
    <row r="221" spans="1:4" ht="18" hidden="1" x14ac:dyDescent="0.3">
      <c r="A221" s="115" t="s">
        <v>220</v>
      </c>
      <c r="B221" s="8"/>
      <c r="C221" s="8"/>
      <c r="D221" s="8">
        <f t="shared" si="3"/>
        <v>0</v>
      </c>
    </row>
    <row r="222" spans="1:4" ht="18" hidden="1" x14ac:dyDescent="0.3">
      <c r="A222" s="115" t="s">
        <v>221</v>
      </c>
      <c r="B222" s="8"/>
      <c r="C222" s="8"/>
      <c r="D222" s="8">
        <f t="shared" si="3"/>
        <v>0</v>
      </c>
    </row>
    <row r="223" spans="1:4" ht="18" hidden="1" x14ac:dyDescent="0.3">
      <c r="A223" s="113" t="s">
        <v>222</v>
      </c>
      <c r="B223" s="8"/>
      <c r="C223" s="8"/>
      <c r="D223" s="8">
        <f t="shared" si="3"/>
        <v>0</v>
      </c>
    </row>
    <row r="224" spans="1:4" ht="18" hidden="1" x14ac:dyDescent="0.3">
      <c r="A224" s="113" t="s">
        <v>223</v>
      </c>
      <c r="B224" s="8"/>
      <c r="C224" s="8"/>
      <c r="D224" s="8">
        <f t="shared" si="3"/>
        <v>0</v>
      </c>
    </row>
    <row r="225" spans="1:4" ht="18" hidden="1" x14ac:dyDescent="0.3">
      <c r="A225" s="115" t="s">
        <v>224</v>
      </c>
      <c r="B225" s="8"/>
      <c r="C225" s="8"/>
      <c r="D225" s="8">
        <f t="shared" si="3"/>
        <v>0</v>
      </c>
    </row>
    <row r="226" spans="1:4" ht="18" hidden="1" x14ac:dyDescent="0.3">
      <c r="A226" s="115" t="s">
        <v>225</v>
      </c>
      <c r="B226" s="8"/>
      <c r="C226" s="8"/>
      <c r="D226" s="8">
        <f t="shared" si="3"/>
        <v>0</v>
      </c>
    </row>
    <row r="227" spans="1:4" ht="18" x14ac:dyDescent="0.3">
      <c r="A227" s="118" t="s">
        <v>226</v>
      </c>
      <c r="B227" s="8">
        <f>1800-55-130</f>
        <v>1615</v>
      </c>
      <c r="C227" s="8">
        <v>37000</v>
      </c>
      <c r="D227" s="8">
        <f t="shared" si="3"/>
        <v>59755000</v>
      </c>
    </row>
    <row r="228" spans="1:4" ht="18" hidden="1" x14ac:dyDescent="0.3">
      <c r="A228" s="30" t="s">
        <v>227</v>
      </c>
      <c r="B228" s="8"/>
      <c r="C228" s="8"/>
      <c r="D228" s="8">
        <f t="shared" si="3"/>
        <v>0</v>
      </c>
    </row>
    <row r="229" spans="1:4" ht="18" hidden="1" x14ac:dyDescent="0.3">
      <c r="A229" s="118" t="s">
        <v>228</v>
      </c>
      <c r="B229" s="8"/>
      <c r="C229" s="8"/>
      <c r="D229" s="8">
        <f t="shared" si="3"/>
        <v>0</v>
      </c>
    </row>
    <row r="230" spans="1:4" ht="18" hidden="1" x14ac:dyDescent="0.3">
      <c r="A230" s="115" t="s">
        <v>229</v>
      </c>
      <c r="B230" s="8"/>
      <c r="C230" s="8"/>
      <c r="D230" s="8">
        <f t="shared" si="3"/>
        <v>0</v>
      </c>
    </row>
    <row r="231" spans="1:4" ht="18" hidden="1" x14ac:dyDescent="0.3">
      <c r="A231" s="118" t="s">
        <v>230</v>
      </c>
      <c r="B231" s="8"/>
      <c r="C231" s="8"/>
      <c r="D231" s="8">
        <f t="shared" si="3"/>
        <v>0</v>
      </c>
    </row>
    <row r="232" spans="1:4" ht="18" hidden="1" x14ac:dyDescent="0.3">
      <c r="A232" s="118" t="s">
        <v>231</v>
      </c>
      <c r="B232" s="8"/>
      <c r="C232" s="8"/>
      <c r="D232" s="8">
        <f t="shared" si="3"/>
        <v>0</v>
      </c>
    </row>
    <row r="233" spans="1:4" ht="18" hidden="1" x14ac:dyDescent="0.3">
      <c r="A233" s="118" t="s">
        <v>232</v>
      </c>
      <c r="B233" s="8"/>
      <c r="C233" s="8"/>
      <c r="D233" s="8">
        <f t="shared" si="3"/>
        <v>0</v>
      </c>
    </row>
    <row r="234" spans="1:4" ht="18" hidden="1" x14ac:dyDescent="0.3">
      <c r="A234" s="113" t="s">
        <v>233</v>
      </c>
      <c r="B234" s="8"/>
      <c r="C234" s="8"/>
      <c r="D234" s="8">
        <f t="shared" si="3"/>
        <v>0</v>
      </c>
    </row>
    <row r="235" spans="1:4" ht="18" hidden="1" x14ac:dyDescent="0.3">
      <c r="A235" s="113" t="s">
        <v>234</v>
      </c>
      <c r="B235" s="8"/>
      <c r="C235" s="8"/>
      <c r="D235" s="8">
        <f t="shared" si="3"/>
        <v>0</v>
      </c>
    </row>
    <row r="236" spans="1:4" ht="18" hidden="1" x14ac:dyDescent="0.3">
      <c r="A236" s="118" t="s">
        <v>235</v>
      </c>
      <c r="B236" s="8"/>
      <c r="C236" s="8"/>
      <c r="D236" s="8">
        <f t="shared" si="3"/>
        <v>0</v>
      </c>
    </row>
    <row r="237" spans="1:4" ht="18" hidden="1" x14ac:dyDescent="0.3">
      <c r="A237" s="135" t="s">
        <v>236</v>
      </c>
      <c r="B237" s="8"/>
      <c r="C237" s="8"/>
      <c r="D237" s="8">
        <f t="shared" si="3"/>
        <v>0</v>
      </c>
    </row>
    <row r="238" spans="1:4" ht="18" hidden="1" x14ac:dyDescent="0.3">
      <c r="A238" s="113" t="s">
        <v>237</v>
      </c>
      <c r="B238" s="8"/>
      <c r="C238" s="8"/>
      <c r="D238" s="8">
        <f t="shared" si="3"/>
        <v>0</v>
      </c>
    </row>
    <row r="239" spans="1:4" ht="18" hidden="1" x14ac:dyDescent="0.3">
      <c r="A239" s="113" t="s">
        <v>238</v>
      </c>
      <c r="B239" s="8"/>
      <c r="C239" s="8"/>
      <c r="D239" s="8">
        <f t="shared" si="3"/>
        <v>0</v>
      </c>
    </row>
    <row r="240" spans="1:4" ht="18" hidden="1" x14ac:dyDescent="0.3">
      <c r="A240" s="123" t="s">
        <v>239</v>
      </c>
      <c r="B240" s="8"/>
      <c r="C240" s="8"/>
      <c r="D240" s="8">
        <f t="shared" si="3"/>
        <v>0</v>
      </c>
    </row>
    <row r="241" spans="1:4" ht="18" hidden="1" x14ac:dyDescent="0.3">
      <c r="A241" s="123" t="s">
        <v>240</v>
      </c>
      <c r="B241" s="8"/>
      <c r="C241" s="8"/>
      <c r="D241" s="8">
        <f t="shared" si="3"/>
        <v>0</v>
      </c>
    </row>
    <row r="242" spans="1:4" ht="18" hidden="1" x14ac:dyDescent="0.3">
      <c r="A242" s="133" t="s">
        <v>241</v>
      </c>
      <c r="B242" s="8"/>
      <c r="C242" s="8"/>
      <c r="D242" s="8">
        <f t="shared" si="3"/>
        <v>0</v>
      </c>
    </row>
    <row r="243" spans="1:4" ht="18" hidden="1" x14ac:dyDescent="0.3">
      <c r="A243" s="113" t="s">
        <v>242</v>
      </c>
      <c r="B243" s="8"/>
      <c r="C243" s="8"/>
      <c r="D243" s="8">
        <f t="shared" si="3"/>
        <v>0</v>
      </c>
    </row>
    <row r="244" spans="1:4" ht="18" hidden="1" x14ac:dyDescent="0.3">
      <c r="A244" s="113" t="s">
        <v>243</v>
      </c>
      <c r="B244" s="8"/>
      <c r="C244" s="8"/>
      <c r="D244" s="8">
        <f t="shared" si="3"/>
        <v>0</v>
      </c>
    </row>
    <row r="245" spans="1:4" ht="18" hidden="1" x14ac:dyDescent="0.3">
      <c r="A245" s="113" t="s">
        <v>244</v>
      </c>
      <c r="B245" s="17"/>
      <c r="C245" s="17"/>
      <c r="D245" s="8">
        <f t="shared" si="3"/>
        <v>0</v>
      </c>
    </row>
    <row r="246" spans="1:4" ht="18" hidden="1" x14ac:dyDescent="0.3">
      <c r="A246" s="133" t="s">
        <v>245</v>
      </c>
      <c r="B246" s="8"/>
      <c r="C246" s="8"/>
      <c r="D246" s="8">
        <f t="shared" si="3"/>
        <v>0</v>
      </c>
    </row>
    <row r="247" spans="1:4" ht="18" hidden="1" x14ac:dyDescent="0.3">
      <c r="A247" s="113" t="s">
        <v>246</v>
      </c>
      <c r="B247" s="17"/>
      <c r="C247" s="17"/>
      <c r="D247" s="8">
        <f t="shared" si="3"/>
        <v>0</v>
      </c>
    </row>
    <row r="248" spans="1:4" ht="18" x14ac:dyDescent="0.3">
      <c r="A248" s="113" t="s">
        <v>247</v>
      </c>
      <c r="B248" s="8">
        <v>4</v>
      </c>
      <c r="C248" s="8">
        <v>14000</v>
      </c>
      <c r="D248" s="8">
        <f t="shared" si="3"/>
        <v>56000</v>
      </c>
    </row>
    <row r="249" spans="1:4" ht="18" hidden="1" x14ac:dyDescent="0.3">
      <c r="A249" s="118" t="s">
        <v>248</v>
      </c>
      <c r="B249" s="8"/>
      <c r="C249" s="8"/>
      <c r="D249" s="8">
        <f t="shared" si="3"/>
        <v>0</v>
      </c>
    </row>
    <row r="250" spans="1:4" ht="18" hidden="1" x14ac:dyDescent="0.3">
      <c r="A250" s="118" t="s">
        <v>249</v>
      </c>
      <c r="B250" s="8"/>
      <c r="C250" s="8"/>
      <c r="D250" s="8">
        <f t="shared" si="3"/>
        <v>0</v>
      </c>
    </row>
    <row r="251" spans="1:4" ht="18" x14ac:dyDescent="0.3">
      <c r="A251" s="113" t="s">
        <v>250</v>
      </c>
      <c r="B251" s="8">
        <f>15+60+75</f>
        <v>150</v>
      </c>
      <c r="C251" s="8">
        <v>25000</v>
      </c>
      <c r="D251" s="8">
        <f t="shared" si="3"/>
        <v>3750000</v>
      </c>
    </row>
    <row r="252" spans="1:4" ht="18" hidden="1" x14ac:dyDescent="0.3">
      <c r="A252" s="113" t="s">
        <v>251</v>
      </c>
      <c r="B252" s="8"/>
      <c r="C252" s="8"/>
      <c r="D252" s="8">
        <f t="shared" si="3"/>
        <v>0</v>
      </c>
    </row>
    <row r="253" spans="1:4" ht="18" hidden="1" x14ac:dyDescent="0.3">
      <c r="A253" s="113" t="s">
        <v>252</v>
      </c>
      <c r="B253" s="8"/>
      <c r="C253" s="8"/>
      <c r="D253" s="8">
        <f t="shared" si="3"/>
        <v>0</v>
      </c>
    </row>
    <row r="254" spans="1:4" ht="18" x14ac:dyDescent="0.3">
      <c r="A254" s="113" t="s">
        <v>253</v>
      </c>
      <c r="B254" s="8">
        <v>27</v>
      </c>
      <c r="C254" s="8">
        <v>10000</v>
      </c>
      <c r="D254" s="8">
        <f t="shared" si="3"/>
        <v>270000</v>
      </c>
    </row>
    <row r="255" spans="1:4" ht="18" hidden="1" x14ac:dyDescent="0.3">
      <c r="A255" s="113" t="s">
        <v>254</v>
      </c>
      <c r="B255" s="8"/>
      <c r="C255" s="8"/>
      <c r="D255" s="8">
        <f t="shared" si="3"/>
        <v>0</v>
      </c>
    </row>
    <row r="256" spans="1:4" ht="18" hidden="1" x14ac:dyDescent="0.3">
      <c r="A256" s="115" t="s">
        <v>255</v>
      </c>
      <c r="B256" s="8"/>
      <c r="C256" s="8"/>
      <c r="D256" s="8">
        <f t="shared" si="3"/>
        <v>0</v>
      </c>
    </row>
    <row r="257" spans="1:4" ht="18" hidden="1" x14ac:dyDescent="0.3">
      <c r="A257" s="126" t="s">
        <v>256</v>
      </c>
      <c r="B257" s="8"/>
      <c r="C257" s="8"/>
      <c r="D257" s="8">
        <f t="shared" si="3"/>
        <v>0</v>
      </c>
    </row>
    <row r="258" spans="1:4" ht="18" hidden="1" x14ac:dyDescent="0.3">
      <c r="A258" s="126" t="s">
        <v>257</v>
      </c>
      <c r="B258" s="8"/>
      <c r="C258" s="8"/>
      <c r="D258" s="8">
        <f t="shared" si="3"/>
        <v>0</v>
      </c>
    </row>
    <row r="259" spans="1:4" ht="18" x14ac:dyDescent="0.3">
      <c r="A259" s="113" t="s">
        <v>258</v>
      </c>
      <c r="B259" s="8">
        <f>7+20+74+55</f>
        <v>156</v>
      </c>
      <c r="C259" s="8">
        <v>34000</v>
      </c>
      <c r="D259" s="8">
        <f t="shared" si="3"/>
        <v>5304000</v>
      </c>
    </row>
    <row r="260" spans="1:4" ht="18" hidden="1" x14ac:dyDescent="0.3">
      <c r="A260" s="113" t="s">
        <v>259</v>
      </c>
      <c r="B260" s="8"/>
      <c r="C260" s="8"/>
      <c r="D260" s="8">
        <f t="shared" ref="D260:D323" si="4">B260*C260</f>
        <v>0</v>
      </c>
    </row>
    <row r="261" spans="1:4" ht="18" hidden="1" x14ac:dyDescent="0.3">
      <c r="A261" s="113" t="s">
        <v>260</v>
      </c>
      <c r="B261" s="8"/>
      <c r="C261" s="8"/>
      <c r="D261" s="8">
        <f t="shared" si="4"/>
        <v>0</v>
      </c>
    </row>
    <row r="262" spans="1:4" ht="18" hidden="1" x14ac:dyDescent="0.3">
      <c r="A262" s="113" t="s">
        <v>261</v>
      </c>
      <c r="B262" s="8"/>
      <c r="C262" s="8"/>
      <c r="D262" s="8">
        <f t="shared" si="4"/>
        <v>0</v>
      </c>
    </row>
    <row r="263" spans="1:4" ht="18" x14ac:dyDescent="0.3">
      <c r="A263" s="113" t="s">
        <v>262</v>
      </c>
      <c r="B263" s="8">
        <f>10+8+7+4+16</f>
        <v>45</v>
      </c>
      <c r="C263" s="8">
        <v>18000</v>
      </c>
      <c r="D263" s="8">
        <f t="shared" si="4"/>
        <v>810000</v>
      </c>
    </row>
    <row r="264" spans="1:4" ht="18" hidden="1" x14ac:dyDescent="0.3">
      <c r="A264" s="113" t="s">
        <v>263</v>
      </c>
      <c r="B264" s="8"/>
      <c r="C264" s="8"/>
      <c r="D264" s="8">
        <f t="shared" si="4"/>
        <v>0</v>
      </c>
    </row>
    <row r="265" spans="1:4" ht="18" hidden="1" x14ac:dyDescent="0.3">
      <c r="A265" s="113" t="s">
        <v>264</v>
      </c>
      <c r="B265" s="8"/>
      <c r="C265" s="8"/>
      <c r="D265" s="8">
        <f t="shared" si="4"/>
        <v>0</v>
      </c>
    </row>
    <row r="266" spans="1:4" ht="18" hidden="1" x14ac:dyDescent="0.3">
      <c r="A266" s="113" t="s">
        <v>265</v>
      </c>
      <c r="B266" s="17"/>
      <c r="C266" s="17"/>
      <c r="D266" s="8">
        <f t="shared" si="4"/>
        <v>0</v>
      </c>
    </row>
    <row r="267" spans="1:4" ht="18" hidden="1" x14ac:dyDescent="0.3">
      <c r="A267" s="123" t="s">
        <v>266</v>
      </c>
      <c r="B267" s="8"/>
      <c r="C267" s="8"/>
      <c r="D267" s="8">
        <f t="shared" si="4"/>
        <v>0</v>
      </c>
    </row>
    <row r="268" spans="1:4" ht="18" hidden="1" x14ac:dyDescent="0.3">
      <c r="A268" s="113" t="s">
        <v>267</v>
      </c>
      <c r="B268" s="8"/>
      <c r="C268" s="8"/>
      <c r="D268" s="8">
        <f t="shared" si="4"/>
        <v>0</v>
      </c>
    </row>
    <row r="269" spans="1:4" ht="18" hidden="1" x14ac:dyDescent="0.3">
      <c r="A269" s="118" t="s">
        <v>269</v>
      </c>
      <c r="B269" s="8"/>
      <c r="C269" s="8"/>
      <c r="D269" s="8">
        <f t="shared" si="4"/>
        <v>0</v>
      </c>
    </row>
    <row r="270" spans="1:4" ht="18" x14ac:dyDescent="0.3">
      <c r="A270" s="113" t="s">
        <v>270</v>
      </c>
      <c r="B270" s="8">
        <v>6</v>
      </c>
      <c r="C270" s="8">
        <v>12000</v>
      </c>
      <c r="D270" s="8">
        <f t="shared" si="4"/>
        <v>72000</v>
      </c>
    </row>
    <row r="271" spans="1:4" ht="18" hidden="1" x14ac:dyDescent="0.3">
      <c r="A271" s="113" t="s">
        <v>271</v>
      </c>
      <c r="B271" s="8"/>
      <c r="C271" s="8"/>
      <c r="D271" s="8">
        <f t="shared" si="4"/>
        <v>0</v>
      </c>
    </row>
    <row r="272" spans="1:4" ht="18" hidden="1" x14ac:dyDescent="0.3">
      <c r="A272" s="113" t="s">
        <v>272</v>
      </c>
      <c r="B272" s="8"/>
      <c r="C272" s="8"/>
      <c r="D272" s="8">
        <f t="shared" si="4"/>
        <v>0</v>
      </c>
    </row>
    <row r="273" spans="1:4" ht="18" hidden="1" x14ac:dyDescent="0.3">
      <c r="A273" s="113" t="s">
        <v>273</v>
      </c>
      <c r="B273" s="8"/>
      <c r="C273" s="8"/>
      <c r="D273" s="8">
        <f t="shared" si="4"/>
        <v>0</v>
      </c>
    </row>
    <row r="274" spans="1:4" ht="18" x14ac:dyDescent="0.3">
      <c r="A274" s="113" t="s">
        <v>274</v>
      </c>
      <c r="B274" s="8">
        <v>20</v>
      </c>
      <c r="C274" s="8">
        <v>16000</v>
      </c>
      <c r="D274" s="8">
        <f t="shared" si="4"/>
        <v>320000</v>
      </c>
    </row>
    <row r="275" spans="1:4" ht="18" hidden="1" x14ac:dyDescent="0.3">
      <c r="A275" s="113" t="s">
        <v>275</v>
      </c>
      <c r="B275" s="8"/>
      <c r="C275" s="8"/>
      <c r="D275" s="8">
        <f t="shared" si="4"/>
        <v>0</v>
      </c>
    </row>
    <row r="276" spans="1:4" ht="18" hidden="1" x14ac:dyDescent="0.3">
      <c r="A276" s="113" t="s">
        <v>276</v>
      </c>
      <c r="B276" s="8"/>
      <c r="C276" s="8"/>
      <c r="D276" s="8">
        <f t="shared" si="4"/>
        <v>0</v>
      </c>
    </row>
    <row r="277" spans="1:4" ht="18" hidden="1" x14ac:dyDescent="0.3">
      <c r="A277" s="133" t="s">
        <v>277</v>
      </c>
      <c r="B277" s="8"/>
      <c r="C277" s="8"/>
      <c r="D277" s="8">
        <f t="shared" si="4"/>
        <v>0</v>
      </c>
    </row>
    <row r="278" spans="1:4" ht="18" hidden="1" x14ac:dyDescent="0.3">
      <c r="A278" s="113" t="s">
        <v>278</v>
      </c>
      <c r="B278" s="8"/>
      <c r="C278" s="8"/>
      <c r="D278" s="8">
        <f t="shared" si="4"/>
        <v>0</v>
      </c>
    </row>
    <row r="279" spans="1:4" ht="18" hidden="1" x14ac:dyDescent="0.3">
      <c r="A279" s="133" t="s">
        <v>279</v>
      </c>
      <c r="B279" s="8"/>
      <c r="C279" s="8"/>
      <c r="D279" s="8">
        <f t="shared" si="4"/>
        <v>0</v>
      </c>
    </row>
    <row r="280" spans="1:4" ht="18" hidden="1" x14ac:dyDescent="0.3">
      <c r="A280" s="133" t="s">
        <v>280</v>
      </c>
      <c r="B280" s="8"/>
      <c r="C280" s="8"/>
      <c r="D280" s="8">
        <f t="shared" si="4"/>
        <v>0</v>
      </c>
    </row>
    <row r="281" spans="1:4" ht="18" hidden="1" x14ac:dyDescent="0.3">
      <c r="A281" s="30" t="s">
        <v>281</v>
      </c>
      <c r="B281" s="17"/>
      <c r="C281" s="17"/>
      <c r="D281" s="8">
        <f t="shared" si="4"/>
        <v>0</v>
      </c>
    </row>
    <row r="282" spans="1:4" ht="18" hidden="1" x14ac:dyDescent="0.3">
      <c r="A282" s="30" t="s">
        <v>282</v>
      </c>
      <c r="B282" s="8"/>
      <c r="C282" s="8"/>
      <c r="D282" s="8">
        <f t="shared" si="4"/>
        <v>0</v>
      </c>
    </row>
    <row r="283" spans="1:4" ht="18" hidden="1" x14ac:dyDescent="0.3">
      <c r="A283" s="118" t="s">
        <v>283</v>
      </c>
      <c r="B283" s="8"/>
      <c r="C283" s="8"/>
      <c r="D283" s="8">
        <f t="shared" si="4"/>
        <v>0</v>
      </c>
    </row>
    <row r="284" spans="1:4" ht="18" hidden="1" x14ac:dyDescent="0.3">
      <c r="A284" s="118" t="s">
        <v>418</v>
      </c>
      <c r="B284" s="8"/>
      <c r="C284" s="8"/>
      <c r="D284" s="8">
        <f t="shared" si="4"/>
        <v>0</v>
      </c>
    </row>
    <row r="285" spans="1:4" ht="18" hidden="1" x14ac:dyDescent="0.3">
      <c r="A285" s="115" t="s">
        <v>284</v>
      </c>
      <c r="B285" s="8"/>
      <c r="C285" s="8"/>
      <c r="D285" s="8">
        <f t="shared" si="4"/>
        <v>0</v>
      </c>
    </row>
    <row r="286" spans="1:4" ht="18" hidden="1" x14ac:dyDescent="0.3">
      <c r="A286" s="115" t="s">
        <v>285</v>
      </c>
      <c r="B286" s="8"/>
      <c r="C286" s="8"/>
      <c r="D286" s="8">
        <f t="shared" si="4"/>
        <v>0</v>
      </c>
    </row>
    <row r="287" spans="1:4" ht="18" hidden="1" x14ac:dyDescent="0.3">
      <c r="A287" s="115" t="s">
        <v>286</v>
      </c>
      <c r="B287" s="8"/>
      <c r="C287" s="8"/>
      <c r="D287" s="8">
        <f t="shared" si="4"/>
        <v>0</v>
      </c>
    </row>
    <row r="288" spans="1:4" ht="18" x14ac:dyDescent="0.3">
      <c r="A288" s="113" t="s">
        <v>287</v>
      </c>
      <c r="B288" s="8">
        <v>25</v>
      </c>
      <c r="C288" s="8">
        <v>9000</v>
      </c>
      <c r="D288" s="8">
        <f t="shared" si="4"/>
        <v>225000</v>
      </c>
    </row>
    <row r="289" spans="1:4" ht="18" hidden="1" x14ac:dyDescent="0.3">
      <c r="A289" s="115" t="s">
        <v>288</v>
      </c>
      <c r="B289" s="8"/>
      <c r="C289" s="8"/>
      <c r="D289" s="8">
        <f t="shared" si="4"/>
        <v>0</v>
      </c>
    </row>
    <row r="290" spans="1:4" ht="18" hidden="1" x14ac:dyDescent="0.3">
      <c r="A290" s="113" t="s">
        <v>289</v>
      </c>
      <c r="B290" s="8"/>
      <c r="C290" s="8"/>
      <c r="D290" s="8">
        <f t="shared" si="4"/>
        <v>0</v>
      </c>
    </row>
    <row r="291" spans="1:4" ht="18" x14ac:dyDescent="0.3">
      <c r="A291" s="113" t="s">
        <v>290</v>
      </c>
      <c r="B291" s="8">
        <v>6</v>
      </c>
      <c r="C291" s="8">
        <v>7000</v>
      </c>
      <c r="D291" s="8">
        <f t="shared" si="4"/>
        <v>42000</v>
      </c>
    </row>
    <row r="292" spans="1:4" ht="18" hidden="1" x14ac:dyDescent="0.3">
      <c r="A292" s="115" t="s">
        <v>291</v>
      </c>
      <c r="B292" s="8"/>
      <c r="C292" s="8"/>
      <c r="D292" s="8">
        <f t="shared" si="4"/>
        <v>0</v>
      </c>
    </row>
    <row r="293" spans="1:4" ht="18" hidden="1" x14ac:dyDescent="0.3">
      <c r="A293" s="130" t="s">
        <v>292</v>
      </c>
      <c r="B293" s="8"/>
      <c r="C293" s="8"/>
      <c r="D293" s="8">
        <f t="shared" si="4"/>
        <v>0</v>
      </c>
    </row>
    <row r="294" spans="1:4" ht="18" x14ac:dyDescent="0.3">
      <c r="A294" s="113" t="s">
        <v>293</v>
      </c>
      <c r="B294" s="8">
        <f>35+6</f>
        <v>41</v>
      </c>
      <c r="C294" s="8">
        <v>13000</v>
      </c>
      <c r="D294" s="8">
        <f t="shared" si="4"/>
        <v>533000</v>
      </c>
    </row>
    <row r="295" spans="1:4" ht="18" hidden="1" x14ac:dyDescent="0.3">
      <c r="A295" s="123" t="s">
        <v>294</v>
      </c>
      <c r="B295" s="8"/>
      <c r="C295" s="8"/>
      <c r="D295" s="8">
        <f t="shared" si="4"/>
        <v>0</v>
      </c>
    </row>
    <row r="296" spans="1:4" ht="18" hidden="1" x14ac:dyDescent="0.3">
      <c r="A296" s="123" t="s">
        <v>295</v>
      </c>
      <c r="B296" s="8"/>
      <c r="C296" s="8"/>
      <c r="D296" s="8">
        <f t="shared" si="4"/>
        <v>0</v>
      </c>
    </row>
    <row r="297" spans="1:4" ht="18" hidden="1" x14ac:dyDescent="0.3">
      <c r="A297" s="30" t="s">
        <v>296</v>
      </c>
      <c r="B297" s="8"/>
      <c r="C297" s="8"/>
      <c r="D297" s="8">
        <f t="shared" si="4"/>
        <v>0</v>
      </c>
    </row>
    <row r="298" spans="1:4" ht="18" hidden="1" x14ac:dyDescent="0.3">
      <c r="A298" s="115" t="s">
        <v>297</v>
      </c>
      <c r="B298" s="8"/>
      <c r="C298" s="8"/>
      <c r="D298" s="8">
        <f t="shared" si="4"/>
        <v>0</v>
      </c>
    </row>
    <row r="299" spans="1:4" ht="18" hidden="1" x14ac:dyDescent="0.3">
      <c r="A299" s="123" t="s">
        <v>298</v>
      </c>
      <c r="B299" s="8"/>
      <c r="C299" s="8"/>
      <c r="D299" s="8">
        <f t="shared" si="4"/>
        <v>0</v>
      </c>
    </row>
    <row r="300" spans="1:4" ht="18" hidden="1" x14ac:dyDescent="0.3">
      <c r="A300" s="113" t="s">
        <v>299</v>
      </c>
      <c r="B300" s="8"/>
      <c r="C300" s="8"/>
      <c r="D300" s="8">
        <f t="shared" si="4"/>
        <v>0</v>
      </c>
    </row>
    <row r="301" spans="1:4" ht="18" hidden="1" x14ac:dyDescent="0.3">
      <c r="A301" s="115" t="s">
        <v>300</v>
      </c>
      <c r="B301" s="8"/>
      <c r="C301" s="8"/>
      <c r="D301" s="8">
        <f t="shared" si="4"/>
        <v>0</v>
      </c>
    </row>
    <row r="302" spans="1:4" ht="18" hidden="1" x14ac:dyDescent="0.3">
      <c r="A302" s="113" t="s">
        <v>301</v>
      </c>
      <c r="B302" s="8"/>
      <c r="C302" s="8"/>
      <c r="D302" s="8">
        <f t="shared" si="4"/>
        <v>0</v>
      </c>
    </row>
    <row r="303" spans="1:4" ht="18" hidden="1" x14ac:dyDescent="0.3">
      <c r="A303" s="113" t="s">
        <v>302</v>
      </c>
      <c r="B303" s="8"/>
      <c r="C303" s="8"/>
      <c r="D303" s="8">
        <f t="shared" si="4"/>
        <v>0</v>
      </c>
    </row>
    <row r="304" spans="1:4" ht="18" hidden="1" x14ac:dyDescent="0.3">
      <c r="A304" s="118" t="s">
        <v>303</v>
      </c>
      <c r="B304" s="8"/>
      <c r="C304" s="8"/>
      <c r="D304" s="8">
        <f t="shared" si="4"/>
        <v>0</v>
      </c>
    </row>
    <row r="305" spans="1:4" ht="18" hidden="1" x14ac:dyDescent="0.3">
      <c r="A305" s="30" t="s">
        <v>304</v>
      </c>
      <c r="B305" s="8"/>
      <c r="C305" s="8"/>
      <c r="D305" s="8">
        <f t="shared" si="4"/>
        <v>0</v>
      </c>
    </row>
    <row r="306" spans="1:4" ht="18" hidden="1" x14ac:dyDescent="0.3">
      <c r="A306" s="30" t="s">
        <v>305</v>
      </c>
      <c r="B306" s="8"/>
      <c r="C306" s="8"/>
      <c r="D306" s="8">
        <f t="shared" si="4"/>
        <v>0</v>
      </c>
    </row>
    <row r="307" spans="1:4" ht="18" hidden="1" x14ac:dyDescent="0.3">
      <c r="A307" s="113" t="s">
        <v>306</v>
      </c>
      <c r="B307" s="8"/>
      <c r="C307" s="8"/>
      <c r="D307" s="8">
        <f t="shared" si="4"/>
        <v>0</v>
      </c>
    </row>
    <row r="308" spans="1:4" ht="18" hidden="1" x14ac:dyDescent="0.3">
      <c r="A308" s="113" t="s">
        <v>307</v>
      </c>
      <c r="B308" s="8"/>
      <c r="C308" s="8"/>
      <c r="D308" s="8">
        <f t="shared" si="4"/>
        <v>0</v>
      </c>
    </row>
    <row r="309" spans="1:4" ht="18" hidden="1" x14ac:dyDescent="0.3">
      <c r="A309" s="113" t="s">
        <v>308</v>
      </c>
      <c r="B309" s="8"/>
      <c r="C309" s="8"/>
      <c r="D309" s="8">
        <f t="shared" si="4"/>
        <v>0</v>
      </c>
    </row>
    <row r="310" spans="1:4" ht="18" hidden="1" x14ac:dyDescent="0.3">
      <c r="A310" s="123" t="s">
        <v>309</v>
      </c>
      <c r="B310" s="8"/>
      <c r="C310" s="8"/>
      <c r="D310" s="8">
        <f t="shared" si="4"/>
        <v>0</v>
      </c>
    </row>
    <row r="311" spans="1:4" ht="18" hidden="1" x14ac:dyDescent="0.3">
      <c r="A311" s="123" t="s">
        <v>310</v>
      </c>
      <c r="B311" s="8"/>
      <c r="C311" s="8"/>
      <c r="D311" s="8">
        <f t="shared" si="4"/>
        <v>0</v>
      </c>
    </row>
    <row r="312" spans="1:4" ht="18" hidden="1" x14ac:dyDescent="0.3">
      <c r="A312" s="126" t="s">
        <v>311</v>
      </c>
      <c r="B312" s="8"/>
      <c r="C312" s="8"/>
      <c r="D312" s="8">
        <f t="shared" si="4"/>
        <v>0</v>
      </c>
    </row>
    <row r="313" spans="1:4" ht="18" hidden="1" x14ac:dyDescent="0.3">
      <c r="A313" s="123" t="s">
        <v>312</v>
      </c>
      <c r="B313" s="8"/>
      <c r="C313" s="8"/>
      <c r="D313" s="8">
        <f t="shared" si="4"/>
        <v>0</v>
      </c>
    </row>
    <row r="314" spans="1:4" ht="18" hidden="1" x14ac:dyDescent="0.3">
      <c r="A314" s="113" t="s">
        <v>313</v>
      </c>
      <c r="B314" s="8"/>
      <c r="C314" s="8"/>
      <c r="D314" s="8">
        <f t="shared" si="4"/>
        <v>0</v>
      </c>
    </row>
    <row r="315" spans="1:4" ht="18" hidden="1" x14ac:dyDescent="0.3">
      <c r="A315" s="113" t="s">
        <v>314</v>
      </c>
      <c r="B315" s="8"/>
      <c r="C315" s="8"/>
      <c r="D315" s="8">
        <f t="shared" si="4"/>
        <v>0</v>
      </c>
    </row>
    <row r="316" spans="1:4" ht="18" hidden="1" x14ac:dyDescent="0.3">
      <c r="A316" s="113" t="s">
        <v>315</v>
      </c>
      <c r="B316" s="8"/>
      <c r="C316" s="8"/>
      <c r="D316" s="8">
        <f t="shared" si="4"/>
        <v>0</v>
      </c>
    </row>
    <row r="317" spans="1:4" ht="18" hidden="1" x14ac:dyDescent="0.3">
      <c r="A317" s="113" t="s">
        <v>316</v>
      </c>
      <c r="B317" s="8"/>
      <c r="C317" s="8"/>
      <c r="D317" s="8">
        <f t="shared" si="4"/>
        <v>0</v>
      </c>
    </row>
    <row r="318" spans="1:4" ht="18" hidden="1" x14ac:dyDescent="0.3">
      <c r="A318" s="126" t="s">
        <v>317</v>
      </c>
      <c r="B318" s="8"/>
      <c r="C318" s="8"/>
      <c r="D318" s="8">
        <f t="shared" si="4"/>
        <v>0</v>
      </c>
    </row>
    <row r="319" spans="1:4" ht="18" hidden="1" x14ac:dyDescent="0.3">
      <c r="A319" s="113" t="s">
        <v>318</v>
      </c>
      <c r="B319" s="8"/>
      <c r="C319" s="8"/>
      <c r="D319" s="8">
        <f t="shared" si="4"/>
        <v>0</v>
      </c>
    </row>
    <row r="320" spans="1:4" ht="18" hidden="1" x14ac:dyDescent="0.3">
      <c r="A320" s="113" t="s">
        <v>319</v>
      </c>
      <c r="B320" s="8"/>
      <c r="C320" s="8"/>
      <c r="D320" s="8">
        <f t="shared" si="4"/>
        <v>0</v>
      </c>
    </row>
    <row r="321" spans="1:4" ht="18" hidden="1" x14ac:dyDescent="0.3">
      <c r="A321" s="30" t="s">
        <v>320</v>
      </c>
      <c r="B321" s="8"/>
      <c r="C321" s="8"/>
      <c r="D321" s="8">
        <f t="shared" si="4"/>
        <v>0</v>
      </c>
    </row>
    <row r="322" spans="1:4" ht="18" hidden="1" x14ac:dyDescent="0.3">
      <c r="A322" s="113" t="s">
        <v>321</v>
      </c>
      <c r="B322" s="42"/>
      <c r="C322" s="42"/>
      <c r="D322" s="8">
        <f t="shared" si="4"/>
        <v>0</v>
      </c>
    </row>
    <row r="323" spans="1:4" ht="18" hidden="1" x14ac:dyDescent="0.3">
      <c r="A323" s="113" t="s">
        <v>322</v>
      </c>
      <c r="B323" s="8"/>
      <c r="C323" s="8"/>
      <c r="D323" s="8">
        <f t="shared" si="4"/>
        <v>0</v>
      </c>
    </row>
    <row r="324" spans="1:4" ht="18" hidden="1" x14ac:dyDescent="0.3">
      <c r="A324" s="113" t="s">
        <v>323</v>
      </c>
      <c r="B324" s="8"/>
      <c r="C324" s="8"/>
      <c r="D324" s="8">
        <f t="shared" ref="D324:D387" si="5">B324*C324</f>
        <v>0</v>
      </c>
    </row>
    <row r="325" spans="1:4" ht="18" hidden="1" x14ac:dyDescent="0.3">
      <c r="A325" s="126" t="s">
        <v>324</v>
      </c>
      <c r="B325" s="8"/>
      <c r="C325" s="8"/>
      <c r="D325" s="8">
        <f t="shared" si="5"/>
        <v>0</v>
      </c>
    </row>
    <row r="326" spans="1:4" ht="18" hidden="1" x14ac:dyDescent="0.3">
      <c r="A326" s="126" t="s">
        <v>325</v>
      </c>
      <c r="B326" s="8"/>
      <c r="C326" s="8"/>
      <c r="D326" s="8">
        <f t="shared" si="5"/>
        <v>0</v>
      </c>
    </row>
    <row r="327" spans="1:4" ht="18" hidden="1" x14ac:dyDescent="0.3">
      <c r="A327" s="113" t="s">
        <v>326</v>
      </c>
      <c r="B327" s="8"/>
      <c r="C327" s="8"/>
      <c r="D327" s="8">
        <f t="shared" si="5"/>
        <v>0</v>
      </c>
    </row>
    <row r="328" spans="1:4" ht="18" hidden="1" x14ac:dyDescent="0.3">
      <c r="A328" s="113" t="s">
        <v>327</v>
      </c>
      <c r="B328" s="8"/>
      <c r="C328" s="8"/>
      <c r="D328" s="8">
        <f t="shared" si="5"/>
        <v>0</v>
      </c>
    </row>
    <row r="329" spans="1:4" ht="18" hidden="1" x14ac:dyDescent="0.3">
      <c r="A329" s="126" t="s">
        <v>328</v>
      </c>
      <c r="B329" s="8"/>
      <c r="C329" s="8"/>
      <c r="D329" s="8">
        <f t="shared" si="5"/>
        <v>0</v>
      </c>
    </row>
    <row r="330" spans="1:4" ht="18" hidden="1" x14ac:dyDescent="0.3">
      <c r="A330" s="113" t="s">
        <v>329</v>
      </c>
      <c r="B330" s="8"/>
      <c r="C330" s="8"/>
      <c r="D330" s="8">
        <f t="shared" si="5"/>
        <v>0</v>
      </c>
    </row>
    <row r="331" spans="1:4" ht="18" hidden="1" x14ac:dyDescent="0.3">
      <c r="A331" s="113" t="s">
        <v>330</v>
      </c>
      <c r="B331" s="8"/>
      <c r="C331" s="8"/>
      <c r="D331" s="8">
        <f t="shared" si="5"/>
        <v>0</v>
      </c>
    </row>
    <row r="332" spans="1:4" ht="18" hidden="1" x14ac:dyDescent="0.3">
      <c r="A332" s="113" t="s">
        <v>331</v>
      </c>
      <c r="B332" s="8"/>
      <c r="C332" s="8"/>
      <c r="D332" s="8">
        <f t="shared" si="5"/>
        <v>0</v>
      </c>
    </row>
    <row r="333" spans="1:4" ht="18" hidden="1" x14ac:dyDescent="0.3">
      <c r="A333" s="113" t="s">
        <v>332</v>
      </c>
      <c r="B333" s="8"/>
      <c r="C333" s="8"/>
      <c r="D333" s="8">
        <f t="shared" si="5"/>
        <v>0</v>
      </c>
    </row>
    <row r="334" spans="1:4" ht="18" hidden="1" x14ac:dyDescent="0.3">
      <c r="A334" s="113" t="s">
        <v>333</v>
      </c>
      <c r="B334" s="8"/>
      <c r="C334" s="8"/>
      <c r="D334" s="8">
        <f t="shared" si="5"/>
        <v>0</v>
      </c>
    </row>
    <row r="335" spans="1:4" ht="18" hidden="1" x14ac:dyDescent="0.3">
      <c r="A335" s="113" t="s">
        <v>334</v>
      </c>
      <c r="B335" s="8"/>
      <c r="C335" s="8"/>
      <c r="D335" s="8">
        <f t="shared" si="5"/>
        <v>0</v>
      </c>
    </row>
    <row r="336" spans="1:4" ht="18" hidden="1" x14ac:dyDescent="0.3">
      <c r="A336" s="113" t="s">
        <v>335</v>
      </c>
      <c r="B336" s="8"/>
      <c r="C336" s="8"/>
      <c r="D336" s="8">
        <f t="shared" si="5"/>
        <v>0</v>
      </c>
    </row>
    <row r="337" spans="1:4" ht="18" hidden="1" x14ac:dyDescent="0.3">
      <c r="A337" s="113" t="s">
        <v>336</v>
      </c>
      <c r="B337" s="8"/>
      <c r="C337" s="8"/>
      <c r="D337" s="8">
        <f t="shared" si="5"/>
        <v>0</v>
      </c>
    </row>
    <row r="338" spans="1:4" ht="18" hidden="1" x14ac:dyDescent="0.3">
      <c r="A338" s="118" t="s">
        <v>337</v>
      </c>
      <c r="B338" s="8"/>
      <c r="C338" s="8"/>
      <c r="D338" s="8">
        <f t="shared" si="5"/>
        <v>0</v>
      </c>
    </row>
    <row r="339" spans="1:4" ht="18" hidden="1" x14ac:dyDescent="0.3">
      <c r="A339" s="118" t="s">
        <v>338</v>
      </c>
      <c r="B339" s="8"/>
      <c r="C339" s="8"/>
      <c r="D339" s="8">
        <f t="shared" si="5"/>
        <v>0</v>
      </c>
    </row>
    <row r="340" spans="1:4" ht="18" x14ac:dyDescent="0.3">
      <c r="A340" s="137"/>
      <c r="B340" s="46">
        <f>SUM(B3:B339)</f>
        <v>3624.9</v>
      </c>
      <c r="C340" s="46"/>
      <c r="D340" s="8">
        <f>SUM(D15:D294)</f>
        <v>94149000</v>
      </c>
    </row>
    <row r="341" spans="1:4" ht="18" hidden="1" x14ac:dyDescent="0.3">
      <c r="D341" s="8">
        <f t="shared" si="5"/>
        <v>0</v>
      </c>
    </row>
    <row r="342" spans="1:4" ht="18" x14ac:dyDescent="0.3">
      <c r="A342" s="1" t="s">
        <v>435</v>
      </c>
      <c r="B342" s="2"/>
      <c r="C342" s="2"/>
      <c r="D342" s="8"/>
    </row>
    <row r="343" spans="1:4" ht="26.4" x14ac:dyDescent="0.3">
      <c r="A343" s="152" t="s">
        <v>0</v>
      </c>
      <c r="B343" s="4" t="s">
        <v>1</v>
      </c>
      <c r="C343" s="4" t="s">
        <v>340</v>
      </c>
      <c r="D343" s="8" t="s">
        <v>341</v>
      </c>
    </row>
    <row r="344" spans="1:4" ht="18" hidden="1" x14ac:dyDescent="0.3">
      <c r="A344" s="153"/>
      <c r="B344" s="5"/>
      <c r="C344" s="5"/>
      <c r="D344" s="8">
        <f t="shared" si="5"/>
        <v>0</v>
      </c>
    </row>
    <row r="345" spans="1:4" ht="18" hidden="1" x14ac:dyDescent="0.3">
      <c r="A345" s="13" t="s">
        <v>68</v>
      </c>
      <c r="B345" s="8"/>
      <c r="C345" s="8"/>
      <c r="D345" s="8">
        <f t="shared" si="5"/>
        <v>0</v>
      </c>
    </row>
    <row r="346" spans="1:4" ht="18" hidden="1" x14ac:dyDescent="0.3">
      <c r="A346" s="12" t="s">
        <v>69</v>
      </c>
      <c r="B346" s="8"/>
      <c r="C346" s="8"/>
      <c r="D346" s="8">
        <f t="shared" si="5"/>
        <v>0</v>
      </c>
    </row>
    <row r="347" spans="1:4" ht="18" hidden="1" x14ac:dyDescent="0.3">
      <c r="A347" s="13" t="s">
        <v>70</v>
      </c>
      <c r="B347" s="8"/>
      <c r="C347" s="8"/>
      <c r="D347" s="8">
        <f t="shared" si="5"/>
        <v>0</v>
      </c>
    </row>
    <row r="348" spans="1:4" ht="18" hidden="1" x14ac:dyDescent="0.3">
      <c r="A348" s="13" t="s">
        <v>71</v>
      </c>
      <c r="B348" s="8"/>
      <c r="C348" s="8"/>
      <c r="D348" s="8">
        <f t="shared" si="5"/>
        <v>0</v>
      </c>
    </row>
    <row r="349" spans="1:4" ht="18" hidden="1" x14ac:dyDescent="0.3">
      <c r="A349" s="13" t="s">
        <v>72</v>
      </c>
      <c r="B349" s="8"/>
      <c r="C349" s="8"/>
      <c r="D349" s="8">
        <f t="shared" si="5"/>
        <v>0</v>
      </c>
    </row>
    <row r="350" spans="1:4" ht="18" hidden="1" x14ac:dyDescent="0.3">
      <c r="A350" s="22" t="s">
        <v>73</v>
      </c>
      <c r="B350" s="8"/>
      <c r="C350" s="8"/>
      <c r="D350" s="8">
        <f t="shared" si="5"/>
        <v>0</v>
      </c>
    </row>
    <row r="351" spans="1:4" ht="18" hidden="1" x14ac:dyDescent="0.3">
      <c r="A351" s="10" t="s">
        <v>74</v>
      </c>
      <c r="B351" s="8"/>
      <c r="C351" s="8"/>
      <c r="D351" s="8">
        <f t="shared" si="5"/>
        <v>0</v>
      </c>
    </row>
    <row r="352" spans="1:4" ht="18" hidden="1" x14ac:dyDescent="0.3">
      <c r="A352" s="13" t="s">
        <v>82</v>
      </c>
      <c r="B352" s="17"/>
      <c r="C352" s="17"/>
      <c r="D352" s="8">
        <f t="shared" si="5"/>
        <v>0</v>
      </c>
    </row>
    <row r="353" spans="1:4" ht="18" hidden="1" x14ac:dyDescent="0.3">
      <c r="A353" s="13" t="s">
        <v>83</v>
      </c>
      <c r="B353" s="17"/>
      <c r="C353" s="17"/>
      <c r="D353" s="8">
        <f t="shared" si="5"/>
        <v>0</v>
      </c>
    </row>
    <row r="354" spans="1:4" ht="18" hidden="1" x14ac:dyDescent="0.3">
      <c r="A354" s="13" t="s">
        <v>84</v>
      </c>
      <c r="B354" s="17"/>
      <c r="C354" s="17"/>
      <c r="D354" s="8">
        <f t="shared" si="5"/>
        <v>0</v>
      </c>
    </row>
    <row r="355" spans="1:4" ht="18" hidden="1" x14ac:dyDescent="0.3">
      <c r="A355" s="10" t="s">
        <v>96</v>
      </c>
      <c r="B355" s="8"/>
      <c r="C355" s="8"/>
      <c r="D355" s="8">
        <f t="shared" si="5"/>
        <v>0</v>
      </c>
    </row>
    <row r="356" spans="1:4" ht="18" hidden="1" x14ac:dyDescent="0.3">
      <c r="A356" s="10" t="s">
        <v>97</v>
      </c>
      <c r="B356" s="8"/>
      <c r="C356" s="8"/>
      <c r="D356" s="8">
        <f t="shared" si="5"/>
        <v>0</v>
      </c>
    </row>
    <row r="357" spans="1:4" ht="18" hidden="1" x14ac:dyDescent="0.3">
      <c r="A357" s="10" t="s">
        <v>99</v>
      </c>
      <c r="B357" s="17"/>
      <c r="C357" s="17"/>
      <c r="D357" s="8">
        <f t="shared" si="5"/>
        <v>0</v>
      </c>
    </row>
    <row r="358" spans="1:4" ht="18" hidden="1" x14ac:dyDescent="0.3">
      <c r="A358" s="23" t="s">
        <v>101</v>
      </c>
      <c r="B358" s="8"/>
      <c r="C358" s="8"/>
      <c r="D358" s="8">
        <f t="shared" si="5"/>
        <v>0</v>
      </c>
    </row>
    <row r="359" spans="1:4" ht="18" hidden="1" x14ac:dyDescent="0.3">
      <c r="A359" s="12" t="s">
        <v>117</v>
      </c>
      <c r="B359" s="8"/>
      <c r="C359" s="8"/>
      <c r="D359" s="8">
        <f t="shared" si="5"/>
        <v>0</v>
      </c>
    </row>
    <row r="360" spans="1:4" ht="18" hidden="1" x14ac:dyDescent="0.3">
      <c r="A360" s="23" t="s">
        <v>118</v>
      </c>
      <c r="B360" s="8"/>
      <c r="C360" s="8"/>
      <c r="D360" s="8">
        <f t="shared" si="5"/>
        <v>0</v>
      </c>
    </row>
    <row r="361" spans="1:4" ht="18" hidden="1" x14ac:dyDescent="0.3">
      <c r="A361" s="10" t="s">
        <v>110</v>
      </c>
      <c r="B361" s="8"/>
      <c r="C361" s="8"/>
      <c r="D361" s="8">
        <f t="shared" si="5"/>
        <v>0</v>
      </c>
    </row>
    <row r="362" spans="1:4" ht="18" hidden="1" x14ac:dyDescent="0.3">
      <c r="A362" s="10" t="s">
        <v>111</v>
      </c>
      <c r="B362" s="8"/>
      <c r="C362" s="8"/>
      <c r="D362" s="8">
        <f t="shared" si="5"/>
        <v>0</v>
      </c>
    </row>
    <row r="363" spans="1:4" ht="18" hidden="1" x14ac:dyDescent="0.3">
      <c r="A363" s="10" t="s">
        <v>112</v>
      </c>
      <c r="B363" s="8"/>
      <c r="C363" s="8"/>
      <c r="D363" s="8">
        <f t="shared" si="5"/>
        <v>0</v>
      </c>
    </row>
    <row r="364" spans="1:4" ht="18" hidden="1" x14ac:dyDescent="0.3">
      <c r="A364" s="12" t="s">
        <v>249</v>
      </c>
      <c r="B364" s="8"/>
      <c r="C364" s="8"/>
      <c r="D364" s="8">
        <f t="shared" si="5"/>
        <v>0</v>
      </c>
    </row>
    <row r="365" spans="1:4" ht="18" hidden="1" x14ac:dyDescent="0.3">
      <c r="A365" s="10" t="s">
        <v>250</v>
      </c>
      <c r="B365" s="8"/>
      <c r="C365" s="8"/>
      <c r="D365" s="8">
        <f t="shared" si="5"/>
        <v>0</v>
      </c>
    </row>
    <row r="366" spans="1:4" ht="18" hidden="1" x14ac:dyDescent="0.3">
      <c r="A366" s="10" t="s">
        <v>251</v>
      </c>
      <c r="B366" s="8"/>
      <c r="C366" s="8"/>
      <c r="D366" s="8">
        <f t="shared" si="5"/>
        <v>0</v>
      </c>
    </row>
    <row r="367" spans="1:4" ht="18" hidden="1" x14ac:dyDescent="0.3">
      <c r="A367" s="10" t="s">
        <v>252</v>
      </c>
      <c r="B367" s="8"/>
      <c r="C367" s="8"/>
      <c r="D367" s="8">
        <f t="shared" si="5"/>
        <v>0</v>
      </c>
    </row>
    <row r="368" spans="1:4" ht="18" hidden="1" x14ac:dyDescent="0.3">
      <c r="A368" s="10" t="s">
        <v>253</v>
      </c>
      <c r="B368" s="8"/>
      <c r="C368" s="8"/>
      <c r="D368" s="8">
        <f t="shared" si="5"/>
        <v>0</v>
      </c>
    </row>
    <row r="369" spans="1:4" ht="18" hidden="1" x14ac:dyDescent="0.3">
      <c r="A369" s="10" t="s">
        <v>254</v>
      </c>
      <c r="B369" s="8"/>
      <c r="C369" s="8"/>
      <c r="D369" s="8">
        <f t="shared" si="5"/>
        <v>0</v>
      </c>
    </row>
    <row r="370" spans="1:4" ht="18" hidden="1" x14ac:dyDescent="0.3">
      <c r="A370" s="10" t="s">
        <v>258</v>
      </c>
      <c r="B370" s="8"/>
      <c r="C370" s="8"/>
      <c r="D370" s="8">
        <f t="shared" si="5"/>
        <v>0</v>
      </c>
    </row>
    <row r="371" spans="1:4" ht="18" hidden="1" x14ac:dyDescent="0.3">
      <c r="A371" s="10" t="s">
        <v>259</v>
      </c>
      <c r="B371" s="8"/>
      <c r="C371" s="8"/>
      <c r="D371" s="8">
        <f t="shared" si="5"/>
        <v>0</v>
      </c>
    </row>
    <row r="372" spans="1:4" ht="18" hidden="1" x14ac:dyDescent="0.3">
      <c r="A372" s="10" t="s">
        <v>260</v>
      </c>
      <c r="B372" s="8"/>
      <c r="C372" s="8"/>
      <c r="D372" s="8">
        <f t="shared" si="5"/>
        <v>0</v>
      </c>
    </row>
    <row r="373" spans="1:4" ht="18" hidden="1" x14ac:dyDescent="0.3">
      <c r="A373" s="10" t="s">
        <v>261</v>
      </c>
      <c r="B373" s="8"/>
      <c r="C373" s="8"/>
      <c r="D373" s="8">
        <f t="shared" si="5"/>
        <v>0</v>
      </c>
    </row>
    <row r="374" spans="1:4" ht="18" hidden="1" x14ac:dyDescent="0.3">
      <c r="A374" s="10" t="s">
        <v>262</v>
      </c>
      <c r="B374" s="8"/>
      <c r="C374" s="8"/>
      <c r="D374" s="8">
        <f t="shared" si="5"/>
        <v>0</v>
      </c>
    </row>
    <row r="375" spans="1:4" ht="18" hidden="1" x14ac:dyDescent="0.3">
      <c r="A375" s="10" t="s">
        <v>263</v>
      </c>
      <c r="B375" s="8"/>
      <c r="C375" s="8"/>
      <c r="D375" s="8">
        <f t="shared" si="5"/>
        <v>0</v>
      </c>
    </row>
    <row r="376" spans="1:4" ht="18" hidden="1" x14ac:dyDescent="0.3">
      <c r="A376" s="10" t="s">
        <v>264</v>
      </c>
      <c r="B376" s="8"/>
      <c r="C376" s="8"/>
      <c r="D376" s="8">
        <f t="shared" si="5"/>
        <v>0</v>
      </c>
    </row>
    <row r="377" spans="1:4" ht="18" x14ac:dyDescent="0.3">
      <c r="A377" s="10" t="s">
        <v>135</v>
      </c>
      <c r="B377" s="8">
        <f>65+40</f>
        <v>105</v>
      </c>
      <c r="C377" s="8">
        <v>11000</v>
      </c>
      <c r="D377" s="8">
        <f t="shared" si="5"/>
        <v>1155000</v>
      </c>
    </row>
    <row r="378" spans="1:4" ht="18" hidden="1" x14ac:dyDescent="0.3">
      <c r="A378" s="18" t="s">
        <v>136</v>
      </c>
      <c r="B378" s="8"/>
      <c r="C378" s="8"/>
      <c r="D378" s="8">
        <f t="shared" si="5"/>
        <v>0</v>
      </c>
    </row>
    <row r="379" spans="1:4" ht="18" hidden="1" x14ac:dyDescent="0.3">
      <c r="A379" s="10" t="s">
        <v>177</v>
      </c>
      <c r="B379" s="8"/>
      <c r="C379" s="8"/>
      <c r="D379" s="8">
        <f t="shared" si="5"/>
        <v>0</v>
      </c>
    </row>
    <row r="380" spans="1:4" ht="18" hidden="1" x14ac:dyDescent="0.3">
      <c r="A380" s="13" t="s">
        <v>193</v>
      </c>
      <c r="B380" s="8"/>
      <c r="C380" s="8"/>
      <c r="D380" s="8">
        <f t="shared" si="5"/>
        <v>0</v>
      </c>
    </row>
    <row r="381" spans="1:4" ht="18" hidden="1" x14ac:dyDescent="0.3">
      <c r="A381" s="10" t="s">
        <v>319</v>
      </c>
      <c r="B381" s="8"/>
      <c r="C381" s="8"/>
      <c r="D381" s="8">
        <f t="shared" si="5"/>
        <v>0</v>
      </c>
    </row>
    <row r="382" spans="1:4" ht="18" hidden="1" x14ac:dyDescent="0.3">
      <c r="A382" s="10" t="s">
        <v>212</v>
      </c>
      <c r="B382" s="8"/>
      <c r="C382" s="8"/>
      <c r="D382" s="8">
        <f t="shared" si="5"/>
        <v>0</v>
      </c>
    </row>
    <row r="383" spans="1:4" ht="18" hidden="1" x14ac:dyDescent="0.3">
      <c r="A383" s="40" t="s">
        <v>213</v>
      </c>
      <c r="B383" s="8"/>
      <c r="C383" s="8"/>
      <c r="D383" s="8">
        <f t="shared" si="5"/>
        <v>0</v>
      </c>
    </row>
    <row r="384" spans="1:4" ht="18" hidden="1" x14ac:dyDescent="0.3">
      <c r="A384" s="10" t="s">
        <v>214</v>
      </c>
      <c r="B384" s="8"/>
      <c r="C384" s="8"/>
      <c r="D384" s="8">
        <f t="shared" si="5"/>
        <v>0</v>
      </c>
    </row>
    <row r="385" spans="1:4" ht="18" x14ac:dyDescent="0.3">
      <c r="A385" s="10" t="s">
        <v>215</v>
      </c>
      <c r="B385" s="8">
        <f>40+100+120+40+30+150+20-200+140</f>
        <v>440</v>
      </c>
      <c r="C385" s="8">
        <v>16000</v>
      </c>
      <c r="D385" s="8">
        <f t="shared" si="5"/>
        <v>7040000</v>
      </c>
    </row>
    <row r="386" spans="1:4" ht="18" hidden="1" x14ac:dyDescent="0.3">
      <c r="A386" s="10" t="s">
        <v>216</v>
      </c>
      <c r="B386" s="8"/>
      <c r="C386" s="8"/>
      <c r="D386" s="8">
        <f t="shared" si="5"/>
        <v>0</v>
      </c>
    </row>
    <row r="387" spans="1:4" ht="18" hidden="1" x14ac:dyDescent="0.3">
      <c r="A387" s="10" t="s">
        <v>355</v>
      </c>
      <c r="B387" s="8"/>
      <c r="C387" s="8"/>
      <c r="D387" s="8">
        <f t="shared" si="5"/>
        <v>0</v>
      </c>
    </row>
    <row r="388" spans="1:4" ht="18" hidden="1" x14ac:dyDescent="0.3">
      <c r="A388" s="10" t="s">
        <v>217</v>
      </c>
      <c r="B388" s="8"/>
      <c r="C388" s="8"/>
      <c r="D388" s="8">
        <f t="shared" ref="D388:D451" si="6">B388*C388</f>
        <v>0</v>
      </c>
    </row>
    <row r="389" spans="1:4" ht="18" x14ac:dyDescent="0.3">
      <c r="A389" s="10" t="s">
        <v>103</v>
      </c>
      <c r="B389" s="8">
        <f>25+18+28</f>
        <v>71</v>
      </c>
      <c r="C389" s="8">
        <v>7500</v>
      </c>
      <c r="D389" s="8">
        <f t="shared" si="6"/>
        <v>532500</v>
      </c>
    </row>
    <row r="390" spans="1:4" ht="18" hidden="1" x14ac:dyDescent="0.3">
      <c r="A390" s="20" t="s">
        <v>104</v>
      </c>
      <c r="B390" s="8"/>
      <c r="C390" s="8"/>
      <c r="D390" s="8">
        <f t="shared" si="6"/>
        <v>0</v>
      </c>
    </row>
    <row r="391" spans="1:4" ht="18" hidden="1" x14ac:dyDescent="0.3">
      <c r="A391" s="12" t="s">
        <v>107</v>
      </c>
      <c r="B391" s="8"/>
      <c r="C391" s="8"/>
      <c r="D391" s="8">
        <f t="shared" si="6"/>
        <v>0</v>
      </c>
    </row>
    <row r="392" spans="1:4" ht="18" hidden="1" x14ac:dyDescent="0.3">
      <c r="A392" s="10" t="s">
        <v>109</v>
      </c>
      <c r="B392" s="8"/>
      <c r="C392" s="8"/>
      <c r="D392" s="8">
        <f t="shared" si="6"/>
        <v>0</v>
      </c>
    </row>
    <row r="393" spans="1:4" ht="18" hidden="1" x14ac:dyDescent="0.3">
      <c r="A393" s="10" t="s">
        <v>11</v>
      </c>
      <c r="B393" s="8"/>
      <c r="C393" s="8"/>
      <c r="D393" s="8">
        <f t="shared" si="6"/>
        <v>0</v>
      </c>
    </row>
    <row r="394" spans="1:4" ht="18" x14ac:dyDescent="0.3">
      <c r="A394" s="10" t="s">
        <v>12</v>
      </c>
      <c r="B394" s="8">
        <v>10</v>
      </c>
      <c r="C394" s="8">
        <v>10000</v>
      </c>
      <c r="D394" s="8">
        <f t="shared" si="6"/>
        <v>100000</v>
      </c>
    </row>
    <row r="395" spans="1:4" ht="18" hidden="1" x14ac:dyDescent="0.3">
      <c r="A395" s="13" t="s">
        <v>13</v>
      </c>
      <c r="B395" s="8"/>
      <c r="C395" s="8"/>
      <c r="D395" s="8">
        <f t="shared" si="6"/>
        <v>0</v>
      </c>
    </row>
    <row r="396" spans="1:4" ht="18" hidden="1" x14ac:dyDescent="0.3">
      <c r="A396" s="10" t="s">
        <v>165</v>
      </c>
      <c r="B396" s="8"/>
      <c r="C396" s="8"/>
      <c r="D396" s="8">
        <f t="shared" si="6"/>
        <v>0</v>
      </c>
    </row>
    <row r="397" spans="1:4" ht="18" hidden="1" x14ac:dyDescent="0.3">
      <c r="A397" s="18" t="s">
        <v>166</v>
      </c>
      <c r="B397" s="8"/>
      <c r="C397" s="8"/>
      <c r="D397" s="8">
        <f t="shared" si="6"/>
        <v>0</v>
      </c>
    </row>
    <row r="398" spans="1:4" ht="18" hidden="1" x14ac:dyDescent="0.3">
      <c r="A398" s="10" t="s">
        <v>199</v>
      </c>
      <c r="B398" s="8"/>
      <c r="C398" s="8"/>
      <c r="D398" s="8">
        <f t="shared" si="6"/>
        <v>0</v>
      </c>
    </row>
    <row r="399" spans="1:4" ht="18" hidden="1" x14ac:dyDescent="0.3">
      <c r="A399" s="38" t="s">
        <v>200</v>
      </c>
      <c r="B399" s="8"/>
      <c r="C399" s="8"/>
      <c r="D399" s="8">
        <f t="shared" si="6"/>
        <v>0</v>
      </c>
    </row>
    <row r="400" spans="1:4" ht="18" hidden="1" x14ac:dyDescent="0.3">
      <c r="A400" s="10" t="s">
        <v>237</v>
      </c>
      <c r="B400" s="8"/>
      <c r="C400" s="8"/>
      <c r="D400" s="8">
        <f t="shared" si="6"/>
        <v>0</v>
      </c>
    </row>
    <row r="401" spans="1:4" ht="18" hidden="1" x14ac:dyDescent="0.3">
      <c r="A401" s="10" t="s">
        <v>238</v>
      </c>
      <c r="B401" s="8"/>
      <c r="C401" s="8"/>
      <c r="D401" s="8">
        <f t="shared" si="6"/>
        <v>0</v>
      </c>
    </row>
    <row r="402" spans="1:4" ht="18" hidden="1" x14ac:dyDescent="0.3">
      <c r="A402" s="13" t="s">
        <v>20</v>
      </c>
      <c r="B402" s="8"/>
      <c r="C402" s="8"/>
      <c r="D402" s="8">
        <f t="shared" si="6"/>
        <v>0</v>
      </c>
    </row>
    <row r="403" spans="1:4" ht="18" hidden="1" x14ac:dyDescent="0.3">
      <c r="A403" s="13" t="s">
        <v>21</v>
      </c>
      <c r="B403" s="8"/>
      <c r="C403" s="8"/>
      <c r="D403" s="8">
        <f t="shared" si="6"/>
        <v>0</v>
      </c>
    </row>
    <row r="404" spans="1:4" ht="18" hidden="1" x14ac:dyDescent="0.3">
      <c r="A404" s="31" t="s">
        <v>173</v>
      </c>
      <c r="B404" s="8"/>
      <c r="C404" s="8"/>
      <c r="D404" s="8">
        <f t="shared" si="6"/>
        <v>0</v>
      </c>
    </row>
    <row r="405" spans="1:4" ht="18" hidden="1" x14ac:dyDescent="0.3">
      <c r="A405" s="34" t="s">
        <v>174</v>
      </c>
      <c r="B405" s="36"/>
      <c r="C405" s="36"/>
      <c r="D405" s="8">
        <f t="shared" si="6"/>
        <v>0</v>
      </c>
    </row>
    <row r="406" spans="1:4" ht="18" hidden="1" x14ac:dyDescent="0.3">
      <c r="A406" s="10" t="s">
        <v>27</v>
      </c>
      <c r="B406" s="8"/>
      <c r="C406" s="8"/>
      <c r="D406" s="8">
        <f t="shared" si="6"/>
        <v>0</v>
      </c>
    </row>
    <row r="407" spans="1:4" ht="18" hidden="1" x14ac:dyDescent="0.3">
      <c r="A407" s="13" t="s">
        <v>28</v>
      </c>
      <c r="B407" s="8"/>
      <c r="C407" s="8"/>
      <c r="D407" s="8">
        <f t="shared" si="6"/>
        <v>0</v>
      </c>
    </row>
    <row r="408" spans="1:4" ht="18" hidden="1" x14ac:dyDescent="0.3">
      <c r="A408" s="13" t="s">
        <v>35</v>
      </c>
      <c r="B408" s="8"/>
      <c r="C408" s="8"/>
      <c r="D408" s="8">
        <f t="shared" si="6"/>
        <v>0</v>
      </c>
    </row>
    <row r="409" spans="1:4" ht="18" hidden="1" x14ac:dyDescent="0.3">
      <c r="A409" s="10" t="s">
        <v>201</v>
      </c>
      <c r="B409" s="8"/>
      <c r="C409" s="8"/>
      <c r="D409" s="8">
        <f t="shared" si="6"/>
        <v>0</v>
      </c>
    </row>
    <row r="410" spans="1:4" ht="18" hidden="1" x14ac:dyDescent="0.3">
      <c r="A410" s="13" t="s">
        <v>202</v>
      </c>
      <c r="B410" s="8"/>
      <c r="C410" s="8"/>
      <c r="D410" s="8">
        <f t="shared" si="6"/>
        <v>0</v>
      </c>
    </row>
    <row r="411" spans="1:4" ht="18" hidden="1" x14ac:dyDescent="0.3">
      <c r="A411" s="10" t="s">
        <v>351</v>
      </c>
      <c r="B411" s="8"/>
      <c r="C411" s="8"/>
      <c r="D411" s="8">
        <f t="shared" si="6"/>
        <v>0</v>
      </c>
    </row>
    <row r="412" spans="1:4" ht="18" hidden="1" x14ac:dyDescent="0.3">
      <c r="A412" s="10" t="s">
        <v>203</v>
      </c>
      <c r="B412" s="8"/>
      <c r="C412" s="8"/>
      <c r="D412" s="8">
        <f t="shared" si="6"/>
        <v>0</v>
      </c>
    </row>
    <row r="413" spans="1:4" ht="18" hidden="1" x14ac:dyDescent="0.3">
      <c r="A413" s="10" t="s">
        <v>274</v>
      </c>
      <c r="B413" s="8"/>
      <c r="C413" s="8"/>
      <c r="D413" s="8">
        <f t="shared" si="6"/>
        <v>0</v>
      </c>
    </row>
    <row r="414" spans="1:4" ht="18" hidden="1" x14ac:dyDescent="0.3">
      <c r="A414" s="10" t="s">
        <v>275</v>
      </c>
      <c r="B414" s="8"/>
      <c r="C414" s="8"/>
      <c r="D414" s="8">
        <f t="shared" si="6"/>
        <v>0</v>
      </c>
    </row>
    <row r="415" spans="1:4" ht="18" hidden="1" x14ac:dyDescent="0.3">
      <c r="A415" s="6" t="s">
        <v>2</v>
      </c>
      <c r="B415" s="8"/>
      <c r="C415" s="8"/>
      <c r="D415" s="8">
        <f t="shared" si="6"/>
        <v>0</v>
      </c>
    </row>
    <row r="416" spans="1:4" ht="18" hidden="1" x14ac:dyDescent="0.3">
      <c r="A416" s="9" t="s">
        <v>3</v>
      </c>
      <c r="B416" s="8"/>
      <c r="C416" s="8"/>
      <c r="D416" s="8">
        <f t="shared" si="6"/>
        <v>0</v>
      </c>
    </row>
    <row r="417" spans="1:4" ht="18" hidden="1" x14ac:dyDescent="0.3">
      <c r="A417" s="6" t="s">
        <v>4</v>
      </c>
      <c r="B417" s="8"/>
      <c r="C417" s="8"/>
      <c r="D417" s="8">
        <f t="shared" si="6"/>
        <v>0</v>
      </c>
    </row>
    <row r="418" spans="1:4" ht="18" hidden="1" x14ac:dyDescent="0.3">
      <c r="A418" s="18" t="s">
        <v>61</v>
      </c>
      <c r="B418" s="8"/>
      <c r="C418" s="8"/>
      <c r="D418" s="8">
        <f t="shared" si="6"/>
        <v>0</v>
      </c>
    </row>
    <row r="419" spans="1:4" ht="18" hidden="1" x14ac:dyDescent="0.3">
      <c r="A419" s="14" t="s">
        <v>298</v>
      </c>
      <c r="B419" s="8"/>
      <c r="C419" s="8"/>
      <c r="D419" s="8">
        <f t="shared" si="6"/>
        <v>0</v>
      </c>
    </row>
    <row r="420" spans="1:4" ht="18" hidden="1" x14ac:dyDescent="0.3">
      <c r="A420" s="14" t="s">
        <v>309</v>
      </c>
      <c r="B420" s="8"/>
      <c r="C420" s="8"/>
      <c r="D420" s="8">
        <f t="shared" si="6"/>
        <v>0</v>
      </c>
    </row>
    <row r="421" spans="1:4" ht="18" hidden="1" x14ac:dyDescent="0.3">
      <c r="A421" s="14" t="s">
        <v>310</v>
      </c>
      <c r="B421" s="8"/>
      <c r="C421" s="8"/>
      <c r="D421" s="8">
        <f t="shared" si="6"/>
        <v>0</v>
      </c>
    </row>
    <row r="422" spans="1:4" ht="18" hidden="1" x14ac:dyDescent="0.3">
      <c r="A422" s="14" t="s">
        <v>312</v>
      </c>
      <c r="B422" s="8"/>
      <c r="C422" s="8"/>
      <c r="D422" s="8">
        <f t="shared" si="6"/>
        <v>0</v>
      </c>
    </row>
    <row r="423" spans="1:4" ht="18" hidden="1" x14ac:dyDescent="0.3">
      <c r="A423" s="10" t="s">
        <v>321</v>
      </c>
      <c r="B423" s="42"/>
      <c r="C423" s="42"/>
      <c r="D423" s="8">
        <f t="shared" si="6"/>
        <v>0</v>
      </c>
    </row>
    <row r="424" spans="1:4" ht="18" hidden="1" x14ac:dyDescent="0.3">
      <c r="A424" s="10" t="s">
        <v>85</v>
      </c>
      <c r="B424" s="8"/>
      <c r="C424" s="8"/>
      <c r="D424" s="8">
        <f t="shared" si="6"/>
        <v>0</v>
      </c>
    </row>
    <row r="425" spans="1:4" ht="18" hidden="1" x14ac:dyDescent="0.3">
      <c r="A425" s="10" t="s">
        <v>86</v>
      </c>
      <c r="B425" s="8"/>
      <c r="C425" s="8"/>
      <c r="D425" s="8">
        <f t="shared" si="6"/>
        <v>0</v>
      </c>
    </row>
    <row r="426" spans="1:4" ht="18" hidden="1" x14ac:dyDescent="0.3">
      <c r="A426" s="10" t="s">
        <v>87</v>
      </c>
      <c r="B426" s="8"/>
      <c r="C426" s="8"/>
      <c r="D426" s="8">
        <f t="shared" si="6"/>
        <v>0</v>
      </c>
    </row>
    <row r="427" spans="1:4" ht="18" hidden="1" x14ac:dyDescent="0.3">
      <c r="A427" s="10" t="s">
        <v>88</v>
      </c>
      <c r="B427" s="8"/>
      <c r="C427" s="8"/>
      <c r="D427" s="8">
        <f t="shared" si="6"/>
        <v>0</v>
      </c>
    </row>
    <row r="428" spans="1:4" ht="18" hidden="1" x14ac:dyDescent="0.3">
      <c r="A428" s="10" t="s">
        <v>89</v>
      </c>
      <c r="B428" s="8"/>
      <c r="C428" s="8"/>
      <c r="D428" s="8">
        <f t="shared" si="6"/>
        <v>0</v>
      </c>
    </row>
    <row r="429" spans="1:4" ht="18" hidden="1" x14ac:dyDescent="0.3">
      <c r="A429" s="10" t="s">
        <v>176</v>
      </c>
      <c r="B429" s="8"/>
      <c r="C429" s="8"/>
      <c r="D429" s="8">
        <f t="shared" si="6"/>
        <v>0</v>
      </c>
    </row>
    <row r="430" spans="1:4" ht="18" hidden="1" x14ac:dyDescent="0.3">
      <c r="A430" s="10" t="s">
        <v>242</v>
      </c>
      <c r="B430" s="8"/>
      <c r="C430" s="8"/>
      <c r="D430" s="8">
        <f t="shared" si="6"/>
        <v>0</v>
      </c>
    </row>
    <row r="431" spans="1:4" ht="18" hidden="1" x14ac:dyDescent="0.3">
      <c r="A431" s="10" t="s">
        <v>243</v>
      </c>
      <c r="B431" s="8"/>
      <c r="C431" s="8"/>
      <c r="D431" s="8">
        <f t="shared" si="6"/>
        <v>0</v>
      </c>
    </row>
    <row r="432" spans="1:4" ht="18" hidden="1" x14ac:dyDescent="0.3">
      <c r="A432" s="10" t="s">
        <v>265</v>
      </c>
      <c r="B432" s="17"/>
      <c r="C432" s="17"/>
      <c r="D432" s="8">
        <f t="shared" si="6"/>
        <v>0</v>
      </c>
    </row>
    <row r="433" spans="1:4" ht="18" hidden="1" x14ac:dyDescent="0.3">
      <c r="A433" s="14" t="s">
        <v>266</v>
      </c>
      <c r="B433" s="8"/>
      <c r="C433" s="8"/>
      <c r="D433" s="8">
        <f t="shared" si="6"/>
        <v>0</v>
      </c>
    </row>
    <row r="434" spans="1:4" ht="18" hidden="1" x14ac:dyDescent="0.3">
      <c r="A434" s="13" t="s">
        <v>296</v>
      </c>
      <c r="B434" s="8"/>
      <c r="C434" s="8"/>
      <c r="D434" s="8">
        <f t="shared" si="6"/>
        <v>0</v>
      </c>
    </row>
    <row r="435" spans="1:4" ht="18" hidden="1" x14ac:dyDescent="0.3">
      <c r="A435" s="18" t="s">
        <v>297</v>
      </c>
      <c r="B435" s="8"/>
      <c r="C435" s="8"/>
      <c r="D435" s="8">
        <f t="shared" si="6"/>
        <v>0</v>
      </c>
    </row>
    <row r="436" spans="1:4" ht="18" x14ac:dyDescent="0.3">
      <c r="A436" s="10" t="s">
        <v>122</v>
      </c>
      <c r="B436" s="8">
        <v>10</v>
      </c>
      <c r="C436" s="8">
        <v>10000</v>
      </c>
      <c r="D436" s="8">
        <f t="shared" si="6"/>
        <v>100000</v>
      </c>
    </row>
    <row r="437" spans="1:4" ht="18" hidden="1" x14ac:dyDescent="0.3">
      <c r="A437" s="18" t="s">
        <v>42</v>
      </c>
      <c r="B437" s="8"/>
      <c r="C437" s="8"/>
      <c r="D437" s="8">
        <f t="shared" si="6"/>
        <v>0</v>
      </c>
    </row>
    <row r="438" spans="1:4" ht="18" hidden="1" x14ac:dyDescent="0.3">
      <c r="A438" s="10" t="s">
        <v>43</v>
      </c>
      <c r="B438" s="8"/>
      <c r="C438" s="8"/>
      <c r="D438" s="8">
        <f t="shared" si="6"/>
        <v>0</v>
      </c>
    </row>
    <row r="439" spans="1:4" ht="18" hidden="1" x14ac:dyDescent="0.3">
      <c r="A439" s="10" t="s">
        <v>44</v>
      </c>
      <c r="B439" s="8"/>
      <c r="C439" s="8"/>
      <c r="D439" s="8">
        <f t="shared" si="6"/>
        <v>0</v>
      </c>
    </row>
    <row r="440" spans="1:4" ht="18" hidden="1" x14ac:dyDescent="0.3">
      <c r="A440" s="18" t="s">
        <v>285</v>
      </c>
      <c r="B440" s="8"/>
      <c r="C440" s="8"/>
      <c r="D440" s="8">
        <f t="shared" si="6"/>
        <v>0</v>
      </c>
    </row>
    <row r="441" spans="1:4" ht="18" hidden="1" x14ac:dyDescent="0.3">
      <c r="A441" s="18" t="s">
        <v>286</v>
      </c>
      <c r="B441" s="8"/>
      <c r="C441" s="8"/>
      <c r="D441" s="8">
        <f t="shared" si="6"/>
        <v>0</v>
      </c>
    </row>
    <row r="442" spans="1:4" ht="18" hidden="1" x14ac:dyDescent="0.3">
      <c r="A442" s="10" t="s">
        <v>141</v>
      </c>
      <c r="B442" s="17"/>
      <c r="C442" s="17"/>
      <c r="D442" s="8">
        <f t="shared" si="6"/>
        <v>0</v>
      </c>
    </row>
    <row r="443" spans="1:4" ht="18" hidden="1" x14ac:dyDescent="0.3">
      <c r="A443" s="10" t="s">
        <v>142</v>
      </c>
      <c r="B443" s="17"/>
      <c r="C443" s="17"/>
      <c r="D443" s="8">
        <f t="shared" si="6"/>
        <v>0</v>
      </c>
    </row>
    <row r="444" spans="1:4" ht="18" hidden="1" x14ac:dyDescent="0.3">
      <c r="A444" s="26" t="s">
        <v>144</v>
      </c>
      <c r="B444" s="17"/>
      <c r="C444" s="17"/>
      <c r="D444" s="8">
        <f t="shared" si="6"/>
        <v>0</v>
      </c>
    </row>
    <row r="445" spans="1:4" ht="18" hidden="1" x14ac:dyDescent="0.3">
      <c r="A445" s="26" t="s">
        <v>145</v>
      </c>
      <c r="B445" s="17"/>
      <c r="C445" s="17"/>
      <c r="D445" s="8">
        <f t="shared" si="6"/>
        <v>0</v>
      </c>
    </row>
    <row r="446" spans="1:4" ht="18" hidden="1" x14ac:dyDescent="0.3">
      <c r="A446" s="26" t="s">
        <v>146</v>
      </c>
      <c r="B446" s="17"/>
      <c r="C446" s="17"/>
      <c r="D446" s="8">
        <f t="shared" si="6"/>
        <v>0</v>
      </c>
    </row>
    <row r="447" spans="1:4" ht="18" hidden="1" x14ac:dyDescent="0.3">
      <c r="A447" s="10" t="s">
        <v>147</v>
      </c>
      <c r="B447" s="17"/>
      <c r="C447" s="17"/>
      <c r="D447" s="8">
        <f t="shared" si="6"/>
        <v>0</v>
      </c>
    </row>
    <row r="448" spans="1:4" ht="18" hidden="1" x14ac:dyDescent="0.3">
      <c r="A448" s="10" t="s">
        <v>149</v>
      </c>
      <c r="B448" s="17"/>
      <c r="C448" s="17"/>
      <c r="D448" s="8">
        <f t="shared" si="6"/>
        <v>0</v>
      </c>
    </row>
    <row r="449" spans="1:4" ht="18" hidden="1" x14ac:dyDescent="0.3">
      <c r="A449" s="10" t="s">
        <v>150</v>
      </c>
      <c r="B449" s="17"/>
      <c r="C449" s="17"/>
      <c r="D449" s="8">
        <f t="shared" si="6"/>
        <v>0</v>
      </c>
    </row>
    <row r="450" spans="1:4" ht="18" hidden="1" x14ac:dyDescent="0.3">
      <c r="A450" s="10" t="s">
        <v>151</v>
      </c>
      <c r="B450" s="17"/>
      <c r="C450" s="17"/>
      <c r="D450" s="8">
        <f t="shared" si="6"/>
        <v>0</v>
      </c>
    </row>
    <row r="451" spans="1:4" ht="18" hidden="1" x14ac:dyDescent="0.3">
      <c r="A451" s="10" t="s">
        <v>161</v>
      </c>
      <c r="B451" s="17"/>
      <c r="C451" s="17"/>
      <c r="D451" s="8">
        <f t="shared" si="6"/>
        <v>0</v>
      </c>
    </row>
    <row r="452" spans="1:4" ht="18" hidden="1" x14ac:dyDescent="0.3">
      <c r="A452" s="10" t="s">
        <v>162</v>
      </c>
      <c r="B452" s="17"/>
      <c r="C452" s="17"/>
      <c r="D452" s="8">
        <f t="shared" ref="D452:D515" si="7">B452*C452</f>
        <v>0</v>
      </c>
    </row>
    <row r="453" spans="1:4" ht="18" hidden="1" x14ac:dyDescent="0.3">
      <c r="A453" s="10" t="s">
        <v>163</v>
      </c>
      <c r="B453" s="17"/>
      <c r="C453" s="17"/>
      <c r="D453" s="8">
        <f t="shared" si="7"/>
        <v>0</v>
      </c>
    </row>
    <row r="454" spans="1:4" ht="18" x14ac:dyDescent="0.3">
      <c r="A454" s="13" t="s">
        <v>52</v>
      </c>
      <c r="B454" s="8">
        <f>660+50</f>
        <v>710</v>
      </c>
      <c r="C454" s="8">
        <v>19000</v>
      </c>
      <c r="D454" s="8">
        <f t="shared" si="7"/>
        <v>13490000</v>
      </c>
    </row>
    <row r="455" spans="1:4" ht="18" hidden="1" x14ac:dyDescent="0.3">
      <c r="A455" s="10" t="s">
        <v>62</v>
      </c>
      <c r="B455" s="8"/>
      <c r="C455" s="8"/>
      <c r="D455" s="8">
        <f t="shared" si="7"/>
        <v>0</v>
      </c>
    </row>
    <row r="456" spans="1:4" ht="18" hidden="1" x14ac:dyDescent="0.3">
      <c r="A456" s="10" t="s">
        <v>75</v>
      </c>
      <c r="B456" s="8"/>
      <c r="C456" s="8"/>
      <c r="D456" s="8">
        <f t="shared" si="7"/>
        <v>0</v>
      </c>
    </row>
    <row r="457" spans="1:4" ht="18" hidden="1" x14ac:dyDescent="0.3">
      <c r="A457" s="13" t="s">
        <v>76</v>
      </c>
      <c r="B457" s="8"/>
      <c r="C457" s="8"/>
      <c r="D457" s="8">
        <f t="shared" si="7"/>
        <v>0</v>
      </c>
    </row>
    <row r="458" spans="1:4" ht="18" hidden="1" x14ac:dyDescent="0.3">
      <c r="A458" s="10" t="s">
        <v>15</v>
      </c>
      <c r="B458" s="8"/>
      <c r="C458" s="8"/>
      <c r="D458" s="8">
        <f t="shared" si="7"/>
        <v>0</v>
      </c>
    </row>
    <row r="459" spans="1:4" ht="18" hidden="1" x14ac:dyDescent="0.3">
      <c r="A459" s="10" t="s">
        <v>359</v>
      </c>
      <c r="B459" s="8"/>
      <c r="C459" s="8"/>
      <c r="D459" s="8">
        <f t="shared" si="7"/>
        <v>0</v>
      </c>
    </row>
    <row r="460" spans="1:4" ht="18" hidden="1" x14ac:dyDescent="0.3">
      <c r="A460" s="10" t="s">
        <v>363</v>
      </c>
      <c r="B460" s="8"/>
      <c r="C460" s="8"/>
      <c r="D460" s="8">
        <f t="shared" si="7"/>
        <v>0</v>
      </c>
    </row>
    <row r="461" spans="1:4" ht="18" x14ac:dyDescent="0.3">
      <c r="A461" s="10" t="s">
        <v>19</v>
      </c>
      <c r="B461" s="8">
        <f>270-160+600+675+695+600+120</f>
        <v>2800</v>
      </c>
      <c r="C461" s="8">
        <v>13000</v>
      </c>
      <c r="D461" s="8">
        <f t="shared" si="7"/>
        <v>36400000</v>
      </c>
    </row>
    <row r="462" spans="1:4" ht="18" hidden="1" x14ac:dyDescent="0.3">
      <c r="A462" s="10" t="s">
        <v>40</v>
      </c>
      <c r="B462" s="8"/>
      <c r="C462" s="8"/>
      <c r="D462" s="8">
        <f t="shared" si="7"/>
        <v>0</v>
      </c>
    </row>
    <row r="463" spans="1:4" ht="18" hidden="1" x14ac:dyDescent="0.3">
      <c r="A463" s="12" t="s">
        <v>48</v>
      </c>
      <c r="B463" s="8"/>
      <c r="C463" s="8"/>
      <c r="D463" s="8">
        <f t="shared" si="7"/>
        <v>0</v>
      </c>
    </row>
    <row r="464" spans="1:4" ht="18" hidden="1" x14ac:dyDescent="0.3">
      <c r="A464" s="14" t="s">
        <v>49</v>
      </c>
      <c r="B464" s="8"/>
      <c r="C464" s="8"/>
      <c r="D464" s="8">
        <f t="shared" si="7"/>
        <v>0</v>
      </c>
    </row>
    <row r="465" spans="1:4" ht="18" hidden="1" x14ac:dyDescent="0.3">
      <c r="A465" s="11" t="s">
        <v>124</v>
      </c>
      <c r="B465" s="8"/>
      <c r="C465" s="8"/>
      <c r="D465" s="8">
        <f t="shared" si="7"/>
        <v>0</v>
      </c>
    </row>
    <row r="466" spans="1:4" ht="18" hidden="1" x14ac:dyDescent="0.3">
      <c r="A466" s="14" t="s">
        <v>125</v>
      </c>
      <c r="B466" s="8"/>
      <c r="C466" s="8"/>
      <c r="D466" s="8">
        <f t="shared" si="7"/>
        <v>0</v>
      </c>
    </row>
    <row r="467" spans="1:4" ht="18" hidden="1" x14ac:dyDescent="0.3">
      <c r="A467" s="13" t="s">
        <v>126</v>
      </c>
      <c r="B467" s="17"/>
      <c r="C467" s="17"/>
      <c r="D467" s="8">
        <f t="shared" si="7"/>
        <v>0</v>
      </c>
    </row>
    <row r="468" spans="1:4" ht="18" hidden="1" x14ac:dyDescent="0.3">
      <c r="A468" s="13" t="s">
        <v>127</v>
      </c>
      <c r="B468" s="17"/>
      <c r="C468" s="17"/>
      <c r="D468" s="8">
        <f t="shared" si="7"/>
        <v>0</v>
      </c>
    </row>
    <row r="469" spans="1:4" ht="18" hidden="1" x14ac:dyDescent="0.3">
      <c r="A469" s="13" t="s">
        <v>128</v>
      </c>
      <c r="B469" s="17"/>
      <c r="C469" s="17"/>
      <c r="D469" s="8">
        <f t="shared" si="7"/>
        <v>0</v>
      </c>
    </row>
    <row r="470" spans="1:4" ht="18" hidden="1" x14ac:dyDescent="0.3">
      <c r="A470" s="13" t="s">
        <v>129</v>
      </c>
      <c r="B470" s="29"/>
      <c r="C470" s="29"/>
      <c r="D470" s="8">
        <f t="shared" si="7"/>
        <v>0</v>
      </c>
    </row>
    <row r="471" spans="1:4" ht="18" hidden="1" x14ac:dyDescent="0.3">
      <c r="A471" s="10" t="s">
        <v>148</v>
      </c>
      <c r="B471" s="17"/>
      <c r="C471" s="17"/>
      <c r="D471" s="8">
        <f t="shared" si="7"/>
        <v>0</v>
      </c>
    </row>
    <row r="472" spans="1:4" ht="18" hidden="1" x14ac:dyDescent="0.3">
      <c r="A472" s="18" t="s">
        <v>218</v>
      </c>
      <c r="B472" s="8"/>
      <c r="C472" s="8"/>
      <c r="D472" s="8">
        <f t="shared" si="7"/>
        <v>0</v>
      </c>
    </row>
    <row r="473" spans="1:4" ht="18" hidden="1" x14ac:dyDescent="0.3">
      <c r="A473" s="18" t="s">
        <v>219</v>
      </c>
      <c r="B473" s="8"/>
      <c r="C473" s="8"/>
      <c r="D473" s="8">
        <f t="shared" si="7"/>
        <v>0</v>
      </c>
    </row>
    <row r="474" spans="1:4" ht="18" hidden="1" x14ac:dyDescent="0.3">
      <c r="A474" s="18" t="s">
        <v>220</v>
      </c>
      <c r="B474" s="8"/>
      <c r="C474" s="8"/>
      <c r="D474" s="8">
        <f t="shared" si="7"/>
        <v>0</v>
      </c>
    </row>
    <row r="475" spans="1:4" ht="18" hidden="1" x14ac:dyDescent="0.3">
      <c r="A475" s="18" t="s">
        <v>221</v>
      </c>
      <c r="B475" s="8"/>
      <c r="C475" s="8"/>
      <c r="D475" s="8">
        <f t="shared" si="7"/>
        <v>0</v>
      </c>
    </row>
    <row r="476" spans="1:4" ht="18" hidden="1" x14ac:dyDescent="0.3">
      <c r="A476" s="10" t="s">
        <v>222</v>
      </c>
      <c r="B476" s="8"/>
      <c r="C476" s="8"/>
      <c r="D476" s="8">
        <f t="shared" si="7"/>
        <v>0</v>
      </c>
    </row>
    <row r="477" spans="1:4" ht="18" hidden="1" x14ac:dyDescent="0.3">
      <c r="A477" s="10" t="s">
        <v>223</v>
      </c>
      <c r="B477" s="8"/>
      <c r="C477" s="8"/>
      <c r="D477" s="8">
        <f t="shared" si="7"/>
        <v>0</v>
      </c>
    </row>
    <row r="478" spans="1:4" ht="18" hidden="1" x14ac:dyDescent="0.3">
      <c r="A478" s="18" t="s">
        <v>224</v>
      </c>
      <c r="B478" s="8"/>
      <c r="C478" s="8"/>
      <c r="D478" s="8">
        <f t="shared" si="7"/>
        <v>0</v>
      </c>
    </row>
    <row r="479" spans="1:4" ht="18" hidden="1" x14ac:dyDescent="0.3">
      <c r="A479" s="18" t="s">
        <v>225</v>
      </c>
      <c r="B479" s="8"/>
      <c r="C479" s="8"/>
      <c r="D479" s="8">
        <f t="shared" si="7"/>
        <v>0</v>
      </c>
    </row>
    <row r="480" spans="1:4" ht="18" hidden="1" x14ac:dyDescent="0.3">
      <c r="A480" s="10" t="s">
        <v>244</v>
      </c>
      <c r="B480" s="17"/>
      <c r="C480" s="17"/>
      <c r="D480" s="8">
        <f t="shared" si="7"/>
        <v>0</v>
      </c>
    </row>
    <row r="481" spans="1:4" ht="18" hidden="1" x14ac:dyDescent="0.3">
      <c r="A481" s="10" t="s">
        <v>246</v>
      </c>
      <c r="B481" s="17"/>
      <c r="C481" s="17"/>
      <c r="D481" s="8">
        <f t="shared" si="7"/>
        <v>0</v>
      </c>
    </row>
    <row r="482" spans="1:4" ht="18" hidden="1" x14ac:dyDescent="0.3">
      <c r="A482" s="13" t="s">
        <v>281</v>
      </c>
      <c r="B482" s="17"/>
      <c r="C482" s="17"/>
      <c r="D482" s="8">
        <f t="shared" si="7"/>
        <v>0</v>
      </c>
    </row>
    <row r="483" spans="1:4" ht="18" hidden="1" x14ac:dyDescent="0.3">
      <c r="A483" s="10" t="s">
        <v>293</v>
      </c>
      <c r="B483" s="8"/>
      <c r="C483" s="8"/>
      <c r="D483" s="8">
        <f t="shared" si="7"/>
        <v>0</v>
      </c>
    </row>
    <row r="484" spans="1:4" ht="18" hidden="1" x14ac:dyDescent="0.3">
      <c r="A484" s="14" t="s">
        <v>294</v>
      </c>
      <c r="B484" s="8"/>
      <c r="C484" s="8"/>
      <c r="D484" s="8">
        <f t="shared" si="7"/>
        <v>0</v>
      </c>
    </row>
    <row r="485" spans="1:4" ht="18" hidden="1" x14ac:dyDescent="0.3">
      <c r="A485" s="13" t="s">
        <v>304</v>
      </c>
      <c r="B485" s="8"/>
      <c r="C485" s="8"/>
      <c r="D485" s="8">
        <f t="shared" si="7"/>
        <v>0</v>
      </c>
    </row>
    <row r="486" spans="1:4" ht="18" x14ac:dyDescent="0.3">
      <c r="A486" s="10" t="s">
        <v>204</v>
      </c>
      <c r="B486" s="8">
        <v>540</v>
      </c>
      <c r="C486" s="8">
        <v>13000</v>
      </c>
      <c r="D486" s="8">
        <f t="shared" si="7"/>
        <v>7020000</v>
      </c>
    </row>
    <row r="487" spans="1:4" ht="18" hidden="1" x14ac:dyDescent="0.3">
      <c r="A487" s="39" t="s">
        <v>205</v>
      </c>
      <c r="B487" s="8"/>
      <c r="C487" s="8"/>
      <c r="D487" s="8">
        <f t="shared" si="7"/>
        <v>0</v>
      </c>
    </row>
    <row r="488" spans="1:4" ht="18" hidden="1" x14ac:dyDescent="0.3">
      <c r="A488" s="39" t="s">
        <v>206</v>
      </c>
      <c r="B488" s="8"/>
      <c r="C488" s="8"/>
      <c r="D488" s="8">
        <f t="shared" si="7"/>
        <v>0</v>
      </c>
    </row>
    <row r="489" spans="1:4" ht="18" hidden="1" x14ac:dyDescent="0.3">
      <c r="A489" s="10" t="s">
        <v>41</v>
      </c>
      <c r="B489" s="8"/>
      <c r="C489" s="8"/>
      <c r="D489" s="8">
        <f t="shared" si="7"/>
        <v>0</v>
      </c>
    </row>
    <row r="490" spans="1:4" ht="18" hidden="1" x14ac:dyDescent="0.3">
      <c r="A490" s="10" t="s">
        <v>278</v>
      </c>
      <c r="B490" s="8"/>
      <c r="C490" s="8"/>
      <c r="D490" s="8">
        <f t="shared" si="7"/>
        <v>0</v>
      </c>
    </row>
    <row r="491" spans="1:4" ht="18" hidden="1" x14ac:dyDescent="0.3">
      <c r="A491" s="10" t="s">
        <v>53</v>
      </c>
      <c r="B491" s="8"/>
      <c r="C491" s="8"/>
      <c r="D491" s="8">
        <f t="shared" si="7"/>
        <v>0</v>
      </c>
    </row>
    <row r="492" spans="1:4" ht="18" hidden="1" x14ac:dyDescent="0.3">
      <c r="A492" s="18" t="s">
        <v>54</v>
      </c>
      <c r="B492" s="8"/>
      <c r="C492" s="8"/>
      <c r="D492" s="8">
        <f t="shared" si="7"/>
        <v>0</v>
      </c>
    </row>
    <row r="493" spans="1:4" ht="18" hidden="1" x14ac:dyDescent="0.3">
      <c r="A493" s="18" t="s">
        <v>55</v>
      </c>
      <c r="B493" s="8"/>
      <c r="C493" s="8"/>
      <c r="D493" s="8">
        <f t="shared" si="7"/>
        <v>0</v>
      </c>
    </row>
    <row r="494" spans="1:4" ht="18" hidden="1" x14ac:dyDescent="0.3">
      <c r="A494" s="18" t="s">
        <v>56</v>
      </c>
      <c r="B494" s="8"/>
      <c r="C494" s="8"/>
      <c r="D494" s="8">
        <f t="shared" si="7"/>
        <v>0</v>
      </c>
    </row>
    <row r="495" spans="1:4" ht="18" hidden="1" x14ac:dyDescent="0.3">
      <c r="A495" s="10" t="s">
        <v>57</v>
      </c>
      <c r="B495" s="8"/>
      <c r="C495" s="8"/>
      <c r="D495" s="8">
        <f t="shared" si="7"/>
        <v>0</v>
      </c>
    </row>
    <row r="496" spans="1:4" ht="18" hidden="1" x14ac:dyDescent="0.3">
      <c r="A496" s="12" t="s">
        <v>58</v>
      </c>
      <c r="B496" s="8"/>
      <c r="C496" s="8"/>
      <c r="D496" s="8">
        <f t="shared" si="7"/>
        <v>0</v>
      </c>
    </row>
    <row r="497" spans="1:4" ht="18" hidden="1" x14ac:dyDescent="0.3">
      <c r="A497" s="10" t="s">
        <v>59</v>
      </c>
      <c r="B497" s="8"/>
      <c r="C497" s="8"/>
      <c r="D497" s="8">
        <f t="shared" si="7"/>
        <v>0</v>
      </c>
    </row>
    <row r="498" spans="1:4" ht="18" hidden="1" x14ac:dyDescent="0.3">
      <c r="A498" s="10" t="s">
        <v>60</v>
      </c>
      <c r="B498" s="8"/>
      <c r="C498" s="8"/>
      <c r="D498" s="8">
        <f t="shared" si="7"/>
        <v>0</v>
      </c>
    </row>
    <row r="499" spans="1:4" ht="18" hidden="1" x14ac:dyDescent="0.3">
      <c r="A499" s="10" t="s">
        <v>64</v>
      </c>
      <c r="B499" s="8"/>
      <c r="C499" s="8"/>
      <c r="D499" s="8">
        <f t="shared" si="7"/>
        <v>0</v>
      </c>
    </row>
    <row r="500" spans="1:4" ht="18" hidden="1" x14ac:dyDescent="0.3">
      <c r="A500" s="31" t="s">
        <v>65</v>
      </c>
      <c r="B500" s="8"/>
      <c r="C500" s="8"/>
      <c r="D500" s="8">
        <f t="shared" si="7"/>
        <v>0</v>
      </c>
    </row>
    <row r="501" spans="1:4" ht="18" hidden="1" x14ac:dyDescent="0.3">
      <c r="A501" s="22" t="s">
        <v>66</v>
      </c>
      <c r="B501" s="8"/>
      <c r="C501" s="8"/>
      <c r="D501" s="8">
        <f t="shared" si="7"/>
        <v>0</v>
      </c>
    </row>
    <row r="502" spans="1:4" ht="18" hidden="1" x14ac:dyDescent="0.3">
      <c r="A502" s="10" t="s">
        <v>152</v>
      </c>
      <c r="B502" s="8"/>
      <c r="C502" s="8"/>
      <c r="D502" s="8">
        <f t="shared" si="7"/>
        <v>0</v>
      </c>
    </row>
    <row r="503" spans="1:4" ht="18" hidden="1" x14ac:dyDescent="0.3">
      <c r="A503" s="10" t="s">
        <v>349</v>
      </c>
      <c r="B503" s="8"/>
      <c r="C503" s="8"/>
      <c r="D503" s="8">
        <f t="shared" si="7"/>
        <v>0</v>
      </c>
    </row>
    <row r="504" spans="1:4" ht="18" hidden="1" x14ac:dyDescent="0.3">
      <c r="A504" s="10" t="s">
        <v>153</v>
      </c>
      <c r="B504" s="8"/>
      <c r="C504" s="8"/>
      <c r="D504" s="8">
        <f t="shared" si="7"/>
        <v>0</v>
      </c>
    </row>
    <row r="505" spans="1:4" ht="18" hidden="1" x14ac:dyDescent="0.3">
      <c r="A505" s="10" t="s">
        <v>154</v>
      </c>
      <c r="B505" s="8"/>
      <c r="C505" s="8"/>
      <c r="D505" s="8">
        <f t="shared" si="7"/>
        <v>0</v>
      </c>
    </row>
    <row r="506" spans="1:4" ht="18" hidden="1" x14ac:dyDescent="0.3">
      <c r="A506" s="10" t="s">
        <v>155</v>
      </c>
      <c r="B506" s="8"/>
      <c r="C506" s="8"/>
      <c r="D506" s="8">
        <f t="shared" si="7"/>
        <v>0</v>
      </c>
    </row>
    <row r="507" spans="1:4" ht="18" hidden="1" x14ac:dyDescent="0.3">
      <c r="A507" s="18" t="s">
        <v>156</v>
      </c>
      <c r="B507" s="8"/>
      <c r="C507" s="8"/>
      <c r="D507" s="8">
        <f t="shared" si="7"/>
        <v>0</v>
      </c>
    </row>
    <row r="508" spans="1:4" ht="18" x14ac:dyDescent="0.3">
      <c r="A508" s="10" t="s">
        <v>77</v>
      </c>
      <c r="B508" s="8">
        <f>35+20</f>
        <v>55</v>
      </c>
      <c r="C508" s="8">
        <v>25000</v>
      </c>
      <c r="D508" s="8">
        <f t="shared" si="7"/>
        <v>1375000</v>
      </c>
    </row>
    <row r="509" spans="1:4" ht="18" hidden="1" x14ac:dyDescent="0.3">
      <c r="A509" s="14" t="s">
        <v>78</v>
      </c>
      <c r="B509" s="8"/>
      <c r="C509" s="8"/>
      <c r="D509" s="8">
        <f t="shared" si="7"/>
        <v>0</v>
      </c>
    </row>
    <row r="510" spans="1:4" ht="18" hidden="1" x14ac:dyDescent="0.3">
      <c r="A510" s="10" t="s">
        <v>79</v>
      </c>
      <c r="B510" s="8"/>
      <c r="C510" s="8"/>
      <c r="D510" s="8">
        <f t="shared" si="7"/>
        <v>0</v>
      </c>
    </row>
    <row r="511" spans="1:4" ht="18" hidden="1" x14ac:dyDescent="0.3">
      <c r="A511" s="10" t="s">
        <v>80</v>
      </c>
      <c r="B511" s="8"/>
      <c r="C511" s="8"/>
      <c r="D511" s="8">
        <f t="shared" si="7"/>
        <v>0</v>
      </c>
    </row>
    <row r="512" spans="1:4" ht="18" hidden="1" x14ac:dyDescent="0.3">
      <c r="A512" s="10" t="s">
        <v>81</v>
      </c>
      <c r="B512" s="8"/>
      <c r="C512" s="8"/>
      <c r="D512" s="8">
        <f t="shared" si="7"/>
        <v>0</v>
      </c>
    </row>
    <row r="513" spans="1:4" ht="18" hidden="1" x14ac:dyDescent="0.3">
      <c r="A513" s="14" t="s">
        <v>95</v>
      </c>
      <c r="B513" s="8"/>
      <c r="C513" s="8"/>
      <c r="D513" s="8">
        <f t="shared" si="7"/>
        <v>0</v>
      </c>
    </row>
    <row r="514" spans="1:4" ht="18" hidden="1" x14ac:dyDescent="0.3">
      <c r="A514" s="10" t="s">
        <v>306</v>
      </c>
      <c r="B514" s="8"/>
      <c r="C514" s="8"/>
      <c r="D514" s="8">
        <f t="shared" si="7"/>
        <v>0</v>
      </c>
    </row>
    <row r="515" spans="1:4" ht="18" hidden="1" x14ac:dyDescent="0.3">
      <c r="A515" s="13" t="s">
        <v>320</v>
      </c>
      <c r="B515" s="8"/>
      <c r="C515" s="8"/>
      <c r="D515" s="8">
        <f t="shared" si="7"/>
        <v>0</v>
      </c>
    </row>
    <row r="516" spans="1:4" ht="18" hidden="1" x14ac:dyDescent="0.3">
      <c r="A516" s="10" t="s">
        <v>323</v>
      </c>
      <c r="B516" s="8"/>
      <c r="C516" s="8"/>
      <c r="D516" s="8">
        <f t="shared" ref="D516:D579" si="8">B516*C516</f>
        <v>0</v>
      </c>
    </row>
    <row r="517" spans="1:4" ht="18" hidden="1" x14ac:dyDescent="0.3">
      <c r="A517" s="23" t="s">
        <v>92</v>
      </c>
      <c r="B517" s="8"/>
      <c r="C517" s="8"/>
      <c r="D517" s="8">
        <f t="shared" si="8"/>
        <v>0</v>
      </c>
    </row>
    <row r="518" spans="1:4" ht="18" hidden="1" x14ac:dyDescent="0.3">
      <c r="A518" s="23" t="s">
        <v>93</v>
      </c>
      <c r="B518" s="8"/>
      <c r="C518" s="8"/>
      <c r="D518" s="8">
        <f t="shared" si="8"/>
        <v>0</v>
      </c>
    </row>
    <row r="519" spans="1:4" ht="18" hidden="1" x14ac:dyDescent="0.3">
      <c r="A519" s="12" t="s">
        <v>94</v>
      </c>
      <c r="B519" s="8"/>
      <c r="C519" s="8"/>
      <c r="D519" s="8">
        <f t="shared" si="8"/>
        <v>0</v>
      </c>
    </row>
    <row r="520" spans="1:4" ht="18" hidden="1" x14ac:dyDescent="0.3">
      <c r="A520" s="13" t="s">
        <v>181</v>
      </c>
      <c r="B520" s="8"/>
      <c r="C520" s="8"/>
      <c r="D520" s="8">
        <f t="shared" si="8"/>
        <v>0</v>
      </c>
    </row>
    <row r="521" spans="1:4" ht="18" hidden="1" x14ac:dyDescent="0.3">
      <c r="A521" s="13" t="s">
        <v>182</v>
      </c>
      <c r="B521" s="8"/>
      <c r="C521" s="8"/>
      <c r="D521" s="8">
        <f t="shared" si="8"/>
        <v>0</v>
      </c>
    </row>
    <row r="522" spans="1:4" ht="18" x14ac:dyDescent="0.3">
      <c r="A522" s="13" t="s">
        <v>183</v>
      </c>
      <c r="B522" s="8">
        <v>40</v>
      </c>
      <c r="C522" s="8">
        <v>6000</v>
      </c>
      <c r="D522" s="8">
        <f t="shared" si="8"/>
        <v>240000</v>
      </c>
    </row>
    <row r="523" spans="1:4" ht="18" hidden="1" x14ac:dyDescent="0.3">
      <c r="A523" s="10" t="s">
        <v>184</v>
      </c>
      <c r="B523" s="8"/>
      <c r="C523" s="8"/>
      <c r="D523" s="8">
        <f t="shared" si="8"/>
        <v>0</v>
      </c>
    </row>
    <row r="524" spans="1:4" ht="18" hidden="1" x14ac:dyDescent="0.3">
      <c r="A524" s="13" t="s">
        <v>185</v>
      </c>
      <c r="B524" s="8"/>
      <c r="C524" s="8"/>
      <c r="D524" s="8">
        <f t="shared" si="8"/>
        <v>0</v>
      </c>
    </row>
    <row r="525" spans="1:4" ht="18" hidden="1" x14ac:dyDescent="0.3">
      <c r="A525" s="13" t="s">
        <v>186</v>
      </c>
      <c r="B525" s="8"/>
      <c r="C525" s="8"/>
      <c r="D525" s="8">
        <f t="shared" si="8"/>
        <v>0</v>
      </c>
    </row>
    <row r="526" spans="1:4" ht="18" hidden="1" x14ac:dyDescent="0.3">
      <c r="A526" s="13" t="s">
        <v>187</v>
      </c>
      <c r="B526" s="8"/>
      <c r="C526" s="8"/>
      <c r="D526" s="8">
        <f t="shared" si="8"/>
        <v>0</v>
      </c>
    </row>
    <row r="527" spans="1:4" ht="18" hidden="1" x14ac:dyDescent="0.3">
      <c r="A527" s="10" t="s">
        <v>188</v>
      </c>
      <c r="B527" s="8"/>
      <c r="C527" s="8"/>
      <c r="D527" s="8">
        <f t="shared" si="8"/>
        <v>0</v>
      </c>
    </row>
    <row r="528" spans="1:4" ht="18" hidden="1" x14ac:dyDescent="0.3">
      <c r="A528" s="10" t="s">
        <v>210</v>
      </c>
      <c r="B528" s="8"/>
      <c r="C528" s="8"/>
      <c r="D528" s="8">
        <f t="shared" si="8"/>
        <v>0</v>
      </c>
    </row>
    <row r="529" spans="1:4" ht="18" hidden="1" x14ac:dyDescent="0.3">
      <c r="A529" s="10" t="s">
        <v>211</v>
      </c>
      <c r="B529" s="8"/>
      <c r="C529" s="8"/>
      <c r="D529" s="8">
        <f t="shared" si="8"/>
        <v>0</v>
      </c>
    </row>
    <row r="530" spans="1:4" ht="18" hidden="1" x14ac:dyDescent="0.3">
      <c r="A530" s="10" t="s">
        <v>353</v>
      </c>
      <c r="B530" s="8"/>
      <c r="C530" s="8"/>
      <c r="D530" s="8">
        <f t="shared" si="8"/>
        <v>0</v>
      </c>
    </row>
    <row r="531" spans="1:4" ht="18" hidden="1" x14ac:dyDescent="0.3">
      <c r="A531" s="10" t="s">
        <v>354</v>
      </c>
      <c r="B531" s="8"/>
      <c r="C531" s="8"/>
      <c r="D531" s="8">
        <f t="shared" si="8"/>
        <v>0</v>
      </c>
    </row>
    <row r="532" spans="1:4" ht="18" hidden="1" x14ac:dyDescent="0.3">
      <c r="A532" s="10" t="s">
        <v>105</v>
      </c>
      <c r="B532" s="8"/>
      <c r="C532" s="8"/>
      <c r="D532" s="8">
        <f t="shared" si="8"/>
        <v>0</v>
      </c>
    </row>
    <row r="533" spans="1:4" ht="18" hidden="1" x14ac:dyDescent="0.3">
      <c r="A533" s="10" t="s">
        <v>106</v>
      </c>
      <c r="B533" s="8"/>
      <c r="C533" s="8"/>
      <c r="D533" s="8">
        <f t="shared" si="8"/>
        <v>0</v>
      </c>
    </row>
    <row r="534" spans="1:4" ht="18" hidden="1" x14ac:dyDescent="0.3">
      <c r="A534" s="10" t="s">
        <v>90</v>
      </c>
      <c r="B534" s="8"/>
      <c r="C534" s="8"/>
      <c r="D534" s="8">
        <f t="shared" si="8"/>
        <v>0</v>
      </c>
    </row>
    <row r="535" spans="1:4" ht="18" hidden="1" x14ac:dyDescent="0.3">
      <c r="A535" s="23" t="s">
        <v>91</v>
      </c>
      <c r="B535" s="8"/>
      <c r="C535" s="8"/>
      <c r="D535" s="8">
        <f t="shared" si="8"/>
        <v>0</v>
      </c>
    </row>
    <row r="536" spans="1:4" ht="18" x14ac:dyDescent="0.3">
      <c r="A536" s="6" t="s">
        <v>5</v>
      </c>
      <c r="B536" s="8">
        <v>200</v>
      </c>
      <c r="C536" s="8">
        <v>7300</v>
      </c>
      <c r="D536" s="8">
        <f t="shared" si="8"/>
        <v>1460000</v>
      </c>
    </row>
    <row r="537" spans="1:4" ht="18" hidden="1" x14ac:dyDescent="0.3">
      <c r="A537" s="10" t="s">
        <v>6</v>
      </c>
      <c r="B537" s="8"/>
      <c r="C537" s="8"/>
      <c r="D537" s="8">
        <f t="shared" si="8"/>
        <v>0</v>
      </c>
    </row>
    <row r="538" spans="1:4" ht="18" hidden="1" x14ac:dyDescent="0.3">
      <c r="A538" s="6" t="s">
        <v>9</v>
      </c>
      <c r="B538" s="8"/>
      <c r="C538" s="8"/>
      <c r="D538" s="8">
        <f t="shared" si="8"/>
        <v>0</v>
      </c>
    </row>
    <row r="539" spans="1:4" ht="18" hidden="1" x14ac:dyDescent="0.3">
      <c r="A539" s="10" t="s">
        <v>350</v>
      </c>
      <c r="B539" s="8"/>
      <c r="C539" s="8"/>
      <c r="D539" s="8">
        <f t="shared" si="8"/>
        <v>0</v>
      </c>
    </row>
    <row r="540" spans="1:4" ht="18" hidden="1" x14ac:dyDescent="0.3">
      <c r="A540" s="13" t="s">
        <v>167</v>
      </c>
      <c r="B540" s="8"/>
      <c r="C540" s="8"/>
      <c r="D540" s="8">
        <f t="shared" si="8"/>
        <v>0</v>
      </c>
    </row>
    <row r="541" spans="1:4" ht="18" hidden="1" x14ac:dyDescent="0.3">
      <c r="A541" s="10" t="s">
        <v>168</v>
      </c>
      <c r="B541" s="8"/>
      <c r="C541" s="8"/>
      <c r="D541" s="8">
        <f t="shared" si="8"/>
        <v>0</v>
      </c>
    </row>
    <row r="542" spans="1:4" ht="18" hidden="1" x14ac:dyDescent="0.3">
      <c r="A542" s="10" t="s">
        <v>170</v>
      </c>
      <c r="B542" s="8"/>
      <c r="C542" s="8"/>
      <c r="D542" s="8">
        <f t="shared" si="8"/>
        <v>0</v>
      </c>
    </row>
    <row r="543" spans="1:4" ht="18" hidden="1" x14ac:dyDescent="0.3">
      <c r="A543" s="10" t="s">
        <v>171</v>
      </c>
      <c r="B543" s="8"/>
      <c r="C543" s="8"/>
      <c r="D543" s="8">
        <f t="shared" si="8"/>
        <v>0</v>
      </c>
    </row>
    <row r="544" spans="1:4" ht="18" hidden="1" x14ac:dyDescent="0.3">
      <c r="A544" s="22" t="s">
        <v>172</v>
      </c>
      <c r="B544" s="8"/>
      <c r="C544" s="8"/>
      <c r="D544" s="8">
        <f t="shared" si="8"/>
        <v>0</v>
      </c>
    </row>
    <row r="545" spans="1:4" ht="18" hidden="1" x14ac:dyDescent="0.3">
      <c r="A545" s="13" t="s">
        <v>227</v>
      </c>
      <c r="B545" s="8"/>
      <c r="C545" s="8"/>
      <c r="D545" s="8">
        <f t="shared" si="8"/>
        <v>0</v>
      </c>
    </row>
    <row r="546" spans="1:4" ht="18" hidden="1" x14ac:dyDescent="0.3">
      <c r="A546" s="13" t="s">
        <v>14</v>
      </c>
      <c r="B546" s="8"/>
      <c r="C546" s="8"/>
      <c r="D546" s="8">
        <f t="shared" si="8"/>
        <v>0</v>
      </c>
    </row>
    <row r="547" spans="1:4" ht="18" hidden="1" x14ac:dyDescent="0.3">
      <c r="A547" s="12" t="s">
        <v>343</v>
      </c>
      <c r="B547" s="8"/>
      <c r="C547" s="8"/>
      <c r="D547" s="8">
        <f t="shared" si="8"/>
        <v>0</v>
      </c>
    </row>
    <row r="548" spans="1:4" ht="18" hidden="1" x14ac:dyDescent="0.3">
      <c r="A548" s="12" t="s">
        <v>344</v>
      </c>
      <c r="B548" s="8"/>
      <c r="C548" s="8"/>
      <c r="D548" s="8">
        <f t="shared" si="8"/>
        <v>0</v>
      </c>
    </row>
    <row r="549" spans="1:4" ht="18" hidden="1" x14ac:dyDescent="0.3">
      <c r="A549" s="12" t="s">
        <v>345</v>
      </c>
      <c r="B549" s="8"/>
      <c r="C549" s="8"/>
      <c r="D549" s="8">
        <f t="shared" si="8"/>
        <v>0</v>
      </c>
    </row>
    <row r="550" spans="1:4" ht="18" hidden="1" x14ac:dyDescent="0.3">
      <c r="A550" s="12" t="s">
        <v>346</v>
      </c>
      <c r="B550" s="8"/>
      <c r="C550" s="8"/>
      <c r="D550" s="8">
        <f t="shared" si="8"/>
        <v>0</v>
      </c>
    </row>
    <row r="551" spans="1:4" ht="18" hidden="1" x14ac:dyDescent="0.3">
      <c r="A551" s="10" t="s">
        <v>114</v>
      </c>
      <c r="B551" s="8"/>
      <c r="C551" s="8"/>
      <c r="D551" s="8">
        <f t="shared" si="8"/>
        <v>0</v>
      </c>
    </row>
    <row r="552" spans="1:4" ht="18" hidden="1" x14ac:dyDescent="0.3">
      <c r="A552" s="10" t="s">
        <v>115</v>
      </c>
      <c r="B552" s="8"/>
      <c r="C552" s="8"/>
      <c r="D552" s="8">
        <f t="shared" si="8"/>
        <v>0</v>
      </c>
    </row>
    <row r="553" spans="1:4" ht="18" hidden="1" x14ac:dyDescent="0.3">
      <c r="A553" s="10" t="s">
        <v>347</v>
      </c>
      <c r="B553" s="8"/>
      <c r="C553" s="8"/>
      <c r="D553" s="8">
        <f t="shared" si="8"/>
        <v>0</v>
      </c>
    </row>
    <row r="554" spans="1:4" ht="18" hidden="1" x14ac:dyDescent="0.3">
      <c r="A554" s="10" t="s">
        <v>116</v>
      </c>
      <c r="B554" s="8"/>
      <c r="C554" s="8"/>
      <c r="D554" s="8">
        <f t="shared" si="8"/>
        <v>0</v>
      </c>
    </row>
    <row r="555" spans="1:4" ht="18" hidden="1" x14ac:dyDescent="0.3">
      <c r="A555" s="13" t="s">
        <v>137</v>
      </c>
      <c r="B555" s="8"/>
      <c r="C555" s="8"/>
      <c r="D555" s="8">
        <f t="shared" si="8"/>
        <v>0</v>
      </c>
    </row>
    <row r="556" spans="1:4" ht="18" hidden="1" x14ac:dyDescent="0.3">
      <c r="A556" s="13" t="s">
        <v>138</v>
      </c>
      <c r="B556" s="8"/>
      <c r="C556" s="8"/>
      <c r="D556" s="8">
        <f t="shared" si="8"/>
        <v>0</v>
      </c>
    </row>
    <row r="557" spans="1:4" ht="18" hidden="1" x14ac:dyDescent="0.3">
      <c r="A557" s="10" t="s">
        <v>139</v>
      </c>
      <c r="B557" s="8"/>
      <c r="C557" s="8"/>
      <c r="D557" s="8">
        <f t="shared" si="8"/>
        <v>0</v>
      </c>
    </row>
    <row r="558" spans="1:4" ht="18" hidden="1" x14ac:dyDescent="0.3">
      <c r="A558" s="10" t="s">
        <v>348</v>
      </c>
      <c r="B558" s="8"/>
      <c r="C558" s="8"/>
      <c r="D558" s="8">
        <f t="shared" si="8"/>
        <v>0</v>
      </c>
    </row>
    <row r="559" spans="1:4" ht="18" hidden="1" x14ac:dyDescent="0.3">
      <c r="A559" s="10" t="s">
        <v>207</v>
      </c>
      <c r="B559" s="8"/>
      <c r="C559" s="8"/>
      <c r="D559" s="8">
        <f t="shared" si="8"/>
        <v>0</v>
      </c>
    </row>
    <row r="560" spans="1:4" ht="18" hidden="1" x14ac:dyDescent="0.3">
      <c r="A560" s="12" t="s">
        <v>208</v>
      </c>
      <c r="B560" s="8"/>
      <c r="C560" s="8"/>
      <c r="D560" s="8">
        <f t="shared" si="8"/>
        <v>0</v>
      </c>
    </row>
    <row r="561" spans="1:4" ht="18" hidden="1" x14ac:dyDescent="0.3">
      <c r="A561" s="10" t="s">
        <v>209</v>
      </c>
      <c r="B561" s="8"/>
      <c r="C561" s="8"/>
      <c r="D561" s="8">
        <f t="shared" si="8"/>
        <v>0</v>
      </c>
    </row>
    <row r="562" spans="1:4" ht="18" hidden="1" x14ac:dyDescent="0.3">
      <c r="A562" s="12" t="s">
        <v>352</v>
      </c>
      <c r="B562" s="8"/>
      <c r="C562" s="8"/>
      <c r="D562" s="8">
        <f t="shared" si="8"/>
        <v>0</v>
      </c>
    </row>
    <row r="563" spans="1:4" ht="18" hidden="1" x14ac:dyDescent="0.3">
      <c r="A563" s="10" t="s">
        <v>247</v>
      </c>
      <c r="B563" s="8"/>
      <c r="C563" s="8"/>
      <c r="D563" s="8">
        <f t="shared" si="8"/>
        <v>0</v>
      </c>
    </row>
    <row r="564" spans="1:4" ht="18" hidden="1" x14ac:dyDescent="0.3">
      <c r="A564" s="10" t="s">
        <v>267</v>
      </c>
      <c r="B564" s="8"/>
      <c r="C564" s="8"/>
      <c r="D564" s="8">
        <f t="shared" si="8"/>
        <v>0</v>
      </c>
    </row>
    <row r="565" spans="1:4" ht="18" hidden="1" x14ac:dyDescent="0.3">
      <c r="A565" s="10" t="s">
        <v>271</v>
      </c>
      <c r="B565" s="8"/>
      <c r="C565" s="8"/>
      <c r="D565" s="8">
        <f t="shared" si="8"/>
        <v>0</v>
      </c>
    </row>
    <row r="566" spans="1:4" ht="18" hidden="1" x14ac:dyDescent="0.3">
      <c r="A566" s="10" t="s">
        <v>299</v>
      </c>
      <c r="B566" s="8"/>
      <c r="C566" s="8"/>
      <c r="D566" s="8">
        <f t="shared" si="8"/>
        <v>0</v>
      </c>
    </row>
    <row r="567" spans="1:4" ht="18" hidden="1" x14ac:dyDescent="0.3">
      <c r="A567" s="18" t="s">
        <v>300</v>
      </c>
      <c r="B567" s="8"/>
      <c r="C567" s="8"/>
      <c r="D567" s="8">
        <f t="shared" si="8"/>
        <v>0</v>
      </c>
    </row>
    <row r="568" spans="1:4" ht="18" hidden="1" x14ac:dyDescent="0.3">
      <c r="A568" s="13" t="s">
        <v>361</v>
      </c>
      <c r="B568" s="8"/>
      <c r="C568" s="8"/>
      <c r="D568" s="8">
        <f t="shared" si="8"/>
        <v>0</v>
      </c>
    </row>
    <row r="569" spans="1:4" ht="18" hidden="1" x14ac:dyDescent="0.3">
      <c r="A569" s="12" t="s">
        <v>342</v>
      </c>
      <c r="B569" s="8"/>
      <c r="C569" s="8"/>
      <c r="D569" s="8">
        <f t="shared" si="8"/>
        <v>0</v>
      </c>
    </row>
    <row r="570" spans="1:4" ht="18" hidden="1" x14ac:dyDescent="0.3">
      <c r="A570" s="10" t="s">
        <v>36</v>
      </c>
      <c r="B570" s="8"/>
      <c r="C570" s="8"/>
      <c r="D570" s="8">
        <f t="shared" si="8"/>
        <v>0</v>
      </c>
    </row>
    <row r="571" spans="1:4" ht="18" hidden="1" x14ac:dyDescent="0.3">
      <c r="A571" s="10" t="s">
        <v>37</v>
      </c>
      <c r="B571" s="8"/>
      <c r="C571" s="8"/>
      <c r="D571" s="8">
        <f t="shared" si="8"/>
        <v>0</v>
      </c>
    </row>
    <row r="572" spans="1:4" ht="18" hidden="1" x14ac:dyDescent="0.3">
      <c r="A572" s="12" t="s">
        <v>38</v>
      </c>
      <c r="B572" s="17"/>
      <c r="C572" s="17"/>
      <c r="D572" s="8">
        <f t="shared" si="8"/>
        <v>0</v>
      </c>
    </row>
    <row r="573" spans="1:4" ht="18" hidden="1" x14ac:dyDescent="0.3">
      <c r="A573" s="12" t="s">
        <v>39</v>
      </c>
      <c r="B573" s="17"/>
      <c r="C573" s="17"/>
      <c r="D573" s="8">
        <f t="shared" si="8"/>
        <v>0</v>
      </c>
    </row>
    <row r="574" spans="1:4" ht="18" hidden="1" x14ac:dyDescent="0.3">
      <c r="A574" s="18" t="s">
        <v>255</v>
      </c>
      <c r="B574" s="8"/>
      <c r="C574" s="8"/>
      <c r="D574" s="8">
        <f t="shared" si="8"/>
        <v>0</v>
      </c>
    </row>
    <row r="575" spans="1:4" ht="18" hidden="1" x14ac:dyDescent="0.3">
      <c r="A575" s="23" t="s">
        <v>256</v>
      </c>
      <c r="B575" s="8"/>
      <c r="C575" s="8"/>
      <c r="D575" s="8">
        <f t="shared" si="8"/>
        <v>0</v>
      </c>
    </row>
    <row r="576" spans="1:4" ht="18" hidden="1" x14ac:dyDescent="0.3">
      <c r="A576" s="23" t="s">
        <v>257</v>
      </c>
      <c r="B576" s="8"/>
      <c r="C576" s="8"/>
      <c r="D576" s="8">
        <f t="shared" si="8"/>
        <v>0</v>
      </c>
    </row>
    <row r="577" spans="1:4" ht="18" hidden="1" x14ac:dyDescent="0.3">
      <c r="A577" s="12" t="s">
        <v>268</v>
      </c>
      <c r="B577" s="8"/>
      <c r="C577" s="8"/>
      <c r="D577" s="8">
        <f t="shared" si="8"/>
        <v>0</v>
      </c>
    </row>
    <row r="578" spans="1:4" ht="18" hidden="1" x14ac:dyDescent="0.3">
      <c r="A578" s="12" t="s">
        <v>269</v>
      </c>
      <c r="B578" s="8"/>
      <c r="C578" s="8"/>
      <c r="D578" s="8">
        <f t="shared" si="8"/>
        <v>0</v>
      </c>
    </row>
    <row r="579" spans="1:4" ht="18" hidden="1" x14ac:dyDescent="0.3">
      <c r="A579" s="10" t="s">
        <v>270</v>
      </c>
      <c r="B579" s="8"/>
      <c r="C579" s="8"/>
      <c r="D579" s="8">
        <f t="shared" si="8"/>
        <v>0</v>
      </c>
    </row>
    <row r="580" spans="1:4" ht="18" hidden="1" x14ac:dyDescent="0.3">
      <c r="A580" s="10" t="s">
        <v>358</v>
      </c>
      <c r="B580" s="8"/>
      <c r="C580" s="8"/>
      <c r="D580" s="8">
        <f t="shared" ref="D580:D643" si="9">B580*C580</f>
        <v>0</v>
      </c>
    </row>
    <row r="581" spans="1:4" ht="18" hidden="1" x14ac:dyDescent="0.3">
      <c r="A581" s="10" t="s">
        <v>273</v>
      </c>
      <c r="B581" s="8"/>
      <c r="C581" s="8"/>
      <c r="D581" s="8">
        <f t="shared" si="9"/>
        <v>0</v>
      </c>
    </row>
    <row r="582" spans="1:4" ht="18" hidden="1" x14ac:dyDescent="0.3">
      <c r="A582" s="18" t="s">
        <v>284</v>
      </c>
      <c r="B582" s="8"/>
      <c r="C582" s="8"/>
      <c r="D582" s="8">
        <f t="shared" si="9"/>
        <v>0</v>
      </c>
    </row>
    <row r="583" spans="1:4" ht="18" hidden="1" x14ac:dyDescent="0.3">
      <c r="A583" s="13" t="s">
        <v>178</v>
      </c>
      <c r="B583" s="8"/>
      <c r="C583" s="8"/>
      <c r="D583" s="8">
        <f t="shared" si="9"/>
        <v>0</v>
      </c>
    </row>
    <row r="584" spans="1:4" ht="18" hidden="1" x14ac:dyDescent="0.3">
      <c r="A584" s="10" t="s">
        <v>179</v>
      </c>
      <c r="B584" s="8"/>
      <c r="C584" s="8"/>
      <c r="D584" s="8">
        <f t="shared" si="9"/>
        <v>0</v>
      </c>
    </row>
    <row r="585" spans="1:4" ht="18" hidden="1" x14ac:dyDescent="0.3">
      <c r="A585" s="10" t="s">
        <v>180</v>
      </c>
      <c r="B585" s="8"/>
      <c r="C585" s="8"/>
      <c r="D585" s="8">
        <f t="shared" si="9"/>
        <v>0</v>
      </c>
    </row>
    <row r="586" spans="1:4" ht="18" hidden="1" x14ac:dyDescent="0.3">
      <c r="A586" s="13" t="s">
        <v>305</v>
      </c>
      <c r="B586" s="8"/>
      <c r="C586" s="8"/>
      <c r="D586" s="8">
        <f t="shared" si="9"/>
        <v>0</v>
      </c>
    </row>
    <row r="587" spans="1:4" ht="18" hidden="1" x14ac:dyDescent="0.3">
      <c r="A587" s="10" t="s">
        <v>307</v>
      </c>
      <c r="B587" s="8"/>
      <c r="C587" s="8"/>
      <c r="D587" s="8">
        <f t="shared" si="9"/>
        <v>0</v>
      </c>
    </row>
    <row r="588" spans="1:4" ht="18" hidden="1" x14ac:dyDescent="0.3">
      <c r="A588" s="10" t="s">
        <v>308</v>
      </c>
      <c r="B588" s="8"/>
      <c r="C588" s="8"/>
      <c r="D588" s="8">
        <f t="shared" si="9"/>
        <v>0</v>
      </c>
    </row>
    <row r="589" spans="1:4" ht="18" hidden="1" x14ac:dyDescent="0.3">
      <c r="A589" s="23" t="s">
        <v>311</v>
      </c>
      <c r="B589" s="8"/>
      <c r="C589" s="8"/>
      <c r="D589" s="8">
        <f t="shared" si="9"/>
        <v>0</v>
      </c>
    </row>
    <row r="590" spans="1:4" ht="18" hidden="1" x14ac:dyDescent="0.3">
      <c r="A590" s="10" t="s">
        <v>313</v>
      </c>
      <c r="B590" s="8"/>
      <c r="C590" s="8"/>
      <c r="D590" s="8">
        <f t="shared" si="9"/>
        <v>0</v>
      </c>
    </row>
    <row r="591" spans="1:4" ht="18" hidden="1" x14ac:dyDescent="0.3">
      <c r="A591" s="10" t="s">
        <v>314</v>
      </c>
      <c r="B591" s="8"/>
      <c r="C591" s="8"/>
      <c r="D591" s="8">
        <f t="shared" si="9"/>
        <v>0</v>
      </c>
    </row>
    <row r="592" spans="1:4" ht="18" hidden="1" x14ac:dyDescent="0.3">
      <c r="A592" s="10" t="s">
        <v>315</v>
      </c>
      <c r="B592" s="8"/>
      <c r="C592" s="8"/>
      <c r="D592" s="8">
        <f t="shared" si="9"/>
        <v>0</v>
      </c>
    </row>
    <row r="593" spans="1:4" ht="18" hidden="1" x14ac:dyDescent="0.3">
      <c r="A593" s="10" t="s">
        <v>316</v>
      </c>
      <c r="B593" s="8"/>
      <c r="C593" s="8"/>
      <c r="D593" s="8">
        <f t="shared" si="9"/>
        <v>0</v>
      </c>
    </row>
    <row r="594" spans="1:4" ht="18" hidden="1" x14ac:dyDescent="0.3">
      <c r="A594" s="23" t="s">
        <v>317</v>
      </c>
      <c r="B594" s="8"/>
      <c r="C594" s="8"/>
      <c r="D594" s="8">
        <f t="shared" si="9"/>
        <v>0</v>
      </c>
    </row>
    <row r="595" spans="1:4" ht="18" hidden="1" x14ac:dyDescent="0.3">
      <c r="A595" s="10" t="s">
        <v>318</v>
      </c>
      <c r="B595" s="8"/>
      <c r="C595" s="8"/>
      <c r="D595" s="8">
        <f t="shared" si="9"/>
        <v>0</v>
      </c>
    </row>
    <row r="596" spans="1:4" ht="18" hidden="1" x14ac:dyDescent="0.3">
      <c r="A596" s="10" t="s">
        <v>322</v>
      </c>
      <c r="B596" s="8"/>
      <c r="C596" s="8"/>
      <c r="D596" s="8">
        <f t="shared" si="9"/>
        <v>0</v>
      </c>
    </row>
    <row r="597" spans="1:4" ht="18" hidden="1" x14ac:dyDescent="0.3">
      <c r="A597" s="23" t="s">
        <v>324</v>
      </c>
      <c r="B597" s="8"/>
      <c r="C597" s="8"/>
      <c r="D597" s="8">
        <f t="shared" si="9"/>
        <v>0</v>
      </c>
    </row>
    <row r="598" spans="1:4" ht="18" hidden="1" x14ac:dyDescent="0.3">
      <c r="A598" s="23" t="s">
        <v>325</v>
      </c>
      <c r="B598" s="8"/>
      <c r="C598" s="8"/>
      <c r="D598" s="8">
        <f t="shared" si="9"/>
        <v>0</v>
      </c>
    </row>
    <row r="599" spans="1:4" ht="18" hidden="1" x14ac:dyDescent="0.3">
      <c r="A599" s="10" t="s">
        <v>326</v>
      </c>
      <c r="B599" s="8"/>
      <c r="C599" s="8"/>
      <c r="D599" s="8">
        <f t="shared" si="9"/>
        <v>0</v>
      </c>
    </row>
    <row r="600" spans="1:4" ht="18" hidden="1" x14ac:dyDescent="0.3">
      <c r="A600" s="10" t="s">
        <v>327</v>
      </c>
      <c r="B600" s="8"/>
      <c r="C600" s="8"/>
      <c r="D600" s="8">
        <f t="shared" si="9"/>
        <v>0</v>
      </c>
    </row>
    <row r="601" spans="1:4" ht="18" hidden="1" x14ac:dyDescent="0.3">
      <c r="A601" s="23" t="s">
        <v>328</v>
      </c>
      <c r="B601" s="8"/>
      <c r="C601" s="8"/>
      <c r="D601" s="8">
        <f t="shared" si="9"/>
        <v>0</v>
      </c>
    </row>
    <row r="602" spans="1:4" ht="18" hidden="1" x14ac:dyDescent="0.3">
      <c r="A602" s="10" t="s">
        <v>329</v>
      </c>
      <c r="B602" s="8"/>
      <c r="C602" s="8"/>
      <c r="D602" s="8">
        <f t="shared" si="9"/>
        <v>0</v>
      </c>
    </row>
    <row r="603" spans="1:4" ht="18" hidden="1" x14ac:dyDescent="0.3">
      <c r="A603" s="10" t="s">
        <v>330</v>
      </c>
      <c r="B603" s="8"/>
      <c r="C603" s="8"/>
      <c r="D603" s="8">
        <f t="shared" si="9"/>
        <v>0</v>
      </c>
    </row>
    <row r="604" spans="1:4" ht="18" hidden="1" x14ac:dyDescent="0.3">
      <c r="A604" s="10" t="s">
        <v>331</v>
      </c>
      <c r="B604" s="8"/>
      <c r="C604" s="8"/>
      <c r="D604" s="8">
        <f t="shared" si="9"/>
        <v>0</v>
      </c>
    </row>
    <row r="605" spans="1:4" ht="18" hidden="1" x14ac:dyDescent="0.3">
      <c r="A605" s="10" t="s">
        <v>332</v>
      </c>
      <c r="B605" s="8"/>
      <c r="C605" s="8"/>
      <c r="D605" s="8">
        <f t="shared" si="9"/>
        <v>0</v>
      </c>
    </row>
    <row r="606" spans="1:4" ht="18" hidden="1" x14ac:dyDescent="0.3">
      <c r="A606" s="10" t="s">
        <v>333</v>
      </c>
      <c r="B606" s="8"/>
      <c r="C606" s="8"/>
      <c r="D606" s="8">
        <f t="shared" si="9"/>
        <v>0</v>
      </c>
    </row>
    <row r="607" spans="1:4" ht="18" hidden="1" x14ac:dyDescent="0.3">
      <c r="A607" s="10" t="s">
        <v>334</v>
      </c>
      <c r="B607" s="8"/>
      <c r="C607" s="8"/>
      <c r="D607" s="8">
        <f t="shared" si="9"/>
        <v>0</v>
      </c>
    </row>
    <row r="608" spans="1:4" ht="18" hidden="1" x14ac:dyDescent="0.3">
      <c r="A608" s="10" t="s">
        <v>335</v>
      </c>
      <c r="B608" s="8"/>
      <c r="C608" s="8"/>
      <c r="D608" s="8">
        <f t="shared" si="9"/>
        <v>0</v>
      </c>
    </row>
    <row r="609" spans="1:4" ht="18" hidden="1" x14ac:dyDescent="0.3">
      <c r="A609" s="10" t="s">
        <v>336</v>
      </c>
      <c r="B609" s="8"/>
      <c r="C609" s="8"/>
      <c r="D609" s="8">
        <f t="shared" si="9"/>
        <v>0</v>
      </c>
    </row>
    <row r="610" spans="1:4" ht="18" hidden="1" x14ac:dyDescent="0.3">
      <c r="A610" s="10" t="s">
        <v>287</v>
      </c>
      <c r="B610" s="8"/>
      <c r="C610" s="8"/>
      <c r="D610" s="8">
        <f t="shared" si="9"/>
        <v>0</v>
      </c>
    </row>
    <row r="611" spans="1:4" ht="18" hidden="1" x14ac:dyDescent="0.3">
      <c r="A611" s="18" t="s">
        <v>288</v>
      </c>
      <c r="B611" s="8"/>
      <c r="C611" s="8"/>
      <c r="D611" s="8">
        <f t="shared" si="9"/>
        <v>0</v>
      </c>
    </row>
    <row r="612" spans="1:4" ht="18" hidden="1" x14ac:dyDescent="0.3">
      <c r="A612" s="10" t="s">
        <v>289</v>
      </c>
      <c r="B612" s="8"/>
      <c r="C612" s="8"/>
      <c r="D612" s="8">
        <f t="shared" si="9"/>
        <v>0</v>
      </c>
    </row>
    <row r="613" spans="1:4" ht="18" hidden="1" x14ac:dyDescent="0.3">
      <c r="A613" s="10" t="s">
        <v>22</v>
      </c>
      <c r="B613" s="8"/>
      <c r="C613" s="8"/>
      <c r="D613" s="8">
        <f t="shared" si="9"/>
        <v>0</v>
      </c>
    </row>
    <row r="614" spans="1:4" ht="18" hidden="1" x14ac:dyDescent="0.3">
      <c r="A614" s="10" t="s">
        <v>23</v>
      </c>
      <c r="B614" s="8"/>
      <c r="C614" s="8"/>
      <c r="D614" s="8">
        <f t="shared" si="9"/>
        <v>0</v>
      </c>
    </row>
    <row r="615" spans="1:4" ht="18" hidden="1" x14ac:dyDescent="0.3">
      <c r="A615" s="10" t="s">
        <v>24</v>
      </c>
      <c r="B615" s="8"/>
      <c r="C615" s="8"/>
      <c r="D615" s="8">
        <f t="shared" si="9"/>
        <v>0</v>
      </c>
    </row>
    <row r="616" spans="1:4" ht="18" hidden="1" x14ac:dyDescent="0.3">
      <c r="A616" s="10" t="s">
        <v>25</v>
      </c>
      <c r="B616" s="8"/>
      <c r="C616" s="8"/>
      <c r="D616" s="8">
        <f t="shared" si="9"/>
        <v>0</v>
      </c>
    </row>
    <row r="617" spans="1:4" ht="18" hidden="1" x14ac:dyDescent="0.3">
      <c r="A617" s="10" t="s">
        <v>26</v>
      </c>
      <c r="B617" s="8"/>
      <c r="C617" s="8"/>
      <c r="D617" s="8">
        <f t="shared" si="9"/>
        <v>0</v>
      </c>
    </row>
    <row r="618" spans="1:4" ht="18" hidden="1" x14ac:dyDescent="0.3">
      <c r="A618" s="10" t="s">
        <v>45</v>
      </c>
      <c r="B618" s="8"/>
      <c r="C618" s="8"/>
      <c r="D618" s="8">
        <f t="shared" si="9"/>
        <v>0</v>
      </c>
    </row>
    <row r="619" spans="1:4" ht="18" hidden="1" x14ac:dyDescent="0.3">
      <c r="A619" s="10" t="s">
        <v>46</v>
      </c>
      <c r="B619" s="8"/>
      <c r="C619" s="8"/>
      <c r="D619" s="8">
        <f t="shared" si="9"/>
        <v>0</v>
      </c>
    </row>
    <row r="620" spans="1:4" ht="18" hidden="1" x14ac:dyDescent="0.3">
      <c r="A620" s="14" t="s">
        <v>47</v>
      </c>
      <c r="B620" s="8"/>
      <c r="C620" s="8"/>
      <c r="D620" s="8">
        <f t="shared" si="9"/>
        <v>0</v>
      </c>
    </row>
    <row r="621" spans="1:4" ht="18" hidden="1" x14ac:dyDescent="0.3">
      <c r="A621" s="10" t="s">
        <v>50</v>
      </c>
      <c r="B621" s="8"/>
      <c r="C621" s="8"/>
      <c r="D621" s="8">
        <f t="shared" si="9"/>
        <v>0</v>
      </c>
    </row>
    <row r="622" spans="1:4" ht="18" hidden="1" x14ac:dyDescent="0.3">
      <c r="A622" s="10" t="s">
        <v>51</v>
      </c>
      <c r="B622" s="8"/>
      <c r="C622" s="8"/>
      <c r="D622" s="8">
        <f t="shared" si="9"/>
        <v>0</v>
      </c>
    </row>
    <row r="623" spans="1:4" ht="18" hidden="1" x14ac:dyDescent="0.3">
      <c r="A623" s="30" t="s">
        <v>130</v>
      </c>
      <c r="B623" s="8"/>
      <c r="C623" s="8"/>
      <c r="D623" s="8">
        <f t="shared" si="9"/>
        <v>0</v>
      </c>
    </row>
    <row r="624" spans="1:4" ht="18" hidden="1" x14ac:dyDescent="0.3">
      <c r="A624" s="13" t="s">
        <v>131</v>
      </c>
      <c r="B624" s="17"/>
      <c r="C624" s="17"/>
      <c r="D624" s="8">
        <f t="shared" si="9"/>
        <v>0</v>
      </c>
    </row>
    <row r="625" spans="1:4" ht="18" x14ac:dyDescent="0.3">
      <c r="A625" s="10" t="s">
        <v>132</v>
      </c>
      <c r="B625" s="8">
        <v>20</v>
      </c>
      <c r="C625" s="8">
        <v>9000</v>
      </c>
      <c r="D625" s="8">
        <f t="shared" si="9"/>
        <v>180000</v>
      </c>
    </row>
    <row r="626" spans="1:4" ht="18" hidden="1" x14ac:dyDescent="0.3">
      <c r="A626" s="10" t="s">
        <v>133</v>
      </c>
      <c r="B626" s="8"/>
      <c r="C626" s="8"/>
      <c r="D626" s="8">
        <f t="shared" si="9"/>
        <v>0</v>
      </c>
    </row>
    <row r="627" spans="1:4" ht="18" hidden="1" x14ac:dyDescent="0.3">
      <c r="A627" s="10" t="s">
        <v>290</v>
      </c>
      <c r="B627" s="8"/>
      <c r="C627" s="8"/>
      <c r="D627" s="8">
        <f t="shared" si="9"/>
        <v>0</v>
      </c>
    </row>
    <row r="628" spans="1:4" ht="18" hidden="1" x14ac:dyDescent="0.3">
      <c r="A628" s="18" t="s">
        <v>291</v>
      </c>
      <c r="B628" s="8"/>
      <c r="C628" s="8"/>
      <c r="D628" s="8">
        <f t="shared" si="9"/>
        <v>0</v>
      </c>
    </row>
    <row r="629" spans="1:4" ht="18" hidden="1" x14ac:dyDescent="0.3">
      <c r="A629" s="10" t="s">
        <v>16</v>
      </c>
      <c r="B629" s="8"/>
      <c r="C629" s="8"/>
      <c r="D629" s="8">
        <f t="shared" si="9"/>
        <v>0</v>
      </c>
    </row>
    <row r="630" spans="1:4" ht="18" hidden="1" x14ac:dyDescent="0.3">
      <c r="A630" s="14" t="s">
        <v>17</v>
      </c>
      <c r="B630" s="8"/>
      <c r="C630" s="8"/>
      <c r="D630" s="8">
        <f t="shared" si="9"/>
        <v>0</v>
      </c>
    </row>
    <row r="631" spans="1:4" ht="18" hidden="1" x14ac:dyDescent="0.3">
      <c r="A631" s="12" t="s">
        <v>18</v>
      </c>
      <c r="B631" s="8"/>
      <c r="C631" s="8"/>
      <c r="D631" s="8">
        <f t="shared" si="9"/>
        <v>0</v>
      </c>
    </row>
    <row r="632" spans="1:4" ht="18" hidden="1" x14ac:dyDescent="0.3">
      <c r="A632" s="10" t="s">
        <v>157</v>
      </c>
      <c r="B632" s="8"/>
      <c r="C632" s="8"/>
      <c r="D632" s="8">
        <f t="shared" si="9"/>
        <v>0</v>
      </c>
    </row>
    <row r="633" spans="1:4" ht="18" hidden="1" x14ac:dyDescent="0.3">
      <c r="A633" s="10" t="s">
        <v>158</v>
      </c>
      <c r="B633" s="8"/>
      <c r="C633" s="8"/>
      <c r="D633" s="8">
        <f t="shared" si="9"/>
        <v>0</v>
      </c>
    </row>
    <row r="634" spans="1:4" ht="18" hidden="1" x14ac:dyDescent="0.3">
      <c r="A634" s="10" t="s">
        <v>159</v>
      </c>
      <c r="B634" s="8"/>
      <c r="C634" s="8"/>
      <c r="D634" s="8">
        <f t="shared" si="9"/>
        <v>0</v>
      </c>
    </row>
    <row r="635" spans="1:4" ht="18" hidden="1" x14ac:dyDescent="0.3">
      <c r="A635" s="10" t="s">
        <v>160</v>
      </c>
      <c r="B635" s="8"/>
      <c r="C635" s="8"/>
      <c r="D635" s="8">
        <f t="shared" si="9"/>
        <v>0</v>
      </c>
    </row>
    <row r="636" spans="1:4" ht="18" hidden="1" x14ac:dyDescent="0.3">
      <c r="A636" s="11" t="s">
        <v>7</v>
      </c>
      <c r="B636" s="8"/>
      <c r="C636" s="8"/>
      <c r="D636" s="8">
        <f t="shared" si="9"/>
        <v>0</v>
      </c>
    </row>
    <row r="637" spans="1:4" ht="18" hidden="1" x14ac:dyDescent="0.3">
      <c r="A637" s="6" t="s">
        <v>8</v>
      </c>
      <c r="B637" s="8"/>
      <c r="C637" s="8"/>
      <c r="D637" s="8">
        <f t="shared" si="9"/>
        <v>0</v>
      </c>
    </row>
    <row r="638" spans="1:4" ht="18" hidden="1" x14ac:dyDescent="0.3">
      <c r="A638" s="21" t="s">
        <v>63</v>
      </c>
      <c r="B638" s="8"/>
      <c r="C638" s="8"/>
      <c r="D638" s="8">
        <f t="shared" si="9"/>
        <v>0</v>
      </c>
    </row>
    <row r="639" spans="1:4" ht="18" hidden="1" x14ac:dyDescent="0.3">
      <c r="A639" s="13" t="s">
        <v>67</v>
      </c>
      <c r="B639" s="8"/>
      <c r="C639" s="8"/>
      <c r="D639" s="8">
        <f t="shared" si="9"/>
        <v>0</v>
      </c>
    </row>
    <row r="640" spans="1:4" ht="18" hidden="1" x14ac:dyDescent="0.3">
      <c r="A640" s="12" t="s">
        <v>102</v>
      </c>
      <c r="B640" s="8"/>
      <c r="C640" s="8"/>
      <c r="D640" s="8">
        <f t="shared" si="9"/>
        <v>0</v>
      </c>
    </row>
    <row r="641" spans="1:4" ht="18" hidden="1" x14ac:dyDescent="0.3">
      <c r="A641" s="27" t="s">
        <v>108</v>
      </c>
      <c r="B641" s="8"/>
      <c r="C641" s="8"/>
      <c r="D641" s="8">
        <f t="shared" si="9"/>
        <v>0</v>
      </c>
    </row>
    <row r="642" spans="1:4" ht="18" hidden="1" x14ac:dyDescent="0.3">
      <c r="A642" s="10" t="s">
        <v>119</v>
      </c>
      <c r="B642" s="8"/>
      <c r="C642" s="8"/>
      <c r="D642" s="8">
        <f t="shared" si="9"/>
        <v>0</v>
      </c>
    </row>
    <row r="643" spans="1:4" ht="18" hidden="1" x14ac:dyDescent="0.3">
      <c r="A643" s="12" t="s">
        <v>120</v>
      </c>
      <c r="B643" s="8"/>
      <c r="C643" s="8"/>
      <c r="D643" s="8">
        <f t="shared" si="9"/>
        <v>0</v>
      </c>
    </row>
    <row r="644" spans="1:4" ht="18" hidden="1" x14ac:dyDescent="0.3">
      <c r="A644" s="12" t="s">
        <v>121</v>
      </c>
      <c r="B644" s="8"/>
      <c r="C644" s="8"/>
      <c r="D644" s="8">
        <f t="shared" ref="D644:D671" si="10">B644*C644</f>
        <v>0</v>
      </c>
    </row>
    <row r="645" spans="1:4" ht="18" hidden="1" x14ac:dyDescent="0.3">
      <c r="A645" s="10" t="s">
        <v>143</v>
      </c>
      <c r="B645" s="8"/>
      <c r="C645" s="8"/>
      <c r="D645" s="8">
        <f t="shared" si="10"/>
        <v>0</v>
      </c>
    </row>
    <row r="646" spans="1:4" ht="18" hidden="1" x14ac:dyDescent="0.3">
      <c r="A646" s="12" t="s">
        <v>175</v>
      </c>
      <c r="B646" s="8"/>
      <c r="C646" s="8"/>
      <c r="D646" s="8">
        <f t="shared" si="10"/>
        <v>0</v>
      </c>
    </row>
    <row r="647" spans="1:4" ht="18" hidden="1" x14ac:dyDescent="0.3">
      <c r="A647" s="18" t="s">
        <v>189</v>
      </c>
      <c r="B647" s="8"/>
      <c r="C647" s="8"/>
      <c r="D647" s="8">
        <f t="shared" si="10"/>
        <v>0</v>
      </c>
    </row>
    <row r="648" spans="1:4" ht="18" hidden="1" x14ac:dyDescent="0.3">
      <c r="A648" s="18" t="s">
        <v>190</v>
      </c>
      <c r="B648" s="8"/>
      <c r="C648" s="8"/>
      <c r="D648" s="8">
        <f t="shared" si="10"/>
        <v>0</v>
      </c>
    </row>
    <row r="649" spans="1:4" ht="18" hidden="1" x14ac:dyDescent="0.3">
      <c r="A649" s="18" t="s">
        <v>191</v>
      </c>
      <c r="B649" s="8"/>
      <c r="C649" s="8"/>
      <c r="D649" s="8">
        <f t="shared" si="10"/>
        <v>0</v>
      </c>
    </row>
    <row r="650" spans="1:4" ht="18" hidden="1" x14ac:dyDescent="0.3">
      <c r="A650" s="18" t="s">
        <v>192</v>
      </c>
      <c r="B650" s="8"/>
      <c r="C650" s="8"/>
      <c r="D650" s="8">
        <f t="shared" si="10"/>
        <v>0</v>
      </c>
    </row>
    <row r="651" spans="1:4" ht="18" hidden="1" x14ac:dyDescent="0.3">
      <c r="A651" s="10" t="s">
        <v>194</v>
      </c>
      <c r="B651" s="8"/>
      <c r="C651" s="8"/>
      <c r="D651" s="8">
        <f t="shared" si="10"/>
        <v>0</v>
      </c>
    </row>
    <row r="652" spans="1:4" ht="18" hidden="1" x14ac:dyDescent="0.3">
      <c r="A652" s="37" t="s">
        <v>195</v>
      </c>
      <c r="B652" s="8"/>
      <c r="C652" s="8"/>
      <c r="D652" s="8">
        <f t="shared" si="10"/>
        <v>0</v>
      </c>
    </row>
    <row r="653" spans="1:4" ht="18" hidden="1" x14ac:dyDescent="0.3">
      <c r="A653" s="37" t="s">
        <v>196</v>
      </c>
      <c r="B653" s="8"/>
      <c r="C653" s="8"/>
      <c r="D653" s="8">
        <f t="shared" si="10"/>
        <v>0</v>
      </c>
    </row>
    <row r="654" spans="1:4" ht="18" hidden="1" x14ac:dyDescent="0.3">
      <c r="A654" s="37" t="s">
        <v>197</v>
      </c>
      <c r="B654" s="8"/>
      <c r="C654" s="8"/>
      <c r="D654" s="8">
        <f t="shared" si="10"/>
        <v>0</v>
      </c>
    </row>
    <row r="655" spans="1:4" ht="18" hidden="1" x14ac:dyDescent="0.3">
      <c r="A655" s="37" t="s">
        <v>198</v>
      </c>
      <c r="B655" s="8"/>
      <c r="C655" s="8"/>
      <c r="D655" s="8">
        <f t="shared" si="10"/>
        <v>0</v>
      </c>
    </row>
    <row r="656" spans="1:4" ht="18" x14ac:dyDescent="0.3">
      <c r="A656" s="12" t="s">
        <v>226</v>
      </c>
      <c r="B656" s="8">
        <v>130</v>
      </c>
      <c r="C656" s="8">
        <v>28000</v>
      </c>
      <c r="D656" s="8">
        <f t="shared" si="10"/>
        <v>3640000</v>
      </c>
    </row>
    <row r="657" spans="1:4" ht="18" hidden="1" x14ac:dyDescent="0.3">
      <c r="A657" s="23" t="s">
        <v>356</v>
      </c>
      <c r="B657" s="8"/>
      <c r="C657" s="8"/>
      <c r="D657" s="8">
        <f t="shared" si="10"/>
        <v>0</v>
      </c>
    </row>
    <row r="658" spans="1:4" ht="18" hidden="1" x14ac:dyDescent="0.3">
      <c r="A658" s="23" t="s">
        <v>357</v>
      </c>
      <c r="B658" s="8"/>
      <c r="C658" s="8"/>
      <c r="D658" s="8">
        <f t="shared" si="10"/>
        <v>0</v>
      </c>
    </row>
    <row r="659" spans="1:4" ht="18" hidden="1" x14ac:dyDescent="0.3">
      <c r="A659" s="12" t="s">
        <v>232</v>
      </c>
      <c r="B659" s="8"/>
      <c r="C659" s="8"/>
      <c r="D659" s="8">
        <f t="shared" si="10"/>
        <v>0</v>
      </c>
    </row>
    <row r="660" spans="1:4" ht="18" hidden="1" x14ac:dyDescent="0.3">
      <c r="A660" s="14" t="s">
        <v>239</v>
      </c>
      <c r="B660" s="8"/>
      <c r="C660" s="8"/>
      <c r="D660" s="8">
        <f t="shared" si="10"/>
        <v>0</v>
      </c>
    </row>
    <row r="661" spans="1:4" ht="18" hidden="1" x14ac:dyDescent="0.3">
      <c r="A661" s="14" t="s">
        <v>240</v>
      </c>
      <c r="B661" s="8"/>
      <c r="C661" s="8"/>
      <c r="D661" s="8">
        <f t="shared" si="10"/>
        <v>0</v>
      </c>
    </row>
    <row r="662" spans="1:4" ht="18" hidden="1" x14ac:dyDescent="0.3">
      <c r="A662" s="37" t="s">
        <v>241</v>
      </c>
      <c r="B662" s="8"/>
      <c r="C662" s="8"/>
      <c r="D662" s="8">
        <f t="shared" si="10"/>
        <v>0</v>
      </c>
    </row>
    <row r="663" spans="1:4" ht="18" hidden="1" x14ac:dyDescent="0.3">
      <c r="A663" s="37" t="s">
        <v>245</v>
      </c>
      <c r="B663" s="8"/>
      <c r="C663" s="8"/>
      <c r="D663" s="8">
        <f t="shared" si="10"/>
        <v>0</v>
      </c>
    </row>
    <row r="664" spans="1:4" ht="18" hidden="1" x14ac:dyDescent="0.3">
      <c r="A664" s="37" t="s">
        <v>277</v>
      </c>
      <c r="B664" s="8"/>
      <c r="C664" s="8"/>
      <c r="D664" s="8">
        <f t="shared" si="10"/>
        <v>0</v>
      </c>
    </row>
    <row r="665" spans="1:4" ht="18" hidden="1" x14ac:dyDescent="0.3">
      <c r="A665" s="37" t="s">
        <v>279</v>
      </c>
      <c r="B665" s="8"/>
      <c r="C665" s="8"/>
      <c r="D665" s="8">
        <f t="shared" si="10"/>
        <v>0</v>
      </c>
    </row>
    <row r="666" spans="1:4" ht="18" hidden="1" x14ac:dyDescent="0.3">
      <c r="A666" s="12" t="s">
        <v>360</v>
      </c>
      <c r="B666" s="8"/>
      <c r="C666" s="8"/>
      <c r="D666" s="8">
        <f t="shared" si="10"/>
        <v>0</v>
      </c>
    </row>
    <row r="667" spans="1:4" ht="18" hidden="1" x14ac:dyDescent="0.3">
      <c r="A667" s="37" t="s">
        <v>280</v>
      </c>
      <c r="B667" s="8"/>
      <c r="C667" s="8"/>
      <c r="D667" s="8">
        <f t="shared" si="10"/>
        <v>0</v>
      </c>
    </row>
    <row r="668" spans="1:4" ht="18" hidden="1" x14ac:dyDescent="0.3">
      <c r="A668" s="27" t="s">
        <v>292</v>
      </c>
      <c r="B668" s="8"/>
      <c r="C668" s="8"/>
      <c r="D668" s="8">
        <f t="shared" si="10"/>
        <v>0</v>
      </c>
    </row>
    <row r="669" spans="1:4" ht="18" hidden="1" x14ac:dyDescent="0.3">
      <c r="A669" s="10" t="s">
        <v>362</v>
      </c>
      <c r="B669" s="8"/>
      <c r="C669" s="8"/>
      <c r="D669" s="8">
        <f t="shared" si="10"/>
        <v>0</v>
      </c>
    </row>
    <row r="670" spans="1:4" ht="18" hidden="1" x14ac:dyDescent="0.3">
      <c r="A670" s="12" t="s">
        <v>303</v>
      </c>
      <c r="B670" s="8"/>
      <c r="C670" s="8"/>
      <c r="D670" s="8">
        <f t="shared" si="10"/>
        <v>0</v>
      </c>
    </row>
    <row r="671" spans="1:4" ht="18" hidden="1" x14ac:dyDescent="0.3">
      <c r="A671" s="12" t="s">
        <v>338</v>
      </c>
      <c r="B671" s="8"/>
      <c r="C671" s="8"/>
      <c r="D671" s="8">
        <f t="shared" si="10"/>
        <v>0</v>
      </c>
    </row>
    <row r="672" spans="1:4" ht="17.399999999999999" x14ac:dyDescent="0.3">
      <c r="A672" s="43"/>
      <c r="B672" s="46">
        <f>SUM(B345:B671)</f>
        <v>5131</v>
      </c>
      <c r="C672" s="46"/>
      <c r="D672" s="46">
        <f t="shared" ref="D672" si="11">SUM(D345:D671)</f>
        <v>72732500</v>
      </c>
    </row>
    <row r="674" spans="4:4" x14ac:dyDescent="0.3">
      <c r="D674" s="49">
        <f>D672+D340</f>
        <v>166881500</v>
      </c>
    </row>
  </sheetData>
  <protectedRanges>
    <protectedRange password="CF71" sqref="B3:C339 B1:D2" name="tho"/>
    <protectedRange password="CF71" sqref="D3:D671" name="tho_2"/>
    <protectedRange password="CF71" sqref="B342:C671" name="tho_1"/>
  </protectedRanges>
  <autoFilter ref="A2:D672" xr:uid="{00000000-0009-0000-0000-00001B000000}">
    <filterColumn colId="1">
      <customFilters>
        <customFilter operator="notEqual" val=" "/>
      </customFilters>
    </filterColumn>
  </autoFilter>
  <mergeCells count="1">
    <mergeCell ref="A343:A34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filterMode="1"/>
  <dimension ref="A1:D675"/>
  <sheetViews>
    <sheetView topLeftCell="A356" workbookViewId="0">
      <selection activeCell="H677" sqref="H677"/>
    </sheetView>
  </sheetViews>
  <sheetFormatPr defaultRowHeight="14.4" x14ac:dyDescent="0.3"/>
  <cols>
    <col min="1" max="1" width="38.21875" customWidth="1"/>
    <col min="3" max="3" width="13.6640625" customWidth="1"/>
    <col min="4" max="4" width="21.77734375" customWidth="1"/>
  </cols>
  <sheetData>
    <row r="1" spans="1:4" x14ac:dyDescent="0.3">
      <c r="A1" s="1" t="s">
        <v>438</v>
      </c>
      <c r="B1" s="2"/>
      <c r="C1" s="2"/>
      <c r="D1" s="2"/>
    </row>
    <row r="2" spans="1:4" ht="26.4" x14ac:dyDescent="0.3">
      <c r="A2" s="152" t="s">
        <v>0</v>
      </c>
      <c r="B2" s="4" t="s">
        <v>1</v>
      </c>
      <c r="C2" s="4" t="s">
        <v>340</v>
      </c>
      <c r="D2" s="4" t="s">
        <v>437</v>
      </c>
    </row>
    <row r="3" spans="1:4" hidden="1" x14ac:dyDescent="0.3">
      <c r="A3" s="153"/>
      <c r="B3" s="5"/>
      <c r="C3" s="5"/>
      <c r="D3" s="5"/>
    </row>
    <row r="4" spans="1:4" ht="18" hidden="1" x14ac:dyDescent="0.3">
      <c r="A4" s="6" t="s">
        <v>2</v>
      </c>
      <c r="B4" s="8"/>
      <c r="C4" s="8"/>
      <c r="D4" s="8">
        <f>B4*C4</f>
        <v>0</v>
      </c>
    </row>
    <row r="5" spans="1:4" ht="18" hidden="1" x14ac:dyDescent="0.3">
      <c r="A5" s="9" t="s">
        <v>3</v>
      </c>
      <c r="B5" s="8"/>
      <c r="C5" s="8"/>
      <c r="D5" s="8">
        <f t="shared" ref="D5:D68" si="0">B5*C5</f>
        <v>0</v>
      </c>
    </row>
    <row r="6" spans="1:4" ht="18" hidden="1" x14ac:dyDescent="0.3">
      <c r="A6" s="6" t="s">
        <v>4</v>
      </c>
      <c r="B6" s="8"/>
      <c r="C6" s="8"/>
      <c r="D6" s="8">
        <f t="shared" si="0"/>
        <v>0</v>
      </c>
    </row>
    <row r="7" spans="1:4" ht="18" hidden="1" x14ac:dyDescent="0.3">
      <c r="A7" s="6" t="s">
        <v>5</v>
      </c>
      <c r="B7" s="8"/>
      <c r="C7" s="8"/>
      <c r="D7" s="8">
        <f t="shared" si="0"/>
        <v>0</v>
      </c>
    </row>
    <row r="8" spans="1:4" ht="18" hidden="1" x14ac:dyDescent="0.3">
      <c r="A8" s="10" t="s">
        <v>6</v>
      </c>
      <c r="B8" s="8"/>
      <c r="C8" s="8"/>
      <c r="D8" s="8">
        <f t="shared" si="0"/>
        <v>0</v>
      </c>
    </row>
    <row r="9" spans="1:4" ht="18" hidden="1" x14ac:dyDescent="0.3">
      <c r="A9" s="11" t="s">
        <v>7</v>
      </c>
      <c r="B9" s="8"/>
      <c r="C9" s="8"/>
      <c r="D9" s="8">
        <f t="shared" si="0"/>
        <v>0</v>
      </c>
    </row>
    <row r="10" spans="1:4" ht="18" hidden="1" x14ac:dyDescent="0.3">
      <c r="A10" s="6" t="s">
        <v>8</v>
      </c>
      <c r="B10" s="8"/>
      <c r="C10" s="8"/>
      <c r="D10" s="8">
        <f t="shared" si="0"/>
        <v>0</v>
      </c>
    </row>
    <row r="11" spans="1:4" ht="18" hidden="1" x14ac:dyDescent="0.3">
      <c r="A11" s="6" t="s">
        <v>9</v>
      </c>
      <c r="B11" s="8"/>
      <c r="C11" s="8"/>
      <c r="D11" s="8">
        <f t="shared" si="0"/>
        <v>0</v>
      </c>
    </row>
    <row r="12" spans="1:4" ht="18" hidden="1" x14ac:dyDescent="0.3">
      <c r="A12" s="12" t="s">
        <v>10</v>
      </c>
      <c r="B12" s="8"/>
      <c r="C12" s="8"/>
      <c r="D12" s="8">
        <f t="shared" si="0"/>
        <v>0</v>
      </c>
    </row>
    <row r="13" spans="1:4" ht="18" hidden="1" x14ac:dyDescent="0.3">
      <c r="A13" s="10" t="s">
        <v>11</v>
      </c>
      <c r="B13" s="8"/>
      <c r="C13" s="8"/>
      <c r="D13" s="8">
        <f t="shared" si="0"/>
        <v>0</v>
      </c>
    </row>
    <row r="14" spans="1:4" ht="18" hidden="1" x14ac:dyDescent="0.3">
      <c r="A14" s="10" t="s">
        <v>12</v>
      </c>
      <c r="B14" s="8"/>
      <c r="C14" s="8"/>
      <c r="D14" s="8">
        <f t="shared" si="0"/>
        <v>0</v>
      </c>
    </row>
    <row r="15" spans="1:4" ht="18" hidden="1" x14ac:dyDescent="0.3">
      <c r="A15" s="13" t="s">
        <v>13</v>
      </c>
      <c r="B15" s="8"/>
      <c r="C15" s="8"/>
      <c r="D15" s="8">
        <f t="shared" si="0"/>
        <v>0</v>
      </c>
    </row>
    <row r="16" spans="1:4" ht="18" x14ac:dyDescent="0.3">
      <c r="A16" s="13" t="s">
        <v>14</v>
      </c>
      <c r="B16" s="8">
        <v>15</v>
      </c>
      <c r="C16" s="8">
        <v>18000</v>
      </c>
      <c r="D16" s="8">
        <f t="shared" si="0"/>
        <v>270000</v>
      </c>
    </row>
    <row r="17" spans="1:4" ht="18" hidden="1" x14ac:dyDescent="0.3">
      <c r="A17" s="10" t="s">
        <v>15</v>
      </c>
      <c r="B17" s="8"/>
      <c r="C17" s="8"/>
      <c r="D17" s="8">
        <f t="shared" si="0"/>
        <v>0</v>
      </c>
    </row>
    <row r="18" spans="1:4" ht="18" hidden="1" x14ac:dyDescent="0.3">
      <c r="A18" s="10" t="s">
        <v>16</v>
      </c>
      <c r="B18" s="8"/>
      <c r="C18" s="8"/>
      <c r="D18" s="8">
        <f t="shared" si="0"/>
        <v>0</v>
      </c>
    </row>
    <row r="19" spans="1:4" ht="18" hidden="1" x14ac:dyDescent="0.3">
      <c r="A19" s="14" t="s">
        <v>17</v>
      </c>
      <c r="B19" s="8"/>
      <c r="C19" s="8"/>
      <c r="D19" s="8">
        <f t="shared" si="0"/>
        <v>0</v>
      </c>
    </row>
    <row r="20" spans="1:4" ht="18" hidden="1" x14ac:dyDescent="0.3">
      <c r="A20" s="12" t="s">
        <v>18</v>
      </c>
      <c r="B20" s="8"/>
      <c r="C20" s="47"/>
      <c r="D20" s="8">
        <f t="shared" si="0"/>
        <v>0</v>
      </c>
    </row>
    <row r="21" spans="1:4" ht="18" x14ac:dyDescent="0.3">
      <c r="A21" s="10" t="s">
        <v>19</v>
      </c>
      <c r="B21" s="8">
        <v>100</v>
      </c>
      <c r="C21" s="8">
        <v>13000</v>
      </c>
      <c r="D21" s="8">
        <f t="shared" si="0"/>
        <v>1300000</v>
      </c>
    </row>
    <row r="22" spans="1:4" ht="18" hidden="1" x14ac:dyDescent="0.3">
      <c r="A22" s="13" t="s">
        <v>20</v>
      </c>
      <c r="B22" s="8"/>
      <c r="C22" s="8"/>
      <c r="D22" s="8">
        <f t="shared" si="0"/>
        <v>0</v>
      </c>
    </row>
    <row r="23" spans="1:4" ht="18" hidden="1" x14ac:dyDescent="0.3">
      <c r="A23" s="13" t="s">
        <v>21</v>
      </c>
      <c r="B23" s="8"/>
      <c r="C23" s="8"/>
      <c r="D23" s="8">
        <f t="shared" si="0"/>
        <v>0</v>
      </c>
    </row>
    <row r="24" spans="1:4" ht="18" hidden="1" x14ac:dyDescent="0.3">
      <c r="A24" s="10" t="s">
        <v>22</v>
      </c>
      <c r="B24" s="8"/>
      <c r="C24" s="8"/>
      <c r="D24" s="8">
        <f t="shared" si="0"/>
        <v>0</v>
      </c>
    </row>
    <row r="25" spans="1:4" ht="18" hidden="1" x14ac:dyDescent="0.3">
      <c r="A25" s="10" t="s">
        <v>23</v>
      </c>
      <c r="B25" s="8"/>
      <c r="C25" s="8"/>
      <c r="D25" s="8">
        <f t="shared" si="0"/>
        <v>0</v>
      </c>
    </row>
    <row r="26" spans="1:4" ht="18" x14ac:dyDescent="0.3">
      <c r="A26" s="10" t="s">
        <v>24</v>
      </c>
      <c r="B26" s="8">
        <v>200</v>
      </c>
      <c r="C26" s="8">
        <v>13000</v>
      </c>
      <c r="D26" s="8">
        <f t="shared" si="0"/>
        <v>2600000</v>
      </c>
    </row>
    <row r="27" spans="1:4" ht="18" hidden="1" x14ac:dyDescent="0.3">
      <c r="A27" s="10" t="s">
        <v>25</v>
      </c>
      <c r="B27" s="8"/>
      <c r="C27" s="8"/>
      <c r="D27" s="8">
        <f t="shared" si="0"/>
        <v>0</v>
      </c>
    </row>
    <row r="28" spans="1:4" ht="18" hidden="1" x14ac:dyDescent="0.3">
      <c r="A28" s="10" t="s">
        <v>26</v>
      </c>
      <c r="B28" s="8"/>
      <c r="C28" s="8"/>
      <c r="D28" s="8">
        <f t="shared" si="0"/>
        <v>0</v>
      </c>
    </row>
    <row r="29" spans="1:4" ht="18" hidden="1" x14ac:dyDescent="0.3">
      <c r="A29" s="10" t="s">
        <v>27</v>
      </c>
      <c r="B29" s="8"/>
      <c r="C29" s="8"/>
      <c r="D29" s="8">
        <f t="shared" si="0"/>
        <v>0</v>
      </c>
    </row>
    <row r="30" spans="1:4" ht="18" hidden="1" x14ac:dyDescent="0.3">
      <c r="A30" s="12" t="s">
        <v>412</v>
      </c>
      <c r="B30" s="17"/>
      <c r="C30" s="17"/>
      <c r="D30" s="8">
        <f t="shared" si="0"/>
        <v>0</v>
      </c>
    </row>
    <row r="31" spans="1:4" ht="18" hidden="1" x14ac:dyDescent="0.3">
      <c r="A31" s="13" t="s">
        <v>28</v>
      </c>
      <c r="B31" s="8"/>
      <c r="C31" s="8"/>
      <c r="D31" s="8">
        <f t="shared" si="0"/>
        <v>0</v>
      </c>
    </row>
    <row r="32" spans="1:4" ht="18" hidden="1" x14ac:dyDescent="0.3">
      <c r="A32" s="12" t="s">
        <v>29</v>
      </c>
      <c r="B32" s="8"/>
      <c r="C32" s="8"/>
      <c r="D32" s="8">
        <f t="shared" si="0"/>
        <v>0</v>
      </c>
    </row>
    <row r="33" spans="1:4" ht="18" hidden="1" x14ac:dyDescent="0.3">
      <c r="A33" s="12" t="s">
        <v>30</v>
      </c>
      <c r="B33" s="8"/>
      <c r="C33" s="8"/>
      <c r="D33" s="8">
        <f t="shared" si="0"/>
        <v>0</v>
      </c>
    </row>
    <row r="34" spans="1:4" ht="18" hidden="1" x14ac:dyDescent="0.3">
      <c r="A34" s="12" t="s">
        <v>31</v>
      </c>
      <c r="B34" s="8"/>
      <c r="C34" s="8"/>
      <c r="D34" s="8">
        <f t="shared" si="0"/>
        <v>0</v>
      </c>
    </row>
    <row r="35" spans="1:4" ht="18" hidden="1" x14ac:dyDescent="0.3">
      <c r="A35" s="13" t="s">
        <v>367</v>
      </c>
      <c r="B35" s="8"/>
      <c r="C35" s="8"/>
      <c r="D35" s="8">
        <f t="shared" si="0"/>
        <v>0</v>
      </c>
    </row>
    <row r="36" spans="1:4" ht="18" hidden="1" x14ac:dyDescent="0.3">
      <c r="A36" s="12" t="s">
        <v>32</v>
      </c>
      <c r="B36" s="8"/>
      <c r="C36" s="8"/>
      <c r="D36" s="8">
        <f t="shared" si="0"/>
        <v>0</v>
      </c>
    </row>
    <row r="37" spans="1:4" ht="18" hidden="1" x14ac:dyDescent="0.3">
      <c r="A37" s="12" t="s">
        <v>33</v>
      </c>
      <c r="B37" s="8"/>
      <c r="C37" s="8"/>
      <c r="D37" s="8">
        <f t="shared" si="0"/>
        <v>0</v>
      </c>
    </row>
    <row r="38" spans="1:4" ht="18" hidden="1" x14ac:dyDescent="0.3">
      <c r="A38" s="12" t="s">
        <v>34</v>
      </c>
      <c r="B38" s="8"/>
      <c r="C38" s="8"/>
      <c r="D38" s="8">
        <f t="shared" si="0"/>
        <v>0</v>
      </c>
    </row>
    <row r="39" spans="1:4" ht="18" x14ac:dyDescent="0.3">
      <c r="A39" s="13" t="s">
        <v>35</v>
      </c>
      <c r="B39" s="8">
        <v>20</v>
      </c>
      <c r="C39" s="8">
        <v>11000</v>
      </c>
      <c r="D39" s="8">
        <f t="shared" si="0"/>
        <v>220000</v>
      </c>
    </row>
    <row r="40" spans="1:4" ht="18" hidden="1" x14ac:dyDescent="0.3">
      <c r="A40" s="10" t="s">
        <v>36</v>
      </c>
      <c r="B40" s="8"/>
      <c r="C40" s="8"/>
      <c r="D40" s="8">
        <f t="shared" si="0"/>
        <v>0</v>
      </c>
    </row>
    <row r="41" spans="1:4" ht="18" hidden="1" x14ac:dyDescent="0.3">
      <c r="A41" s="10" t="s">
        <v>37</v>
      </c>
      <c r="B41" s="8"/>
      <c r="C41" s="8"/>
      <c r="D41" s="8">
        <f t="shared" si="0"/>
        <v>0</v>
      </c>
    </row>
    <row r="42" spans="1:4" ht="18" hidden="1" x14ac:dyDescent="0.3">
      <c r="A42" s="12" t="s">
        <v>39</v>
      </c>
      <c r="B42" s="17"/>
      <c r="C42" s="17"/>
      <c r="D42" s="8">
        <f t="shared" si="0"/>
        <v>0</v>
      </c>
    </row>
    <row r="43" spans="1:4" ht="18" hidden="1" x14ac:dyDescent="0.3">
      <c r="A43" s="10" t="s">
        <v>40</v>
      </c>
      <c r="B43" s="8"/>
      <c r="C43" s="8"/>
      <c r="D43" s="8">
        <f t="shared" si="0"/>
        <v>0</v>
      </c>
    </row>
    <row r="44" spans="1:4" ht="18" hidden="1" x14ac:dyDescent="0.3">
      <c r="A44" s="10" t="s">
        <v>41</v>
      </c>
      <c r="B44" s="8"/>
      <c r="C44" s="8"/>
      <c r="D44" s="8">
        <f t="shared" si="0"/>
        <v>0</v>
      </c>
    </row>
    <row r="45" spans="1:4" ht="18" hidden="1" x14ac:dyDescent="0.3">
      <c r="A45" s="18" t="s">
        <v>42</v>
      </c>
      <c r="B45" s="8"/>
      <c r="C45" s="8"/>
      <c r="D45" s="8">
        <f t="shared" si="0"/>
        <v>0</v>
      </c>
    </row>
    <row r="46" spans="1:4" ht="18" hidden="1" x14ac:dyDescent="0.3">
      <c r="A46" s="10" t="s">
        <v>43</v>
      </c>
      <c r="B46" s="8"/>
      <c r="C46" s="8"/>
      <c r="D46" s="8">
        <f t="shared" si="0"/>
        <v>0</v>
      </c>
    </row>
    <row r="47" spans="1:4" ht="18" hidden="1" x14ac:dyDescent="0.3">
      <c r="A47" s="10" t="s">
        <v>44</v>
      </c>
      <c r="B47" s="8"/>
      <c r="C47" s="8"/>
      <c r="D47" s="8">
        <f t="shared" si="0"/>
        <v>0</v>
      </c>
    </row>
    <row r="48" spans="1:4" ht="18" hidden="1" x14ac:dyDescent="0.3">
      <c r="A48" s="10" t="s">
        <v>45</v>
      </c>
      <c r="B48" s="8"/>
      <c r="C48" s="8"/>
      <c r="D48" s="8">
        <f t="shared" si="0"/>
        <v>0</v>
      </c>
    </row>
    <row r="49" spans="1:4" ht="18" hidden="1" x14ac:dyDescent="0.3">
      <c r="A49" s="31" t="s">
        <v>46</v>
      </c>
      <c r="B49" s="8"/>
      <c r="C49" s="8"/>
      <c r="D49" s="8">
        <f t="shared" si="0"/>
        <v>0</v>
      </c>
    </row>
    <row r="50" spans="1:4" ht="18" hidden="1" x14ac:dyDescent="0.3">
      <c r="A50" s="14" t="s">
        <v>47</v>
      </c>
      <c r="B50" s="8"/>
      <c r="C50" s="8"/>
      <c r="D50" s="8">
        <f t="shared" si="0"/>
        <v>0</v>
      </c>
    </row>
    <row r="51" spans="1:4" ht="18" hidden="1" x14ac:dyDescent="0.3">
      <c r="A51" s="12" t="s">
        <v>48</v>
      </c>
      <c r="B51" s="8"/>
      <c r="C51" s="8"/>
      <c r="D51" s="8">
        <f t="shared" si="0"/>
        <v>0</v>
      </c>
    </row>
    <row r="52" spans="1:4" ht="18" hidden="1" x14ac:dyDescent="0.3">
      <c r="A52" s="14" t="s">
        <v>49</v>
      </c>
      <c r="B52" s="8"/>
      <c r="C52" s="8"/>
      <c r="D52" s="8">
        <f t="shared" si="0"/>
        <v>0</v>
      </c>
    </row>
    <row r="53" spans="1:4" ht="18" hidden="1" x14ac:dyDescent="0.3">
      <c r="A53" s="10" t="s">
        <v>50</v>
      </c>
      <c r="B53" s="8"/>
      <c r="C53" s="8"/>
      <c r="D53" s="8">
        <f t="shared" si="0"/>
        <v>0</v>
      </c>
    </row>
    <row r="54" spans="1:4" ht="18" hidden="1" x14ac:dyDescent="0.3">
      <c r="A54" s="10" t="s">
        <v>51</v>
      </c>
      <c r="B54" s="8"/>
      <c r="C54" s="8"/>
      <c r="D54" s="8">
        <f t="shared" si="0"/>
        <v>0</v>
      </c>
    </row>
    <row r="55" spans="1:4" ht="18" hidden="1" x14ac:dyDescent="0.3">
      <c r="A55" s="13" t="s">
        <v>52</v>
      </c>
      <c r="B55" s="8"/>
      <c r="C55" s="8"/>
      <c r="D55" s="8">
        <f t="shared" si="0"/>
        <v>0</v>
      </c>
    </row>
    <row r="56" spans="1:4" ht="18" hidden="1" x14ac:dyDescent="0.3">
      <c r="A56" s="10" t="s">
        <v>53</v>
      </c>
      <c r="B56" s="8"/>
      <c r="C56" s="8"/>
      <c r="D56" s="8">
        <f t="shared" si="0"/>
        <v>0</v>
      </c>
    </row>
    <row r="57" spans="1:4" ht="18" hidden="1" x14ac:dyDescent="0.3">
      <c r="A57" s="18" t="s">
        <v>54</v>
      </c>
      <c r="B57" s="8"/>
      <c r="C57" s="8"/>
      <c r="D57" s="8">
        <f t="shared" si="0"/>
        <v>0</v>
      </c>
    </row>
    <row r="58" spans="1:4" ht="18" x14ac:dyDescent="0.3">
      <c r="A58" s="18" t="s">
        <v>55</v>
      </c>
      <c r="B58" s="8">
        <v>45</v>
      </c>
      <c r="C58" s="8">
        <v>9000</v>
      </c>
      <c r="D58" s="8">
        <f t="shared" si="0"/>
        <v>405000</v>
      </c>
    </row>
    <row r="59" spans="1:4" ht="18" hidden="1" x14ac:dyDescent="0.3">
      <c r="A59" s="18" t="s">
        <v>56</v>
      </c>
      <c r="B59" s="8"/>
      <c r="C59" s="8"/>
      <c r="D59" s="8">
        <f t="shared" si="0"/>
        <v>0</v>
      </c>
    </row>
    <row r="60" spans="1:4" ht="18" hidden="1" x14ac:dyDescent="0.3">
      <c r="A60" s="10" t="s">
        <v>57</v>
      </c>
      <c r="B60" s="8"/>
      <c r="C60" s="8"/>
      <c r="D60" s="8">
        <f t="shared" si="0"/>
        <v>0</v>
      </c>
    </row>
    <row r="61" spans="1:4" ht="18" hidden="1" x14ac:dyDescent="0.3">
      <c r="A61" s="12" t="s">
        <v>58</v>
      </c>
      <c r="B61" s="8"/>
      <c r="C61" s="8"/>
      <c r="D61" s="8">
        <f t="shared" si="0"/>
        <v>0</v>
      </c>
    </row>
    <row r="62" spans="1:4" ht="18" hidden="1" x14ac:dyDescent="0.3">
      <c r="A62" s="10" t="s">
        <v>59</v>
      </c>
      <c r="B62" s="8"/>
      <c r="C62" s="8"/>
      <c r="D62" s="8">
        <f t="shared" si="0"/>
        <v>0</v>
      </c>
    </row>
    <row r="63" spans="1:4" ht="18" hidden="1" x14ac:dyDescent="0.3">
      <c r="A63" s="31" t="s">
        <v>60</v>
      </c>
      <c r="B63" s="8"/>
      <c r="C63" s="8"/>
      <c r="D63" s="8">
        <f t="shared" si="0"/>
        <v>0</v>
      </c>
    </row>
    <row r="64" spans="1:4" ht="18" x14ac:dyDescent="0.3">
      <c r="A64" s="18" t="s">
        <v>61</v>
      </c>
      <c r="B64" s="8">
        <v>7</v>
      </c>
      <c r="C64" s="8">
        <v>18000</v>
      </c>
      <c r="D64" s="8">
        <f t="shared" si="0"/>
        <v>126000</v>
      </c>
    </row>
    <row r="65" spans="1:4" ht="18" x14ac:dyDescent="0.3">
      <c r="A65" s="10" t="s">
        <v>62</v>
      </c>
      <c r="B65" s="8">
        <f>100+80+30</f>
        <v>210</v>
      </c>
      <c r="C65" s="8">
        <v>18000</v>
      </c>
      <c r="D65" s="8">
        <f t="shared" si="0"/>
        <v>3780000</v>
      </c>
    </row>
    <row r="66" spans="1:4" ht="18" hidden="1" x14ac:dyDescent="0.3">
      <c r="A66" s="21" t="s">
        <v>63</v>
      </c>
      <c r="B66" s="8"/>
      <c r="C66" s="8"/>
      <c r="D66" s="8">
        <f t="shared" si="0"/>
        <v>0</v>
      </c>
    </row>
    <row r="67" spans="1:4" ht="18" hidden="1" x14ac:dyDescent="0.3">
      <c r="A67" s="10" t="s">
        <v>64</v>
      </c>
      <c r="B67" s="8"/>
      <c r="C67" s="8"/>
      <c r="D67" s="8">
        <f t="shared" si="0"/>
        <v>0</v>
      </c>
    </row>
    <row r="68" spans="1:4" ht="18" hidden="1" x14ac:dyDescent="0.3">
      <c r="A68" s="10" t="s">
        <v>65</v>
      </c>
      <c r="B68" s="8"/>
      <c r="C68" s="8"/>
      <c r="D68" s="8">
        <f t="shared" si="0"/>
        <v>0</v>
      </c>
    </row>
    <row r="69" spans="1:4" ht="18" hidden="1" x14ac:dyDescent="0.3">
      <c r="A69" s="22" t="s">
        <v>66</v>
      </c>
      <c r="B69" s="8"/>
      <c r="C69" s="8"/>
      <c r="D69" s="8">
        <f t="shared" ref="D69:D132" si="1">B69*C69</f>
        <v>0</v>
      </c>
    </row>
    <row r="70" spans="1:4" ht="18" hidden="1" x14ac:dyDescent="0.3">
      <c r="A70" s="13" t="s">
        <v>67</v>
      </c>
      <c r="B70" s="8"/>
      <c r="C70" s="8"/>
      <c r="D70" s="8">
        <f t="shared" si="1"/>
        <v>0</v>
      </c>
    </row>
    <row r="71" spans="1:4" ht="18" x14ac:dyDescent="0.3">
      <c r="A71" s="13" t="s">
        <v>68</v>
      </c>
      <c r="B71" s="8">
        <v>19</v>
      </c>
      <c r="C71" s="8">
        <v>10000</v>
      </c>
      <c r="D71" s="8">
        <f t="shared" si="1"/>
        <v>190000</v>
      </c>
    </row>
    <row r="72" spans="1:4" ht="18" hidden="1" x14ac:dyDescent="0.3">
      <c r="A72" s="12" t="s">
        <v>69</v>
      </c>
      <c r="B72" s="8"/>
      <c r="C72" s="8"/>
      <c r="D72" s="8">
        <f t="shared" si="1"/>
        <v>0</v>
      </c>
    </row>
    <row r="73" spans="1:4" ht="18" hidden="1" x14ac:dyDescent="0.3">
      <c r="A73" s="13" t="s">
        <v>70</v>
      </c>
      <c r="B73" s="8"/>
      <c r="C73" s="8"/>
      <c r="D73" s="8">
        <f t="shared" si="1"/>
        <v>0</v>
      </c>
    </row>
    <row r="74" spans="1:4" ht="18" hidden="1" x14ac:dyDescent="0.3">
      <c r="A74" s="13" t="s">
        <v>71</v>
      </c>
      <c r="B74" s="8"/>
      <c r="C74" s="8"/>
      <c r="D74" s="8">
        <f t="shared" si="1"/>
        <v>0</v>
      </c>
    </row>
    <row r="75" spans="1:4" ht="18" hidden="1" x14ac:dyDescent="0.3">
      <c r="A75" s="13" t="s">
        <v>72</v>
      </c>
      <c r="B75" s="8"/>
      <c r="C75" s="8"/>
      <c r="D75" s="8">
        <f t="shared" si="1"/>
        <v>0</v>
      </c>
    </row>
    <row r="76" spans="1:4" ht="18" hidden="1" x14ac:dyDescent="0.3">
      <c r="A76" s="22" t="s">
        <v>73</v>
      </c>
      <c r="B76" s="8"/>
      <c r="C76" s="8"/>
      <c r="D76" s="8">
        <f t="shared" si="1"/>
        <v>0</v>
      </c>
    </row>
    <row r="77" spans="1:4" ht="18" hidden="1" x14ac:dyDescent="0.3">
      <c r="A77" s="10" t="s">
        <v>74</v>
      </c>
      <c r="B77" s="8"/>
      <c r="C77" s="8"/>
      <c r="D77" s="8">
        <f t="shared" si="1"/>
        <v>0</v>
      </c>
    </row>
    <row r="78" spans="1:4" ht="18" hidden="1" x14ac:dyDescent="0.3">
      <c r="A78" s="10" t="s">
        <v>75</v>
      </c>
      <c r="B78" s="8"/>
      <c r="C78" s="8"/>
      <c r="D78" s="8">
        <f t="shared" si="1"/>
        <v>0</v>
      </c>
    </row>
    <row r="79" spans="1:4" ht="18" hidden="1" x14ac:dyDescent="0.3">
      <c r="A79" s="10" t="s">
        <v>77</v>
      </c>
      <c r="B79" s="8"/>
      <c r="C79" s="8"/>
      <c r="D79" s="8">
        <f t="shared" si="1"/>
        <v>0</v>
      </c>
    </row>
    <row r="80" spans="1:4" ht="18" hidden="1" x14ac:dyDescent="0.3">
      <c r="A80" s="14" t="s">
        <v>78</v>
      </c>
      <c r="B80" s="8"/>
      <c r="C80" s="8"/>
      <c r="D80" s="8">
        <f t="shared" si="1"/>
        <v>0</v>
      </c>
    </row>
    <row r="81" spans="1:4" ht="18" hidden="1" x14ac:dyDescent="0.3">
      <c r="A81" s="10" t="s">
        <v>79</v>
      </c>
      <c r="B81" s="8"/>
      <c r="C81" s="8"/>
      <c r="D81" s="8">
        <f t="shared" si="1"/>
        <v>0</v>
      </c>
    </row>
    <row r="82" spans="1:4" ht="18" hidden="1" x14ac:dyDescent="0.3">
      <c r="A82" s="10" t="s">
        <v>80</v>
      </c>
      <c r="B82" s="8"/>
      <c r="C82" s="8"/>
      <c r="D82" s="8">
        <f t="shared" si="1"/>
        <v>0</v>
      </c>
    </row>
    <row r="83" spans="1:4" ht="18" hidden="1" x14ac:dyDescent="0.3">
      <c r="A83" s="10" t="s">
        <v>81</v>
      </c>
      <c r="B83" s="8"/>
      <c r="C83" s="8"/>
      <c r="D83" s="8">
        <f t="shared" si="1"/>
        <v>0</v>
      </c>
    </row>
    <row r="84" spans="1:4" ht="18" hidden="1" x14ac:dyDescent="0.3">
      <c r="A84" s="13" t="s">
        <v>82</v>
      </c>
      <c r="B84" s="17"/>
      <c r="C84" s="17"/>
      <c r="D84" s="8">
        <f t="shared" si="1"/>
        <v>0</v>
      </c>
    </row>
    <row r="85" spans="1:4" ht="18" hidden="1" x14ac:dyDescent="0.3">
      <c r="A85" s="13" t="s">
        <v>83</v>
      </c>
      <c r="B85" s="17"/>
      <c r="C85" s="17"/>
      <c r="D85" s="8">
        <f t="shared" si="1"/>
        <v>0</v>
      </c>
    </row>
    <row r="86" spans="1:4" ht="18" hidden="1" x14ac:dyDescent="0.3">
      <c r="A86" s="13" t="s">
        <v>84</v>
      </c>
      <c r="B86" s="17"/>
      <c r="C86" s="17"/>
      <c r="D86" s="8">
        <f t="shared" si="1"/>
        <v>0</v>
      </c>
    </row>
    <row r="87" spans="1:4" ht="18" hidden="1" x14ac:dyDescent="0.3">
      <c r="A87" s="10" t="s">
        <v>85</v>
      </c>
      <c r="B87" s="8"/>
      <c r="C87" s="8"/>
      <c r="D87" s="8">
        <f t="shared" si="1"/>
        <v>0</v>
      </c>
    </row>
    <row r="88" spans="1:4" ht="18" hidden="1" x14ac:dyDescent="0.3">
      <c r="A88" s="10" t="s">
        <v>86</v>
      </c>
      <c r="B88" s="8"/>
      <c r="C88" s="8"/>
      <c r="D88" s="8">
        <f t="shared" si="1"/>
        <v>0</v>
      </c>
    </row>
    <row r="89" spans="1:4" ht="18" hidden="1" x14ac:dyDescent="0.3">
      <c r="A89" s="10" t="s">
        <v>87</v>
      </c>
      <c r="B89" s="8"/>
      <c r="C89" s="8"/>
      <c r="D89" s="8">
        <f t="shared" si="1"/>
        <v>0</v>
      </c>
    </row>
    <row r="90" spans="1:4" ht="18" hidden="1" x14ac:dyDescent="0.3">
      <c r="A90" s="10" t="s">
        <v>88</v>
      </c>
      <c r="B90" s="8"/>
      <c r="C90" s="8"/>
      <c r="D90" s="8">
        <f t="shared" si="1"/>
        <v>0</v>
      </c>
    </row>
    <row r="91" spans="1:4" ht="18" hidden="1" x14ac:dyDescent="0.3">
      <c r="A91" s="10" t="s">
        <v>89</v>
      </c>
      <c r="B91" s="8"/>
      <c r="C91" s="8"/>
      <c r="D91" s="8">
        <f t="shared" si="1"/>
        <v>0</v>
      </c>
    </row>
    <row r="92" spans="1:4" ht="18" hidden="1" x14ac:dyDescent="0.3">
      <c r="A92" s="10" t="s">
        <v>90</v>
      </c>
      <c r="B92" s="8"/>
      <c r="C92" s="8"/>
      <c r="D92" s="8">
        <f t="shared" si="1"/>
        <v>0</v>
      </c>
    </row>
    <row r="93" spans="1:4" ht="18" hidden="1" x14ac:dyDescent="0.3">
      <c r="A93" s="23" t="s">
        <v>91</v>
      </c>
      <c r="B93" s="8"/>
      <c r="C93" s="8"/>
      <c r="D93" s="8">
        <f t="shared" si="1"/>
        <v>0</v>
      </c>
    </row>
    <row r="94" spans="1:4" ht="18" hidden="1" x14ac:dyDescent="0.3">
      <c r="A94" s="23" t="s">
        <v>92</v>
      </c>
      <c r="B94" s="8"/>
      <c r="C94" s="8"/>
      <c r="D94" s="8">
        <f t="shared" si="1"/>
        <v>0</v>
      </c>
    </row>
    <row r="95" spans="1:4" ht="18" hidden="1" x14ac:dyDescent="0.3">
      <c r="A95" s="23" t="s">
        <v>93</v>
      </c>
      <c r="B95" s="8"/>
      <c r="C95" s="8"/>
      <c r="D95" s="8">
        <f t="shared" si="1"/>
        <v>0</v>
      </c>
    </row>
    <row r="96" spans="1:4" ht="18" hidden="1" x14ac:dyDescent="0.3">
      <c r="A96" s="12" t="s">
        <v>94</v>
      </c>
      <c r="B96" s="8"/>
      <c r="C96" s="8"/>
      <c r="D96" s="8">
        <f t="shared" si="1"/>
        <v>0</v>
      </c>
    </row>
    <row r="97" spans="1:4" ht="18" hidden="1" x14ac:dyDescent="0.3">
      <c r="A97" s="14" t="s">
        <v>95</v>
      </c>
      <c r="B97" s="8"/>
      <c r="C97" s="8"/>
      <c r="D97" s="8">
        <f t="shared" si="1"/>
        <v>0</v>
      </c>
    </row>
    <row r="98" spans="1:4" ht="18" hidden="1" x14ac:dyDescent="0.3">
      <c r="A98" s="10" t="s">
        <v>96</v>
      </c>
      <c r="B98" s="8"/>
      <c r="C98" s="8"/>
      <c r="D98" s="8">
        <f t="shared" si="1"/>
        <v>0</v>
      </c>
    </row>
    <row r="99" spans="1:4" ht="18" hidden="1" x14ac:dyDescent="0.3">
      <c r="A99" s="10" t="s">
        <v>97</v>
      </c>
      <c r="B99" s="8"/>
      <c r="C99" s="8"/>
      <c r="D99" s="8">
        <f t="shared" si="1"/>
        <v>0</v>
      </c>
    </row>
    <row r="100" spans="1:4" ht="18" hidden="1" x14ac:dyDescent="0.3">
      <c r="A100" s="12" t="s">
        <v>98</v>
      </c>
      <c r="B100" s="8"/>
      <c r="C100" s="8"/>
      <c r="D100" s="8">
        <f t="shared" si="1"/>
        <v>0</v>
      </c>
    </row>
    <row r="101" spans="1:4" ht="18" hidden="1" x14ac:dyDescent="0.3">
      <c r="A101" s="10" t="s">
        <v>99</v>
      </c>
      <c r="B101" s="17"/>
      <c r="C101" s="17"/>
      <c r="D101" s="8">
        <f t="shared" si="1"/>
        <v>0</v>
      </c>
    </row>
    <row r="102" spans="1:4" ht="18" hidden="1" x14ac:dyDescent="0.3">
      <c r="A102" s="12" t="s">
        <v>100</v>
      </c>
      <c r="B102" s="8"/>
      <c r="C102" s="8"/>
      <c r="D102" s="8">
        <f t="shared" si="1"/>
        <v>0</v>
      </c>
    </row>
    <row r="103" spans="1:4" ht="18" hidden="1" x14ac:dyDescent="0.3">
      <c r="A103" s="24" t="s">
        <v>101</v>
      </c>
      <c r="B103" s="8"/>
      <c r="C103" s="8"/>
      <c r="D103" s="8">
        <f t="shared" si="1"/>
        <v>0</v>
      </c>
    </row>
    <row r="104" spans="1:4" ht="18" hidden="1" x14ac:dyDescent="0.3">
      <c r="A104" s="25" t="s">
        <v>102</v>
      </c>
      <c r="B104" s="8"/>
      <c r="C104" s="8"/>
      <c r="D104" s="8">
        <f t="shared" si="1"/>
        <v>0</v>
      </c>
    </row>
    <row r="105" spans="1:4" ht="18" x14ac:dyDescent="0.3">
      <c r="A105" s="26" t="s">
        <v>103</v>
      </c>
      <c r="B105" s="8">
        <f>25+95+120</f>
        <v>240</v>
      </c>
      <c r="C105" s="8">
        <v>7500</v>
      </c>
      <c r="D105" s="8">
        <f t="shared" si="1"/>
        <v>1800000</v>
      </c>
    </row>
    <row r="106" spans="1:4" ht="18" hidden="1" x14ac:dyDescent="0.3">
      <c r="A106" s="18" t="s">
        <v>104</v>
      </c>
      <c r="B106" s="8"/>
      <c r="C106" s="8"/>
      <c r="D106" s="8">
        <f t="shared" si="1"/>
        <v>0</v>
      </c>
    </row>
    <row r="107" spans="1:4" ht="18" hidden="1" x14ac:dyDescent="0.3">
      <c r="A107" s="10" t="s">
        <v>105</v>
      </c>
      <c r="B107" s="8"/>
      <c r="C107" s="8"/>
      <c r="D107" s="8">
        <f t="shared" si="1"/>
        <v>0</v>
      </c>
    </row>
    <row r="108" spans="1:4" ht="18" hidden="1" x14ac:dyDescent="0.3">
      <c r="A108" s="10" t="s">
        <v>106</v>
      </c>
      <c r="B108" s="8"/>
      <c r="C108" s="8"/>
      <c r="D108" s="8">
        <f t="shared" si="1"/>
        <v>0</v>
      </c>
    </row>
    <row r="109" spans="1:4" ht="18" hidden="1" x14ac:dyDescent="0.3">
      <c r="A109" s="12" t="s">
        <v>107</v>
      </c>
      <c r="B109" s="8"/>
      <c r="C109" s="8"/>
      <c r="D109" s="8">
        <f t="shared" si="1"/>
        <v>0</v>
      </c>
    </row>
    <row r="110" spans="1:4" ht="18" hidden="1" x14ac:dyDescent="0.3">
      <c r="A110" s="27" t="s">
        <v>108</v>
      </c>
      <c r="B110" s="8"/>
      <c r="C110" s="8"/>
      <c r="D110" s="8">
        <f t="shared" si="1"/>
        <v>0</v>
      </c>
    </row>
    <row r="111" spans="1:4" ht="18" hidden="1" x14ac:dyDescent="0.3">
      <c r="A111" s="10" t="s">
        <v>109</v>
      </c>
      <c r="B111" s="8"/>
      <c r="C111" s="8"/>
      <c r="D111" s="8">
        <f t="shared" si="1"/>
        <v>0</v>
      </c>
    </row>
    <row r="112" spans="1:4" ht="18" x14ac:dyDescent="0.3">
      <c r="A112" s="10" t="s">
        <v>110</v>
      </c>
      <c r="B112" s="8">
        <v>20</v>
      </c>
      <c r="C112" s="8">
        <v>21000</v>
      </c>
      <c r="D112" s="8">
        <f t="shared" si="1"/>
        <v>420000</v>
      </c>
    </row>
    <row r="113" spans="1:4" ht="18" hidden="1" x14ac:dyDescent="0.3">
      <c r="A113" s="10" t="s">
        <v>111</v>
      </c>
      <c r="B113" s="8"/>
      <c r="C113" s="8"/>
      <c r="D113" s="8">
        <f t="shared" si="1"/>
        <v>0</v>
      </c>
    </row>
    <row r="114" spans="1:4" ht="18" hidden="1" x14ac:dyDescent="0.3">
      <c r="A114" s="10" t="s">
        <v>112</v>
      </c>
      <c r="B114" s="8"/>
      <c r="C114" s="8"/>
      <c r="D114" s="8">
        <f t="shared" si="1"/>
        <v>0</v>
      </c>
    </row>
    <row r="115" spans="1:4" ht="18" hidden="1" x14ac:dyDescent="0.3">
      <c r="A115" s="10" t="s">
        <v>113</v>
      </c>
      <c r="B115" s="8"/>
      <c r="C115" s="8"/>
      <c r="D115" s="8">
        <f t="shared" si="1"/>
        <v>0</v>
      </c>
    </row>
    <row r="116" spans="1:4" ht="18" hidden="1" x14ac:dyDescent="0.3">
      <c r="A116" s="10" t="s">
        <v>114</v>
      </c>
      <c r="B116" s="8"/>
      <c r="C116" s="8"/>
      <c r="D116" s="8">
        <f t="shared" si="1"/>
        <v>0</v>
      </c>
    </row>
    <row r="117" spans="1:4" ht="18" hidden="1" x14ac:dyDescent="0.3">
      <c r="A117" s="10" t="s">
        <v>115</v>
      </c>
      <c r="B117" s="8"/>
      <c r="C117" s="8"/>
      <c r="D117" s="8">
        <f t="shared" si="1"/>
        <v>0</v>
      </c>
    </row>
    <row r="118" spans="1:4" ht="18" hidden="1" x14ac:dyDescent="0.3">
      <c r="A118" s="10" t="s">
        <v>116</v>
      </c>
      <c r="B118" s="8"/>
      <c r="C118" s="8"/>
      <c r="D118" s="8">
        <f t="shared" si="1"/>
        <v>0</v>
      </c>
    </row>
    <row r="119" spans="1:4" ht="18" hidden="1" x14ac:dyDescent="0.3">
      <c r="A119" s="12" t="s">
        <v>117</v>
      </c>
      <c r="B119" s="8"/>
      <c r="C119" s="8"/>
      <c r="D119" s="8">
        <f t="shared" si="1"/>
        <v>0</v>
      </c>
    </row>
    <row r="120" spans="1:4" ht="18" hidden="1" x14ac:dyDescent="0.3">
      <c r="A120" s="23" t="s">
        <v>118</v>
      </c>
      <c r="B120" s="8"/>
      <c r="C120" s="8"/>
      <c r="D120" s="8">
        <f t="shared" si="1"/>
        <v>0</v>
      </c>
    </row>
    <row r="121" spans="1:4" ht="18" hidden="1" x14ac:dyDescent="0.3">
      <c r="A121" s="10" t="s">
        <v>119</v>
      </c>
      <c r="B121" s="8"/>
      <c r="C121" s="8"/>
      <c r="D121" s="8">
        <f t="shared" si="1"/>
        <v>0</v>
      </c>
    </row>
    <row r="122" spans="1:4" ht="18" hidden="1" x14ac:dyDescent="0.3">
      <c r="A122" s="12" t="s">
        <v>120</v>
      </c>
      <c r="B122" s="8"/>
      <c r="C122" s="8"/>
      <c r="D122" s="8">
        <f t="shared" si="1"/>
        <v>0</v>
      </c>
    </row>
    <row r="123" spans="1:4" ht="18" hidden="1" x14ac:dyDescent="0.3">
      <c r="A123" s="12" t="s">
        <v>121</v>
      </c>
      <c r="B123" s="8"/>
      <c r="C123" s="8"/>
      <c r="D123" s="8">
        <f t="shared" si="1"/>
        <v>0</v>
      </c>
    </row>
    <row r="124" spans="1:4" ht="18" hidden="1" x14ac:dyDescent="0.3">
      <c r="A124" s="10" t="s">
        <v>122</v>
      </c>
      <c r="B124" s="8"/>
      <c r="C124" s="8"/>
      <c r="D124" s="8">
        <f t="shared" si="1"/>
        <v>0</v>
      </c>
    </row>
    <row r="125" spans="1:4" ht="18" hidden="1" x14ac:dyDescent="0.3">
      <c r="A125" s="10" t="s">
        <v>123</v>
      </c>
      <c r="B125" s="8"/>
      <c r="C125" s="8"/>
      <c r="D125" s="8">
        <f t="shared" si="1"/>
        <v>0</v>
      </c>
    </row>
    <row r="126" spans="1:4" ht="18" hidden="1" x14ac:dyDescent="0.3">
      <c r="A126" s="11" t="s">
        <v>124</v>
      </c>
      <c r="B126" s="8"/>
      <c r="C126" s="8"/>
      <c r="D126" s="8">
        <f t="shared" si="1"/>
        <v>0</v>
      </c>
    </row>
    <row r="127" spans="1:4" ht="18" hidden="1" x14ac:dyDescent="0.3">
      <c r="A127" s="14" t="s">
        <v>125</v>
      </c>
      <c r="B127" s="8"/>
      <c r="C127" s="8"/>
      <c r="D127" s="8">
        <f t="shared" si="1"/>
        <v>0</v>
      </c>
    </row>
    <row r="128" spans="1:4" ht="18" hidden="1" x14ac:dyDescent="0.3">
      <c r="A128" s="13" t="s">
        <v>126</v>
      </c>
      <c r="B128" s="17"/>
      <c r="C128" s="17"/>
      <c r="D128" s="8">
        <f t="shared" si="1"/>
        <v>0</v>
      </c>
    </row>
    <row r="129" spans="1:4" ht="18" hidden="1" x14ac:dyDescent="0.3">
      <c r="A129" s="13" t="s">
        <v>127</v>
      </c>
      <c r="B129" s="17"/>
      <c r="C129" s="17"/>
      <c r="D129" s="8">
        <f t="shared" si="1"/>
        <v>0</v>
      </c>
    </row>
    <row r="130" spans="1:4" ht="18" hidden="1" x14ac:dyDescent="0.3">
      <c r="A130" s="13" t="s">
        <v>128</v>
      </c>
      <c r="B130" s="17"/>
      <c r="C130" s="17"/>
      <c r="D130" s="8">
        <f t="shared" si="1"/>
        <v>0</v>
      </c>
    </row>
    <row r="131" spans="1:4" ht="18" hidden="1" x14ac:dyDescent="0.3">
      <c r="A131" s="13" t="s">
        <v>129</v>
      </c>
      <c r="B131" s="29"/>
      <c r="C131" s="29"/>
      <c r="D131" s="8">
        <f t="shared" si="1"/>
        <v>0</v>
      </c>
    </row>
    <row r="132" spans="1:4" ht="18" hidden="1" x14ac:dyDescent="0.3">
      <c r="A132" s="30" t="s">
        <v>130</v>
      </c>
      <c r="B132" s="8"/>
      <c r="C132" s="8"/>
      <c r="D132" s="8">
        <f t="shared" si="1"/>
        <v>0</v>
      </c>
    </row>
    <row r="133" spans="1:4" ht="18" hidden="1" x14ac:dyDescent="0.3">
      <c r="A133" s="13" t="s">
        <v>131</v>
      </c>
      <c r="B133" s="17"/>
      <c r="C133" s="17"/>
      <c r="D133" s="8">
        <f t="shared" ref="D133:D196" si="2">B133*C133</f>
        <v>0</v>
      </c>
    </row>
    <row r="134" spans="1:4" ht="18" hidden="1" x14ac:dyDescent="0.3">
      <c r="A134" s="10" t="s">
        <v>132</v>
      </c>
      <c r="B134" s="8"/>
      <c r="C134" s="8"/>
      <c r="D134" s="8">
        <f t="shared" si="2"/>
        <v>0</v>
      </c>
    </row>
    <row r="135" spans="1:4" ht="18" hidden="1" x14ac:dyDescent="0.3">
      <c r="A135" s="10" t="s">
        <v>133</v>
      </c>
      <c r="B135" s="8"/>
      <c r="C135" s="8"/>
      <c r="D135" s="8">
        <f t="shared" si="2"/>
        <v>0</v>
      </c>
    </row>
    <row r="136" spans="1:4" ht="18" hidden="1" x14ac:dyDescent="0.3">
      <c r="A136" s="10" t="s">
        <v>134</v>
      </c>
      <c r="B136" s="8"/>
      <c r="C136" s="8"/>
      <c r="D136" s="8">
        <f t="shared" si="2"/>
        <v>0</v>
      </c>
    </row>
    <row r="137" spans="1:4" ht="18" hidden="1" x14ac:dyDescent="0.3">
      <c r="A137" s="10" t="s">
        <v>135</v>
      </c>
      <c r="B137" s="8"/>
      <c r="C137" s="8"/>
      <c r="D137" s="8">
        <f t="shared" si="2"/>
        <v>0</v>
      </c>
    </row>
    <row r="138" spans="1:4" ht="18" hidden="1" x14ac:dyDescent="0.3">
      <c r="A138" s="18" t="s">
        <v>136</v>
      </c>
      <c r="B138" s="8"/>
      <c r="C138" s="8"/>
      <c r="D138" s="8">
        <f t="shared" si="2"/>
        <v>0</v>
      </c>
    </row>
    <row r="139" spans="1:4" ht="18" hidden="1" x14ac:dyDescent="0.3">
      <c r="A139" s="13" t="s">
        <v>137</v>
      </c>
      <c r="B139" s="8"/>
      <c r="C139" s="8"/>
      <c r="D139" s="8">
        <f t="shared" si="2"/>
        <v>0</v>
      </c>
    </row>
    <row r="140" spans="1:4" ht="18" hidden="1" x14ac:dyDescent="0.3">
      <c r="A140" s="13" t="s">
        <v>138</v>
      </c>
      <c r="B140" s="8"/>
      <c r="C140" s="8"/>
      <c r="D140" s="8">
        <f t="shared" si="2"/>
        <v>0</v>
      </c>
    </row>
    <row r="141" spans="1:4" ht="18" hidden="1" x14ac:dyDescent="0.3">
      <c r="A141" s="10" t="s">
        <v>139</v>
      </c>
      <c r="B141" s="8"/>
      <c r="C141" s="8"/>
      <c r="D141" s="8">
        <f t="shared" si="2"/>
        <v>0</v>
      </c>
    </row>
    <row r="142" spans="1:4" ht="18" hidden="1" x14ac:dyDescent="0.3">
      <c r="A142" s="10" t="s">
        <v>140</v>
      </c>
      <c r="B142" s="8"/>
      <c r="C142" s="8"/>
      <c r="D142" s="8">
        <f t="shared" si="2"/>
        <v>0</v>
      </c>
    </row>
    <row r="143" spans="1:4" ht="18" hidden="1" x14ac:dyDescent="0.3">
      <c r="A143" s="10" t="s">
        <v>141</v>
      </c>
      <c r="B143" s="17"/>
      <c r="C143" s="17"/>
      <c r="D143" s="8">
        <f t="shared" si="2"/>
        <v>0</v>
      </c>
    </row>
    <row r="144" spans="1:4" ht="18" hidden="1" x14ac:dyDescent="0.3">
      <c r="A144" s="10" t="s">
        <v>142</v>
      </c>
      <c r="B144" s="17"/>
      <c r="C144" s="17"/>
      <c r="D144" s="8">
        <f t="shared" si="2"/>
        <v>0</v>
      </c>
    </row>
    <row r="145" spans="1:4" ht="18" hidden="1" x14ac:dyDescent="0.3">
      <c r="A145" s="10" t="s">
        <v>143</v>
      </c>
      <c r="B145" s="8"/>
      <c r="C145" s="8"/>
      <c r="D145" s="8">
        <f t="shared" si="2"/>
        <v>0</v>
      </c>
    </row>
    <row r="146" spans="1:4" ht="18" hidden="1" x14ac:dyDescent="0.3">
      <c r="A146" s="10" t="s">
        <v>144</v>
      </c>
      <c r="B146" s="17"/>
      <c r="C146" s="17"/>
      <c r="D146" s="8">
        <f t="shared" si="2"/>
        <v>0</v>
      </c>
    </row>
    <row r="147" spans="1:4" ht="18" hidden="1" x14ac:dyDescent="0.3">
      <c r="A147" s="10" t="s">
        <v>145</v>
      </c>
      <c r="B147" s="17"/>
      <c r="C147" s="17"/>
      <c r="D147" s="8">
        <f t="shared" si="2"/>
        <v>0</v>
      </c>
    </row>
    <row r="148" spans="1:4" ht="18" hidden="1" x14ac:dyDescent="0.3">
      <c r="A148" s="10" t="s">
        <v>146</v>
      </c>
      <c r="B148" s="17"/>
      <c r="C148" s="17"/>
      <c r="D148" s="8">
        <f t="shared" si="2"/>
        <v>0</v>
      </c>
    </row>
    <row r="149" spans="1:4" ht="18" hidden="1" x14ac:dyDescent="0.3">
      <c r="A149" s="10" t="s">
        <v>147</v>
      </c>
      <c r="B149" s="17"/>
      <c r="C149" s="17"/>
      <c r="D149" s="8">
        <f t="shared" si="2"/>
        <v>0</v>
      </c>
    </row>
    <row r="150" spans="1:4" ht="18" hidden="1" x14ac:dyDescent="0.3">
      <c r="A150" s="10" t="s">
        <v>148</v>
      </c>
      <c r="B150" s="17"/>
      <c r="C150" s="17"/>
      <c r="D150" s="8">
        <f t="shared" si="2"/>
        <v>0</v>
      </c>
    </row>
    <row r="151" spans="1:4" ht="18" hidden="1" x14ac:dyDescent="0.3">
      <c r="A151" s="10" t="s">
        <v>149</v>
      </c>
      <c r="B151" s="17"/>
      <c r="C151" s="17"/>
      <c r="D151" s="8">
        <f t="shared" si="2"/>
        <v>0</v>
      </c>
    </row>
    <row r="152" spans="1:4" ht="18" hidden="1" x14ac:dyDescent="0.3">
      <c r="A152" s="10" t="s">
        <v>150</v>
      </c>
      <c r="B152" s="17"/>
      <c r="C152" s="17"/>
      <c r="D152" s="8">
        <f t="shared" si="2"/>
        <v>0</v>
      </c>
    </row>
    <row r="153" spans="1:4" ht="18" hidden="1" x14ac:dyDescent="0.3">
      <c r="A153" s="10" t="s">
        <v>151</v>
      </c>
      <c r="B153" s="17"/>
      <c r="C153" s="17"/>
      <c r="D153" s="8">
        <f t="shared" si="2"/>
        <v>0</v>
      </c>
    </row>
    <row r="154" spans="1:4" ht="18" hidden="1" x14ac:dyDescent="0.3">
      <c r="A154" s="10" t="s">
        <v>152</v>
      </c>
      <c r="B154" s="8"/>
      <c r="C154" s="8"/>
      <c r="D154" s="8">
        <f t="shared" si="2"/>
        <v>0</v>
      </c>
    </row>
    <row r="155" spans="1:4" ht="18" hidden="1" x14ac:dyDescent="0.3">
      <c r="A155" s="10" t="s">
        <v>153</v>
      </c>
      <c r="B155" s="8"/>
      <c r="C155" s="8"/>
      <c r="D155" s="8">
        <f t="shared" si="2"/>
        <v>0</v>
      </c>
    </row>
    <row r="156" spans="1:4" ht="18" hidden="1" x14ac:dyDescent="0.3">
      <c r="A156" s="10" t="s">
        <v>154</v>
      </c>
      <c r="B156" s="8"/>
      <c r="C156" s="8"/>
      <c r="D156" s="8">
        <f t="shared" si="2"/>
        <v>0</v>
      </c>
    </row>
    <row r="157" spans="1:4" ht="18" hidden="1" x14ac:dyDescent="0.3">
      <c r="A157" s="10" t="s">
        <v>155</v>
      </c>
      <c r="B157" s="8"/>
      <c r="C157" s="8"/>
      <c r="D157" s="8">
        <f t="shared" si="2"/>
        <v>0</v>
      </c>
    </row>
    <row r="158" spans="1:4" ht="18" hidden="1" x14ac:dyDescent="0.3">
      <c r="A158" s="18" t="s">
        <v>156</v>
      </c>
      <c r="B158" s="8"/>
      <c r="C158" s="8"/>
      <c r="D158" s="8">
        <f t="shared" si="2"/>
        <v>0</v>
      </c>
    </row>
    <row r="159" spans="1:4" ht="18" hidden="1" x14ac:dyDescent="0.3">
      <c r="A159" s="31" t="s">
        <v>157</v>
      </c>
      <c r="B159" s="8"/>
      <c r="C159" s="8"/>
      <c r="D159" s="8">
        <f t="shared" si="2"/>
        <v>0</v>
      </c>
    </row>
    <row r="160" spans="1:4" ht="18" hidden="1" x14ac:dyDescent="0.3">
      <c r="A160" s="10" t="s">
        <v>158</v>
      </c>
      <c r="B160" s="8"/>
      <c r="C160" s="8"/>
      <c r="D160" s="8">
        <f t="shared" si="2"/>
        <v>0</v>
      </c>
    </row>
    <row r="161" spans="1:4" ht="18" hidden="1" x14ac:dyDescent="0.3">
      <c r="A161" s="10" t="s">
        <v>159</v>
      </c>
      <c r="B161" s="8"/>
      <c r="C161" s="8"/>
      <c r="D161" s="8">
        <f t="shared" si="2"/>
        <v>0</v>
      </c>
    </row>
    <row r="162" spans="1:4" ht="18" hidden="1" x14ac:dyDescent="0.3">
      <c r="A162" s="10" t="s">
        <v>160</v>
      </c>
      <c r="B162" s="8"/>
      <c r="C162" s="8"/>
      <c r="D162" s="8">
        <f t="shared" si="2"/>
        <v>0</v>
      </c>
    </row>
    <row r="163" spans="1:4" ht="18" hidden="1" x14ac:dyDescent="0.3">
      <c r="A163" s="10" t="s">
        <v>161</v>
      </c>
      <c r="B163" s="17"/>
      <c r="C163" s="17"/>
      <c r="D163" s="8">
        <f t="shared" si="2"/>
        <v>0</v>
      </c>
    </row>
    <row r="164" spans="1:4" ht="18" hidden="1" x14ac:dyDescent="0.3">
      <c r="A164" s="10" t="s">
        <v>162</v>
      </c>
      <c r="B164" s="17"/>
      <c r="C164" s="17"/>
      <c r="D164" s="8">
        <f t="shared" si="2"/>
        <v>0</v>
      </c>
    </row>
    <row r="165" spans="1:4" ht="18" hidden="1" x14ac:dyDescent="0.3">
      <c r="A165" s="10" t="s">
        <v>163</v>
      </c>
      <c r="B165" s="17"/>
      <c r="C165" s="17"/>
      <c r="D165" s="8">
        <f t="shared" si="2"/>
        <v>0</v>
      </c>
    </row>
    <row r="166" spans="1:4" ht="18" hidden="1" x14ac:dyDescent="0.3">
      <c r="A166" s="10" t="s">
        <v>164</v>
      </c>
      <c r="B166" s="8"/>
      <c r="C166" s="8"/>
      <c r="D166" s="8">
        <f t="shared" si="2"/>
        <v>0</v>
      </c>
    </row>
    <row r="167" spans="1:4" ht="18" hidden="1" x14ac:dyDescent="0.3">
      <c r="A167" s="10" t="s">
        <v>165</v>
      </c>
      <c r="B167" s="8"/>
      <c r="C167" s="8"/>
      <c r="D167" s="8">
        <f t="shared" si="2"/>
        <v>0</v>
      </c>
    </row>
    <row r="168" spans="1:4" ht="18" hidden="1" x14ac:dyDescent="0.3">
      <c r="A168" s="18" t="s">
        <v>166</v>
      </c>
      <c r="B168" s="8"/>
      <c r="C168" s="8"/>
      <c r="D168" s="8">
        <f t="shared" si="2"/>
        <v>0</v>
      </c>
    </row>
    <row r="169" spans="1:4" ht="18" hidden="1" x14ac:dyDescent="0.3">
      <c r="A169" s="13" t="s">
        <v>167</v>
      </c>
      <c r="B169" s="8"/>
      <c r="C169" s="8"/>
      <c r="D169" s="8">
        <f t="shared" si="2"/>
        <v>0</v>
      </c>
    </row>
    <row r="170" spans="1:4" ht="18" hidden="1" x14ac:dyDescent="0.3">
      <c r="A170" s="10" t="s">
        <v>168</v>
      </c>
      <c r="B170" s="8"/>
      <c r="C170" s="48"/>
      <c r="D170" s="8">
        <f t="shared" si="2"/>
        <v>0</v>
      </c>
    </row>
    <row r="171" spans="1:4" ht="18" hidden="1" x14ac:dyDescent="0.3">
      <c r="A171" s="33" t="s">
        <v>169</v>
      </c>
      <c r="B171" s="8"/>
      <c r="C171" s="8"/>
      <c r="D171" s="8">
        <f t="shared" si="2"/>
        <v>0</v>
      </c>
    </row>
    <row r="172" spans="1:4" ht="18" hidden="1" x14ac:dyDescent="0.3">
      <c r="A172" s="10" t="s">
        <v>170</v>
      </c>
      <c r="B172" s="8"/>
      <c r="C172" s="8"/>
      <c r="D172" s="8">
        <f t="shared" si="2"/>
        <v>0</v>
      </c>
    </row>
    <row r="173" spans="1:4" ht="18" hidden="1" x14ac:dyDescent="0.3">
      <c r="A173" s="10" t="s">
        <v>171</v>
      </c>
      <c r="B173" s="8"/>
      <c r="C173" s="8"/>
      <c r="D173" s="8">
        <f t="shared" si="2"/>
        <v>0</v>
      </c>
    </row>
    <row r="174" spans="1:4" ht="18" hidden="1" x14ac:dyDescent="0.3">
      <c r="A174" s="22" t="s">
        <v>172</v>
      </c>
      <c r="B174" s="8"/>
      <c r="C174" s="8"/>
      <c r="D174" s="8">
        <f t="shared" si="2"/>
        <v>0</v>
      </c>
    </row>
    <row r="175" spans="1:4" ht="18" hidden="1" x14ac:dyDescent="0.3">
      <c r="A175" s="10" t="s">
        <v>173</v>
      </c>
      <c r="B175" s="8"/>
      <c r="C175" s="8"/>
      <c r="D175" s="8">
        <f t="shared" si="2"/>
        <v>0</v>
      </c>
    </row>
    <row r="176" spans="1:4" ht="18" hidden="1" x14ac:dyDescent="0.3">
      <c r="A176" s="34" t="s">
        <v>174</v>
      </c>
      <c r="B176" s="36"/>
      <c r="C176" s="36"/>
      <c r="D176" s="8">
        <f t="shared" si="2"/>
        <v>0</v>
      </c>
    </row>
    <row r="177" spans="1:4" ht="18" hidden="1" x14ac:dyDescent="0.3">
      <c r="A177" s="12" t="s">
        <v>175</v>
      </c>
      <c r="B177" s="8"/>
      <c r="C177" s="8"/>
      <c r="D177" s="8">
        <f t="shared" si="2"/>
        <v>0</v>
      </c>
    </row>
    <row r="178" spans="1:4" ht="18" hidden="1" x14ac:dyDescent="0.3">
      <c r="A178" s="10" t="s">
        <v>176</v>
      </c>
      <c r="B178" s="8"/>
      <c r="C178" s="8"/>
      <c r="D178" s="8">
        <f t="shared" si="2"/>
        <v>0</v>
      </c>
    </row>
    <row r="179" spans="1:4" ht="18" hidden="1" x14ac:dyDescent="0.3">
      <c r="A179" s="10" t="s">
        <v>177</v>
      </c>
      <c r="B179" s="8"/>
      <c r="C179" s="8"/>
      <c r="D179" s="8">
        <f t="shared" si="2"/>
        <v>0</v>
      </c>
    </row>
    <row r="180" spans="1:4" ht="18" hidden="1" x14ac:dyDescent="0.3">
      <c r="A180" s="13" t="s">
        <v>178</v>
      </c>
      <c r="B180" s="8"/>
      <c r="C180" s="8"/>
      <c r="D180" s="8">
        <f t="shared" si="2"/>
        <v>0</v>
      </c>
    </row>
    <row r="181" spans="1:4" ht="18" hidden="1" x14ac:dyDescent="0.3">
      <c r="A181" s="10" t="s">
        <v>179</v>
      </c>
      <c r="B181" s="8"/>
      <c r="C181" s="8"/>
      <c r="D181" s="8">
        <f t="shared" si="2"/>
        <v>0</v>
      </c>
    </row>
    <row r="182" spans="1:4" ht="18" hidden="1" x14ac:dyDescent="0.3">
      <c r="A182" s="10" t="s">
        <v>180</v>
      </c>
      <c r="B182" s="8"/>
      <c r="C182" s="8"/>
      <c r="D182" s="8">
        <f t="shared" si="2"/>
        <v>0</v>
      </c>
    </row>
    <row r="183" spans="1:4" ht="18" hidden="1" x14ac:dyDescent="0.3">
      <c r="A183" s="13" t="s">
        <v>181</v>
      </c>
      <c r="B183" s="8"/>
      <c r="C183" s="8"/>
      <c r="D183" s="8">
        <f t="shared" si="2"/>
        <v>0</v>
      </c>
    </row>
    <row r="184" spans="1:4" ht="18" hidden="1" x14ac:dyDescent="0.3">
      <c r="A184" s="13" t="s">
        <v>182</v>
      </c>
      <c r="B184" s="8"/>
      <c r="C184" s="8"/>
      <c r="D184" s="8">
        <f t="shared" si="2"/>
        <v>0</v>
      </c>
    </row>
    <row r="185" spans="1:4" ht="18" x14ac:dyDescent="0.3">
      <c r="A185" s="13" t="s">
        <v>183</v>
      </c>
      <c r="B185" s="8">
        <v>50</v>
      </c>
      <c r="C185" s="8">
        <v>6000</v>
      </c>
      <c r="D185" s="8">
        <f t="shared" si="2"/>
        <v>300000</v>
      </c>
    </row>
    <row r="186" spans="1:4" ht="18" hidden="1" x14ac:dyDescent="0.3">
      <c r="A186" s="10" t="s">
        <v>184</v>
      </c>
      <c r="B186" s="8"/>
      <c r="C186" s="8"/>
      <c r="D186" s="8">
        <f t="shared" si="2"/>
        <v>0</v>
      </c>
    </row>
    <row r="187" spans="1:4" ht="18" hidden="1" x14ac:dyDescent="0.3">
      <c r="A187" s="13" t="s">
        <v>185</v>
      </c>
      <c r="B187" s="8"/>
      <c r="C187" s="8"/>
      <c r="D187" s="8">
        <f t="shared" si="2"/>
        <v>0</v>
      </c>
    </row>
    <row r="188" spans="1:4" ht="18" x14ac:dyDescent="0.3">
      <c r="A188" s="13" t="s">
        <v>186</v>
      </c>
      <c r="B188" s="8">
        <v>10</v>
      </c>
      <c r="C188" s="8">
        <v>20000</v>
      </c>
      <c r="D188" s="8">
        <f t="shared" si="2"/>
        <v>200000</v>
      </c>
    </row>
    <row r="189" spans="1:4" ht="18" hidden="1" x14ac:dyDescent="0.3">
      <c r="A189" s="13" t="s">
        <v>187</v>
      </c>
      <c r="B189" s="8"/>
      <c r="C189" s="8"/>
      <c r="D189" s="8">
        <f t="shared" si="2"/>
        <v>0</v>
      </c>
    </row>
    <row r="190" spans="1:4" ht="18" hidden="1" x14ac:dyDescent="0.3">
      <c r="A190" s="10" t="s">
        <v>188</v>
      </c>
      <c r="B190" s="8"/>
      <c r="C190" s="8"/>
      <c r="D190" s="8">
        <f t="shared" si="2"/>
        <v>0</v>
      </c>
    </row>
    <row r="191" spans="1:4" ht="18" hidden="1" x14ac:dyDescent="0.3">
      <c r="A191" s="18" t="s">
        <v>189</v>
      </c>
      <c r="B191" s="8"/>
      <c r="C191" s="8"/>
      <c r="D191" s="8">
        <f t="shared" si="2"/>
        <v>0</v>
      </c>
    </row>
    <row r="192" spans="1:4" ht="18" hidden="1" x14ac:dyDescent="0.3">
      <c r="A192" s="18" t="s">
        <v>190</v>
      </c>
      <c r="B192" s="8"/>
      <c r="C192" s="8"/>
      <c r="D192" s="8">
        <f t="shared" si="2"/>
        <v>0</v>
      </c>
    </row>
    <row r="193" spans="1:4" ht="18" hidden="1" x14ac:dyDescent="0.3">
      <c r="A193" s="18" t="s">
        <v>191</v>
      </c>
      <c r="B193" s="8"/>
      <c r="C193" s="8"/>
      <c r="D193" s="8">
        <f t="shared" si="2"/>
        <v>0</v>
      </c>
    </row>
    <row r="194" spans="1:4" ht="18" hidden="1" x14ac:dyDescent="0.3">
      <c r="A194" s="18" t="s">
        <v>192</v>
      </c>
      <c r="B194" s="8"/>
      <c r="C194" s="8"/>
      <c r="D194" s="8">
        <f t="shared" si="2"/>
        <v>0</v>
      </c>
    </row>
    <row r="195" spans="1:4" ht="18" hidden="1" x14ac:dyDescent="0.3">
      <c r="A195" s="13" t="s">
        <v>193</v>
      </c>
      <c r="B195" s="8"/>
      <c r="C195" s="8"/>
      <c r="D195" s="8">
        <f t="shared" si="2"/>
        <v>0</v>
      </c>
    </row>
    <row r="196" spans="1:4" ht="18" hidden="1" x14ac:dyDescent="0.3">
      <c r="A196" s="10" t="s">
        <v>194</v>
      </c>
      <c r="B196" s="8"/>
      <c r="C196" s="8"/>
      <c r="D196" s="8">
        <f t="shared" si="2"/>
        <v>0</v>
      </c>
    </row>
    <row r="197" spans="1:4" ht="18" hidden="1" x14ac:dyDescent="0.3">
      <c r="A197" s="37" t="s">
        <v>195</v>
      </c>
      <c r="B197" s="8"/>
      <c r="C197" s="8"/>
      <c r="D197" s="8">
        <f t="shared" ref="D197:D260" si="3">B197*C197</f>
        <v>0</v>
      </c>
    </row>
    <row r="198" spans="1:4" ht="18" hidden="1" x14ac:dyDescent="0.3">
      <c r="A198" s="37" t="s">
        <v>196</v>
      </c>
      <c r="B198" s="8"/>
      <c r="C198" s="8"/>
      <c r="D198" s="8">
        <f t="shared" si="3"/>
        <v>0</v>
      </c>
    </row>
    <row r="199" spans="1:4" ht="18" hidden="1" x14ac:dyDescent="0.3">
      <c r="A199" s="37" t="s">
        <v>197</v>
      </c>
      <c r="B199" s="8"/>
      <c r="C199" s="8"/>
      <c r="D199" s="8">
        <f t="shared" si="3"/>
        <v>0</v>
      </c>
    </row>
    <row r="200" spans="1:4" ht="18" hidden="1" x14ac:dyDescent="0.3">
      <c r="A200" s="37" t="s">
        <v>198</v>
      </c>
      <c r="B200" s="8"/>
      <c r="C200" s="8"/>
      <c r="D200" s="8">
        <f t="shared" si="3"/>
        <v>0</v>
      </c>
    </row>
    <row r="201" spans="1:4" ht="18" hidden="1" x14ac:dyDescent="0.3">
      <c r="A201" s="10" t="s">
        <v>199</v>
      </c>
      <c r="B201" s="8"/>
      <c r="C201" s="8"/>
      <c r="D201" s="8">
        <f t="shared" si="3"/>
        <v>0</v>
      </c>
    </row>
    <row r="202" spans="1:4" ht="18" hidden="1" x14ac:dyDescent="0.3">
      <c r="A202" s="38" t="s">
        <v>200</v>
      </c>
      <c r="B202" s="8"/>
      <c r="C202" s="8"/>
      <c r="D202" s="8">
        <f t="shared" si="3"/>
        <v>0</v>
      </c>
    </row>
    <row r="203" spans="1:4" ht="18" x14ac:dyDescent="0.3">
      <c r="A203" s="10" t="s">
        <v>201</v>
      </c>
      <c r="B203" s="8">
        <v>430</v>
      </c>
      <c r="C203" s="8">
        <v>19000</v>
      </c>
      <c r="D203" s="8">
        <f t="shared" si="3"/>
        <v>8170000</v>
      </c>
    </row>
    <row r="204" spans="1:4" ht="18" x14ac:dyDescent="0.3">
      <c r="A204" s="13" t="s">
        <v>202</v>
      </c>
      <c r="B204" s="8">
        <v>190</v>
      </c>
      <c r="C204" s="8">
        <v>19000</v>
      </c>
      <c r="D204" s="8">
        <f t="shared" si="3"/>
        <v>3610000</v>
      </c>
    </row>
    <row r="205" spans="1:4" ht="18" hidden="1" x14ac:dyDescent="0.3">
      <c r="A205" s="10" t="s">
        <v>203</v>
      </c>
      <c r="B205" s="8"/>
      <c r="C205" s="8"/>
      <c r="D205" s="8">
        <f t="shared" si="3"/>
        <v>0</v>
      </c>
    </row>
    <row r="206" spans="1:4" ht="18" hidden="1" x14ac:dyDescent="0.3">
      <c r="A206" s="10" t="s">
        <v>204</v>
      </c>
      <c r="B206" s="8"/>
      <c r="C206" s="8"/>
      <c r="D206" s="8">
        <f t="shared" si="3"/>
        <v>0</v>
      </c>
    </row>
    <row r="207" spans="1:4" ht="18" hidden="1" x14ac:dyDescent="0.3">
      <c r="A207" s="39" t="s">
        <v>205</v>
      </c>
      <c r="B207" s="8"/>
      <c r="C207" s="8"/>
      <c r="D207" s="8">
        <f t="shared" si="3"/>
        <v>0</v>
      </c>
    </row>
    <row r="208" spans="1:4" ht="18" hidden="1" x14ac:dyDescent="0.3">
      <c r="A208" s="39" t="s">
        <v>206</v>
      </c>
      <c r="B208" s="8"/>
      <c r="C208" s="8"/>
      <c r="D208" s="8">
        <f t="shared" si="3"/>
        <v>0</v>
      </c>
    </row>
    <row r="209" spans="1:4" ht="18" hidden="1" x14ac:dyDescent="0.3">
      <c r="A209" s="10" t="s">
        <v>207</v>
      </c>
      <c r="B209" s="8"/>
      <c r="C209" s="8"/>
      <c r="D209" s="8">
        <f t="shared" si="3"/>
        <v>0</v>
      </c>
    </row>
    <row r="210" spans="1:4" ht="18" hidden="1" x14ac:dyDescent="0.3">
      <c r="A210" s="12" t="s">
        <v>208</v>
      </c>
      <c r="B210" s="8"/>
      <c r="C210" s="8"/>
      <c r="D210" s="8">
        <f t="shared" si="3"/>
        <v>0</v>
      </c>
    </row>
    <row r="211" spans="1:4" ht="18" hidden="1" x14ac:dyDescent="0.3">
      <c r="A211" s="10" t="s">
        <v>209</v>
      </c>
      <c r="B211" s="8"/>
      <c r="C211" s="8"/>
      <c r="D211" s="8">
        <f t="shared" si="3"/>
        <v>0</v>
      </c>
    </row>
    <row r="212" spans="1:4" ht="18" x14ac:dyDescent="0.3">
      <c r="A212" s="10" t="s">
        <v>210</v>
      </c>
      <c r="B212" s="8">
        <v>20</v>
      </c>
      <c r="C212" s="8">
        <v>12000</v>
      </c>
      <c r="D212" s="8">
        <f t="shared" si="3"/>
        <v>240000</v>
      </c>
    </row>
    <row r="213" spans="1:4" ht="18" hidden="1" x14ac:dyDescent="0.3">
      <c r="A213" s="10" t="s">
        <v>211</v>
      </c>
      <c r="B213" s="8"/>
      <c r="C213" s="8"/>
      <c r="D213" s="8">
        <f t="shared" si="3"/>
        <v>0</v>
      </c>
    </row>
    <row r="214" spans="1:4" ht="18" hidden="1" x14ac:dyDescent="0.3">
      <c r="A214" s="10" t="s">
        <v>212</v>
      </c>
      <c r="B214" s="8"/>
      <c r="C214" s="8"/>
      <c r="D214" s="8">
        <f t="shared" si="3"/>
        <v>0</v>
      </c>
    </row>
    <row r="215" spans="1:4" ht="18" hidden="1" x14ac:dyDescent="0.3">
      <c r="A215" s="40" t="s">
        <v>213</v>
      </c>
      <c r="B215" s="8"/>
      <c r="C215" s="8"/>
      <c r="D215" s="8">
        <f t="shared" si="3"/>
        <v>0</v>
      </c>
    </row>
    <row r="216" spans="1:4" ht="18" hidden="1" x14ac:dyDescent="0.3">
      <c r="A216" s="10" t="s">
        <v>214</v>
      </c>
      <c r="B216" s="8"/>
      <c r="C216" s="8"/>
      <c r="D216" s="8">
        <f t="shared" si="3"/>
        <v>0</v>
      </c>
    </row>
    <row r="217" spans="1:4" ht="18" x14ac:dyDescent="0.3">
      <c r="A217" s="10" t="s">
        <v>215</v>
      </c>
      <c r="B217" s="8">
        <v>220</v>
      </c>
      <c r="C217" s="8">
        <v>16000</v>
      </c>
      <c r="D217" s="8">
        <f t="shared" si="3"/>
        <v>3520000</v>
      </c>
    </row>
    <row r="218" spans="1:4" ht="18" hidden="1" x14ac:dyDescent="0.3">
      <c r="A218" s="10" t="s">
        <v>216</v>
      </c>
      <c r="B218" s="8"/>
      <c r="C218" s="8"/>
      <c r="D218" s="8">
        <f t="shared" si="3"/>
        <v>0</v>
      </c>
    </row>
    <row r="219" spans="1:4" ht="18" x14ac:dyDescent="0.3">
      <c r="A219" s="10" t="s">
        <v>217</v>
      </c>
      <c r="B219" s="8">
        <v>40</v>
      </c>
      <c r="C219" s="8">
        <v>13000</v>
      </c>
      <c r="D219" s="8">
        <f t="shared" si="3"/>
        <v>520000</v>
      </c>
    </row>
    <row r="220" spans="1:4" ht="18" hidden="1" x14ac:dyDescent="0.3">
      <c r="A220" s="18" t="s">
        <v>218</v>
      </c>
      <c r="B220" s="8"/>
      <c r="C220" s="8"/>
      <c r="D220" s="8">
        <f t="shared" si="3"/>
        <v>0</v>
      </c>
    </row>
    <row r="221" spans="1:4" ht="18" hidden="1" x14ac:dyDescent="0.3">
      <c r="A221" s="18" t="s">
        <v>219</v>
      </c>
      <c r="B221" s="8"/>
      <c r="C221" s="8"/>
      <c r="D221" s="8">
        <f t="shared" si="3"/>
        <v>0</v>
      </c>
    </row>
    <row r="222" spans="1:4" ht="18" hidden="1" x14ac:dyDescent="0.3">
      <c r="A222" s="18" t="s">
        <v>220</v>
      </c>
      <c r="B222" s="8"/>
      <c r="C222" s="8"/>
      <c r="D222" s="8">
        <f t="shared" si="3"/>
        <v>0</v>
      </c>
    </row>
    <row r="223" spans="1:4" ht="18" hidden="1" x14ac:dyDescent="0.3">
      <c r="A223" s="18" t="s">
        <v>221</v>
      </c>
      <c r="B223" s="8"/>
      <c r="C223" s="8"/>
      <c r="D223" s="8">
        <f t="shared" si="3"/>
        <v>0</v>
      </c>
    </row>
    <row r="224" spans="1:4" ht="18" hidden="1" x14ac:dyDescent="0.3">
      <c r="A224" s="10" t="s">
        <v>222</v>
      </c>
      <c r="B224" s="8"/>
      <c r="C224" s="8"/>
      <c r="D224" s="8">
        <f t="shared" si="3"/>
        <v>0</v>
      </c>
    </row>
    <row r="225" spans="1:4" ht="18" hidden="1" x14ac:dyDescent="0.3">
      <c r="A225" s="10" t="s">
        <v>223</v>
      </c>
      <c r="B225" s="8"/>
      <c r="C225" s="8"/>
      <c r="D225" s="8">
        <f t="shared" si="3"/>
        <v>0</v>
      </c>
    </row>
    <row r="226" spans="1:4" ht="18" hidden="1" x14ac:dyDescent="0.3">
      <c r="A226" s="18" t="s">
        <v>224</v>
      </c>
      <c r="B226" s="8"/>
      <c r="C226" s="8"/>
      <c r="D226" s="8">
        <f t="shared" si="3"/>
        <v>0</v>
      </c>
    </row>
    <row r="227" spans="1:4" ht="18" hidden="1" x14ac:dyDescent="0.3">
      <c r="A227" s="18" t="s">
        <v>225</v>
      </c>
      <c r="B227" s="8"/>
      <c r="C227" s="8"/>
      <c r="D227" s="8">
        <f t="shared" si="3"/>
        <v>0</v>
      </c>
    </row>
    <row r="228" spans="1:4" ht="18" x14ac:dyDescent="0.3">
      <c r="A228" s="12" t="s">
        <v>226</v>
      </c>
      <c r="B228" s="8">
        <v>1615</v>
      </c>
      <c r="C228" s="8">
        <v>37000</v>
      </c>
      <c r="D228" s="8">
        <f t="shared" si="3"/>
        <v>59755000</v>
      </c>
    </row>
    <row r="229" spans="1:4" ht="18" hidden="1" x14ac:dyDescent="0.3">
      <c r="A229" s="13" t="s">
        <v>227</v>
      </c>
      <c r="B229" s="8"/>
      <c r="C229" s="8"/>
      <c r="D229" s="8">
        <f t="shared" si="3"/>
        <v>0</v>
      </c>
    </row>
    <row r="230" spans="1:4" ht="18" hidden="1" x14ac:dyDescent="0.3">
      <c r="A230" s="12" t="s">
        <v>228</v>
      </c>
      <c r="B230" s="8"/>
      <c r="C230" s="8"/>
      <c r="D230" s="8">
        <f t="shared" si="3"/>
        <v>0</v>
      </c>
    </row>
    <row r="231" spans="1:4" ht="18" hidden="1" x14ac:dyDescent="0.3">
      <c r="A231" s="18" t="s">
        <v>229</v>
      </c>
      <c r="B231" s="8"/>
      <c r="C231" s="8"/>
      <c r="D231" s="8">
        <f t="shared" si="3"/>
        <v>0</v>
      </c>
    </row>
    <row r="232" spans="1:4" ht="18" hidden="1" x14ac:dyDescent="0.3">
      <c r="A232" s="12" t="s">
        <v>230</v>
      </c>
      <c r="B232" s="8"/>
      <c r="C232" s="8"/>
      <c r="D232" s="8">
        <f t="shared" si="3"/>
        <v>0</v>
      </c>
    </row>
    <row r="233" spans="1:4" ht="18" hidden="1" x14ac:dyDescent="0.3">
      <c r="A233" s="12" t="s">
        <v>231</v>
      </c>
      <c r="B233" s="8"/>
      <c r="C233" s="8"/>
      <c r="D233" s="8">
        <f t="shared" si="3"/>
        <v>0</v>
      </c>
    </row>
    <row r="234" spans="1:4" ht="18" hidden="1" x14ac:dyDescent="0.3">
      <c r="A234" s="12" t="s">
        <v>232</v>
      </c>
      <c r="B234" s="8"/>
      <c r="C234" s="8"/>
      <c r="D234" s="8">
        <f t="shared" si="3"/>
        <v>0</v>
      </c>
    </row>
    <row r="235" spans="1:4" ht="18" hidden="1" x14ac:dyDescent="0.3">
      <c r="A235" s="10" t="s">
        <v>233</v>
      </c>
      <c r="B235" s="8"/>
      <c r="C235" s="8"/>
      <c r="D235" s="8">
        <f t="shared" si="3"/>
        <v>0</v>
      </c>
    </row>
    <row r="236" spans="1:4" ht="18" hidden="1" x14ac:dyDescent="0.3">
      <c r="A236" s="10" t="s">
        <v>234</v>
      </c>
      <c r="B236" s="8"/>
      <c r="C236" s="8"/>
      <c r="D236" s="8">
        <f t="shared" si="3"/>
        <v>0</v>
      </c>
    </row>
    <row r="237" spans="1:4" ht="18" hidden="1" x14ac:dyDescent="0.3">
      <c r="A237" s="12" t="s">
        <v>235</v>
      </c>
      <c r="B237" s="8"/>
      <c r="C237" s="8"/>
      <c r="D237" s="8">
        <f t="shared" si="3"/>
        <v>0</v>
      </c>
    </row>
    <row r="238" spans="1:4" ht="18" hidden="1" x14ac:dyDescent="0.3">
      <c r="A238" s="39" t="s">
        <v>236</v>
      </c>
      <c r="B238" s="8"/>
      <c r="C238" s="8"/>
      <c r="D238" s="8">
        <f t="shared" si="3"/>
        <v>0</v>
      </c>
    </row>
    <row r="239" spans="1:4" ht="18" hidden="1" x14ac:dyDescent="0.3">
      <c r="A239" s="10" t="s">
        <v>237</v>
      </c>
      <c r="B239" s="8"/>
      <c r="C239" s="8"/>
      <c r="D239" s="8">
        <f t="shared" si="3"/>
        <v>0</v>
      </c>
    </row>
    <row r="240" spans="1:4" ht="18" hidden="1" x14ac:dyDescent="0.3">
      <c r="A240" s="10" t="s">
        <v>238</v>
      </c>
      <c r="B240" s="8"/>
      <c r="C240" s="8"/>
      <c r="D240" s="8">
        <f t="shared" si="3"/>
        <v>0</v>
      </c>
    </row>
    <row r="241" spans="1:4" ht="18" hidden="1" x14ac:dyDescent="0.3">
      <c r="A241" s="14" t="s">
        <v>239</v>
      </c>
      <c r="B241" s="8"/>
      <c r="C241" s="8"/>
      <c r="D241" s="8">
        <f t="shared" si="3"/>
        <v>0</v>
      </c>
    </row>
    <row r="242" spans="1:4" ht="18" hidden="1" x14ac:dyDescent="0.3">
      <c r="A242" s="14" t="s">
        <v>240</v>
      </c>
      <c r="B242" s="8"/>
      <c r="C242" s="8"/>
      <c r="D242" s="8">
        <f t="shared" si="3"/>
        <v>0</v>
      </c>
    </row>
    <row r="243" spans="1:4" ht="18" hidden="1" x14ac:dyDescent="0.3">
      <c r="A243" s="37" t="s">
        <v>241</v>
      </c>
      <c r="B243" s="8"/>
      <c r="C243" s="8"/>
      <c r="D243" s="8">
        <f t="shared" si="3"/>
        <v>0</v>
      </c>
    </row>
    <row r="244" spans="1:4" ht="18" hidden="1" x14ac:dyDescent="0.3">
      <c r="A244" s="10" t="s">
        <v>242</v>
      </c>
      <c r="B244" s="8"/>
      <c r="C244" s="8"/>
      <c r="D244" s="8">
        <f t="shared" si="3"/>
        <v>0</v>
      </c>
    </row>
    <row r="245" spans="1:4" ht="18" hidden="1" x14ac:dyDescent="0.3">
      <c r="A245" s="10" t="s">
        <v>243</v>
      </c>
      <c r="B245" s="8"/>
      <c r="C245" s="8"/>
      <c r="D245" s="8">
        <f t="shared" si="3"/>
        <v>0</v>
      </c>
    </row>
    <row r="246" spans="1:4" ht="18" hidden="1" x14ac:dyDescent="0.3">
      <c r="A246" s="10" t="s">
        <v>244</v>
      </c>
      <c r="B246" s="17"/>
      <c r="C246" s="17"/>
      <c r="D246" s="8">
        <f t="shared" si="3"/>
        <v>0</v>
      </c>
    </row>
    <row r="247" spans="1:4" ht="18" hidden="1" x14ac:dyDescent="0.3">
      <c r="A247" s="37" t="s">
        <v>245</v>
      </c>
      <c r="B247" s="8"/>
      <c r="C247" s="8"/>
      <c r="D247" s="8">
        <f t="shared" si="3"/>
        <v>0</v>
      </c>
    </row>
    <row r="248" spans="1:4" ht="18" hidden="1" x14ac:dyDescent="0.3">
      <c r="A248" s="10" t="s">
        <v>246</v>
      </c>
      <c r="B248" s="17"/>
      <c r="C248" s="17"/>
      <c r="D248" s="8">
        <f t="shared" si="3"/>
        <v>0</v>
      </c>
    </row>
    <row r="249" spans="1:4" ht="18" x14ac:dyDescent="0.3">
      <c r="A249" s="10" t="s">
        <v>247</v>
      </c>
      <c r="B249" s="8">
        <v>10</v>
      </c>
      <c r="C249" s="8">
        <v>14000</v>
      </c>
      <c r="D249" s="8">
        <f t="shared" si="3"/>
        <v>140000</v>
      </c>
    </row>
    <row r="250" spans="1:4" ht="18" hidden="1" x14ac:dyDescent="0.3">
      <c r="A250" s="12" t="s">
        <v>248</v>
      </c>
      <c r="B250" s="8"/>
      <c r="C250" s="8"/>
      <c r="D250" s="8">
        <f t="shared" si="3"/>
        <v>0</v>
      </c>
    </row>
    <row r="251" spans="1:4" ht="18" hidden="1" x14ac:dyDescent="0.3">
      <c r="A251" s="12" t="s">
        <v>249</v>
      </c>
      <c r="B251" s="8"/>
      <c r="C251" s="8"/>
      <c r="D251" s="8">
        <f t="shared" si="3"/>
        <v>0</v>
      </c>
    </row>
    <row r="252" spans="1:4" ht="18" x14ac:dyDescent="0.3">
      <c r="A252" s="10" t="s">
        <v>250</v>
      </c>
      <c r="B252" s="8">
        <f>80+35</f>
        <v>115</v>
      </c>
      <c r="C252" s="8">
        <v>26000</v>
      </c>
      <c r="D252" s="8">
        <f t="shared" si="3"/>
        <v>2990000</v>
      </c>
    </row>
    <row r="253" spans="1:4" ht="18" hidden="1" x14ac:dyDescent="0.3">
      <c r="A253" s="10" t="s">
        <v>251</v>
      </c>
      <c r="B253" s="8"/>
      <c r="C253" s="8"/>
      <c r="D253" s="8">
        <f t="shared" si="3"/>
        <v>0</v>
      </c>
    </row>
    <row r="254" spans="1:4" ht="18" hidden="1" x14ac:dyDescent="0.3">
      <c r="A254" s="10" t="s">
        <v>252</v>
      </c>
      <c r="B254" s="8"/>
      <c r="C254" s="8"/>
      <c r="D254" s="8">
        <f t="shared" si="3"/>
        <v>0</v>
      </c>
    </row>
    <row r="255" spans="1:4" ht="18" x14ac:dyDescent="0.3">
      <c r="A255" s="10" t="s">
        <v>253</v>
      </c>
      <c r="B255" s="8">
        <v>9</v>
      </c>
      <c r="C255" s="8">
        <v>11000</v>
      </c>
      <c r="D255" s="8">
        <f t="shared" si="3"/>
        <v>99000</v>
      </c>
    </row>
    <row r="256" spans="1:4" ht="18" hidden="1" x14ac:dyDescent="0.3">
      <c r="A256" s="10" t="s">
        <v>254</v>
      </c>
      <c r="B256" s="8"/>
      <c r="C256" s="8"/>
      <c r="D256" s="8">
        <f t="shared" si="3"/>
        <v>0</v>
      </c>
    </row>
    <row r="257" spans="1:4" ht="18" hidden="1" x14ac:dyDescent="0.3">
      <c r="A257" s="18" t="s">
        <v>255</v>
      </c>
      <c r="B257" s="8"/>
      <c r="C257" s="8"/>
      <c r="D257" s="8">
        <f t="shared" si="3"/>
        <v>0</v>
      </c>
    </row>
    <row r="258" spans="1:4" ht="18" hidden="1" x14ac:dyDescent="0.3">
      <c r="A258" s="23" t="s">
        <v>256</v>
      </c>
      <c r="B258" s="8"/>
      <c r="C258" s="8"/>
      <c r="D258" s="8">
        <f t="shared" si="3"/>
        <v>0</v>
      </c>
    </row>
    <row r="259" spans="1:4" ht="18" hidden="1" x14ac:dyDescent="0.3">
      <c r="A259" s="23" t="s">
        <v>257</v>
      </c>
      <c r="B259" s="8"/>
      <c r="C259" s="8"/>
      <c r="D259" s="8">
        <f t="shared" si="3"/>
        <v>0</v>
      </c>
    </row>
    <row r="260" spans="1:4" ht="18" x14ac:dyDescent="0.3">
      <c r="A260" s="10" t="s">
        <v>258</v>
      </c>
      <c r="B260" s="8">
        <f>65+25+35</f>
        <v>125</v>
      </c>
      <c r="C260" s="8">
        <v>34000</v>
      </c>
      <c r="D260" s="8">
        <f t="shared" si="3"/>
        <v>4250000</v>
      </c>
    </row>
    <row r="261" spans="1:4" ht="18" hidden="1" x14ac:dyDescent="0.3">
      <c r="A261" s="10" t="s">
        <v>259</v>
      </c>
      <c r="B261" s="8"/>
      <c r="C261" s="8"/>
      <c r="D261" s="8">
        <f t="shared" ref="D261:D324" si="4">B261*C261</f>
        <v>0</v>
      </c>
    </row>
    <row r="262" spans="1:4" ht="18" hidden="1" x14ac:dyDescent="0.3">
      <c r="A262" s="10" t="s">
        <v>260</v>
      </c>
      <c r="B262" s="8"/>
      <c r="C262" s="8"/>
      <c r="D262" s="8">
        <f t="shared" si="4"/>
        <v>0</v>
      </c>
    </row>
    <row r="263" spans="1:4" ht="18" hidden="1" x14ac:dyDescent="0.3">
      <c r="A263" s="10" t="s">
        <v>261</v>
      </c>
      <c r="B263" s="8"/>
      <c r="C263" s="8"/>
      <c r="D263" s="8">
        <f t="shared" si="4"/>
        <v>0</v>
      </c>
    </row>
    <row r="264" spans="1:4" ht="18" x14ac:dyDescent="0.3">
      <c r="A264" s="10" t="s">
        <v>262</v>
      </c>
      <c r="B264" s="8">
        <f>18+18</f>
        <v>36</v>
      </c>
      <c r="C264" s="8">
        <v>18000</v>
      </c>
      <c r="D264" s="8">
        <f t="shared" si="4"/>
        <v>648000</v>
      </c>
    </row>
    <row r="265" spans="1:4" ht="18" hidden="1" x14ac:dyDescent="0.3">
      <c r="A265" s="10" t="s">
        <v>263</v>
      </c>
      <c r="B265" s="8"/>
      <c r="C265" s="8"/>
      <c r="D265" s="8">
        <f t="shared" si="4"/>
        <v>0</v>
      </c>
    </row>
    <row r="266" spans="1:4" ht="18" hidden="1" x14ac:dyDescent="0.3">
      <c r="A266" s="10" t="s">
        <v>264</v>
      </c>
      <c r="B266" s="8"/>
      <c r="C266" s="8"/>
      <c r="D266" s="8">
        <f t="shared" si="4"/>
        <v>0</v>
      </c>
    </row>
    <row r="267" spans="1:4" ht="18" hidden="1" x14ac:dyDescent="0.3">
      <c r="A267" s="10" t="s">
        <v>265</v>
      </c>
      <c r="B267" s="17"/>
      <c r="C267" s="17"/>
      <c r="D267" s="8">
        <f t="shared" si="4"/>
        <v>0</v>
      </c>
    </row>
    <row r="268" spans="1:4" ht="18" hidden="1" x14ac:dyDescent="0.3">
      <c r="A268" s="14" t="s">
        <v>266</v>
      </c>
      <c r="B268" s="8"/>
      <c r="C268" s="8"/>
      <c r="D268" s="8">
        <f t="shared" si="4"/>
        <v>0</v>
      </c>
    </row>
    <row r="269" spans="1:4" ht="18" hidden="1" x14ac:dyDescent="0.3">
      <c r="A269" s="10" t="s">
        <v>267</v>
      </c>
      <c r="B269" s="8"/>
      <c r="C269" s="8"/>
      <c r="D269" s="8">
        <f t="shared" si="4"/>
        <v>0</v>
      </c>
    </row>
    <row r="270" spans="1:4" ht="18" hidden="1" x14ac:dyDescent="0.3">
      <c r="A270" s="12" t="s">
        <v>269</v>
      </c>
      <c r="B270" s="8"/>
      <c r="C270" s="8"/>
      <c r="D270" s="8">
        <f t="shared" si="4"/>
        <v>0</v>
      </c>
    </row>
    <row r="271" spans="1:4" ht="18" x14ac:dyDescent="0.3">
      <c r="A271" s="10" t="s">
        <v>270</v>
      </c>
      <c r="B271" s="8">
        <v>4</v>
      </c>
      <c r="C271" s="8">
        <v>12000</v>
      </c>
      <c r="D271" s="8">
        <f t="shared" si="4"/>
        <v>48000</v>
      </c>
    </row>
    <row r="272" spans="1:4" ht="18" hidden="1" x14ac:dyDescent="0.3">
      <c r="A272" s="10" t="s">
        <v>271</v>
      </c>
      <c r="B272" s="8"/>
      <c r="C272" s="8"/>
      <c r="D272" s="8">
        <f t="shared" si="4"/>
        <v>0</v>
      </c>
    </row>
    <row r="273" spans="1:4" ht="18" hidden="1" x14ac:dyDescent="0.3">
      <c r="A273" s="10" t="s">
        <v>272</v>
      </c>
      <c r="B273" s="8"/>
      <c r="C273" s="8"/>
      <c r="D273" s="8">
        <f t="shared" si="4"/>
        <v>0</v>
      </c>
    </row>
    <row r="274" spans="1:4" ht="18" hidden="1" x14ac:dyDescent="0.3">
      <c r="A274" s="10" t="s">
        <v>273</v>
      </c>
      <c r="B274" s="8"/>
      <c r="C274" s="8"/>
      <c r="D274" s="8">
        <f t="shared" si="4"/>
        <v>0</v>
      </c>
    </row>
    <row r="275" spans="1:4" ht="18" x14ac:dyDescent="0.3">
      <c r="A275" s="10" t="s">
        <v>274</v>
      </c>
      <c r="B275" s="8">
        <f>37+14</f>
        <v>51</v>
      </c>
      <c r="C275" s="8">
        <v>16000</v>
      </c>
      <c r="D275" s="8">
        <f t="shared" si="4"/>
        <v>816000</v>
      </c>
    </row>
    <row r="276" spans="1:4" ht="18" hidden="1" x14ac:dyDescent="0.3">
      <c r="A276" s="10" t="s">
        <v>275</v>
      </c>
      <c r="B276" s="8"/>
      <c r="C276" s="8"/>
      <c r="D276" s="8">
        <f t="shared" si="4"/>
        <v>0</v>
      </c>
    </row>
    <row r="277" spans="1:4" ht="18" hidden="1" x14ac:dyDescent="0.3">
      <c r="A277" s="10" t="s">
        <v>276</v>
      </c>
      <c r="B277" s="8"/>
      <c r="C277" s="8"/>
      <c r="D277" s="8">
        <f t="shared" si="4"/>
        <v>0</v>
      </c>
    </row>
    <row r="278" spans="1:4" ht="18" hidden="1" x14ac:dyDescent="0.3">
      <c r="A278" s="37" t="s">
        <v>277</v>
      </c>
      <c r="B278" s="8"/>
      <c r="C278" s="8"/>
      <c r="D278" s="8">
        <f t="shared" si="4"/>
        <v>0</v>
      </c>
    </row>
    <row r="279" spans="1:4" ht="18" hidden="1" x14ac:dyDescent="0.3">
      <c r="A279" s="10" t="s">
        <v>278</v>
      </c>
      <c r="B279" s="8"/>
      <c r="C279" s="8"/>
      <c r="D279" s="8">
        <f t="shared" si="4"/>
        <v>0</v>
      </c>
    </row>
    <row r="280" spans="1:4" ht="18" hidden="1" x14ac:dyDescent="0.3">
      <c r="A280" s="37" t="s">
        <v>279</v>
      </c>
      <c r="B280" s="8"/>
      <c r="C280" s="8"/>
      <c r="D280" s="8">
        <f t="shared" si="4"/>
        <v>0</v>
      </c>
    </row>
    <row r="281" spans="1:4" ht="18" hidden="1" x14ac:dyDescent="0.3">
      <c r="A281" s="37" t="s">
        <v>280</v>
      </c>
      <c r="B281" s="8"/>
      <c r="C281" s="8"/>
      <c r="D281" s="8">
        <f t="shared" si="4"/>
        <v>0</v>
      </c>
    </row>
    <row r="282" spans="1:4" ht="18" hidden="1" x14ac:dyDescent="0.3">
      <c r="A282" s="13" t="s">
        <v>281</v>
      </c>
      <c r="B282" s="17"/>
      <c r="C282" s="17"/>
      <c r="D282" s="8">
        <f t="shared" si="4"/>
        <v>0</v>
      </c>
    </row>
    <row r="283" spans="1:4" ht="18" hidden="1" x14ac:dyDescent="0.3">
      <c r="A283" s="13" t="s">
        <v>282</v>
      </c>
      <c r="B283" s="8"/>
      <c r="C283" s="8"/>
      <c r="D283" s="8">
        <f t="shared" si="4"/>
        <v>0</v>
      </c>
    </row>
    <row r="284" spans="1:4" ht="18" hidden="1" x14ac:dyDescent="0.3">
      <c r="A284" s="12" t="s">
        <v>283</v>
      </c>
      <c r="B284" s="8"/>
      <c r="C284" s="8"/>
      <c r="D284" s="8">
        <f t="shared" si="4"/>
        <v>0</v>
      </c>
    </row>
    <row r="285" spans="1:4" ht="18" hidden="1" x14ac:dyDescent="0.3">
      <c r="A285" s="12" t="s">
        <v>418</v>
      </c>
      <c r="B285" s="8"/>
      <c r="C285" s="8"/>
      <c r="D285" s="8">
        <f t="shared" si="4"/>
        <v>0</v>
      </c>
    </row>
    <row r="286" spans="1:4" ht="18" hidden="1" x14ac:dyDescent="0.3">
      <c r="A286" s="18" t="s">
        <v>284</v>
      </c>
      <c r="B286" s="8"/>
      <c r="C286" s="8"/>
      <c r="D286" s="8">
        <f t="shared" si="4"/>
        <v>0</v>
      </c>
    </row>
    <row r="287" spans="1:4" ht="18" hidden="1" x14ac:dyDescent="0.3">
      <c r="A287" s="18" t="s">
        <v>285</v>
      </c>
      <c r="B287" s="8"/>
      <c r="C287" s="8"/>
      <c r="D287" s="8">
        <f t="shared" si="4"/>
        <v>0</v>
      </c>
    </row>
    <row r="288" spans="1:4" ht="18" hidden="1" x14ac:dyDescent="0.3">
      <c r="A288" s="18" t="s">
        <v>286</v>
      </c>
      <c r="B288" s="8"/>
      <c r="C288" s="8"/>
      <c r="D288" s="8">
        <f t="shared" si="4"/>
        <v>0</v>
      </c>
    </row>
    <row r="289" spans="1:4" ht="18" x14ac:dyDescent="0.3">
      <c r="A289" s="10" t="s">
        <v>287</v>
      </c>
      <c r="B289" s="8">
        <v>6</v>
      </c>
      <c r="C289" s="8">
        <v>9000</v>
      </c>
      <c r="D289" s="8">
        <f t="shared" si="4"/>
        <v>54000</v>
      </c>
    </row>
    <row r="290" spans="1:4" ht="18" hidden="1" x14ac:dyDescent="0.3">
      <c r="A290" s="18" t="s">
        <v>288</v>
      </c>
      <c r="B290" s="8"/>
      <c r="C290" s="8"/>
      <c r="D290" s="8">
        <f t="shared" si="4"/>
        <v>0</v>
      </c>
    </row>
    <row r="291" spans="1:4" ht="18" hidden="1" x14ac:dyDescent="0.3">
      <c r="A291" s="10" t="s">
        <v>289</v>
      </c>
      <c r="B291" s="8"/>
      <c r="C291" s="8"/>
      <c r="D291" s="8">
        <f t="shared" si="4"/>
        <v>0</v>
      </c>
    </row>
    <row r="292" spans="1:4" ht="18" x14ac:dyDescent="0.3">
      <c r="A292" s="10" t="s">
        <v>290</v>
      </c>
      <c r="B292" s="8">
        <v>30</v>
      </c>
      <c r="C292" s="8">
        <v>7000</v>
      </c>
      <c r="D292" s="8">
        <f t="shared" si="4"/>
        <v>210000</v>
      </c>
    </row>
    <row r="293" spans="1:4" ht="18" hidden="1" x14ac:dyDescent="0.3">
      <c r="A293" s="18" t="s">
        <v>291</v>
      </c>
      <c r="B293" s="8"/>
      <c r="C293" s="8"/>
      <c r="D293" s="8">
        <f t="shared" si="4"/>
        <v>0</v>
      </c>
    </row>
    <row r="294" spans="1:4" ht="18" hidden="1" x14ac:dyDescent="0.3">
      <c r="A294" s="27" t="s">
        <v>292</v>
      </c>
      <c r="B294" s="8"/>
      <c r="C294" s="8"/>
      <c r="D294" s="8">
        <f t="shared" si="4"/>
        <v>0</v>
      </c>
    </row>
    <row r="295" spans="1:4" ht="18" x14ac:dyDescent="0.3">
      <c r="A295" s="10" t="s">
        <v>293</v>
      </c>
      <c r="B295" s="8">
        <f>35+32+150+30</f>
        <v>247</v>
      </c>
      <c r="C295" s="8">
        <v>12000</v>
      </c>
      <c r="D295" s="8">
        <f t="shared" si="4"/>
        <v>2964000</v>
      </c>
    </row>
    <row r="296" spans="1:4" ht="18" hidden="1" x14ac:dyDescent="0.3">
      <c r="A296" s="14" t="s">
        <v>294</v>
      </c>
      <c r="B296" s="8"/>
      <c r="C296" s="8"/>
      <c r="D296" s="8">
        <f t="shared" si="4"/>
        <v>0</v>
      </c>
    </row>
    <row r="297" spans="1:4" ht="18" hidden="1" x14ac:dyDescent="0.3">
      <c r="A297" s="14" t="s">
        <v>295</v>
      </c>
      <c r="B297" s="8"/>
      <c r="C297" s="8"/>
      <c r="D297" s="8">
        <f t="shared" si="4"/>
        <v>0</v>
      </c>
    </row>
    <row r="298" spans="1:4" ht="18" hidden="1" x14ac:dyDescent="0.3">
      <c r="A298" s="13" t="s">
        <v>296</v>
      </c>
      <c r="B298" s="8"/>
      <c r="C298" s="8"/>
      <c r="D298" s="8">
        <f t="shared" si="4"/>
        <v>0</v>
      </c>
    </row>
    <row r="299" spans="1:4" ht="18" hidden="1" x14ac:dyDescent="0.3">
      <c r="A299" s="18" t="s">
        <v>297</v>
      </c>
      <c r="B299" s="8"/>
      <c r="C299" s="8"/>
      <c r="D299" s="8">
        <f t="shared" si="4"/>
        <v>0</v>
      </c>
    </row>
    <row r="300" spans="1:4" ht="18" hidden="1" x14ac:dyDescent="0.3">
      <c r="A300" s="14" t="s">
        <v>298</v>
      </c>
      <c r="B300" s="8"/>
      <c r="C300" s="8"/>
      <c r="D300" s="8">
        <f t="shared" si="4"/>
        <v>0</v>
      </c>
    </row>
    <row r="301" spans="1:4" ht="18" hidden="1" x14ac:dyDescent="0.3">
      <c r="A301" s="10" t="s">
        <v>299</v>
      </c>
      <c r="B301" s="8"/>
      <c r="C301" s="8"/>
      <c r="D301" s="8">
        <f t="shared" si="4"/>
        <v>0</v>
      </c>
    </row>
    <row r="302" spans="1:4" ht="18" hidden="1" x14ac:dyDescent="0.3">
      <c r="A302" s="18" t="s">
        <v>300</v>
      </c>
      <c r="B302" s="8"/>
      <c r="C302" s="8"/>
      <c r="D302" s="8">
        <f t="shared" si="4"/>
        <v>0</v>
      </c>
    </row>
    <row r="303" spans="1:4" ht="18" hidden="1" x14ac:dyDescent="0.3">
      <c r="A303" s="10" t="s">
        <v>301</v>
      </c>
      <c r="B303" s="8"/>
      <c r="C303" s="8"/>
      <c r="D303" s="8">
        <f t="shared" si="4"/>
        <v>0</v>
      </c>
    </row>
    <row r="304" spans="1:4" ht="18" hidden="1" x14ac:dyDescent="0.3">
      <c r="A304" s="10" t="s">
        <v>302</v>
      </c>
      <c r="B304" s="8"/>
      <c r="C304" s="8"/>
      <c r="D304" s="8">
        <f t="shared" si="4"/>
        <v>0</v>
      </c>
    </row>
    <row r="305" spans="1:4" ht="18" hidden="1" x14ac:dyDescent="0.3">
      <c r="A305" s="12" t="s">
        <v>303</v>
      </c>
      <c r="B305" s="8"/>
      <c r="C305" s="8"/>
      <c r="D305" s="8">
        <f t="shared" si="4"/>
        <v>0</v>
      </c>
    </row>
    <row r="306" spans="1:4" ht="18" hidden="1" x14ac:dyDescent="0.3">
      <c r="A306" s="13" t="s">
        <v>304</v>
      </c>
      <c r="B306" s="8"/>
      <c r="C306" s="8"/>
      <c r="D306" s="8">
        <f t="shared" si="4"/>
        <v>0</v>
      </c>
    </row>
    <row r="307" spans="1:4" ht="18" hidden="1" x14ac:dyDescent="0.3">
      <c r="A307" s="13" t="s">
        <v>305</v>
      </c>
      <c r="B307" s="8"/>
      <c r="C307" s="8"/>
      <c r="D307" s="8">
        <f t="shared" si="4"/>
        <v>0</v>
      </c>
    </row>
    <row r="308" spans="1:4" ht="18" hidden="1" x14ac:dyDescent="0.3">
      <c r="A308" s="10" t="s">
        <v>306</v>
      </c>
      <c r="B308" s="8"/>
      <c r="C308" s="8"/>
      <c r="D308" s="8">
        <f t="shared" si="4"/>
        <v>0</v>
      </c>
    </row>
    <row r="309" spans="1:4" ht="18" hidden="1" x14ac:dyDescent="0.3">
      <c r="A309" s="10" t="s">
        <v>307</v>
      </c>
      <c r="B309" s="8"/>
      <c r="C309" s="8"/>
      <c r="D309" s="8">
        <f t="shared" si="4"/>
        <v>0</v>
      </c>
    </row>
    <row r="310" spans="1:4" ht="18" hidden="1" x14ac:dyDescent="0.3">
      <c r="A310" s="10" t="s">
        <v>308</v>
      </c>
      <c r="B310" s="8"/>
      <c r="C310" s="8"/>
      <c r="D310" s="8">
        <f t="shared" si="4"/>
        <v>0</v>
      </c>
    </row>
    <row r="311" spans="1:4" ht="18" x14ac:dyDescent="0.3">
      <c r="A311" s="14" t="s">
        <v>309</v>
      </c>
      <c r="B311" s="8">
        <v>14</v>
      </c>
      <c r="C311" s="8">
        <v>29000</v>
      </c>
      <c r="D311" s="8">
        <f t="shared" si="4"/>
        <v>406000</v>
      </c>
    </row>
    <row r="312" spans="1:4" ht="18" hidden="1" x14ac:dyDescent="0.3">
      <c r="A312" s="14" t="s">
        <v>310</v>
      </c>
      <c r="B312" s="8"/>
      <c r="C312" s="8"/>
      <c r="D312" s="8">
        <f t="shared" si="4"/>
        <v>0</v>
      </c>
    </row>
    <row r="313" spans="1:4" ht="18" hidden="1" x14ac:dyDescent="0.3">
      <c r="A313" s="23" t="s">
        <v>311</v>
      </c>
      <c r="B313" s="8"/>
      <c r="C313" s="8"/>
      <c r="D313" s="8">
        <f t="shared" si="4"/>
        <v>0</v>
      </c>
    </row>
    <row r="314" spans="1:4" ht="18" hidden="1" x14ac:dyDescent="0.3">
      <c r="A314" s="14" t="s">
        <v>312</v>
      </c>
      <c r="B314" s="8"/>
      <c r="C314" s="8"/>
      <c r="D314" s="8">
        <f t="shared" si="4"/>
        <v>0</v>
      </c>
    </row>
    <row r="315" spans="1:4" ht="18" hidden="1" x14ac:dyDescent="0.3">
      <c r="A315" s="10" t="s">
        <v>313</v>
      </c>
      <c r="B315" s="8"/>
      <c r="C315" s="8"/>
      <c r="D315" s="8">
        <f t="shared" si="4"/>
        <v>0</v>
      </c>
    </row>
    <row r="316" spans="1:4" ht="18" hidden="1" x14ac:dyDescent="0.3">
      <c r="A316" s="10" t="s">
        <v>314</v>
      </c>
      <c r="B316" s="8"/>
      <c r="C316" s="8"/>
      <c r="D316" s="8">
        <f t="shared" si="4"/>
        <v>0</v>
      </c>
    </row>
    <row r="317" spans="1:4" ht="18" hidden="1" x14ac:dyDescent="0.3">
      <c r="A317" s="10" t="s">
        <v>315</v>
      </c>
      <c r="B317" s="8"/>
      <c r="C317" s="8"/>
      <c r="D317" s="8">
        <f t="shared" si="4"/>
        <v>0</v>
      </c>
    </row>
    <row r="318" spans="1:4" ht="18" hidden="1" x14ac:dyDescent="0.3">
      <c r="A318" s="10" t="s">
        <v>316</v>
      </c>
      <c r="B318" s="8"/>
      <c r="C318" s="8"/>
      <c r="D318" s="8">
        <f t="shared" si="4"/>
        <v>0</v>
      </c>
    </row>
    <row r="319" spans="1:4" ht="18" hidden="1" x14ac:dyDescent="0.3">
      <c r="A319" s="23" t="s">
        <v>317</v>
      </c>
      <c r="B319" s="8"/>
      <c r="C319" s="8"/>
      <c r="D319" s="8">
        <f t="shared" si="4"/>
        <v>0</v>
      </c>
    </row>
    <row r="320" spans="1:4" ht="18" hidden="1" x14ac:dyDescent="0.3">
      <c r="A320" s="10" t="s">
        <v>318</v>
      </c>
      <c r="B320" s="8"/>
      <c r="C320" s="8"/>
      <c r="D320" s="8">
        <f t="shared" si="4"/>
        <v>0</v>
      </c>
    </row>
    <row r="321" spans="1:4" ht="18" hidden="1" x14ac:dyDescent="0.3">
      <c r="A321" s="10" t="s">
        <v>319</v>
      </c>
      <c r="B321" s="8"/>
      <c r="C321" s="8"/>
      <c r="D321" s="8">
        <f t="shared" si="4"/>
        <v>0</v>
      </c>
    </row>
    <row r="322" spans="1:4" ht="18" hidden="1" x14ac:dyDescent="0.3">
      <c r="A322" s="13" t="s">
        <v>320</v>
      </c>
      <c r="B322" s="8"/>
      <c r="C322" s="8"/>
      <c r="D322" s="8">
        <f t="shared" si="4"/>
        <v>0</v>
      </c>
    </row>
    <row r="323" spans="1:4" ht="18" hidden="1" x14ac:dyDescent="0.3">
      <c r="A323" s="10" t="s">
        <v>321</v>
      </c>
      <c r="B323" s="42"/>
      <c r="C323" s="42"/>
      <c r="D323" s="8">
        <f t="shared" si="4"/>
        <v>0</v>
      </c>
    </row>
    <row r="324" spans="1:4" ht="18" hidden="1" x14ac:dyDescent="0.3">
      <c r="A324" s="10" t="s">
        <v>322</v>
      </c>
      <c r="B324" s="8"/>
      <c r="C324" s="8"/>
      <c r="D324" s="8">
        <f t="shared" si="4"/>
        <v>0</v>
      </c>
    </row>
    <row r="325" spans="1:4" ht="18" hidden="1" x14ac:dyDescent="0.3">
      <c r="A325" s="10" t="s">
        <v>323</v>
      </c>
      <c r="B325" s="8"/>
      <c r="C325" s="8"/>
      <c r="D325" s="8">
        <f t="shared" ref="D325:D388" si="5">B325*C325</f>
        <v>0</v>
      </c>
    </row>
    <row r="326" spans="1:4" ht="18" hidden="1" x14ac:dyDescent="0.3">
      <c r="A326" s="23" t="s">
        <v>324</v>
      </c>
      <c r="B326" s="8"/>
      <c r="C326" s="8"/>
      <c r="D326" s="8">
        <f t="shared" si="5"/>
        <v>0</v>
      </c>
    </row>
    <row r="327" spans="1:4" ht="18" hidden="1" x14ac:dyDescent="0.3">
      <c r="A327" s="23" t="s">
        <v>325</v>
      </c>
      <c r="B327" s="8"/>
      <c r="C327" s="8"/>
      <c r="D327" s="8">
        <f t="shared" si="5"/>
        <v>0</v>
      </c>
    </row>
    <row r="328" spans="1:4" ht="18" hidden="1" x14ac:dyDescent="0.3">
      <c r="A328" s="10" t="s">
        <v>326</v>
      </c>
      <c r="B328" s="8"/>
      <c r="C328" s="8"/>
      <c r="D328" s="8">
        <f t="shared" si="5"/>
        <v>0</v>
      </c>
    </row>
    <row r="329" spans="1:4" ht="18" hidden="1" x14ac:dyDescent="0.3">
      <c r="A329" s="10" t="s">
        <v>327</v>
      </c>
      <c r="B329" s="8"/>
      <c r="C329" s="8"/>
      <c r="D329" s="8">
        <f t="shared" si="5"/>
        <v>0</v>
      </c>
    </row>
    <row r="330" spans="1:4" ht="18" hidden="1" x14ac:dyDescent="0.3">
      <c r="A330" s="23" t="s">
        <v>328</v>
      </c>
      <c r="B330" s="8"/>
      <c r="C330" s="8"/>
      <c r="D330" s="8">
        <f t="shared" si="5"/>
        <v>0</v>
      </c>
    </row>
    <row r="331" spans="1:4" ht="18" hidden="1" x14ac:dyDescent="0.3">
      <c r="A331" s="10" t="s">
        <v>329</v>
      </c>
      <c r="B331" s="8"/>
      <c r="C331" s="8"/>
      <c r="D331" s="8">
        <f t="shared" si="5"/>
        <v>0</v>
      </c>
    </row>
    <row r="332" spans="1:4" ht="18" hidden="1" x14ac:dyDescent="0.3">
      <c r="A332" s="10" t="s">
        <v>330</v>
      </c>
      <c r="B332" s="8"/>
      <c r="C332" s="8"/>
      <c r="D332" s="8">
        <f t="shared" si="5"/>
        <v>0</v>
      </c>
    </row>
    <row r="333" spans="1:4" ht="18" hidden="1" x14ac:dyDescent="0.3">
      <c r="A333" s="10" t="s">
        <v>331</v>
      </c>
      <c r="B333" s="8"/>
      <c r="C333" s="8"/>
      <c r="D333" s="8">
        <f t="shared" si="5"/>
        <v>0</v>
      </c>
    </row>
    <row r="334" spans="1:4" ht="18" hidden="1" x14ac:dyDescent="0.3">
      <c r="A334" s="10" t="s">
        <v>332</v>
      </c>
      <c r="B334" s="8"/>
      <c r="C334" s="8"/>
      <c r="D334" s="8">
        <f t="shared" si="5"/>
        <v>0</v>
      </c>
    </row>
    <row r="335" spans="1:4" ht="18" hidden="1" x14ac:dyDescent="0.3">
      <c r="A335" s="10" t="s">
        <v>333</v>
      </c>
      <c r="B335" s="8"/>
      <c r="C335" s="8"/>
      <c r="D335" s="8">
        <f t="shared" si="5"/>
        <v>0</v>
      </c>
    </row>
    <row r="336" spans="1:4" ht="18" hidden="1" x14ac:dyDescent="0.3">
      <c r="A336" s="10" t="s">
        <v>334</v>
      </c>
      <c r="B336" s="8"/>
      <c r="C336" s="8"/>
      <c r="D336" s="8">
        <f t="shared" si="5"/>
        <v>0</v>
      </c>
    </row>
    <row r="337" spans="1:4" ht="18" hidden="1" x14ac:dyDescent="0.3">
      <c r="A337" s="10" t="s">
        <v>335</v>
      </c>
      <c r="B337" s="8"/>
      <c r="C337" s="8"/>
      <c r="D337" s="8">
        <f t="shared" si="5"/>
        <v>0</v>
      </c>
    </row>
    <row r="338" spans="1:4" ht="18" hidden="1" x14ac:dyDescent="0.3">
      <c r="A338" s="10" t="s">
        <v>336</v>
      </c>
      <c r="B338" s="8"/>
      <c r="C338" s="8"/>
      <c r="D338" s="8">
        <f t="shared" si="5"/>
        <v>0</v>
      </c>
    </row>
    <row r="339" spans="1:4" ht="18" hidden="1" x14ac:dyDescent="0.3">
      <c r="A339" s="12" t="s">
        <v>337</v>
      </c>
      <c r="B339" s="8"/>
      <c r="C339" s="8"/>
      <c r="D339" s="8">
        <f t="shared" si="5"/>
        <v>0</v>
      </c>
    </row>
    <row r="340" spans="1:4" ht="18" hidden="1" x14ac:dyDescent="0.3">
      <c r="A340" s="12" t="s">
        <v>338</v>
      </c>
      <c r="B340" s="8"/>
      <c r="C340" s="8"/>
      <c r="D340" s="8">
        <f t="shared" si="5"/>
        <v>0</v>
      </c>
    </row>
    <row r="341" spans="1:4" ht="18" x14ac:dyDescent="0.3">
      <c r="A341" s="43"/>
      <c r="B341" s="46">
        <f>SUM(B4:B340)</f>
        <v>4098</v>
      </c>
      <c r="C341" s="46"/>
      <c r="D341" s="8">
        <f>SUM(D16:D311)</f>
        <v>100051000</v>
      </c>
    </row>
    <row r="342" spans="1:4" ht="18" hidden="1" x14ac:dyDescent="0.3">
      <c r="D342" s="8">
        <f t="shared" si="5"/>
        <v>0</v>
      </c>
    </row>
    <row r="343" spans="1:4" ht="18" x14ac:dyDescent="0.3">
      <c r="A343" s="1" t="s">
        <v>439</v>
      </c>
      <c r="B343" s="2"/>
      <c r="C343" s="2"/>
      <c r="D343" s="8"/>
    </row>
    <row r="344" spans="1:4" ht="26.4" x14ac:dyDescent="0.3">
      <c r="A344" s="152" t="s">
        <v>0</v>
      </c>
      <c r="B344" s="4" t="s">
        <v>1</v>
      </c>
      <c r="C344" s="4" t="s">
        <v>340</v>
      </c>
      <c r="D344" s="8" t="s">
        <v>341</v>
      </c>
    </row>
    <row r="345" spans="1:4" ht="18" hidden="1" x14ac:dyDescent="0.3">
      <c r="A345" s="153"/>
      <c r="B345" s="5"/>
      <c r="C345" s="5"/>
      <c r="D345" s="8">
        <f t="shared" si="5"/>
        <v>0</v>
      </c>
    </row>
    <row r="346" spans="1:4" ht="18" hidden="1" x14ac:dyDescent="0.3">
      <c r="A346" s="6" t="s">
        <v>2</v>
      </c>
      <c r="B346" s="8"/>
      <c r="C346" s="8"/>
      <c r="D346" s="8">
        <f t="shared" si="5"/>
        <v>0</v>
      </c>
    </row>
    <row r="347" spans="1:4" ht="18" hidden="1" x14ac:dyDescent="0.3">
      <c r="A347" s="9" t="s">
        <v>3</v>
      </c>
      <c r="B347" s="8"/>
      <c r="C347" s="8"/>
      <c r="D347" s="8">
        <f t="shared" si="5"/>
        <v>0</v>
      </c>
    </row>
    <row r="348" spans="1:4" ht="18" hidden="1" x14ac:dyDescent="0.3">
      <c r="A348" s="6" t="s">
        <v>4</v>
      </c>
      <c r="B348" s="8"/>
      <c r="C348" s="8"/>
      <c r="D348" s="8">
        <f t="shared" si="5"/>
        <v>0</v>
      </c>
    </row>
    <row r="349" spans="1:4" ht="18" hidden="1" x14ac:dyDescent="0.3">
      <c r="A349" s="6" t="s">
        <v>5</v>
      </c>
      <c r="B349" s="8"/>
      <c r="C349" s="8"/>
      <c r="D349" s="8">
        <f t="shared" si="5"/>
        <v>0</v>
      </c>
    </row>
    <row r="350" spans="1:4" ht="18" hidden="1" x14ac:dyDescent="0.3">
      <c r="A350" s="10" t="s">
        <v>6</v>
      </c>
      <c r="B350" s="8"/>
      <c r="C350" s="8"/>
      <c r="D350" s="8">
        <f t="shared" si="5"/>
        <v>0</v>
      </c>
    </row>
    <row r="351" spans="1:4" ht="18" hidden="1" x14ac:dyDescent="0.3">
      <c r="A351" s="11" t="s">
        <v>7</v>
      </c>
      <c r="B351" s="8"/>
      <c r="C351" s="8"/>
      <c r="D351" s="8">
        <f t="shared" si="5"/>
        <v>0</v>
      </c>
    </row>
    <row r="352" spans="1:4" ht="18" hidden="1" x14ac:dyDescent="0.3">
      <c r="A352" s="6" t="s">
        <v>8</v>
      </c>
      <c r="B352" s="8"/>
      <c r="C352" s="8"/>
      <c r="D352" s="8">
        <f t="shared" si="5"/>
        <v>0</v>
      </c>
    </row>
    <row r="353" spans="1:4" ht="18" hidden="1" x14ac:dyDescent="0.3">
      <c r="A353" s="6" t="s">
        <v>9</v>
      </c>
      <c r="B353" s="8"/>
      <c r="C353" s="8"/>
      <c r="D353" s="8">
        <f t="shared" si="5"/>
        <v>0</v>
      </c>
    </row>
    <row r="354" spans="1:4" ht="18" hidden="1" x14ac:dyDescent="0.3">
      <c r="A354" s="12" t="s">
        <v>342</v>
      </c>
      <c r="B354" s="8"/>
      <c r="C354" s="8"/>
      <c r="D354" s="8">
        <f t="shared" si="5"/>
        <v>0</v>
      </c>
    </row>
    <row r="355" spans="1:4" ht="18" hidden="1" x14ac:dyDescent="0.3">
      <c r="A355" s="10" t="s">
        <v>11</v>
      </c>
      <c r="B355" s="8"/>
      <c r="C355" s="8"/>
      <c r="D355" s="8">
        <f t="shared" si="5"/>
        <v>0</v>
      </c>
    </row>
    <row r="356" spans="1:4" ht="18" x14ac:dyDescent="0.3">
      <c r="A356" s="10" t="s">
        <v>12</v>
      </c>
      <c r="B356" s="8">
        <v>17</v>
      </c>
      <c r="C356" s="8">
        <v>10000</v>
      </c>
      <c r="D356" s="8">
        <f t="shared" si="5"/>
        <v>170000</v>
      </c>
    </row>
    <row r="357" spans="1:4" ht="18" hidden="1" x14ac:dyDescent="0.3">
      <c r="A357" s="13" t="s">
        <v>13</v>
      </c>
      <c r="B357" s="8"/>
      <c r="C357" s="8"/>
      <c r="D357" s="8">
        <f t="shared" si="5"/>
        <v>0</v>
      </c>
    </row>
    <row r="358" spans="1:4" ht="18" hidden="1" x14ac:dyDescent="0.3">
      <c r="A358" s="13" t="s">
        <v>14</v>
      </c>
      <c r="B358" s="8"/>
      <c r="C358" s="8"/>
      <c r="D358" s="8">
        <f t="shared" si="5"/>
        <v>0</v>
      </c>
    </row>
    <row r="359" spans="1:4" ht="18" hidden="1" x14ac:dyDescent="0.3">
      <c r="A359" s="10" t="s">
        <v>15</v>
      </c>
      <c r="B359" s="8"/>
      <c r="C359" s="8"/>
      <c r="D359" s="8">
        <f t="shared" si="5"/>
        <v>0</v>
      </c>
    </row>
    <row r="360" spans="1:4" ht="18" hidden="1" x14ac:dyDescent="0.3">
      <c r="A360" s="10" t="s">
        <v>16</v>
      </c>
      <c r="B360" s="8"/>
      <c r="C360" s="8"/>
      <c r="D360" s="8">
        <f t="shared" si="5"/>
        <v>0</v>
      </c>
    </row>
    <row r="361" spans="1:4" ht="18" hidden="1" x14ac:dyDescent="0.3">
      <c r="A361" s="14" t="s">
        <v>17</v>
      </c>
      <c r="B361" s="8"/>
      <c r="C361" s="8"/>
      <c r="D361" s="8">
        <f t="shared" si="5"/>
        <v>0</v>
      </c>
    </row>
    <row r="362" spans="1:4" ht="18" hidden="1" x14ac:dyDescent="0.3">
      <c r="A362" s="12" t="s">
        <v>18</v>
      </c>
      <c r="B362" s="8"/>
      <c r="C362" s="8"/>
      <c r="D362" s="8">
        <f t="shared" si="5"/>
        <v>0</v>
      </c>
    </row>
    <row r="363" spans="1:4" ht="18" x14ac:dyDescent="0.3">
      <c r="A363" s="10" t="s">
        <v>19</v>
      </c>
      <c r="B363" s="8">
        <f>180+360+1980+330-100</f>
        <v>2750</v>
      </c>
      <c r="C363" s="8">
        <v>13000</v>
      </c>
      <c r="D363" s="8">
        <f t="shared" si="5"/>
        <v>35750000</v>
      </c>
    </row>
    <row r="364" spans="1:4" ht="18" hidden="1" x14ac:dyDescent="0.3">
      <c r="A364" s="13" t="s">
        <v>20</v>
      </c>
      <c r="B364" s="8"/>
      <c r="C364" s="8"/>
      <c r="D364" s="8">
        <f t="shared" si="5"/>
        <v>0</v>
      </c>
    </row>
    <row r="365" spans="1:4" ht="18" hidden="1" x14ac:dyDescent="0.3">
      <c r="A365" s="13" t="s">
        <v>21</v>
      </c>
      <c r="B365" s="8"/>
      <c r="C365" s="8"/>
      <c r="D365" s="8">
        <f t="shared" si="5"/>
        <v>0</v>
      </c>
    </row>
    <row r="366" spans="1:4" ht="18" hidden="1" x14ac:dyDescent="0.3">
      <c r="A366" s="10" t="s">
        <v>22</v>
      </c>
      <c r="B366" s="8"/>
      <c r="C366" s="8"/>
      <c r="D366" s="8">
        <f t="shared" si="5"/>
        <v>0</v>
      </c>
    </row>
    <row r="367" spans="1:4" ht="18" hidden="1" x14ac:dyDescent="0.3">
      <c r="A367" s="10" t="s">
        <v>23</v>
      </c>
      <c r="B367" s="8"/>
      <c r="C367" s="8"/>
      <c r="D367" s="8">
        <f t="shared" si="5"/>
        <v>0</v>
      </c>
    </row>
    <row r="368" spans="1:4" ht="18" hidden="1" x14ac:dyDescent="0.3">
      <c r="A368" s="10" t="s">
        <v>24</v>
      </c>
      <c r="B368" s="8"/>
      <c r="C368" s="8"/>
      <c r="D368" s="8">
        <f t="shared" si="5"/>
        <v>0</v>
      </c>
    </row>
    <row r="369" spans="1:4" ht="18" hidden="1" x14ac:dyDescent="0.3">
      <c r="A369" s="10" t="s">
        <v>25</v>
      </c>
      <c r="B369" s="8"/>
      <c r="C369" s="8"/>
      <c r="D369" s="8">
        <f t="shared" si="5"/>
        <v>0</v>
      </c>
    </row>
    <row r="370" spans="1:4" ht="18" hidden="1" x14ac:dyDescent="0.3">
      <c r="A370" s="10" t="s">
        <v>26</v>
      </c>
      <c r="B370" s="8"/>
      <c r="C370" s="8"/>
      <c r="D370" s="8">
        <f t="shared" si="5"/>
        <v>0</v>
      </c>
    </row>
    <row r="371" spans="1:4" ht="18" hidden="1" x14ac:dyDescent="0.3">
      <c r="A371" s="10" t="s">
        <v>27</v>
      </c>
      <c r="B371" s="8"/>
      <c r="C371" s="8"/>
      <c r="D371" s="8">
        <f t="shared" si="5"/>
        <v>0</v>
      </c>
    </row>
    <row r="372" spans="1:4" ht="18" hidden="1" x14ac:dyDescent="0.3">
      <c r="A372" s="13" t="s">
        <v>28</v>
      </c>
      <c r="B372" s="8"/>
      <c r="C372" s="8"/>
      <c r="D372" s="8">
        <f t="shared" si="5"/>
        <v>0</v>
      </c>
    </row>
    <row r="373" spans="1:4" ht="18" hidden="1" x14ac:dyDescent="0.3">
      <c r="A373" s="13" t="s">
        <v>35</v>
      </c>
      <c r="B373" s="8"/>
      <c r="C373" s="8"/>
      <c r="D373" s="8">
        <f t="shared" si="5"/>
        <v>0</v>
      </c>
    </row>
    <row r="374" spans="1:4" ht="18" hidden="1" x14ac:dyDescent="0.3">
      <c r="A374" s="10" t="s">
        <v>36</v>
      </c>
      <c r="B374" s="8"/>
      <c r="C374" s="8"/>
      <c r="D374" s="8">
        <f t="shared" si="5"/>
        <v>0</v>
      </c>
    </row>
    <row r="375" spans="1:4" ht="18" hidden="1" x14ac:dyDescent="0.3">
      <c r="A375" s="10" t="s">
        <v>37</v>
      </c>
      <c r="B375" s="8"/>
      <c r="C375" s="8"/>
      <c r="D375" s="8">
        <f t="shared" si="5"/>
        <v>0</v>
      </c>
    </row>
    <row r="376" spans="1:4" ht="18" hidden="1" x14ac:dyDescent="0.3">
      <c r="A376" s="12" t="s">
        <v>38</v>
      </c>
      <c r="B376" s="17"/>
      <c r="C376" s="17"/>
      <c r="D376" s="8">
        <f t="shared" si="5"/>
        <v>0</v>
      </c>
    </row>
    <row r="377" spans="1:4" ht="18" hidden="1" x14ac:dyDescent="0.3">
      <c r="A377" s="12" t="s">
        <v>39</v>
      </c>
      <c r="B377" s="17"/>
      <c r="C377" s="17"/>
      <c r="D377" s="8">
        <f t="shared" si="5"/>
        <v>0</v>
      </c>
    </row>
    <row r="378" spans="1:4" ht="18" hidden="1" x14ac:dyDescent="0.3">
      <c r="A378" s="10" t="s">
        <v>40</v>
      </c>
      <c r="B378" s="8"/>
      <c r="C378" s="8"/>
      <c r="D378" s="8">
        <f t="shared" si="5"/>
        <v>0</v>
      </c>
    </row>
    <row r="379" spans="1:4" ht="18" hidden="1" x14ac:dyDescent="0.3">
      <c r="A379" s="10" t="s">
        <v>41</v>
      </c>
      <c r="B379" s="8"/>
      <c r="C379" s="8"/>
      <c r="D379" s="8">
        <f t="shared" si="5"/>
        <v>0</v>
      </c>
    </row>
    <row r="380" spans="1:4" ht="18" hidden="1" x14ac:dyDescent="0.3">
      <c r="A380" s="18" t="s">
        <v>42</v>
      </c>
      <c r="B380" s="8"/>
      <c r="C380" s="8"/>
      <c r="D380" s="8">
        <f t="shared" si="5"/>
        <v>0</v>
      </c>
    </row>
    <row r="381" spans="1:4" ht="18" hidden="1" x14ac:dyDescent="0.3">
      <c r="A381" s="10" t="s">
        <v>43</v>
      </c>
      <c r="B381" s="8"/>
      <c r="C381" s="8"/>
      <c r="D381" s="8">
        <f t="shared" si="5"/>
        <v>0</v>
      </c>
    </row>
    <row r="382" spans="1:4" ht="18" hidden="1" x14ac:dyDescent="0.3">
      <c r="A382" s="10" t="s">
        <v>44</v>
      </c>
      <c r="B382" s="8"/>
      <c r="C382" s="8"/>
      <c r="D382" s="8">
        <f t="shared" si="5"/>
        <v>0</v>
      </c>
    </row>
    <row r="383" spans="1:4" ht="18" hidden="1" x14ac:dyDescent="0.3">
      <c r="A383" s="10" t="s">
        <v>45</v>
      </c>
      <c r="B383" s="8"/>
      <c r="C383" s="8"/>
      <c r="D383" s="8">
        <f t="shared" si="5"/>
        <v>0</v>
      </c>
    </row>
    <row r="384" spans="1:4" ht="18" hidden="1" x14ac:dyDescent="0.3">
      <c r="A384" s="10" t="s">
        <v>46</v>
      </c>
      <c r="B384" s="8"/>
      <c r="C384" s="8"/>
      <c r="D384" s="8">
        <f t="shared" si="5"/>
        <v>0</v>
      </c>
    </row>
    <row r="385" spans="1:4" ht="18" hidden="1" x14ac:dyDescent="0.3">
      <c r="A385" s="14" t="s">
        <v>47</v>
      </c>
      <c r="B385" s="8"/>
      <c r="C385" s="8"/>
      <c r="D385" s="8">
        <f t="shared" si="5"/>
        <v>0</v>
      </c>
    </row>
    <row r="386" spans="1:4" ht="18" hidden="1" x14ac:dyDescent="0.3">
      <c r="A386" s="12" t="s">
        <v>48</v>
      </c>
      <c r="B386" s="8"/>
      <c r="C386" s="8"/>
      <c r="D386" s="8">
        <f t="shared" si="5"/>
        <v>0</v>
      </c>
    </row>
    <row r="387" spans="1:4" ht="18" hidden="1" x14ac:dyDescent="0.3">
      <c r="A387" s="14" t="s">
        <v>49</v>
      </c>
      <c r="B387" s="8"/>
      <c r="C387" s="8"/>
      <c r="D387" s="8">
        <f t="shared" si="5"/>
        <v>0</v>
      </c>
    </row>
    <row r="388" spans="1:4" ht="18" hidden="1" x14ac:dyDescent="0.3">
      <c r="A388" s="10" t="s">
        <v>50</v>
      </c>
      <c r="B388" s="8"/>
      <c r="C388" s="8"/>
      <c r="D388" s="8">
        <f t="shared" si="5"/>
        <v>0</v>
      </c>
    </row>
    <row r="389" spans="1:4" ht="18" hidden="1" x14ac:dyDescent="0.3">
      <c r="A389" s="10" t="s">
        <v>51</v>
      </c>
      <c r="B389" s="8"/>
      <c r="C389" s="8"/>
      <c r="D389" s="8">
        <f t="shared" ref="D389:D452" si="6">B389*C389</f>
        <v>0</v>
      </c>
    </row>
    <row r="390" spans="1:4" ht="18" x14ac:dyDescent="0.3">
      <c r="A390" s="13" t="s">
        <v>52</v>
      </c>
      <c r="B390" s="8">
        <v>340</v>
      </c>
      <c r="C390" s="8">
        <v>21000</v>
      </c>
      <c r="D390" s="8">
        <f t="shared" si="6"/>
        <v>7140000</v>
      </c>
    </row>
    <row r="391" spans="1:4" ht="18" hidden="1" x14ac:dyDescent="0.3">
      <c r="A391" s="31" t="s">
        <v>53</v>
      </c>
      <c r="B391" s="8"/>
      <c r="C391" s="8"/>
      <c r="D391" s="8">
        <f t="shared" si="6"/>
        <v>0</v>
      </c>
    </row>
    <row r="392" spans="1:4" ht="18" hidden="1" x14ac:dyDescent="0.3">
      <c r="A392" s="18" t="s">
        <v>54</v>
      </c>
      <c r="B392" s="8"/>
      <c r="C392" s="8"/>
      <c r="D392" s="8">
        <f t="shared" si="6"/>
        <v>0</v>
      </c>
    </row>
    <row r="393" spans="1:4" ht="18" hidden="1" x14ac:dyDescent="0.3">
      <c r="A393" s="18" t="s">
        <v>55</v>
      </c>
      <c r="B393" s="8"/>
      <c r="C393" s="8"/>
      <c r="D393" s="8">
        <f t="shared" si="6"/>
        <v>0</v>
      </c>
    </row>
    <row r="394" spans="1:4" ht="18" hidden="1" x14ac:dyDescent="0.3">
      <c r="A394" s="18" t="s">
        <v>56</v>
      </c>
      <c r="B394" s="8"/>
      <c r="C394" s="8"/>
      <c r="D394" s="8">
        <f t="shared" si="6"/>
        <v>0</v>
      </c>
    </row>
    <row r="395" spans="1:4" ht="18" hidden="1" x14ac:dyDescent="0.3">
      <c r="A395" s="10" t="s">
        <v>57</v>
      </c>
      <c r="B395" s="8"/>
      <c r="C395" s="8"/>
      <c r="D395" s="8">
        <f t="shared" si="6"/>
        <v>0</v>
      </c>
    </row>
    <row r="396" spans="1:4" ht="18" hidden="1" x14ac:dyDescent="0.3">
      <c r="A396" s="12" t="s">
        <v>58</v>
      </c>
      <c r="B396" s="8"/>
      <c r="C396" s="8"/>
      <c r="D396" s="8">
        <f t="shared" si="6"/>
        <v>0</v>
      </c>
    </row>
    <row r="397" spans="1:4" ht="18" hidden="1" x14ac:dyDescent="0.3">
      <c r="A397" s="10" t="s">
        <v>59</v>
      </c>
      <c r="B397" s="8"/>
      <c r="C397" s="8"/>
      <c r="D397" s="8">
        <f t="shared" si="6"/>
        <v>0</v>
      </c>
    </row>
    <row r="398" spans="1:4" ht="18" hidden="1" x14ac:dyDescent="0.3">
      <c r="A398" s="10" t="s">
        <v>60</v>
      </c>
      <c r="B398" s="8"/>
      <c r="C398" s="8"/>
      <c r="D398" s="8">
        <f t="shared" si="6"/>
        <v>0</v>
      </c>
    </row>
    <row r="399" spans="1:4" ht="18" hidden="1" x14ac:dyDescent="0.3">
      <c r="A399" s="18" t="s">
        <v>61</v>
      </c>
      <c r="B399" s="8"/>
      <c r="C399" s="8"/>
      <c r="D399" s="8">
        <f t="shared" si="6"/>
        <v>0</v>
      </c>
    </row>
    <row r="400" spans="1:4" ht="18" hidden="1" x14ac:dyDescent="0.3">
      <c r="A400" s="10" t="s">
        <v>62</v>
      </c>
      <c r="B400" s="8"/>
      <c r="C400" s="8"/>
      <c r="D400" s="8">
        <f t="shared" si="6"/>
        <v>0</v>
      </c>
    </row>
    <row r="401" spans="1:4" ht="18" hidden="1" x14ac:dyDescent="0.3">
      <c r="A401" s="21" t="s">
        <v>63</v>
      </c>
      <c r="B401" s="8"/>
      <c r="C401" s="8"/>
      <c r="D401" s="8">
        <f t="shared" si="6"/>
        <v>0</v>
      </c>
    </row>
    <row r="402" spans="1:4" ht="18" hidden="1" x14ac:dyDescent="0.3">
      <c r="A402" s="10" t="s">
        <v>64</v>
      </c>
      <c r="B402" s="8"/>
      <c r="C402" s="8"/>
      <c r="D402" s="8">
        <f t="shared" si="6"/>
        <v>0</v>
      </c>
    </row>
    <row r="403" spans="1:4" ht="18" hidden="1" x14ac:dyDescent="0.3">
      <c r="A403" s="10" t="s">
        <v>65</v>
      </c>
      <c r="B403" s="8"/>
      <c r="C403" s="8"/>
      <c r="D403" s="8">
        <f t="shared" si="6"/>
        <v>0</v>
      </c>
    </row>
    <row r="404" spans="1:4" ht="18" hidden="1" x14ac:dyDescent="0.3">
      <c r="A404" s="22" t="s">
        <v>66</v>
      </c>
      <c r="B404" s="8"/>
      <c r="C404" s="8"/>
      <c r="D404" s="8">
        <f t="shared" si="6"/>
        <v>0</v>
      </c>
    </row>
    <row r="405" spans="1:4" ht="18" hidden="1" x14ac:dyDescent="0.3">
      <c r="A405" s="45" t="s">
        <v>67</v>
      </c>
      <c r="B405" s="8"/>
      <c r="C405" s="8"/>
      <c r="D405" s="8">
        <f t="shared" si="6"/>
        <v>0</v>
      </c>
    </row>
    <row r="406" spans="1:4" ht="18" hidden="1" x14ac:dyDescent="0.3">
      <c r="A406" s="13" t="s">
        <v>68</v>
      </c>
      <c r="B406" s="8"/>
      <c r="C406" s="8"/>
      <c r="D406" s="8">
        <f t="shared" si="6"/>
        <v>0</v>
      </c>
    </row>
    <row r="407" spans="1:4" ht="18" hidden="1" x14ac:dyDescent="0.3">
      <c r="A407" s="12" t="s">
        <v>69</v>
      </c>
      <c r="B407" s="8"/>
      <c r="C407" s="8"/>
      <c r="D407" s="8">
        <f t="shared" si="6"/>
        <v>0</v>
      </c>
    </row>
    <row r="408" spans="1:4" ht="18" hidden="1" x14ac:dyDescent="0.3">
      <c r="A408" s="13" t="s">
        <v>70</v>
      </c>
      <c r="B408" s="8"/>
      <c r="C408" s="8"/>
      <c r="D408" s="8">
        <f t="shared" si="6"/>
        <v>0</v>
      </c>
    </row>
    <row r="409" spans="1:4" ht="18" hidden="1" x14ac:dyDescent="0.3">
      <c r="A409" s="13" t="s">
        <v>71</v>
      </c>
      <c r="B409" s="8"/>
      <c r="C409" s="8"/>
      <c r="D409" s="8">
        <f t="shared" si="6"/>
        <v>0</v>
      </c>
    </row>
    <row r="410" spans="1:4" ht="18" hidden="1" x14ac:dyDescent="0.3">
      <c r="A410" s="13" t="s">
        <v>72</v>
      </c>
      <c r="B410" s="8"/>
      <c r="C410" s="8"/>
      <c r="D410" s="8">
        <f t="shared" si="6"/>
        <v>0</v>
      </c>
    </row>
    <row r="411" spans="1:4" ht="18" hidden="1" x14ac:dyDescent="0.3">
      <c r="A411" s="22" t="s">
        <v>73</v>
      </c>
      <c r="B411" s="8"/>
      <c r="C411" s="8"/>
      <c r="D411" s="8">
        <f t="shared" si="6"/>
        <v>0</v>
      </c>
    </row>
    <row r="412" spans="1:4" ht="18" hidden="1" x14ac:dyDescent="0.3">
      <c r="A412" s="10" t="s">
        <v>74</v>
      </c>
      <c r="B412" s="8"/>
      <c r="C412" s="8"/>
      <c r="D412" s="8">
        <f t="shared" si="6"/>
        <v>0</v>
      </c>
    </row>
    <row r="413" spans="1:4" ht="18" hidden="1" x14ac:dyDescent="0.3">
      <c r="A413" s="10" t="s">
        <v>75</v>
      </c>
      <c r="B413" s="8"/>
      <c r="C413" s="8"/>
      <c r="D413" s="8">
        <f t="shared" si="6"/>
        <v>0</v>
      </c>
    </row>
    <row r="414" spans="1:4" ht="18" hidden="1" x14ac:dyDescent="0.3">
      <c r="A414" s="13" t="s">
        <v>76</v>
      </c>
      <c r="B414" s="8"/>
      <c r="C414" s="8"/>
      <c r="D414" s="8">
        <f t="shared" si="6"/>
        <v>0</v>
      </c>
    </row>
    <row r="415" spans="1:4" ht="18" x14ac:dyDescent="0.3">
      <c r="A415" s="10" t="s">
        <v>77</v>
      </c>
      <c r="B415" s="8">
        <v>10</v>
      </c>
      <c r="C415" s="8">
        <v>25000</v>
      </c>
      <c r="D415" s="8">
        <f t="shared" si="6"/>
        <v>250000</v>
      </c>
    </row>
    <row r="416" spans="1:4" ht="18" hidden="1" x14ac:dyDescent="0.3">
      <c r="A416" s="14" t="s">
        <v>78</v>
      </c>
      <c r="B416" s="8"/>
      <c r="C416" s="8"/>
      <c r="D416" s="8">
        <f t="shared" si="6"/>
        <v>0</v>
      </c>
    </row>
    <row r="417" spans="1:4" ht="18" hidden="1" x14ac:dyDescent="0.3">
      <c r="A417" s="10" t="s">
        <v>79</v>
      </c>
      <c r="B417" s="8"/>
      <c r="C417" s="8"/>
      <c r="D417" s="8">
        <f t="shared" si="6"/>
        <v>0</v>
      </c>
    </row>
    <row r="418" spans="1:4" ht="18" hidden="1" x14ac:dyDescent="0.3">
      <c r="A418" s="10" t="s">
        <v>80</v>
      </c>
      <c r="B418" s="8"/>
      <c r="C418" s="8"/>
      <c r="D418" s="8">
        <f t="shared" si="6"/>
        <v>0</v>
      </c>
    </row>
    <row r="419" spans="1:4" ht="18" hidden="1" x14ac:dyDescent="0.3">
      <c r="A419" s="10" t="s">
        <v>81</v>
      </c>
      <c r="B419" s="8"/>
      <c r="C419" s="8"/>
      <c r="D419" s="8">
        <f t="shared" si="6"/>
        <v>0</v>
      </c>
    </row>
    <row r="420" spans="1:4" ht="18" hidden="1" x14ac:dyDescent="0.3">
      <c r="A420" s="13" t="s">
        <v>82</v>
      </c>
      <c r="B420" s="17"/>
      <c r="C420" s="17"/>
      <c r="D420" s="8">
        <f t="shared" si="6"/>
        <v>0</v>
      </c>
    </row>
    <row r="421" spans="1:4" ht="18" hidden="1" x14ac:dyDescent="0.3">
      <c r="A421" s="13" t="s">
        <v>83</v>
      </c>
      <c r="B421" s="17"/>
      <c r="C421" s="17"/>
      <c r="D421" s="8">
        <f t="shared" si="6"/>
        <v>0</v>
      </c>
    </row>
    <row r="422" spans="1:4" ht="18" hidden="1" x14ac:dyDescent="0.3">
      <c r="A422" s="13" t="s">
        <v>84</v>
      </c>
      <c r="B422" s="17"/>
      <c r="C422" s="17"/>
      <c r="D422" s="8">
        <f t="shared" si="6"/>
        <v>0</v>
      </c>
    </row>
    <row r="423" spans="1:4" ht="18" hidden="1" x14ac:dyDescent="0.3">
      <c r="A423" s="10" t="s">
        <v>85</v>
      </c>
      <c r="B423" s="8"/>
      <c r="C423" s="8"/>
      <c r="D423" s="8">
        <f t="shared" si="6"/>
        <v>0</v>
      </c>
    </row>
    <row r="424" spans="1:4" ht="18" hidden="1" x14ac:dyDescent="0.3">
      <c r="A424" s="10" t="s">
        <v>86</v>
      </c>
      <c r="B424" s="8"/>
      <c r="C424" s="8"/>
      <c r="D424" s="8">
        <f t="shared" si="6"/>
        <v>0</v>
      </c>
    </row>
    <row r="425" spans="1:4" ht="18" hidden="1" x14ac:dyDescent="0.3">
      <c r="A425" s="10" t="s">
        <v>87</v>
      </c>
      <c r="B425" s="8"/>
      <c r="C425" s="8"/>
      <c r="D425" s="8">
        <f t="shared" si="6"/>
        <v>0</v>
      </c>
    </row>
    <row r="426" spans="1:4" ht="18" hidden="1" x14ac:dyDescent="0.3">
      <c r="A426" s="10" t="s">
        <v>88</v>
      </c>
      <c r="B426" s="8"/>
      <c r="C426" s="8"/>
      <c r="D426" s="8">
        <f t="shared" si="6"/>
        <v>0</v>
      </c>
    </row>
    <row r="427" spans="1:4" ht="18" hidden="1" x14ac:dyDescent="0.3">
      <c r="A427" s="10" t="s">
        <v>89</v>
      </c>
      <c r="B427" s="8"/>
      <c r="C427" s="8"/>
      <c r="D427" s="8">
        <f t="shared" si="6"/>
        <v>0</v>
      </c>
    </row>
    <row r="428" spans="1:4" ht="18" x14ac:dyDescent="0.3">
      <c r="A428" s="10" t="s">
        <v>90</v>
      </c>
      <c r="B428" s="8">
        <v>35</v>
      </c>
      <c r="C428" s="8">
        <v>9000</v>
      </c>
      <c r="D428" s="8">
        <f t="shared" si="6"/>
        <v>315000</v>
      </c>
    </row>
    <row r="429" spans="1:4" ht="18" hidden="1" x14ac:dyDescent="0.3">
      <c r="A429" s="23" t="s">
        <v>91</v>
      </c>
      <c r="B429" s="8"/>
      <c r="C429" s="8"/>
      <c r="D429" s="8">
        <f t="shared" si="6"/>
        <v>0</v>
      </c>
    </row>
    <row r="430" spans="1:4" ht="18" hidden="1" x14ac:dyDescent="0.3">
      <c r="A430" s="23" t="s">
        <v>92</v>
      </c>
      <c r="B430" s="8"/>
      <c r="C430" s="8"/>
      <c r="D430" s="8">
        <f t="shared" si="6"/>
        <v>0</v>
      </c>
    </row>
    <row r="431" spans="1:4" ht="18" hidden="1" x14ac:dyDescent="0.3">
      <c r="A431" s="23" t="s">
        <v>93</v>
      </c>
      <c r="B431" s="8"/>
      <c r="C431" s="8"/>
      <c r="D431" s="8">
        <f t="shared" si="6"/>
        <v>0</v>
      </c>
    </row>
    <row r="432" spans="1:4" ht="18" hidden="1" x14ac:dyDescent="0.3">
      <c r="A432" s="12" t="s">
        <v>94</v>
      </c>
      <c r="B432" s="8"/>
      <c r="C432" s="8"/>
      <c r="D432" s="8">
        <f t="shared" si="6"/>
        <v>0</v>
      </c>
    </row>
    <row r="433" spans="1:4" ht="18" hidden="1" x14ac:dyDescent="0.3">
      <c r="A433" s="14" t="s">
        <v>95</v>
      </c>
      <c r="B433" s="8"/>
      <c r="C433" s="8"/>
      <c r="D433" s="8">
        <f t="shared" si="6"/>
        <v>0</v>
      </c>
    </row>
    <row r="434" spans="1:4" ht="18" hidden="1" x14ac:dyDescent="0.3">
      <c r="A434" s="12" t="s">
        <v>343</v>
      </c>
      <c r="B434" s="8"/>
      <c r="C434" s="8"/>
      <c r="D434" s="8">
        <f t="shared" si="6"/>
        <v>0</v>
      </c>
    </row>
    <row r="435" spans="1:4" ht="18" hidden="1" x14ac:dyDescent="0.3">
      <c r="A435" s="10" t="s">
        <v>96</v>
      </c>
      <c r="B435" s="8"/>
      <c r="C435" s="8"/>
      <c r="D435" s="8">
        <f t="shared" si="6"/>
        <v>0</v>
      </c>
    </row>
    <row r="436" spans="1:4" ht="18" hidden="1" x14ac:dyDescent="0.3">
      <c r="A436" s="10" t="s">
        <v>97</v>
      </c>
      <c r="B436" s="8"/>
      <c r="C436" s="8"/>
      <c r="D436" s="8">
        <f t="shared" si="6"/>
        <v>0</v>
      </c>
    </row>
    <row r="437" spans="1:4" ht="18" hidden="1" x14ac:dyDescent="0.3">
      <c r="A437" s="12" t="s">
        <v>344</v>
      </c>
      <c r="B437" s="8"/>
      <c r="C437" s="8"/>
      <c r="D437" s="8">
        <f t="shared" si="6"/>
        <v>0</v>
      </c>
    </row>
    <row r="438" spans="1:4" ht="18" hidden="1" x14ac:dyDescent="0.3">
      <c r="A438" s="12" t="s">
        <v>345</v>
      </c>
      <c r="B438" s="8"/>
      <c r="C438" s="8"/>
      <c r="D438" s="8">
        <f t="shared" si="6"/>
        <v>0</v>
      </c>
    </row>
    <row r="439" spans="1:4" ht="18" hidden="1" x14ac:dyDescent="0.3">
      <c r="A439" s="10" t="s">
        <v>99</v>
      </c>
      <c r="B439" s="17"/>
      <c r="C439" s="17"/>
      <c r="D439" s="8">
        <f t="shared" si="6"/>
        <v>0</v>
      </c>
    </row>
    <row r="440" spans="1:4" ht="18" hidden="1" x14ac:dyDescent="0.3">
      <c r="A440" s="23" t="s">
        <v>101</v>
      </c>
      <c r="B440" s="8"/>
      <c r="C440" s="8"/>
      <c r="D440" s="8">
        <f t="shared" si="6"/>
        <v>0</v>
      </c>
    </row>
    <row r="441" spans="1:4" ht="18" hidden="1" x14ac:dyDescent="0.3">
      <c r="A441" s="12" t="s">
        <v>102</v>
      </c>
      <c r="B441" s="8"/>
      <c r="C441" s="8"/>
      <c r="D441" s="8">
        <f t="shared" si="6"/>
        <v>0</v>
      </c>
    </row>
    <row r="442" spans="1:4" ht="18" hidden="1" x14ac:dyDescent="0.3">
      <c r="A442" s="12" t="s">
        <v>346</v>
      </c>
      <c r="B442" s="8"/>
      <c r="C442" s="8"/>
      <c r="D442" s="8">
        <f t="shared" si="6"/>
        <v>0</v>
      </c>
    </row>
    <row r="443" spans="1:4" ht="18" hidden="1" x14ac:dyDescent="0.3">
      <c r="A443" s="10" t="s">
        <v>103</v>
      </c>
      <c r="B443" s="8"/>
      <c r="C443" s="8"/>
      <c r="D443" s="8">
        <f t="shared" si="6"/>
        <v>0</v>
      </c>
    </row>
    <row r="444" spans="1:4" ht="18" hidden="1" x14ac:dyDescent="0.3">
      <c r="A444" s="18" t="s">
        <v>104</v>
      </c>
      <c r="B444" s="8"/>
      <c r="C444" s="8"/>
      <c r="D444" s="8">
        <f t="shared" si="6"/>
        <v>0</v>
      </c>
    </row>
    <row r="445" spans="1:4" ht="18" hidden="1" x14ac:dyDescent="0.3">
      <c r="A445" s="26" t="s">
        <v>105</v>
      </c>
      <c r="B445" s="8"/>
      <c r="C445" s="8"/>
      <c r="D445" s="8">
        <f t="shared" si="6"/>
        <v>0</v>
      </c>
    </row>
    <row r="446" spans="1:4" ht="18" hidden="1" x14ac:dyDescent="0.3">
      <c r="A446" s="26" t="s">
        <v>106</v>
      </c>
      <c r="B446" s="8"/>
      <c r="C446" s="8"/>
      <c r="D446" s="8">
        <f t="shared" si="6"/>
        <v>0</v>
      </c>
    </row>
    <row r="447" spans="1:4" ht="18" hidden="1" x14ac:dyDescent="0.3">
      <c r="A447" s="25" t="s">
        <v>107</v>
      </c>
      <c r="B447" s="8"/>
      <c r="C447" s="8"/>
      <c r="D447" s="8">
        <f t="shared" si="6"/>
        <v>0</v>
      </c>
    </row>
    <row r="448" spans="1:4" ht="18" hidden="1" x14ac:dyDescent="0.3">
      <c r="A448" s="27" t="s">
        <v>108</v>
      </c>
      <c r="B448" s="8"/>
      <c r="C448" s="8"/>
      <c r="D448" s="8">
        <f t="shared" si="6"/>
        <v>0</v>
      </c>
    </row>
    <row r="449" spans="1:4" ht="18" hidden="1" x14ac:dyDescent="0.3">
      <c r="A449" s="10" t="s">
        <v>109</v>
      </c>
      <c r="B449" s="8"/>
      <c r="C449" s="8"/>
      <c r="D449" s="8">
        <f t="shared" si="6"/>
        <v>0</v>
      </c>
    </row>
    <row r="450" spans="1:4" ht="18" hidden="1" x14ac:dyDescent="0.3">
      <c r="A450" s="10" t="s">
        <v>110</v>
      </c>
      <c r="B450" s="8"/>
      <c r="C450" s="8"/>
      <c r="D450" s="8">
        <f t="shared" si="6"/>
        <v>0</v>
      </c>
    </row>
    <row r="451" spans="1:4" ht="18" hidden="1" x14ac:dyDescent="0.3">
      <c r="A451" s="10" t="s">
        <v>111</v>
      </c>
      <c r="B451" s="8"/>
      <c r="C451" s="8"/>
      <c r="D451" s="8">
        <f t="shared" si="6"/>
        <v>0</v>
      </c>
    </row>
    <row r="452" spans="1:4" ht="18" hidden="1" x14ac:dyDescent="0.3">
      <c r="A452" s="10" t="s">
        <v>112</v>
      </c>
      <c r="B452" s="8"/>
      <c r="C452" s="8"/>
      <c r="D452" s="8">
        <f t="shared" si="6"/>
        <v>0</v>
      </c>
    </row>
    <row r="453" spans="1:4" ht="18" hidden="1" x14ac:dyDescent="0.3">
      <c r="A453" s="10" t="s">
        <v>114</v>
      </c>
      <c r="B453" s="8"/>
      <c r="C453" s="8"/>
      <c r="D453" s="8">
        <f t="shared" ref="D453:D516" si="7">B453*C453</f>
        <v>0</v>
      </c>
    </row>
    <row r="454" spans="1:4" ht="18" hidden="1" x14ac:dyDescent="0.3">
      <c r="A454" s="10" t="s">
        <v>115</v>
      </c>
      <c r="B454" s="8"/>
      <c r="C454" s="8"/>
      <c r="D454" s="8">
        <f t="shared" si="7"/>
        <v>0</v>
      </c>
    </row>
    <row r="455" spans="1:4" ht="18" hidden="1" x14ac:dyDescent="0.3">
      <c r="A455" s="10" t="s">
        <v>347</v>
      </c>
      <c r="B455" s="8"/>
      <c r="C455" s="8"/>
      <c r="D455" s="8">
        <f t="shared" si="7"/>
        <v>0</v>
      </c>
    </row>
    <row r="456" spans="1:4" ht="18" hidden="1" x14ac:dyDescent="0.3">
      <c r="A456" s="10" t="s">
        <v>116</v>
      </c>
      <c r="B456" s="8"/>
      <c r="C456" s="8"/>
      <c r="D456" s="8">
        <f t="shared" si="7"/>
        <v>0</v>
      </c>
    </row>
    <row r="457" spans="1:4" ht="18" hidden="1" x14ac:dyDescent="0.3">
      <c r="A457" s="12" t="s">
        <v>117</v>
      </c>
      <c r="B457" s="8"/>
      <c r="C457" s="8"/>
      <c r="D457" s="8">
        <f t="shared" si="7"/>
        <v>0</v>
      </c>
    </row>
    <row r="458" spans="1:4" ht="18" hidden="1" x14ac:dyDescent="0.3">
      <c r="A458" s="23" t="s">
        <v>118</v>
      </c>
      <c r="B458" s="8"/>
      <c r="C458" s="8"/>
      <c r="D458" s="8">
        <f t="shared" si="7"/>
        <v>0</v>
      </c>
    </row>
    <row r="459" spans="1:4" ht="18" hidden="1" x14ac:dyDescent="0.3">
      <c r="A459" s="10" t="s">
        <v>119</v>
      </c>
      <c r="B459" s="8"/>
      <c r="C459" s="8"/>
      <c r="D459" s="8">
        <f t="shared" si="7"/>
        <v>0</v>
      </c>
    </row>
    <row r="460" spans="1:4" ht="18" hidden="1" x14ac:dyDescent="0.3">
      <c r="A460" s="12" t="s">
        <v>120</v>
      </c>
      <c r="B460" s="8"/>
      <c r="C460" s="8"/>
      <c r="D460" s="8">
        <f t="shared" si="7"/>
        <v>0</v>
      </c>
    </row>
    <row r="461" spans="1:4" ht="18" hidden="1" x14ac:dyDescent="0.3">
      <c r="A461" s="12" t="s">
        <v>121</v>
      </c>
      <c r="B461" s="8"/>
      <c r="C461" s="8"/>
      <c r="D461" s="8">
        <f t="shared" si="7"/>
        <v>0</v>
      </c>
    </row>
    <row r="462" spans="1:4" ht="18" x14ac:dyDescent="0.3">
      <c r="A462" s="10" t="s">
        <v>122</v>
      </c>
      <c r="B462" s="8">
        <v>10</v>
      </c>
      <c r="C462" s="8">
        <v>10000</v>
      </c>
      <c r="D462" s="8">
        <f t="shared" si="7"/>
        <v>100000</v>
      </c>
    </row>
    <row r="463" spans="1:4" ht="18" hidden="1" x14ac:dyDescent="0.3">
      <c r="A463" s="11" t="s">
        <v>124</v>
      </c>
      <c r="B463" s="8"/>
      <c r="C463" s="8"/>
      <c r="D463" s="8">
        <f t="shared" si="7"/>
        <v>0</v>
      </c>
    </row>
    <row r="464" spans="1:4" ht="18" hidden="1" x14ac:dyDescent="0.3">
      <c r="A464" s="14" t="s">
        <v>125</v>
      </c>
      <c r="B464" s="8"/>
      <c r="C464" s="8"/>
      <c r="D464" s="8">
        <f t="shared" si="7"/>
        <v>0</v>
      </c>
    </row>
    <row r="465" spans="1:4" ht="18" hidden="1" x14ac:dyDescent="0.3">
      <c r="A465" s="13" t="s">
        <v>126</v>
      </c>
      <c r="B465" s="17"/>
      <c r="C465" s="17"/>
      <c r="D465" s="8">
        <f t="shared" si="7"/>
        <v>0</v>
      </c>
    </row>
    <row r="466" spans="1:4" ht="18" hidden="1" x14ac:dyDescent="0.3">
      <c r="A466" s="13" t="s">
        <v>127</v>
      </c>
      <c r="B466" s="17"/>
      <c r="C466" s="17"/>
      <c r="D466" s="8">
        <f t="shared" si="7"/>
        <v>0</v>
      </c>
    </row>
    <row r="467" spans="1:4" ht="18" hidden="1" x14ac:dyDescent="0.3">
      <c r="A467" s="13" t="s">
        <v>128</v>
      </c>
      <c r="B467" s="17"/>
      <c r="C467" s="17"/>
      <c r="D467" s="8">
        <f t="shared" si="7"/>
        <v>0</v>
      </c>
    </row>
    <row r="468" spans="1:4" ht="18" hidden="1" x14ac:dyDescent="0.3">
      <c r="A468" s="13" t="s">
        <v>129</v>
      </c>
      <c r="B468" s="29"/>
      <c r="C468" s="29"/>
      <c r="D468" s="8">
        <f t="shared" si="7"/>
        <v>0</v>
      </c>
    </row>
    <row r="469" spans="1:4" ht="18" hidden="1" x14ac:dyDescent="0.3">
      <c r="A469" s="30" t="s">
        <v>130</v>
      </c>
      <c r="B469" s="8"/>
      <c r="C469" s="8"/>
      <c r="D469" s="8">
        <f t="shared" si="7"/>
        <v>0</v>
      </c>
    </row>
    <row r="470" spans="1:4" ht="18" hidden="1" x14ac:dyDescent="0.3">
      <c r="A470" s="13" t="s">
        <v>131</v>
      </c>
      <c r="B470" s="17"/>
      <c r="C470" s="17"/>
      <c r="D470" s="8">
        <f t="shared" si="7"/>
        <v>0</v>
      </c>
    </row>
    <row r="471" spans="1:4" ht="18" hidden="1" x14ac:dyDescent="0.3">
      <c r="A471" s="10" t="s">
        <v>132</v>
      </c>
      <c r="B471" s="8"/>
      <c r="C471" s="8"/>
      <c r="D471" s="8">
        <f t="shared" si="7"/>
        <v>0</v>
      </c>
    </row>
    <row r="472" spans="1:4" ht="18" hidden="1" x14ac:dyDescent="0.3">
      <c r="A472" s="10" t="s">
        <v>133</v>
      </c>
      <c r="B472" s="8"/>
      <c r="C472" s="8"/>
      <c r="D472" s="8">
        <f t="shared" si="7"/>
        <v>0</v>
      </c>
    </row>
    <row r="473" spans="1:4" ht="18" x14ac:dyDescent="0.3">
      <c r="A473" s="10" t="s">
        <v>135</v>
      </c>
      <c r="B473" s="8">
        <f>60+17+50+15</f>
        <v>142</v>
      </c>
      <c r="C473" s="8">
        <v>13000</v>
      </c>
      <c r="D473" s="8">
        <f t="shared" si="7"/>
        <v>1846000</v>
      </c>
    </row>
    <row r="474" spans="1:4" ht="18" hidden="1" x14ac:dyDescent="0.3">
      <c r="A474" s="18" t="s">
        <v>136</v>
      </c>
      <c r="B474" s="8"/>
      <c r="C474" s="8"/>
      <c r="D474" s="8">
        <f t="shared" si="7"/>
        <v>0</v>
      </c>
    </row>
    <row r="475" spans="1:4" ht="18" hidden="1" x14ac:dyDescent="0.3">
      <c r="A475" s="13" t="s">
        <v>137</v>
      </c>
      <c r="B475" s="8"/>
      <c r="C475" s="8"/>
      <c r="D475" s="8">
        <f t="shared" si="7"/>
        <v>0</v>
      </c>
    </row>
    <row r="476" spans="1:4" ht="18" hidden="1" x14ac:dyDescent="0.3">
      <c r="A476" s="13" t="s">
        <v>138</v>
      </c>
      <c r="B476" s="8"/>
      <c r="C476" s="8"/>
      <c r="D476" s="8">
        <f t="shared" si="7"/>
        <v>0</v>
      </c>
    </row>
    <row r="477" spans="1:4" ht="18" hidden="1" x14ac:dyDescent="0.3">
      <c r="A477" s="10" t="s">
        <v>139</v>
      </c>
      <c r="B477" s="8"/>
      <c r="C477" s="8"/>
      <c r="D477" s="8">
        <f t="shared" si="7"/>
        <v>0</v>
      </c>
    </row>
    <row r="478" spans="1:4" ht="18" hidden="1" x14ac:dyDescent="0.3">
      <c r="A478" s="10" t="s">
        <v>348</v>
      </c>
      <c r="B478" s="8"/>
      <c r="C478" s="8"/>
      <c r="D478" s="8">
        <f t="shared" si="7"/>
        <v>0</v>
      </c>
    </row>
    <row r="479" spans="1:4" ht="18" hidden="1" x14ac:dyDescent="0.3">
      <c r="A479" s="10" t="s">
        <v>141</v>
      </c>
      <c r="B479" s="17"/>
      <c r="C479" s="17"/>
      <c r="D479" s="8">
        <f t="shared" si="7"/>
        <v>0</v>
      </c>
    </row>
    <row r="480" spans="1:4" ht="18" hidden="1" x14ac:dyDescent="0.3">
      <c r="A480" s="10" t="s">
        <v>142</v>
      </c>
      <c r="B480" s="17"/>
      <c r="C480" s="17"/>
      <c r="D480" s="8">
        <f t="shared" si="7"/>
        <v>0</v>
      </c>
    </row>
    <row r="481" spans="1:4" ht="18" hidden="1" x14ac:dyDescent="0.3">
      <c r="A481" s="10" t="s">
        <v>143</v>
      </c>
      <c r="B481" s="8"/>
      <c r="C481" s="8"/>
      <c r="D481" s="8">
        <f t="shared" si="7"/>
        <v>0</v>
      </c>
    </row>
    <row r="482" spans="1:4" ht="18" hidden="1" x14ac:dyDescent="0.3">
      <c r="A482" s="10" t="s">
        <v>144</v>
      </c>
      <c r="B482" s="17"/>
      <c r="C482" s="17"/>
      <c r="D482" s="8">
        <f t="shared" si="7"/>
        <v>0</v>
      </c>
    </row>
    <row r="483" spans="1:4" ht="18" hidden="1" x14ac:dyDescent="0.3">
      <c r="A483" s="10" t="s">
        <v>145</v>
      </c>
      <c r="B483" s="17"/>
      <c r="C483" s="17"/>
      <c r="D483" s="8">
        <f t="shared" si="7"/>
        <v>0</v>
      </c>
    </row>
    <row r="484" spans="1:4" ht="18" hidden="1" x14ac:dyDescent="0.3">
      <c r="A484" s="10" t="s">
        <v>146</v>
      </c>
      <c r="B484" s="17"/>
      <c r="C484" s="17"/>
      <c r="D484" s="8">
        <f t="shared" si="7"/>
        <v>0</v>
      </c>
    </row>
    <row r="485" spans="1:4" ht="18" hidden="1" x14ac:dyDescent="0.3">
      <c r="A485" s="10" t="s">
        <v>147</v>
      </c>
      <c r="B485" s="17"/>
      <c r="C485" s="17"/>
      <c r="D485" s="8">
        <f t="shared" si="7"/>
        <v>0</v>
      </c>
    </row>
    <row r="486" spans="1:4" ht="18" hidden="1" x14ac:dyDescent="0.3">
      <c r="A486" s="10" t="s">
        <v>148</v>
      </c>
      <c r="B486" s="17"/>
      <c r="C486" s="17"/>
      <c r="D486" s="8">
        <f t="shared" si="7"/>
        <v>0</v>
      </c>
    </row>
    <row r="487" spans="1:4" ht="18" hidden="1" x14ac:dyDescent="0.3">
      <c r="A487" s="10" t="s">
        <v>149</v>
      </c>
      <c r="B487" s="17"/>
      <c r="C487" s="17"/>
      <c r="D487" s="8">
        <f t="shared" si="7"/>
        <v>0</v>
      </c>
    </row>
    <row r="488" spans="1:4" ht="18" hidden="1" x14ac:dyDescent="0.3">
      <c r="A488" s="10" t="s">
        <v>150</v>
      </c>
      <c r="B488" s="17"/>
      <c r="C488" s="17"/>
      <c r="D488" s="8">
        <f t="shared" si="7"/>
        <v>0</v>
      </c>
    </row>
    <row r="489" spans="1:4" ht="18" hidden="1" x14ac:dyDescent="0.3">
      <c r="A489" s="10" t="s">
        <v>151</v>
      </c>
      <c r="B489" s="17"/>
      <c r="C489" s="17"/>
      <c r="D489" s="8">
        <f t="shared" si="7"/>
        <v>0</v>
      </c>
    </row>
    <row r="490" spans="1:4" ht="18" hidden="1" x14ac:dyDescent="0.3">
      <c r="A490" s="10" t="s">
        <v>152</v>
      </c>
      <c r="B490" s="8"/>
      <c r="C490" s="8"/>
      <c r="D490" s="8">
        <f t="shared" si="7"/>
        <v>0</v>
      </c>
    </row>
    <row r="491" spans="1:4" ht="18" hidden="1" x14ac:dyDescent="0.3">
      <c r="A491" s="10" t="s">
        <v>349</v>
      </c>
      <c r="B491" s="8"/>
      <c r="C491" s="8"/>
      <c r="D491" s="8">
        <f t="shared" si="7"/>
        <v>0</v>
      </c>
    </row>
    <row r="492" spans="1:4" ht="18" hidden="1" x14ac:dyDescent="0.3">
      <c r="A492" s="10" t="s">
        <v>153</v>
      </c>
      <c r="B492" s="8"/>
      <c r="C492" s="8"/>
      <c r="D492" s="8">
        <f t="shared" si="7"/>
        <v>0</v>
      </c>
    </row>
    <row r="493" spans="1:4" ht="18" x14ac:dyDescent="0.3">
      <c r="A493" s="10" t="s">
        <v>154</v>
      </c>
      <c r="B493" s="8">
        <v>4</v>
      </c>
      <c r="C493" s="8">
        <v>9000</v>
      </c>
      <c r="D493" s="8">
        <f t="shared" si="7"/>
        <v>36000</v>
      </c>
    </row>
    <row r="494" spans="1:4" ht="18" hidden="1" x14ac:dyDescent="0.3">
      <c r="A494" s="10" t="s">
        <v>155</v>
      </c>
      <c r="B494" s="8"/>
      <c r="C494" s="8"/>
      <c r="D494" s="8">
        <f t="shared" si="7"/>
        <v>0</v>
      </c>
    </row>
    <row r="495" spans="1:4" ht="18" hidden="1" x14ac:dyDescent="0.3">
      <c r="A495" s="18" t="s">
        <v>156</v>
      </c>
      <c r="B495" s="8"/>
      <c r="C495" s="8"/>
      <c r="D495" s="8">
        <f t="shared" si="7"/>
        <v>0</v>
      </c>
    </row>
    <row r="496" spans="1:4" ht="18" hidden="1" x14ac:dyDescent="0.3">
      <c r="A496" s="10" t="s">
        <v>157</v>
      </c>
      <c r="B496" s="8"/>
      <c r="C496" s="8"/>
      <c r="D496" s="8">
        <f t="shared" si="7"/>
        <v>0</v>
      </c>
    </row>
    <row r="497" spans="1:4" ht="18" hidden="1" x14ac:dyDescent="0.3">
      <c r="A497" s="10" t="s">
        <v>158</v>
      </c>
      <c r="B497" s="8"/>
      <c r="C497" s="8"/>
      <c r="D497" s="8">
        <f t="shared" si="7"/>
        <v>0</v>
      </c>
    </row>
    <row r="498" spans="1:4" ht="18" hidden="1" x14ac:dyDescent="0.3">
      <c r="A498" s="10" t="s">
        <v>159</v>
      </c>
      <c r="B498" s="8"/>
      <c r="C498" s="8"/>
      <c r="D498" s="8">
        <f t="shared" si="7"/>
        <v>0</v>
      </c>
    </row>
    <row r="499" spans="1:4" ht="18" hidden="1" x14ac:dyDescent="0.3">
      <c r="A499" s="10" t="s">
        <v>160</v>
      </c>
      <c r="B499" s="8"/>
      <c r="C499" s="8"/>
      <c r="D499" s="8">
        <f t="shared" si="7"/>
        <v>0</v>
      </c>
    </row>
    <row r="500" spans="1:4" ht="18" hidden="1" x14ac:dyDescent="0.3">
      <c r="A500" s="10" t="s">
        <v>161</v>
      </c>
      <c r="B500" s="17"/>
      <c r="C500" s="17"/>
      <c r="D500" s="8">
        <f t="shared" si="7"/>
        <v>0</v>
      </c>
    </row>
    <row r="501" spans="1:4" ht="18" hidden="1" x14ac:dyDescent="0.3">
      <c r="A501" s="31" t="s">
        <v>162</v>
      </c>
      <c r="B501" s="17"/>
      <c r="C501" s="17"/>
      <c r="D501" s="8">
        <f t="shared" si="7"/>
        <v>0</v>
      </c>
    </row>
    <row r="502" spans="1:4" ht="18" hidden="1" x14ac:dyDescent="0.3">
      <c r="A502" s="10" t="s">
        <v>163</v>
      </c>
      <c r="B502" s="17"/>
      <c r="C502" s="17"/>
      <c r="D502" s="8">
        <f t="shared" si="7"/>
        <v>0</v>
      </c>
    </row>
    <row r="503" spans="1:4" ht="18" hidden="1" x14ac:dyDescent="0.3">
      <c r="A503" s="10" t="s">
        <v>165</v>
      </c>
      <c r="B503" s="8"/>
      <c r="C503" s="8"/>
      <c r="D503" s="8">
        <f t="shared" si="7"/>
        <v>0</v>
      </c>
    </row>
    <row r="504" spans="1:4" ht="18" hidden="1" x14ac:dyDescent="0.3">
      <c r="A504" s="18" t="s">
        <v>166</v>
      </c>
      <c r="B504" s="8"/>
      <c r="C504" s="8"/>
      <c r="D504" s="8">
        <f t="shared" si="7"/>
        <v>0</v>
      </c>
    </row>
    <row r="505" spans="1:4" ht="18" x14ac:dyDescent="0.3">
      <c r="A505" s="10" t="s">
        <v>350</v>
      </c>
      <c r="B505" s="8">
        <v>35</v>
      </c>
      <c r="C505" s="8">
        <v>7000</v>
      </c>
      <c r="D505" s="8">
        <f t="shared" si="7"/>
        <v>245000</v>
      </c>
    </row>
    <row r="506" spans="1:4" ht="18" x14ac:dyDescent="0.3">
      <c r="A506" s="13" t="s">
        <v>167</v>
      </c>
      <c r="B506" s="8">
        <v>110</v>
      </c>
      <c r="C506" s="8">
        <v>11000</v>
      </c>
      <c r="D506" s="8">
        <f t="shared" si="7"/>
        <v>1210000</v>
      </c>
    </row>
    <row r="507" spans="1:4" ht="18" hidden="1" x14ac:dyDescent="0.3">
      <c r="A507" s="10" t="s">
        <v>168</v>
      </c>
      <c r="B507" s="8"/>
      <c r="C507" s="8"/>
      <c r="D507" s="8">
        <f t="shared" si="7"/>
        <v>0</v>
      </c>
    </row>
    <row r="508" spans="1:4" ht="18" hidden="1" x14ac:dyDescent="0.3">
      <c r="A508" s="10" t="s">
        <v>170</v>
      </c>
      <c r="B508" s="8"/>
      <c r="C508" s="8"/>
      <c r="D508" s="8">
        <f t="shared" si="7"/>
        <v>0</v>
      </c>
    </row>
    <row r="509" spans="1:4" ht="18" hidden="1" x14ac:dyDescent="0.3">
      <c r="A509" s="10" t="s">
        <v>171</v>
      </c>
      <c r="B509" s="8"/>
      <c r="C509" s="8"/>
      <c r="D509" s="8">
        <f t="shared" si="7"/>
        <v>0</v>
      </c>
    </row>
    <row r="510" spans="1:4" ht="18" hidden="1" x14ac:dyDescent="0.3">
      <c r="A510" s="22" t="s">
        <v>172</v>
      </c>
      <c r="B510" s="8"/>
      <c r="C510" s="8"/>
      <c r="D510" s="8">
        <f t="shared" si="7"/>
        <v>0</v>
      </c>
    </row>
    <row r="511" spans="1:4" ht="18" hidden="1" x14ac:dyDescent="0.3">
      <c r="A511" s="10" t="s">
        <v>173</v>
      </c>
      <c r="B511" s="8"/>
      <c r="C511" s="8"/>
      <c r="D511" s="8">
        <f t="shared" si="7"/>
        <v>0</v>
      </c>
    </row>
    <row r="512" spans="1:4" ht="18" hidden="1" x14ac:dyDescent="0.3">
      <c r="A512" s="34" t="s">
        <v>174</v>
      </c>
      <c r="B512" s="36"/>
      <c r="C512" s="36"/>
      <c r="D512" s="8">
        <f t="shared" si="7"/>
        <v>0</v>
      </c>
    </row>
    <row r="513" spans="1:4" ht="18" hidden="1" x14ac:dyDescent="0.3">
      <c r="A513" s="12" t="s">
        <v>175</v>
      </c>
      <c r="B513" s="8"/>
      <c r="C513" s="8"/>
      <c r="D513" s="8">
        <f t="shared" si="7"/>
        <v>0</v>
      </c>
    </row>
    <row r="514" spans="1:4" ht="18" hidden="1" x14ac:dyDescent="0.3">
      <c r="A514" s="10" t="s">
        <v>176</v>
      </c>
      <c r="B514" s="8"/>
      <c r="C514" s="8"/>
      <c r="D514" s="8">
        <f t="shared" si="7"/>
        <v>0</v>
      </c>
    </row>
    <row r="515" spans="1:4" ht="18" hidden="1" x14ac:dyDescent="0.3">
      <c r="A515" s="10" t="s">
        <v>177</v>
      </c>
      <c r="B515" s="8"/>
      <c r="C515" s="8"/>
      <c r="D515" s="8">
        <f t="shared" si="7"/>
        <v>0</v>
      </c>
    </row>
    <row r="516" spans="1:4" ht="18" hidden="1" x14ac:dyDescent="0.3">
      <c r="A516" s="13" t="s">
        <v>178</v>
      </c>
      <c r="B516" s="8"/>
      <c r="C516" s="8"/>
      <c r="D516" s="8">
        <f t="shared" si="7"/>
        <v>0</v>
      </c>
    </row>
    <row r="517" spans="1:4" ht="18" hidden="1" x14ac:dyDescent="0.3">
      <c r="A517" s="10" t="s">
        <v>179</v>
      </c>
      <c r="B517" s="8"/>
      <c r="C517" s="8"/>
      <c r="D517" s="8">
        <f t="shared" ref="D517:D580" si="8">B517*C517</f>
        <v>0</v>
      </c>
    </row>
    <row r="518" spans="1:4" ht="18" hidden="1" x14ac:dyDescent="0.3">
      <c r="A518" s="10" t="s">
        <v>180</v>
      </c>
      <c r="B518" s="8"/>
      <c r="C518" s="8"/>
      <c r="D518" s="8">
        <f t="shared" si="8"/>
        <v>0</v>
      </c>
    </row>
    <row r="519" spans="1:4" ht="18" hidden="1" x14ac:dyDescent="0.3">
      <c r="A519" s="13" t="s">
        <v>181</v>
      </c>
      <c r="B519" s="8"/>
      <c r="C519" s="8"/>
      <c r="D519" s="8">
        <f t="shared" si="8"/>
        <v>0</v>
      </c>
    </row>
    <row r="520" spans="1:4" ht="18" hidden="1" x14ac:dyDescent="0.3">
      <c r="A520" s="13" t="s">
        <v>182</v>
      </c>
      <c r="B520" s="8"/>
      <c r="C520" s="8"/>
      <c r="D520" s="8">
        <f t="shared" si="8"/>
        <v>0</v>
      </c>
    </row>
    <row r="521" spans="1:4" ht="18" hidden="1" x14ac:dyDescent="0.3">
      <c r="A521" s="13" t="s">
        <v>183</v>
      </c>
      <c r="B521" s="8"/>
      <c r="C521" s="8"/>
      <c r="D521" s="8">
        <f t="shared" si="8"/>
        <v>0</v>
      </c>
    </row>
    <row r="522" spans="1:4" ht="18" hidden="1" x14ac:dyDescent="0.3">
      <c r="A522" s="10" t="s">
        <v>184</v>
      </c>
      <c r="B522" s="8"/>
      <c r="C522" s="8"/>
      <c r="D522" s="8">
        <f t="shared" si="8"/>
        <v>0</v>
      </c>
    </row>
    <row r="523" spans="1:4" ht="18" hidden="1" x14ac:dyDescent="0.3">
      <c r="A523" s="13" t="s">
        <v>185</v>
      </c>
      <c r="B523" s="8"/>
      <c r="C523" s="8"/>
      <c r="D523" s="8">
        <f t="shared" si="8"/>
        <v>0</v>
      </c>
    </row>
    <row r="524" spans="1:4" ht="18" hidden="1" x14ac:dyDescent="0.3">
      <c r="A524" s="13" t="s">
        <v>186</v>
      </c>
      <c r="B524" s="8"/>
      <c r="C524" s="8"/>
      <c r="D524" s="8">
        <f t="shared" si="8"/>
        <v>0</v>
      </c>
    </row>
    <row r="525" spans="1:4" ht="18" hidden="1" x14ac:dyDescent="0.3">
      <c r="A525" s="13" t="s">
        <v>187</v>
      </c>
      <c r="B525" s="8"/>
      <c r="C525" s="8"/>
      <c r="D525" s="8">
        <f t="shared" si="8"/>
        <v>0</v>
      </c>
    </row>
    <row r="526" spans="1:4" ht="18" hidden="1" x14ac:dyDescent="0.3">
      <c r="A526" s="10" t="s">
        <v>188</v>
      </c>
      <c r="B526" s="8"/>
      <c r="C526" s="8"/>
      <c r="D526" s="8">
        <f t="shared" si="8"/>
        <v>0</v>
      </c>
    </row>
    <row r="527" spans="1:4" ht="18" hidden="1" x14ac:dyDescent="0.3">
      <c r="A527" s="18" t="s">
        <v>189</v>
      </c>
      <c r="B527" s="8"/>
      <c r="C527" s="8"/>
      <c r="D527" s="8">
        <f t="shared" si="8"/>
        <v>0</v>
      </c>
    </row>
    <row r="528" spans="1:4" ht="18" hidden="1" x14ac:dyDescent="0.3">
      <c r="A528" s="18" t="s">
        <v>190</v>
      </c>
      <c r="B528" s="8"/>
      <c r="C528" s="8"/>
      <c r="D528" s="8">
        <f t="shared" si="8"/>
        <v>0</v>
      </c>
    </row>
    <row r="529" spans="1:4" ht="18" hidden="1" x14ac:dyDescent="0.3">
      <c r="A529" s="18" t="s">
        <v>191</v>
      </c>
      <c r="B529" s="8"/>
      <c r="C529" s="8"/>
      <c r="D529" s="8">
        <f t="shared" si="8"/>
        <v>0</v>
      </c>
    </row>
    <row r="530" spans="1:4" ht="18" hidden="1" x14ac:dyDescent="0.3">
      <c r="A530" s="18" t="s">
        <v>192</v>
      </c>
      <c r="B530" s="8"/>
      <c r="C530" s="8"/>
      <c r="D530" s="8">
        <f t="shared" si="8"/>
        <v>0</v>
      </c>
    </row>
    <row r="531" spans="1:4" ht="18" hidden="1" x14ac:dyDescent="0.3">
      <c r="A531" s="13" t="s">
        <v>193</v>
      </c>
      <c r="B531" s="8"/>
      <c r="C531" s="8"/>
      <c r="D531" s="8">
        <f t="shared" si="8"/>
        <v>0</v>
      </c>
    </row>
    <row r="532" spans="1:4" ht="18" hidden="1" x14ac:dyDescent="0.3">
      <c r="A532" s="10" t="s">
        <v>194</v>
      </c>
      <c r="B532" s="8"/>
      <c r="C532" s="8"/>
      <c r="D532" s="8">
        <f t="shared" si="8"/>
        <v>0</v>
      </c>
    </row>
    <row r="533" spans="1:4" ht="18" hidden="1" x14ac:dyDescent="0.3">
      <c r="A533" s="37" t="s">
        <v>195</v>
      </c>
      <c r="B533" s="8"/>
      <c r="C533" s="8"/>
      <c r="D533" s="8">
        <f t="shared" si="8"/>
        <v>0</v>
      </c>
    </row>
    <row r="534" spans="1:4" ht="18" hidden="1" x14ac:dyDescent="0.3">
      <c r="A534" s="37" t="s">
        <v>196</v>
      </c>
      <c r="B534" s="8"/>
      <c r="C534" s="8"/>
      <c r="D534" s="8">
        <f t="shared" si="8"/>
        <v>0</v>
      </c>
    </row>
    <row r="535" spans="1:4" ht="18" hidden="1" x14ac:dyDescent="0.3">
      <c r="A535" s="37" t="s">
        <v>197</v>
      </c>
      <c r="B535" s="8"/>
      <c r="C535" s="8"/>
      <c r="D535" s="8">
        <f t="shared" si="8"/>
        <v>0</v>
      </c>
    </row>
    <row r="536" spans="1:4" ht="18" hidden="1" x14ac:dyDescent="0.3">
      <c r="A536" s="37" t="s">
        <v>198</v>
      </c>
      <c r="B536" s="8"/>
      <c r="C536" s="8"/>
      <c r="D536" s="8">
        <f t="shared" si="8"/>
        <v>0</v>
      </c>
    </row>
    <row r="537" spans="1:4" ht="18" hidden="1" x14ac:dyDescent="0.3">
      <c r="A537" s="10" t="s">
        <v>199</v>
      </c>
      <c r="B537" s="8"/>
      <c r="C537" s="8"/>
      <c r="D537" s="8">
        <f t="shared" si="8"/>
        <v>0</v>
      </c>
    </row>
    <row r="538" spans="1:4" ht="18" hidden="1" x14ac:dyDescent="0.3">
      <c r="A538" s="38" t="s">
        <v>200</v>
      </c>
      <c r="B538" s="8"/>
      <c r="C538" s="8"/>
      <c r="D538" s="8">
        <f t="shared" si="8"/>
        <v>0</v>
      </c>
    </row>
    <row r="539" spans="1:4" ht="18" hidden="1" x14ac:dyDescent="0.3">
      <c r="A539" s="10" t="s">
        <v>201</v>
      </c>
      <c r="B539" s="8"/>
      <c r="C539" s="8"/>
      <c r="D539" s="8">
        <f t="shared" si="8"/>
        <v>0</v>
      </c>
    </row>
    <row r="540" spans="1:4" ht="18" hidden="1" x14ac:dyDescent="0.3">
      <c r="A540" s="13" t="s">
        <v>202</v>
      </c>
      <c r="B540" s="8"/>
      <c r="C540" s="8"/>
      <c r="D540" s="8">
        <f t="shared" si="8"/>
        <v>0</v>
      </c>
    </row>
    <row r="541" spans="1:4" ht="18" hidden="1" x14ac:dyDescent="0.3">
      <c r="A541" s="10" t="s">
        <v>351</v>
      </c>
      <c r="B541" s="8"/>
      <c r="C541" s="8"/>
      <c r="D541" s="8">
        <f t="shared" si="8"/>
        <v>0</v>
      </c>
    </row>
    <row r="542" spans="1:4" ht="18" hidden="1" x14ac:dyDescent="0.3">
      <c r="A542" s="10" t="s">
        <v>203</v>
      </c>
      <c r="B542" s="8"/>
      <c r="C542" s="8"/>
      <c r="D542" s="8">
        <f t="shared" si="8"/>
        <v>0</v>
      </c>
    </row>
    <row r="543" spans="1:4" ht="18" x14ac:dyDescent="0.3">
      <c r="A543" s="10" t="s">
        <v>204</v>
      </c>
      <c r="B543" s="8">
        <f>115+560</f>
        <v>675</v>
      </c>
      <c r="C543" s="8">
        <v>13000</v>
      </c>
      <c r="D543" s="8">
        <f t="shared" si="8"/>
        <v>8775000</v>
      </c>
    </row>
    <row r="544" spans="1:4" ht="18" hidden="1" x14ac:dyDescent="0.3">
      <c r="A544" s="39" t="s">
        <v>205</v>
      </c>
      <c r="B544" s="8"/>
      <c r="C544" s="8"/>
      <c r="D544" s="8">
        <f t="shared" si="8"/>
        <v>0</v>
      </c>
    </row>
    <row r="545" spans="1:4" ht="18" hidden="1" x14ac:dyDescent="0.3">
      <c r="A545" s="39" t="s">
        <v>206</v>
      </c>
      <c r="B545" s="8"/>
      <c r="C545" s="8"/>
      <c r="D545" s="8">
        <f t="shared" si="8"/>
        <v>0</v>
      </c>
    </row>
    <row r="546" spans="1:4" ht="18" hidden="1" x14ac:dyDescent="0.3">
      <c r="A546" s="10" t="s">
        <v>207</v>
      </c>
      <c r="B546" s="8"/>
      <c r="C546" s="8"/>
      <c r="D546" s="8">
        <f t="shared" si="8"/>
        <v>0</v>
      </c>
    </row>
    <row r="547" spans="1:4" ht="18" hidden="1" x14ac:dyDescent="0.3">
      <c r="A547" s="12" t="s">
        <v>208</v>
      </c>
      <c r="B547" s="8"/>
      <c r="C547" s="8"/>
      <c r="D547" s="8">
        <f t="shared" si="8"/>
        <v>0</v>
      </c>
    </row>
    <row r="548" spans="1:4" ht="18" hidden="1" x14ac:dyDescent="0.3">
      <c r="A548" s="10" t="s">
        <v>209</v>
      </c>
      <c r="B548" s="8"/>
      <c r="C548" s="8"/>
      <c r="D548" s="8">
        <f t="shared" si="8"/>
        <v>0</v>
      </c>
    </row>
    <row r="549" spans="1:4" ht="18" hidden="1" x14ac:dyDescent="0.3">
      <c r="A549" s="12" t="s">
        <v>352</v>
      </c>
      <c r="B549" s="8"/>
      <c r="C549" s="8"/>
      <c r="D549" s="8">
        <f t="shared" si="8"/>
        <v>0</v>
      </c>
    </row>
    <row r="550" spans="1:4" ht="18" hidden="1" x14ac:dyDescent="0.3">
      <c r="A550" s="10" t="s">
        <v>210</v>
      </c>
      <c r="B550" s="8"/>
      <c r="C550" s="8"/>
      <c r="D550" s="8">
        <f t="shared" si="8"/>
        <v>0</v>
      </c>
    </row>
    <row r="551" spans="1:4" ht="18" hidden="1" x14ac:dyDescent="0.3">
      <c r="A551" s="10" t="s">
        <v>211</v>
      </c>
      <c r="B551" s="8"/>
      <c r="C551" s="8"/>
      <c r="D551" s="8">
        <f t="shared" si="8"/>
        <v>0</v>
      </c>
    </row>
    <row r="552" spans="1:4" ht="18" hidden="1" x14ac:dyDescent="0.3">
      <c r="A552" s="10" t="s">
        <v>353</v>
      </c>
      <c r="B552" s="8"/>
      <c r="C552" s="8"/>
      <c r="D552" s="8">
        <f t="shared" si="8"/>
        <v>0</v>
      </c>
    </row>
    <row r="553" spans="1:4" ht="18" hidden="1" x14ac:dyDescent="0.3">
      <c r="A553" s="10" t="s">
        <v>354</v>
      </c>
      <c r="B553" s="8"/>
      <c r="C553" s="8"/>
      <c r="D553" s="8">
        <f t="shared" si="8"/>
        <v>0</v>
      </c>
    </row>
    <row r="554" spans="1:4" ht="18" hidden="1" x14ac:dyDescent="0.3">
      <c r="A554" s="10" t="s">
        <v>212</v>
      </c>
      <c r="B554" s="8"/>
      <c r="C554" s="8"/>
      <c r="D554" s="8">
        <f t="shared" si="8"/>
        <v>0</v>
      </c>
    </row>
    <row r="555" spans="1:4" ht="18" hidden="1" x14ac:dyDescent="0.3">
      <c r="A555" s="40" t="s">
        <v>213</v>
      </c>
      <c r="B555" s="8"/>
      <c r="C555" s="8"/>
      <c r="D555" s="8">
        <f t="shared" si="8"/>
        <v>0</v>
      </c>
    </row>
    <row r="556" spans="1:4" ht="18" hidden="1" x14ac:dyDescent="0.3">
      <c r="A556" s="10" t="s">
        <v>214</v>
      </c>
      <c r="B556" s="8"/>
      <c r="C556" s="8"/>
      <c r="D556" s="8">
        <f t="shared" si="8"/>
        <v>0</v>
      </c>
    </row>
    <row r="557" spans="1:4" ht="18" x14ac:dyDescent="0.3">
      <c r="A557" s="10" t="s">
        <v>215</v>
      </c>
      <c r="B557" s="8">
        <f>45+135+120+70+65-220</f>
        <v>215</v>
      </c>
      <c r="C557" s="8">
        <v>16000</v>
      </c>
      <c r="D557" s="8">
        <f t="shared" si="8"/>
        <v>3440000</v>
      </c>
    </row>
    <row r="558" spans="1:4" ht="18" hidden="1" x14ac:dyDescent="0.3">
      <c r="A558" s="10" t="s">
        <v>216</v>
      </c>
      <c r="B558" s="8"/>
      <c r="C558" s="8"/>
      <c r="D558" s="8">
        <f t="shared" si="8"/>
        <v>0</v>
      </c>
    </row>
    <row r="559" spans="1:4" ht="18" hidden="1" x14ac:dyDescent="0.3">
      <c r="A559" s="10" t="s">
        <v>355</v>
      </c>
      <c r="B559" s="8"/>
      <c r="C559" s="8"/>
      <c r="D559" s="8">
        <f t="shared" si="8"/>
        <v>0</v>
      </c>
    </row>
    <row r="560" spans="1:4" ht="18" hidden="1" x14ac:dyDescent="0.3">
      <c r="A560" s="10" t="s">
        <v>217</v>
      </c>
      <c r="B560" s="8"/>
      <c r="C560" s="8"/>
      <c r="D560" s="8">
        <f t="shared" si="8"/>
        <v>0</v>
      </c>
    </row>
    <row r="561" spans="1:4" ht="18" hidden="1" x14ac:dyDescent="0.3">
      <c r="A561" s="18" t="s">
        <v>218</v>
      </c>
      <c r="B561" s="8"/>
      <c r="C561" s="8"/>
      <c r="D561" s="8">
        <f t="shared" si="8"/>
        <v>0</v>
      </c>
    </row>
    <row r="562" spans="1:4" ht="18" hidden="1" x14ac:dyDescent="0.3">
      <c r="A562" s="18" t="s">
        <v>219</v>
      </c>
      <c r="B562" s="8"/>
      <c r="C562" s="8"/>
      <c r="D562" s="8">
        <f t="shared" si="8"/>
        <v>0</v>
      </c>
    </row>
    <row r="563" spans="1:4" ht="18" hidden="1" x14ac:dyDescent="0.3">
      <c r="A563" s="18" t="s">
        <v>220</v>
      </c>
      <c r="B563" s="8"/>
      <c r="C563" s="8"/>
      <c r="D563" s="8">
        <f t="shared" si="8"/>
        <v>0</v>
      </c>
    </row>
    <row r="564" spans="1:4" ht="18" hidden="1" x14ac:dyDescent="0.3">
      <c r="A564" s="18" t="s">
        <v>221</v>
      </c>
      <c r="B564" s="8"/>
      <c r="C564" s="8"/>
      <c r="D564" s="8">
        <f t="shared" si="8"/>
        <v>0</v>
      </c>
    </row>
    <row r="565" spans="1:4" ht="18" hidden="1" x14ac:dyDescent="0.3">
      <c r="A565" s="10" t="s">
        <v>222</v>
      </c>
      <c r="B565" s="8"/>
      <c r="C565" s="8"/>
      <c r="D565" s="8">
        <f t="shared" si="8"/>
        <v>0</v>
      </c>
    </row>
    <row r="566" spans="1:4" ht="18" hidden="1" x14ac:dyDescent="0.3">
      <c r="A566" s="10" t="s">
        <v>223</v>
      </c>
      <c r="B566" s="8"/>
      <c r="C566" s="8"/>
      <c r="D566" s="8">
        <f t="shared" si="8"/>
        <v>0</v>
      </c>
    </row>
    <row r="567" spans="1:4" ht="18" hidden="1" x14ac:dyDescent="0.3">
      <c r="A567" s="18" t="s">
        <v>224</v>
      </c>
      <c r="B567" s="8"/>
      <c r="C567" s="8"/>
      <c r="D567" s="8">
        <f t="shared" si="8"/>
        <v>0</v>
      </c>
    </row>
    <row r="568" spans="1:4" ht="18" hidden="1" x14ac:dyDescent="0.3">
      <c r="A568" s="18" t="s">
        <v>225</v>
      </c>
      <c r="B568" s="8"/>
      <c r="C568" s="8"/>
      <c r="D568" s="8">
        <f t="shared" si="8"/>
        <v>0</v>
      </c>
    </row>
    <row r="569" spans="1:4" ht="18" hidden="1" x14ac:dyDescent="0.3">
      <c r="A569" s="12" t="s">
        <v>226</v>
      </c>
      <c r="B569" s="8"/>
      <c r="C569" s="8"/>
      <c r="D569" s="8">
        <f t="shared" si="8"/>
        <v>0</v>
      </c>
    </row>
    <row r="570" spans="1:4" ht="18" hidden="1" x14ac:dyDescent="0.3">
      <c r="A570" s="13" t="s">
        <v>227</v>
      </c>
      <c r="B570" s="8"/>
      <c r="C570" s="8"/>
      <c r="D570" s="8">
        <f t="shared" si="8"/>
        <v>0</v>
      </c>
    </row>
    <row r="571" spans="1:4" ht="18" hidden="1" x14ac:dyDescent="0.3">
      <c r="A571" s="23" t="s">
        <v>356</v>
      </c>
      <c r="B571" s="8"/>
      <c r="C571" s="8"/>
      <c r="D571" s="8">
        <f t="shared" si="8"/>
        <v>0</v>
      </c>
    </row>
    <row r="572" spans="1:4" ht="18" hidden="1" x14ac:dyDescent="0.3">
      <c r="A572" s="23" t="s">
        <v>357</v>
      </c>
      <c r="B572" s="8"/>
      <c r="C572" s="8"/>
      <c r="D572" s="8">
        <f t="shared" si="8"/>
        <v>0</v>
      </c>
    </row>
    <row r="573" spans="1:4" ht="18" hidden="1" x14ac:dyDescent="0.3">
      <c r="A573" s="12" t="s">
        <v>232</v>
      </c>
      <c r="B573" s="8"/>
      <c r="C573" s="8"/>
      <c r="D573" s="8">
        <f t="shared" si="8"/>
        <v>0</v>
      </c>
    </row>
    <row r="574" spans="1:4" ht="18" hidden="1" x14ac:dyDescent="0.3">
      <c r="A574" s="10" t="s">
        <v>237</v>
      </c>
      <c r="B574" s="8"/>
      <c r="C574" s="8"/>
      <c r="D574" s="8">
        <f t="shared" si="8"/>
        <v>0</v>
      </c>
    </row>
    <row r="575" spans="1:4" ht="18" hidden="1" x14ac:dyDescent="0.3">
      <c r="A575" s="10" t="s">
        <v>238</v>
      </c>
      <c r="B575" s="8"/>
      <c r="C575" s="8"/>
      <c r="D575" s="8">
        <f t="shared" si="8"/>
        <v>0</v>
      </c>
    </row>
    <row r="576" spans="1:4" ht="18" hidden="1" x14ac:dyDescent="0.3">
      <c r="A576" s="14" t="s">
        <v>239</v>
      </c>
      <c r="B576" s="8"/>
      <c r="C576" s="8"/>
      <c r="D576" s="8">
        <f t="shared" si="8"/>
        <v>0</v>
      </c>
    </row>
    <row r="577" spans="1:4" ht="18" hidden="1" x14ac:dyDescent="0.3">
      <c r="A577" s="14" t="s">
        <v>240</v>
      </c>
      <c r="B577" s="8"/>
      <c r="C577" s="8"/>
      <c r="D577" s="8">
        <f t="shared" si="8"/>
        <v>0</v>
      </c>
    </row>
    <row r="578" spans="1:4" ht="18" hidden="1" x14ac:dyDescent="0.3">
      <c r="A578" s="37" t="s">
        <v>241</v>
      </c>
      <c r="B578" s="8"/>
      <c r="C578" s="8"/>
      <c r="D578" s="8">
        <f t="shared" si="8"/>
        <v>0</v>
      </c>
    </row>
    <row r="579" spans="1:4" ht="18" hidden="1" x14ac:dyDescent="0.3">
      <c r="A579" s="10" t="s">
        <v>242</v>
      </c>
      <c r="B579" s="8"/>
      <c r="C579" s="8"/>
      <c r="D579" s="8">
        <f t="shared" si="8"/>
        <v>0</v>
      </c>
    </row>
    <row r="580" spans="1:4" ht="18" hidden="1" x14ac:dyDescent="0.3">
      <c r="A580" s="10" t="s">
        <v>243</v>
      </c>
      <c r="B580" s="8"/>
      <c r="C580" s="8"/>
      <c r="D580" s="8">
        <f t="shared" si="8"/>
        <v>0</v>
      </c>
    </row>
    <row r="581" spans="1:4" ht="18" hidden="1" x14ac:dyDescent="0.3">
      <c r="A581" s="10" t="s">
        <v>244</v>
      </c>
      <c r="B581" s="17"/>
      <c r="C581" s="17"/>
      <c r="D581" s="8">
        <f t="shared" ref="D581:D644" si="9">B581*C581</f>
        <v>0</v>
      </c>
    </row>
    <row r="582" spans="1:4" ht="18" hidden="1" x14ac:dyDescent="0.3">
      <c r="A582" s="37" t="s">
        <v>245</v>
      </c>
      <c r="B582" s="8"/>
      <c r="C582" s="8"/>
      <c r="D582" s="8">
        <f t="shared" si="9"/>
        <v>0</v>
      </c>
    </row>
    <row r="583" spans="1:4" ht="18" hidden="1" x14ac:dyDescent="0.3">
      <c r="A583" s="10" t="s">
        <v>246</v>
      </c>
      <c r="B583" s="17"/>
      <c r="C583" s="17"/>
      <c r="D583" s="8">
        <f t="shared" si="9"/>
        <v>0</v>
      </c>
    </row>
    <row r="584" spans="1:4" ht="18" hidden="1" x14ac:dyDescent="0.3">
      <c r="A584" s="10" t="s">
        <v>247</v>
      </c>
      <c r="B584" s="8"/>
      <c r="C584" s="8"/>
      <c r="D584" s="8">
        <f t="shared" si="9"/>
        <v>0</v>
      </c>
    </row>
    <row r="585" spans="1:4" ht="18" hidden="1" x14ac:dyDescent="0.3">
      <c r="A585" s="12" t="s">
        <v>249</v>
      </c>
      <c r="B585" s="8"/>
      <c r="C585" s="8"/>
      <c r="D585" s="8">
        <f t="shared" si="9"/>
        <v>0</v>
      </c>
    </row>
    <row r="586" spans="1:4" ht="18" hidden="1" x14ac:dyDescent="0.3">
      <c r="A586" s="10" t="s">
        <v>250</v>
      </c>
      <c r="B586" s="8"/>
      <c r="C586" s="8"/>
      <c r="D586" s="8">
        <f t="shared" si="9"/>
        <v>0</v>
      </c>
    </row>
    <row r="587" spans="1:4" ht="18" hidden="1" x14ac:dyDescent="0.3">
      <c r="A587" s="10" t="s">
        <v>251</v>
      </c>
      <c r="B587" s="8"/>
      <c r="C587" s="8"/>
      <c r="D587" s="8">
        <f t="shared" si="9"/>
        <v>0</v>
      </c>
    </row>
    <row r="588" spans="1:4" ht="18" hidden="1" x14ac:dyDescent="0.3">
      <c r="A588" s="10" t="s">
        <v>252</v>
      </c>
      <c r="B588" s="8"/>
      <c r="C588" s="8"/>
      <c r="D588" s="8">
        <f t="shared" si="9"/>
        <v>0</v>
      </c>
    </row>
    <row r="589" spans="1:4" ht="18" hidden="1" x14ac:dyDescent="0.3">
      <c r="A589" s="10" t="s">
        <v>253</v>
      </c>
      <c r="B589" s="8"/>
      <c r="C589" s="8"/>
      <c r="D589" s="8">
        <f t="shared" si="9"/>
        <v>0</v>
      </c>
    </row>
    <row r="590" spans="1:4" ht="18" hidden="1" x14ac:dyDescent="0.3">
      <c r="A590" s="10" t="s">
        <v>254</v>
      </c>
      <c r="B590" s="8"/>
      <c r="C590" s="8"/>
      <c r="D590" s="8">
        <f t="shared" si="9"/>
        <v>0</v>
      </c>
    </row>
    <row r="591" spans="1:4" ht="18" hidden="1" x14ac:dyDescent="0.3">
      <c r="A591" s="18" t="s">
        <v>255</v>
      </c>
      <c r="B591" s="8"/>
      <c r="C591" s="8"/>
      <c r="D591" s="8">
        <f t="shared" si="9"/>
        <v>0</v>
      </c>
    </row>
    <row r="592" spans="1:4" ht="18" hidden="1" x14ac:dyDescent="0.3">
      <c r="A592" s="23" t="s">
        <v>256</v>
      </c>
      <c r="B592" s="8"/>
      <c r="C592" s="8"/>
      <c r="D592" s="8">
        <f t="shared" si="9"/>
        <v>0</v>
      </c>
    </row>
    <row r="593" spans="1:4" ht="18" hidden="1" x14ac:dyDescent="0.3">
      <c r="A593" s="23" t="s">
        <v>257</v>
      </c>
      <c r="B593" s="8"/>
      <c r="C593" s="8"/>
      <c r="D593" s="8">
        <f t="shared" si="9"/>
        <v>0</v>
      </c>
    </row>
    <row r="594" spans="1:4" ht="18" hidden="1" x14ac:dyDescent="0.3">
      <c r="A594" s="10" t="s">
        <v>258</v>
      </c>
      <c r="B594" s="8"/>
      <c r="C594" s="8"/>
      <c r="D594" s="8">
        <f t="shared" si="9"/>
        <v>0</v>
      </c>
    </row>
    <row r="595" spans="1:4" ht="18" hidden="1" x14ac:dyDescent="0.3">
      <c r="A595" s="10" t="s">
        <v>259</v>
      </c>
      <c r="B595" s="8"/>
      <c r="C595" s="8"/>
      <c r="D595" s="8">
        <f t="shared" si="9"/>
        <v>0</v>
      </c>
    </row>
    <row r="596" spans="1:4" ht="18" hidden="1" x14ac:dyDescent="0.3">
      <c r="A596" s="10" t="s">
        <v>260</v>
      </c>
      <c r="B596" s="8"/>
      <c r="C596" s="8"/>
      <c r="D596" s="8">
        <f t="shared" si="9"/>
        <v>0</v>
      </c>
    </row>
    <row r="597" spans="1:4" ht="18" hidden="1" x14ac:dyDescent="0.3">
      <c r="A597" s="10" t="s">
        <v>261</v>
      </c>
      <c r="B597" s="8"/>
      <c r="C597" s="8"/>
      <c r="D597" s="8">
        <f t="shared" si="9"/>
        <v>0</v>
      </c>
    </row>
    <row r="598" spans="1:4" ht="18" hidden="1" x14ac:dyDescent="0.3">
      <c r="A598" s="10" t="s">
        <v>262</v>
      </c>
      <c r="B598" s="8"/>
      <c r="C598" s="8"/>
      <c r="D598" s="8">
        <f t="shared" si="9"/>
        <v>0</v>
      </c>
    </row>
    <row r="599" spans="1:4" ht="18" hidden="1" x14ac:dyDescent="0.3">
      <c r="A599" s="10" t="s">
        <v>263</v>
      </c>
      <c r="B599" s="8"/>
      <c r="C599" s="8"/>
      <c r="D599" s="8">
        <f t="shared" si="9"/>
        <v>0</v>
      </c>
    </row>
    <row r="600" spans="1:4" ht="18" hidden="1" x14ac:dyDescent="0.3">
      <c r="A600" s="10" t="s">
        <v>264</v>
      </c>
      <c r="B600" s="8"/>
      <c r="C600" s="8"/>
      <c r="D600" s="8">
        <f t="shared" si="9"/>
        <v>0</v>
      </c>
    </row>
    <row r="601" spans="1:4" ht="18" hidden="1" x14ac:dyDescent="0.3">
      <c r="A601" s="10" t="s">
        <v>265</v>
      </c>
      <c r="B601" s="17"/>
      <c r="C601" s="17"/>
      <c r="D601" s="8">
        <f t="shared" si="9"/>
        <v>0</v>
      </c>
    </row>
    <row r="602" spans="1:4" ht="18" hidden="1" x14ac:dyDescent="0.3">
      <c r="A602" s="14" t="s">
        <v>266</v>
      </c>
      <c r="B602" s="8"/>
      <c r="C602" s="8"/>
      <c r="D602" s="8">
        <f t="shared" si="9"/>
        <v>0</v>
      </c>
    </row>
    <row r="603" spans="1:4" ht="18" hidden="1" x14ac:dyDescent="0.3">
      <c r="A603" s="10" t="s">
        <v>267</v>
      </c>
      <c r="B603" s="8"/>
      <c r="C603" s="8"/>
      <c r="D603" s="8">
        <f t="shared" si="9"/>
        <v>0</v>
      </c>
    </row>
    <row r="604" spans="1:4" ht="18" hidden="1" x14ac:dyDescent="0.3">
      <c r="A604" s="12" t="s">
        <v>268</v>
      </c>
      <c r="B604" s="8"/>
      <c r="C604" s="8"/>
      <c r="D604" s="8">
        <f t="shared" si="9"/>
        <v>0</v>
      </c>
    </row>
    <row r="605" spans="1:4" ht="18" hidden="1" x14ac:dyDescent="0.3">
      <c r="A605" s="12" t="s">
        <v>269</v>
      </c>
      <c r="B605" s="8"/>
      <c r="C605" s="8"/>
      <c r="D605" s="8">
        <f t="shared" si="9"/>
        <v>0</v>
      </c>
    </row>
    <row r="606" spans="1:4" ht="18" hidden="1" x14ac:dyDescent="0.3">
      <c r="A606" s="10" t="s">
        <v>270</v>
      </c>
      <c r="B606" s="8"/>
      <c r="C606" s="8"/>
      <c r="D606" s="8">
        <f t="shared" si="9"/>
        <v>0</v>
      </c>
    </row>
    <row r="607" spans="1:4" ht="18" hidden="1" x14ac:dyDescent="0.3">
      <c r="A607" s="10" t="s">
        <v>358</v>
      </c>
      <c r="B607" s="8"/>
      <c r="C607" s="8"/>
      <c r="D607" s="8">
        <f t="shared" si="9"/>
        <v>0</v>
      </c>
    </row>
    <row r="608" spans="1:4" ht="18" hidden="1" x14ac:dyDescent="0.3">
      <c r="A608" s="10" t="s">
        <v>271</v>
      </c>
      <c r="B608" s="8"/>
      <c r="C608" s="8"/>
      <c r="D608" s="8">
        <f t="shared" si="9"/>
        <v>0</v>
      </c>
    </row>
    <row r="609" spans="1:4" ht="18" hidden="1" x14ac:dyDescent="0.3">
      <c r="A609" s="10" t="s">
        <v>359</v>
      </c>
      <c r="B609" s="8"/>
      <c r="C609" s="8"/>
      <c r="D609" s="8">
        <f t="shared" si="9"/>
        <v>0</v>
      </c>
    </row>
    <row r="610" spans="1:4" ht="18" hidden="1" x14ac:dyDescent="0.3">
      <c r="A610" s="10" t="s">
        <v>273</v>
      </c>
      <c r="B610" s="8"/>
      <c r="C610" s="8"/>
      <c r="D610" s="8">
        <f t="shared" si="9"/>
        <v>0</v>
      </c>
    </row>
    <row r="611" spans="1:4" ht="18" hidden="1" x14ac:dyDescent="0.3">
      <c r="A611" s="10" t="s">
        <v>274</v>
      </c>
      <c r="B611" s="8"/>
      <c r="C611" s="8"/>
      <c r="D611" s="8">
        <f t="shared" si="9"/>
        <v>0</v>
      </c>
    </row>
    <row r="612" spans="1:4" ht="18" hidden="1" x14ac:dyDescent="0.3">
      <c r="A612" s="10" t="s">
        <v>275</v>
      </c>
      <c r="B612" s="8"/>
      <c r="C612" s="8"/>
      <c r="D612" s="8">
        <f t="shared" si="9"/>
        <v>0</v>
      </c>
    </row>
    <row r="613" spans="1:4" ht="18" hidden="1" x14ac:dyDescent="0.3">
      <c r="A613" s="37" t="s">
        <v>277</v>
      </c>
      <c r="B613" s="8"/>
      <c r="C613" s="8"/>
      <c r="D613" s="8">
        <f t="shared" si="9"/>
        <v>0</v>
      </c>
    </row>
    <row r="614" spans="1:4" ht="18" hidden="1" x14ac:dyDescent="0.3">
      <c r="A614" s="10" t="s">
        <v>278</v>
      </c>
      <c r="B614" s="8"/>
      <c r="C614" s="8"/>
      <c r="D614" s="8">
        <f t="shared" si="9"/>
        <v>0</v>
      </c>
    </row>
    <row r="615" spans="1:4" ht="18" hidden="1" x14ac:dyDescent="0.3">
      <c r="A615" s="37" t="s">
        <v>279</v>
      </c>
      <c r="B615" s="8"/>
      <c r="C615" s="8"/>
      <c r="D615" s="8">
        <f t="shared" si="9"/>
        <v>0</v>
      </c>
    </row>
    <row r="616" spans="1:4" ht="18" hidden="1" x14ac:dyDescent="0.3">
      <c r="A616" s="12" t="s">
        <v>360</v>
      </c>
      <c r="B616" s="8"/>
      <c r="C616" s="8"/>
      <c r="D616" s="8">
        <f t="shared" si="9"/>
        <v>0</v>
      </c>
    </row>
    <row r="617" spans="1:4" ht="18" hidden="1" x14ac:dyDescent="0.3">
      <c r="A617" s="37" t="s">
        <v>280</v>
      </c>
      <c r="B617" s="8"/>
      <c r="C617" s="8"/>
      <c r="D617" s="8">
        <f t="shared" si="9"/>
        <v>0</v>
      </c>
    </row>
    <row r="618" spans="1:4" ht="18" hidden="1" x14ac:dyDescent="0.3">
      <c r="A618" s="13" t="s">
        <v>281</v>
      </c>
      <c r="B618" s="17"/>
      <c r="C618" s="17"/>
      <c r="D618" s="8">
        <f t="shared" si="9"/>
        <v>0</v>
      </c>
    </row>
    <row r="619" spans="1:4" ht="18" hidden="1" x14ac:dyDescent="0.3">
      <c r="A619" s="18" t="s">
        <v>284</v>
      </c>
      <c r="B619" s="8"/>
      <c r="C619" s="8"/>
      <c r="D619" s="8">
        <f t="shared" si="9"/>
        <v>0</v>
      </c>
    </row>
    <row r="620" spans="1:4" ht="18" hidden="1" x14ac:dyDescent="0.3">
      <c r="A620" s="18" t="s">
        <v>285</v>
      </c>
      <c r="B620" s="8"/>
      <c r="C620" s="8"/>
      <c r="D620" s="8">
        <f t="shared" si="9"/>
        <v>0</v>
      </c>
    </row>
    <row r="621" spans="1:4" ht="18" hidden="1" x14ac:dyDescent="0.3">
      <c r="A621" s="18" t="s">
        <v>286</v>
      </c>
      <c r="B621" s="8"/>
      <c r="C621" s="8"/>
      <c r="D621" s="8">
        <f t="shared" si="9"/>
        <v>0</v>
      </c>
    </row>
    <row r="622" spans="1:4" ht="18" hidden="1" x14ac:dyDescent="0.3">
      <c r="A622" s="10" t="s">
        <v>287</v>
      </c>
      <c r="B622" s="8"/>
      <c r="C622" s="8"/>
      <c r="D622" s="8">
        <f t="shared" si="9"/>
        <v>0</v>
      </c>
    </row>
    <row r="623" spans="1:4" ht="18" hidden="1" x14ac:dyDescent="0.3">
      <c r="A623" s="18" t="s">
        <v>288</v>
      </c>
      <c r="B623" s="8"/>
      <c r="C623" s="8"/>
      <c r="D623" s="8">
        <f t="shared" si="9"/>
        <v>0</v>
      </c>
    </row>
    <row r="624" spans="1:4" ht="18" hidden="1" x14ac:dyDescent="0.3">
      <c r="A624" s="10" t="s">
        <v>289</v>
      </c>
      <c r="B624" s="8"/>
      <c r="C624" s="8"/>
      <c r="D624" s="8">
        <f t="shared" si="9"/>
        <v>0</v>
      </c>
    </row>
    <row r="625" spans="1:4" ht="18" hidden="1" x14ac:dyDescent="0.3">
      <c r="A625" s="10" t="s">
        <v>290</v>
      </c>
      <c r="B625" s="8"/>
      <c r="C625" s="8"/>
      <c r="D625" s="8">
        <f t="shared" si="9"/>
        <v>0</v>
      </c>
    </row>
    <row r="626" spans="1:4" ht="18" hidden="1" x14ac:dyDescent="0.3">
      <c r="A626" s="18" t="s">
        <v>291</v>
      </c>
      <c r="B626" s="8"/>
      <c r="C626" s="8"/>
      <c r="D626" s="8">
        <f t="shared" si="9"/>
        <v>0</v>
      </c>
    </row>
    <row r="627" spans="1:4" ht="18" hidden="1" x14ac:dyDescent="0.3">
      <c r="A627" s="27" t="s">
        <v>292</v>
      </c>
      <c r="B627" s="8"/>
      <c r="C627" s="8"/>
      <c r="D627" s="8">
        <f t="shared" si="9"/>
        <v>0</v>
      </c>
    </row>
    <row r="628" spans="1:4" ht="18" hidden="1" x14ac:dyDescent="0.3">
      <c r="A628" s="10" t="s">
        <v>293</v>
      </c>
      <c r="B628" s="8"/>
      <c r="C628" s="8"/>
      <c r="D628" s="8">
        <f t="shared" si="9"/>
        <v>0</v>
      </c>
    </row>
    <row r="629" spans="1:4" ht="18" hidden="1" x14ac:dyDescent="0.3">
      <c r="A629" s="14" t="s">
        <v>294</v>
      </c>
      <c r="B629" s="8"/>
      <c r="C629" s="8"/>
      <c r="D629" s="8">
        <f t="shared" si="9"/>
        <v>0</v>
      </c>
    </row>
    <row r="630" spans="1:4" ht="18" hidden="1" x14ac:dyDescent="0.3">
      <c r="A630" s="13" t="s">
        <v>296</v>
      </c>
      <c r="B630" s="8"/>
      <c r="C630" s="8"/>
      <c r="D630" s="8">
        <f t="shared" si="9"/>
        <v>0</v>
      </c>
    </row>
    <row r="631" spans="1:4" ht="18" hidden="1" x14ac:dyDescent="0.3">
      <c r="A631" s="18" t="s">
        <v>297</v>
      </c>
      <c r="B631" s="8"/>
      <c r="C631" s="8"/>
      <c r="D631" s="8">
        <f t="shared" si="9"/>
        <v>0</v>
      </c>
    </row>
    <row r="632" spans="1:4" ht="18" hidden="1" x14ac:dyDescent="0.3">
      <c r="A632" s="14" t="s">
        <v>298</v>
      </c>
      <c r="B632" s="8"/>
      <c r="C632" s="8"/>
      <c r="D632" s="8">
        <f t="shared" si="9"/>
        <v>0</v>
      </c>
    </row>
    <row r="633" spans="1:4" ht="18" hidden="1" x14ac:dyDescent="0.3">
      <c r="A633" s="10" t="s">
        <v>299</v>
      </c>
      <c r="B633" s="8"/>
      <c r="C633" s="8"/>
      <c r="D633" s="8">
        <f t="shared" si="9"/>
        <v>0</v>
      </c>
    </row>
    <row r="634" spans="1:4" ht="18" hidden="1" x14ac:dyDescent="0.3">
      <c r="A634" s="18" t="s">
        <v>300</v>
      </c>
      <c r="B634" s="8"/>
      <c r="C634" s="8"/>
      <c r="D634" s="8">
        <f t="shared" si="9"/>
        <v>0</v>
      </c>
    </row>
    <row r="635" spans="1:4" ht="18" hidden="1" x14ac:dyDescent="0.3">
      <c r="A635" s="13" t="s">
        <v>361</v>
      </c>
      <c r="B635" s="8"/>
      <c r="C635" s="8"/>
      <c r="D635" s="8">
        <f t="shared" si="9"/>
        <v>0</v>
      </c>
    </row>
    <row r="636" spans="1:4" ht="18" hidden="1" x14ac:dyDescent="0.3">
      <c r="A636" s="10" t="s">
        <v>362</v>
      </c>
      <c r="B636" s="8"/>
      <c r="C636" s="8"/>
      <c r="D636" s="8">
        <f t="shared" si="9"/>
        <v>0</v>
      </c>
    </row>
    <row r="637" spans="1:4" ht="18" hidden="1" x14ac:dyDescent="0.3">
      <c r="A637" s="12" t="s">
        <v>303</v>
      </c>
      <c r="B637" s="8"/>
      <c r="C637" s="8"/>
      <c r="D637" s="8">
        <f t="shared" si="9"/>
        <v>0</v>
      </c>
    </row>
    <row r="638" spans="1:4" ht="18" hidden="1" x14ac:dyDescent="0.3">
      <c r="A638" s="10" t="s">
        <v>363</v>
      </c>
      <c r="B638" s="8"/>
      <c r="C638" s="8"/>
      <c r="D638" s="8">
        <f t="shared" si="9"/>
        <v>0</v>
      </c>
    </row>
    <row r="639" spans="1:4" ht="18" hidden="1" x14ac:dyDescent="0.3">
      <c r="A639" s="13" t="s">
        <v>304</v>
      </c>
      <c r="B639" s="8"/>
      <c r="C639" s="8"/>
      <c r="D639" s="8">
        <f t="shared" si="9"/>
        <v>0</v>
      </c>
    </row>
    <row r="640" spans="1:4" ht="18" hidden="1" x14ac:dyDescent="0.3">
      <c r="A640" s="13" t="s">
        <v>305</v>
      </c>
      <c r="B640" s="8"/>
      <c r="C640" s="8"/>
      <c r="D640" s="8">
        <f t="shared" si="9"/>
        <v>0</v>
      </c>
    </row>
    <row r="641" spans="1:4" ht="18" hidden="1" x14ac:dyDescent="0.3">
      <c r="A641" s="10" t="s">
        <v>306</v>
      </c>
      <c r="B641" s="8"/>
      <c r="C641" s="8"/>
      <c r="D641" s="8">
        <f t="shared" si="9"/>
        <v>0</v>
      </c>
    </row>
    <row r="642" spans="1:4" ht="18" hidden="1" x14ac:dyDescent="0.3">
      <c r="A642" s="10" t="s">
        <v>307</v>
      </c>
      <c r="B642" s="8"/>
      <c r="C642" s="8"/>
      <c r="D642" s="8">
        <f t="shared" si="9"/>
        <v>0</v>
      </c>
    </row>
    <row r="643" spans="1:4" ht="18" hidden="1" x14ac:dyDescent="0.3">
      <c r="A643" s="10" t="s">
        <v>308</v>
      </c>
      <c r="B643" s="8"/>
      <c r="C643" s="8"/>
      <c r="D643" s="8">
        <f t="shared" si="9"/>
        <v>0</v>
      </c>
    </row>
    <row r="644" spans="1:4" ht="18" hidden="1" x14ac:dyDescent="0.3">
      <c r="A644" s="14" t="s">
        <v>309</v>
      </c>
      <c r="B644" s="8"/>
      <c r="C644" s="8"/>
      <c r="D644" s="8">
        <f t="shared" si="9"/>
        <v>0</v>
      </c>
    </row>
    <row r="645" spans="1:4" ht="18" hidden="1" x14ac:dyDescent="0.3">
      <c r="A645" s="14" t="s">
        <v>310</v>
      </c>
      <c r="B645" s="8"/>
      <c r="C645" s="8"/>
      <c r="D645" s="8">
        <f t="shared" ref="D645:D672" si="10">B645*C645</f>
        <v>0</v>
      </c>
    </row>
    <row r="646" spans="1:4" ht="18" hidden="1" x14ac:dyDescent="0.3">
      <c r="A646" s="23" t="s">
        <v>311</v>
      </c>
      <c r="B646" s="8"/>
      <c r="C646" s="8"/>
      <c r="D646" s="8">
        <f t="shared" si="10"/>
        <v>0</v>
      </c>
    </row>
    <row r="647" spans="1:4" ht="18" hidden="1" x14ac:dyDescent="0.3">
      <c r="A647" s="14" t="s">
        <v>312</v>
      </c>
      <c r="B647" s="8"/>
      <c r="C647" s="8"/>
      <c r="D647" s="8">
        <f t="shared" si="10"/>
        <v>0</v>
      </c>
    </row>
    <row r="648" spans="1:4" ht="18" hidden="1" x14ac:dyDescent="0.3">
      <c r="A648" s="10" t="s">
        <v>313</v>
      </c>
      <c r="B648" s="8"/>
      <c r="C648" s="8"/>
      <c r="D648" s="8">
        <f t="shared" si="10"/>
        <v>0</v>
      </c>
    </row>
    <row r="649" spans="1:4" ht="18" hidden="1" x14ac:dyDescent="0.3">
      <c r="A649" s="10" t="s">
        <v>314</v>
      </c>
      <c r="B649" s="8"/>
      <c r="C649" s="8"/>
      <c r="D649" s="8">
        <f t="shared" si="10"/>
        <v>0</v>
      </c>
    </row>
    <row r="650" spans="1:4" ht="18" hidden="1" x14ac:dyDescent="0.3">
      <c r="A650" s="10" t="s">
        <v>315</v>
      </c>
      <c r="B650" s="8"/>
      <c r="C650" s="8"/>
      <c r="D650" s="8">
        <f t="shared" si="10"/>
        <v>0</v>
      </c>
    </row>
    <row r="651" spans="1:4" ht="18" hidden="1" x14ac:dyDescent="0.3">
      <c r="A651" s="10" t="s">
        <v>316</v>
      </c>
      <c r="B651" s="8"/>
      <c r="C651" s="8"/>
      <c r="D651" s="8">
        <f t="shared" si="10"/>
        <v>0</v>
      </c>
    </row>
    <row r="652" spans="1:4" ht="18" hidden="1" x14ac:dyDescent="0.3">
      <c r="A652" s="23" t="s">
        <v>317</v>
      </c>
      <c r="B652" s="8"/>
      <c r="C652" s="8"/>
      <c r="D652" s="8">
        <f t="shared" si="10"/>
        <v>0</v>
      </c>
    </row>
    <row r="653" spans="1:4" ht="18" hidden="1" x14ac:dyDescent="0.3">
      <c r="A653" s="10" t="s">
        <v>318</v>
      </c>
      <c r="B653" s="8"/>
      <c r="C653" s="8"/>
      <c r="D653" s="8">
        <f t="shared" si="10"/>
        <v>0</v>
      </c>
    </row>
    <row r="654" spans="1:4" ht="18" hidden="1" x14ac:dyDescent="0.3">
      <c r="A654" s="10" t="s">
        <v>319</v>
      </c>
      <c r="B654" s="8"/>
      <c r="C654" s="8"/>
      <c r="D654" s="8">
        <f t="shared" si="10"/>
        <v>0</v>
      </c>
    </row>
    <row r="655" spans="1:4" ht="18" hidden="1" x14ac:dyDescent="0.3">
      <c r="A655" s="13" t="s">
        <v>320</v>
      </c>
      <c r="B655" s="8"/>
      <c r="C655" s="8"/>
      <c r="D655" s="8">
        <f t="shared" si="10"/>
        <v>0</v>
      </c>
    </row>
    <row r="656" spans="1:4" ht="18" hidden="1" x14ac:dyDescent="0.3">
      <c r="A656" s="10" t="s">
        <v>321</v>
      </c>
      <c r="B656" s="42"/>
      <c r="C656" s="42"/>
      <c r="D656" s="8">
        <f t="shared" si="10"/>
        <v>0</v>
      </c>
    </row>
    <row r="657" spans="1:4" ht="18" hidden="1" x14ac:dyDescent="0.3">
      <c r="A657" s="10" t="s">
        <v>322</v>
      </c>
      <c r="B657" s="8"/>
      <c r="C657" s="8"/>
      <c r="D657" s="8">
        <f t="shared" si="10"/>
        <v>0</v>
      </c>
    </row>
    <row r="658" spans="1:4" ht="18" hidden="1" x14ac:dyDescent="0.3">
      <c r="A658" s="10" t="s">
        <v>323</v>
      </c>
      <c r="B658" s="8"/>
      <c r="C658" s="8"/>
      <c r="D658" s="8">
        <f t="shared" si="10"/>
        <v>0</v>
      </c>
    </row>
    <row r="659" spans="1:4" ht="18" hidden="1" x14ac:dyDescent="0.3">
      <c r="A659" s="23" t="s">
        <v>324</v>
      </c>
      <c r="B659" s="8"/>
      <c r="C659" s="8"/>
      <c r="D659" s="8">
        <f t="shared" si="10"/>
        <v>0</v>
      </c>
    </row>
    <row r="660" spans="1:4" ht="18" hidden="1" x14ac:dyDescent="0.3">
      <c r="A660" s="23" t="s">
        <v>325</v>
      </c>
      <c r="B660" s="8"/>
      <c r="C660" s="8"/>
      <c r="D660" s="8">
        <f t="shared" si="10"/>
        <v>0</v>
      </c>
    </row>
    <row r="661" spans="1:4" ht="18" hidden="1" x14ac:dyDescent="0.3">
      <c r="A661" s="10" t="s">
        <v>326</v>
      </c>
      <c r="B661" s="8"/>
      <c r="C661" s="8"/>
      <c r="D661" s="8">
        <f t="shared" si="10"/>
        <v>0</v>
      </c>
    </row>
    <row r="662" spans="1:4" ht="18" hidden="1" x14ac:dyDescent="0.3">
      <c r="A662" s="10" t="s">
        <v>327</v>
      </c>
      <c r="B662" s="8"/>
      <c r="C662" s="8"/>
      <c r="D662" s="8">
        <f t="shared" si="10"/>
        <v>0</v>
      </c>
    </row>
    <row r="663" spans="1:4" ht="18" hidden="1" x14ac:dyDescent="0.3">
      <c r="A663" s="23" t="s">
        <v>328</v>
      </c>
      <c r="B663" s="8"/>
      <c r="C663" s="8"/>
      <c r="D663" s="8">
        <f t="shared" si="10"/>
        <v>0</v>
      </c>
    </row>
    <row r="664" spans="1:4" ht="18" hidden="1" x14ac:dyDescent="0.3">
      <c r="A664" s="10" t="s">
        <v>329</v>
      </c>
      <c r="B664" s="8"/>
      <c r="C664" s="8"/>
      <c r="D664" s="8">
        <f t="shared" si="10"/>
        <v>0</v>
      </c>
    </row>
    <row r="665" spans="1:4" ht="18" hidden="1" x14ac:dyDescent="0.3">
      <c r="A665" s="10" t="s">
        <v>330</v>
      </c>
      <c r="B665" s="8"/>
      <c r="C665" s="8"/>
      <c r="D665" s="8">
        <f t="shared" si="10"/>
        <v>0</v>
      </c>
    </row>
    <row r="666" spans="1:4" ht="18" hidden="1" x14ac:dyDescent="0.3">
      <c r="A666" s="10" t="s">
        <v>331</v>
      </c>
      <c r="B666" s="8"/>
      <c r="C666" s="8"/>
      <c r="D666" s="8">
        <f t="shared" si="10"/>
        <v>0</v>
      </c>
    </row>
    <row r="667" spans="1:4" ht="18" hidden="1" x14ac:dyDescent="0.3">
      <c r="A667" s="10" t="s">
        <v>332</v>
      </c>
      <c r="B667" s="8"/>
      <c r="C667" s="8"/>
      <c r="D667" s="8">
        <f t="shared" si="10"/>
        <v>0</v>
      </c>
    </row>
    <row r="668" spans="1:4" ht="18" hidden="1" x14ac:dyDescent="0.3">
      <c r="A668" s="10" t="s">
        <v>333</v>
      </c>
      <c r="B668" s="8"/>
      <c r="C668" s="8"/>
      <c r="D668" s="8">
        <f t="shared" si="10"/>
        <v>0</v>
      </c>
    </row>
    <row r="669" spans="1:4" ht="18" hidden="1" x14ac:dyDescent="0.3">
      <c r="A669" s="10" t="s">
        <v>334</v>
      </c>
      <c r="B669" s="8"/>
      <c r="C669" s="8"/>
      <c r="D669" s="8">
        <f t="shared" si="10"/>
        <v>0</v>
      </c>
    </row>
    <row r="670" spans="1:4" ht="18" hidden="1" x14ac:dyDescent="0.3">
      <c r="A670" s="10" t="s">
        <v>335</v>
      </c>
      <c r="B670" s="8"/>
      <c r="C670" s="8"/>
      <c r="D670" s="8">
        <f t="shared" si="10"/>
        <v>0</v>
      </c>
    </row>
    <row r="671" spans="1:4" ht="18" hidden="1" x14ac:dyDescent="0.3">
      <c r="A671" s="10" t="s">
        <v>336</v>
      </c>
      <c r="B671" s="8"/>
      <c r="C671" s="8"/>
      <c r="D671" s="8">
        <f t="shared" si="10"/>
        <v>0</v>
      </c>
    </row>
    <row r="672" spans="1:4" ht="18" hidden="1" x14ac:dyDescent="0.3">
      <c r="A672" s="12" t="s">
        <v>338</v>
      </c>
      <c r="B672" s="8"/>
      <c r="C672" s="8"/>
      <c r="D672" s="8">
        <f t="shared" si="10"/>
        <v>0</v>
      </c>
    </row>
    <row r="673" spans="1:4" ht="17.399999999999999" x14ac:dyDescent="0.3">
      <c r="A673" s="43"/>
      <c r="B673" s="46">
        <f>SUM(B346:B672)</f>
        <v>4343</v>
      </c>
      <c r="C673" s="46"/>
      <c r="D673" s="46">
        <f t="shared" ref="D673" si="11">SUM(D346:D672)</f>
        <v>59277000</v>
      </c>
    </row>
    <row r="675" spans="1:4" x14ac:dyDescent="0.3">
      <c r="D675" s="49">
        <f>D673+D341</f>
        <v>159328000</v>
      </c>
    </row>
  </sheetData>
  <protectedRanges>
    <protectedRange password="CF71" sqref="B1:D3 B4:C340" name="tho"/>
    <protectedRange password="CF71" sqref="D4:D672" name="tho_2"/>
    <protectedRange password="CF71" sqref="B343:C672" name="tho_1"/>
  </protectedRanges>
  <autoFilter ref="A2:D673" xr:uid="{00000000-0009-0000-0000-00001C000000}">
    <filterColumn colId="1">
      <customFilters>
        <customFilter operator="notEqual" val=" "/>
      </customFilters>
    </filterColumn>
  </autoFilter>
  <mergeCells count="2">
    <mergeCell ref="A2:A3"/>
    <mergeCell ref="A344:A34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filterMode="1"/>
  <dimension ref="A1:WTG684"/>
  <sheetViews>
    <sheetView tabSelected="1" zoomScaleNormal="100" workbookViewId="0">
      <pane xSplit="1" ySplit="3" topLeftCell="E541" activePane="bottomRight" state="frozen"/>
      <selection pane="topRight" activeCell="B1" sqref="B1"/>
      <selection pane="bottomLeft" activeCell="A4" sqref="A4"/>
      <selection pane="bottomRight" activeCell="L681" sqref="L681"/>
    </sheetView>
  </sheetViews>
  <sheetFormatPr defaultColWidth="0" defaultRowHeight="16.8" x14ac:dyDescent="0.3"/>
  <cols>
    <col min="1" max="1" width="41.44140625" style="95" customWidth="1"/>
    <col min="2" max="2" width="6.44140625" style="96" customWidth="1"/>
    <col min="3" max="3" width="13" style="95" customWidth="1"/>
    <col min="4" max="4" width="22.88671875" style="97" customWidth="1"/>
    <col min="5" max="5" width="21.109375" style="98" customWidth="1"/>
    <col min="6" max="6" width="9.44140625" style="95" customWidth="1"/>
    <col min="7" max="7" width="21.88671875" style="95" bestFit="1" customWidth="1"/>
    <col min="8" max="8" width="13.21875" style="95" hidden="1" customWidth="1"/>
    <col min="9" max="9" width="15.44140625" style="95" hidden="1" customWidth="1"/>
    <col min="10" max="10" width="16.21875" style="95" hidden="1" customWidth="1"/>
    <col min="11" max="11" width="15.109375" style="95" customWidth="1"/>
    <col min="12" max="12" width="17.21875" style="95" customWidth="1"/>
    <col min="13" max="16" width="10.109375" style="95" customWidth="1"/>
    <col min="17" max="17" width="6.44140625" style="95" customWidth="1"/>
    <col min="18" max="18" width="6.88671875" style="95" customWidth="1"/>
    <col min="19" max="20" width="6.5546875" style="95" customWidth="1"/>
    <col min="21" max="21" width="6.33203125" style="95" customWidth="1"/>
    <col min="22" max="22" width="7.5546875" style="95" customWidth="1"/>
    <col min="23" max="23" width="14.5546875" style="95" customWidth="1"/>
    <col min="24" max="25" width="11.44140625" style="95" customWidth="1"/>
    <col min="26" max="26" width="56.88671875" style="95" customWidth="1"/>
    <col min="27" max="27" width="9.109375" style="95" bestFit="1" customWidth="1"/>
    <col min="28" max="28" width="26.6640625" style="95" customWidth="1"/>
    <col min="29" max="29" width="22.88671875" style="95" customWidth="1"/>
    <col min="30" max="30" width="14.6640625" style="95" customWidth="1"/>
    <col min="31" max="31" width="5" style="95" customWidth="1"/>
    <col min="32" max="32" width="8" style="95" hidden="1" customWidth="1"/>
    <col min="33" max="33" width="0" style="95" hidden="1" customWidth="1"/>
    <col min="34" max="34" width="5" style="95" customWidth="1"/>
    <col min="35" max="35" width="6.109375" style="95" hidden="1" customWidth="1"/>
    <col min="36" max="36" width="0" style="95" hidden="1" customWidth="1"/>
    <col min="37" max="37" width="5" style="95" customWidth="1"/>
    <col min="38" max="38" width="6.44140625" style="95" hidden="1" customWidth="1"/>
    <col min="39" max="39" width="0" style="95" hidden="1" customWidth="1"/>
    <col min="40" max="40" width="5" style="95" customWidth="1"/>
    <col min="41" max="41" width="6.44140625" style="95" hidden="1" customWidth="1"/>
    <col min="42" max="42" width="0" style="95" hidden="1" customWidth="1"/>
    <col min="43" max="43" width="5" style="95" customWidth="1"/>
    <col min="44" max="45" width="6.44140625" style="95" hidden="1" customWidth="1"/>
    <col min="46" max="46" width="5" style="95" customWidth="1"/>
    <col min="47" max="47" width="6.44140625" style="95" hidden="1" customWidth="1"/>
    <col min="48" max="48" width="0" style="95" hidden="1" customWidth="1"/>
    <col min="49" max="49" width="6.44140625" style="95" customWidth="1"/>
    <col min="50" max="50" width="6" style="95" hidden="1" customWidth="1"/>
    <col min="51" max="51" width="0" style="95" hidden="1" customWidth="1"/>
    <col min="52" max="53" width="6.44140625" style="95" hidden="1" customWidth="1"/>
    <col min="54" max="54" width="0" style="95" hidden="1" customWidth="1"/>
    <col min="55" max="56" width="6.44140625" style="95" hidden="1" customWidth="1"/>
    <col min="57" max="57" width="0" style="95" hidden="1" customWidth="1"/>
    <col min="58" max="58" width="6.88671875" style="95" customWidth="1"/>
    <col min="59" max="59" width="6.44140625" style="95" hidden="1" customWidth="1"/>
    <col min="60" max="60" width="0" style="95" hidden="1" customWidth="1"/>
    <col min="61" max="61" width="6.44140625" style="95" customWidth="1"/>
    <col min="62" max="62" width="6.44140625" style="95" hidden="1" customWidth="1"/>
    <col min="63" max="63" width="0" style="95" hidden="1" customWidth="1"/>
    <col min="64" max="64" width="5.44140625" style="95" customWidth="1"/>
    <col min="65" max="65" width="6.44140625" style="95" hidden="1" customWidth="1"/>
    <col min="66" max="66" width="0" style="95" hidden="1" customWidth="1"/>
    <col min="67" max="67" width="4.88671875" style="95" customWidth="1"/>
    <col min="68" max="68" width="6.44140625" style="95" hidden="1" customWidth="1"/>
    <col min="69" max="69" width="6.109375" style="95" hidden="1" customWidth="1"/>
    <col min="70" max="70" width="9.109375" style="95" hidden="1" customWidth="1"/>
    <col min="71" max="71" width="6" style="95" hidden="1" customWidth="1"/>
    <col min="72" max="72" width="0" style="95" hidden="1" customWidth="1"/>
    <col min="73" max="73" width="8.44140625" style="95" customWidth="1"/>
    <col min="74" max="74" width="6.44140625" style="95" hidden="1" customWidth="1"/>
    <col min="75" max="75" width="7.44140625" style="95" hidden="1" customWidth="1"/>
    <col min="76" max="76" width="5.44140625" style="95" customWidth="1"/>
    <col min="77" max="77" width="5" style="95" hidden="1" customWidth="1"/>
    <col min="78" max="78" width="6.44140625" style="95" hidden="1" customWidth="1"/>
    <col min="79" max="79" width="8.44140625" style="95" customWidth="1"/>
    <col min="80" max="80" width="6.44140625" style="95" hidden="1" customWidth="1"/>
    <col min="81" max="81" width="0" style="95" hidden="1" customWidth="1"/>
    <col min="82" max="82" width="5.88671875" style="95" customWidth="1"/>
    <col min="83" max="84" width="0" style="95" hidden="1" customWidth="1"/>
    <col min="85" max="85" width="5.44140625" style="95" customWidth="1"/>
    <col min="86" max="86" width="0" style="95" hidden="1" customWidth="1"/>
    <col min="87" max="87" width="6.44140625" style="95" hidden="1" customWidth="1"/>
    <col min="88" max="88" width="5.44140625" style="95" customWidth="1"/>
    <col min="89" max="89" width="0" style="95" hidden="1" customWidth="1"/>
    <col min="90" max="90" width="6.44140625" style="95" hidden="1" customWidth="1"/>
    <col min="91" max="91" width="6" style="95" customWidth="1"/>
    <col min="92" max="92" width="0" style="95" hidden="1" customWidth="1"/>
    <col min="93" max="94" width="6.44140625" style="95" hidden="1" customWidth="1"/>
    <col min="95" max="95" width="0" style="95" hidden="1" customWidth="1"/>
    <col min="96" max="96" width="6.44140625" style="95" hidden="1" customWidth="1"/>
    <col min="97" max="97" width="5" style="95" customWidth="1"/>
    <col min="98" max="98" width="0" style="95" hidden="1" customWidth="1"/>
    <col min="99" max="100" width="6.44140625" style="95" hidden="1" customWidth="1"/>
    <col min="101" max="101" width="0" style="95" hidden="1" customWidth="1"/>
    <col min="102" max="102" width="9.44140625" style="95" hidden="1" customWidth="1"/>
    <col min="103" max="103" width="0" style="95" hidden="1" customWidth="1"/>
    <col min="104" max="104" width="6.44140625" style="95" hidden="1" customWidth="1"/>
    <col min="105" max="105" width="0" style="95" hidden="1" customWidth="1"/>
    <col min="106" max="106" width="5" style="95" customWidth="1"/>
    <col min="107" max="107" width="6.44140625" style="95" hidden="1" customWidth="1"/>
    <col min="108" max="108" width="5" style="95" customWidth="1"/>
    <col min="109" max="109" width="9.44140625" style="95" customWidth="1"/>
    <col min="110" max="110" width="6.44140625" style="95" hidden="1" customWidth="1"/>
    <col min="111" max="111" width="5" style="95" customWidth="1"/>
    <col min="112" max="113" width="6.44140625" style="95" hidden="1" customWidth="1"/>
    <col min="114" max="114" width="5" style="95" customWidth="1"/>
    <col min="115" max="116" width="6.44140625" style="95" hidden="1" customWidth="1"/>
    <col min="117" max="117" width="5" style="95" customWidth="1"/>
    <col min="118" max="119" width="6.44140625" style="95" hidden="1" customWidth="1"/>
    <col min="120" max="120" width="5" style="95" customWidth="1"/>
    <col min="121" max="122" width="6.44140625" style="95" hidden="1" customWidth="1"/>
    <col min="123" max="123" width="5" style="95" customWidth="1"/>
    <col min="124" max="125" width="6.44140625" style="95" hidden="1" customWidth="1"/>
    <col min="126" max="126" width="5" style="95" customWidth="1"/>
    <col min="127" max="127" width="6.44140625" style="95" hidden="1" customWidth="1"/>
    <col min="128" max="128" width="6.44140625" style="95" customWidth="1"/>
    <col min="129" max="129" width="6.44140625" style="95" hidden="1" customWidth="1"/>
    <col min="130" max="130" width="7.109375" style="95" customWidth="1"/>
    <col min="131" max="131" width="0" style="95" hidden="1" customWidth="1"/>
    <col min="132" max="132" width="9.44140625" style="95" hidden="1" customWidth="1"/>
    <col min="133" max="133" width="7.109375" style="95" customWidth="1"/>
    <col min="134" max="134" width="0" style="95" hidden="1" customWidth="1"/>
    <col min="135" max="135" width="9.44140625" style="95" hidden="1" customWidth="1"/>
    <col min="136" max="136" width="7.109375" style="95" customWidth="1"/>
    <col min="137" max="137" width="0" style="95" hidden="1" customWidth="1"/>
    <col min="138" max="138" width="9.44140625" style="95" hidden="1" customWidth="1"/>
    <col min="139" max="139" width="7.109375" style="95" customWidth="1"/>
    <col min="140" max="140" width="7.44140625" style="95" hidden="1" customWidth="1"/>
    <col min="141" max="141" width="9.44140625" style="95" hidden="1" customWidth="1"/>
    <col min="142" max="142" width="7.109375" style="95" customWidth="1"/>
    <col min="143" max="143" width="0" style="95" hidden="1" customWidth="1"/>
    <col min="144" max="144" width="9.44140625" style="95" hidden="1" customWidth="1"/>
    <col min="145" max="145" width="7.109375" style="95" customWidth="1"/>
    <col min="146" max="146" width="0" style="95" hidden="1" customWidth="1"/>
    <col min="147" max="147" width="9.44140625" style="95" hidden="1" customWidth="1"/>
    <col min="148" max="148" width="7.109375" style="95" customWidth="1"/>
    <col min="149" max="149" width="9" style="95" hidden="1" customWidth="1"/>
    <col min="150" max="150" width="0" style="95" hidden="1" customWidth="1"/>
    <col min="151" max="151" width="7.109375" style="95" customWidth="1"/>
    <col min="152" max="152" width="6.44140625" style="95" hidden="1" customWidth="1"/>
    <col min="153" max="153" width="6.44140625" style="95" customWidth="1"/>
    <col min="154" max="155" width="6.44140625" style="95" hidden="1" customWidth="1"/>
    <col min="156" max="156" width="6.88671875" style="95" customWidth="1"/>
    <col min="157" max="157" width="7" style="95" hidden="1" customWidth="1"/>
    <col min="158" max="158" width="8.88671875" style="95" hidden="1" customWidth="1"/>
    <col min="159" max="159" width="6.88671875" style="95" customWidth="1"/>
    <col min="160" max="160" width="7" style="95" hidden="1" customWidth="1"/>
    <col min="161" max="161" width="8.88671875" style="95" hidden="1" customWidth="1"/>
    <col min="162" max="162" width="6.44140625" style="95" customWidth="1"/>
    <col min="163" max="164" width="0" style="95" hidden="1" customWidth="1"/>
    <col min="165" max="165" width="7" style="95" hidden="1" customWidth="1"/>
    <col min="166" max="166" width="8.88671875" style="95" hidden="1" customWidth="1"/>
    <col min="167" max="167" width="0" style="95" hidden="1" customWidth="1"/>
    <col min="168" max="168" width="6.44140625" style="95" customWidth="1"/>
    <col min="169" max="169" width="8.88671875" style="95" hidden="1" customWidth="1"/>
    <col min="170" max="170" width="0" style="95" hidden="1" customWidth="1"/>
    <col min="171" max="171" width="7.5546875" style="95" customWidth="1"/>
    <col min="172" max="172" width="8.88671875" style="95" hidden="1" customWidth="1"/>
    <col min="173" max="173" width="9.44140625" style="95" customWidth="1"/>
    <col min="174" max="174" width="7" style="95" hidden="1" customWidth="1"/>
    <col min="175" max="175" width="9" style="95" customWidth="1"/>
    <col min="176" max="176" width="0" style="95" hidden="1" customWidth="1"/>
    <col min="177" max="177" width="7" style="95" hidden="1" customWidth="1"/>
    <col min="178" max="178" width="8.5546875" style="95" customWidth="1"/>
    <col min="179" max="179" width="8.44140625" style="95" hidden="1" customWidth="1"/>
    <col min="180" max="180" width="11.44140625" style="95" hidden="1" customWidth="1"/>
    <col min="181" max="181" width="6.44140625" style="95" customWidth="1"/>
    <col min="182" max="183" width="11.44140625" style="95" hidden="1" customWidth="1"/>
    <col min="184" max="184" width="7" style="95" customWidth="1"/>
    <col min="185" max="186" width="11.44140625" style="95" hidden="1" customWidth="1"/>
    <col min="187" max="189" width="7" style="95" customWidth="1"/>
    <col min="190" max="190" width="0" style="95" hidden="1" customWidth="1"/>
    <col min="191" max="191" width="7" style="95" hidden="1" customWidth="1"/>
    <col min="192" max="192" width="7.5546875" style="95" customWidth="1"/>
    <col min="193" max="194" width="0" style="95" hidden="1" customWidth="1"/>
    <col min="195" max="195" width="7" style="95" customWidth="1"/>
    <col min="196" max="196" width="7" style="95" hidden="1" customWidth="1"/>
    <col min="197" max="197" width="8.88671875" style="95" hidden="1" customWidth="1"/>
    <col min="198" max="198" width="7" style="95" customWidth="1"/>
    <col min="199" max="199" width="7" style="95" hidden="1" customWidth="1"/>
    <col min="200" max="200" width="8.88671875" style="95" hidden="1" customWidth="1"/>
    <col min="201" max="201" width="7" style="95" customWidth="1"/>
    <col min="202" max="202" width="7" style="95" hidden="1" customWidth="1"/>
    <col min="203" max="203" width="6.44140625" style="95" customWidth="1"/>
    <col min="204" max="204" width="0" style="95" hidden="1" customWidth="1"/>
    <col min="205" max="205" width="7" style="95" hidden="1" customWidth="1"/>
    <col min="206" max="206" width="8.88671875" style="95" hidden="1" customWidth="1"/>
    <col min="207" max="207" width="0" style="95" hidden="1" customWidth="1"/>
    <col min="208" max="208" width="7" style="95" hidden="1" customWidth="1"/>
    <col min="209" max="209" width="0" style="95" hidden="1" customWidth="1"/>
    <col min="210" max="210" width="8.44140625" style="95" hidden="1" customWidth="1"/>
    <col min="211" max="213" width="11.44140625" style="95" hidden="1" customWidth="1"/>
    <col min="214" max="219" width="11.44140625" style="95" hidden="1"/>
    <col min="220" max="223" width="7" style="95" hidden="1"/>
    <col min="224" max="226" width="0" style="95" hidden="1"/>
    <col min="227" max="227" width="7" style="95" hidden="1"/>
    <col min="228" max="228" width="8.88671875" style="95" hidden="1"/>
    <col min="229" max="229" width="0" style="95" hidden="1"/>
    <col min="230" max="230" width="7" style="95" hidden="1"/>
    <col min="231" max="231" width="8.88671875" style="95" hidden="1"/>
    <col min="232" max="232" width="0" style="95" hidden="1"/>
    <col min="233" max="233" width="7" style="95" hidden="1"/>
    <col min="234" max="234" width="8.88671875" style="95" hidden="1"/>
    <col min="235" max="235" width="0" style="95" hidden="1"/>
    <col min="236" max="236" width="7" style="95" hidden="1"/>
    <col min="237" max="237" width="8.88671875" style="95" hidden="1"/>
    <col min="238" max="238" width="0" style="95" hidden="1"/>
    <col min="239" max="239" width="7" style="95" hidden="1"/>
    <col min="240" max="240" width="0" style="95" hidden="1"/>
    <col min="241" max="241" width="8.44140625" style="95" hidden="1"/>
    <col min="242" max="248" width="11.44140625" style="95" hidden="1"/>
    <col min="249" max="249" width="41.44140625" style="95" customWidth="1"/>
    <col min="250" max="250" width="6.44140625" style="95" customWidth="1"/>
    <col min="251" max="251" width="14.6640625" style="95" customWidth="1"/>
    <col min="252" max="252" width="11.44140625" style="95" customWidth="1"/>
    <col min="253" max="253" width="13" style="95" customWidth="1"/>
    <col min="254" max="254" width="25.44140625" style="95" customWidth="1"/>
    <col min="255" max="264" width="9.44140625" style="95" customWidth="1"/>
    <col min="265" max="265" width="8.88671875" style="95" customWidth="1"/>
    <col min="266" max="266" width="9.44140625" style="95" customWidth="1"/>
    <col min="267" max="272" width="10.109375" style="95" customWidth="1"/>
    <col min="273" max="273" width="6.44140625" style="95" customWidth="1"/>
    <col min="274" max="274" width="6.88671875" style="95" customWidth="1"/>
    <col min="275" max="276" width="6.5546875" style="95" customWidth="1"/>
    <col min="277" max="277" width="6.33203125" style="95" customWidth="1"/>
    <col min="278" max="278" width="7.5546875" style="95" customWidth="1"/>
    <col min="279" max="279" width="14.5546875" style="95" customWidth="1"/>
    <col min="280" max="281" width="11.44140625" style="95" customWidth="1"/>
    <col min="282" max="282" width="56.88671875" style="95" customWidth="1"/>
    <col min="283" max="283" width="9.109375" style="95" bestFit="1" customWidth="1"/>
    <col min="284" max="284" width="26.6640625" style="95" customWidth="1"/>
    <col min="285" max="285" width="22.88671875" style="95" customWidth="1"/>
    <col min="286" max="286" width="14.6640625" style="95" customWidth="1"/>
    <col min="287" max="287" width="5" style="95" customWidth="1"/>
    <col min="288" max="289" width="11.44140625" style="95" hidden="1" customWidth="1"/>
    <col min="290" max="290" width="5" style="95" customWidth="1"/>
    <col min="291" max="292" width="11.44140625" style="95" hidden="1" customWidth="1"/>
    <col min="293" max="293" width="5" style="95" customWidth="1"/>
    <col min="294" max="295" width="11.44140625" style="95" hidden="1" customWidth="1"/>
    <col min="296" max="296" width="5" style="95" customWidth="1"/>
    <col min="297" max="298" width="11.44140625" style="95" hidden="1" customWidth="1"/>
    <col min="299" max="299" width="5" style="95" customWidth="1"/>
    <col min="300" max="301" width="11.44140625" style="95" hidden="1" customWidth="1"/>
    <col min="302" max="302" width="5" style="95" customWidth="1"/>
    <col min="303" max="304" width="11.44140625" style="95" hidden="1" customWidth="1"/>
    <col min="305" max="305" width="6.44140625" style="95" customWidth="1"/>
    <col min="306" max="313" width="11.44140625" style="95" hidden="1" customWidth="1"/>
    <col min="314" max="314" width="6.88671875" style="95" customWidth="1"/>
    <col min="315" max="316" width="11.44140625" style="95" hidden="1" customWidth="1"/>
    <col min="317" max="317" width="6.44140625" style="95" customWidth="1"/>
    <col min="318" max="319" width="11.44140625" style="95" hidden="1" customWidth="1"/>
    <col min="320" max="320" width="5.44140625" style="95" customWidth="1"/>
    <col min="321" max="322" width="11.44140625" style="95" hidden="1" customWidth="1"/>
    <col min="323" max="323" width="4.88671875" style="95" customWidth="1"/>
    <col min="324" max="328" width="11.44140625" style="95" hidden="1" customWidth="1"/>
    <col min="329" max="329" width="8.44140625" style="95" customWidth="1"/>
    <col min="330" max="331" width="11.44140625" style="95" hidden="1" customWidth="1"/>
    <col min="332" max="332" width="5.44140625" style="95" customWidth="1"/>
    <col min="333" max="334" width="11.44140625" style="95" hidden="1" customWidth="1"/>
    <col min="335" max="335" width="8.44140625" style="95" customWidth="1"/>
    <col min="336" max="337" width="11.44140625" style="95" hidden="1" customWidth="1"/>
    <col min="338" max="338" width="5.88671875" style="95" customWidth="1"/>
    <col min="339" max="340" width="11.44140625" style="95" hidden="1" customWidth="1"/>
    <col min="341" max="341" width="5.44140625" style="95" customWidth="1"/>
    <col min="342" max="343" width="11.44140625" style="95" hidden="1" customWidth="1"/>
    <col min="344" max="344" width="5.44140625" style="95" customWidth="1"/>
    <col min="345" max="346" width="11.44140625" style="95" hidden="1" customWidth="1"/>
    <col min="347" max="347" width="6" style="95" customWidth="1"/>
    <col min="348" max="352" width="11.44140625" style="95" hidden="1" customWidth="1"/>
    <col min="353" max="353" width="5" style="95" customWidth="1"/>
    <col min="354" max="361" width="11.44140625" style="95" hidden="1" customWidth="1"/>
    <col min="362" max="362" width="5" style="95" customWidth="1"/>
    <col min="363" max="363" width="11.44140625" style="95" hidden="1" customWidth="1"/>
    <col min="364" max="364" width="5" style="95" customWidth="1"/>
    <col min="365" max="365" width="9.44140625" style="95" customWidth="1"/>
    <col min="366" max="366" width="11.44140625" style="95" hidden="1" customWidth="1"/>
    <col min="367" max="367" width="5" style="95" customWidth="1"/>
    <col min="368" max="369" width="11.44140625" style="95" hidden="1" customWidth="1"/>
    <col min="370" max="370" width="5" style="95" customWidth="1"/>
    <col min="371" max="372" width="11.44140625" style="95" hidden="1" customWidth="1"/>
    <col min="373" max="373" width="5" style="95" customWidth="1"/>
    <col min="374" max="375" width="11.44140625" style="95" hidden="1" customWidth="1"/>
    <col min="376" max="376" width="5" style="95" customWidth="1"/>
    <col min="377" max="378" width="11.44140625" style="95" hidden="1" customWidth="1"/>
    <col min="379" max="379" width="5" style="95" customWidth="1"/>
    <col min="380" max="381" width="11.44140625" style="95" hidden="1" customWidth="1"/>
    <col min="382" max="382" width="5" style="95" customWidth="1"/>
    <col min="383" max="383" width="11.44140625" style="95" hidden="1" customWidth="1"/>
    <col min="384" max="384" width="6.44140625" style="95" customWidth="1"/>
    <col min="385" max="385" width="11.44140625" style="95" hidden="1" customWidth="1"/>
    <col min="386" max="386" width="7.109375" style="95" customWidth="1"/>
    <col min="387" max="388" width="11.44140625" style="95" hidden="1" customWidth="1"/>
    <col min="389" max="389" width="7.109375" style="95" customWidth="1"/>
    <col min="390" max="391" width="11.44140625" style="95" hidden="1" customWidth="1"/>
    <col min="392" max="392" width="7.109375" style="95" customWidth="1"/>
    <col min="393" max="394" width="11.44140625" style="95" hidden="1" customWidth="1"/>
    <col min="395" max="395" width="7.109375" style="95" customWidth="1"/>
    <col min="396" max="397" width="11.44140625" style="95" hidden="1" customWidth="1"/>
    <col min="398" max="398" width="7.109375" style="95" customWidth="1"/>
    <col min="399" max="400" width="11.44140625" style="95" hidden="1" customWidth="1"/>
    <col min="401" max="401" width="7.109375" style="95" customWidth="1"/>
    <col min="402" max="403" width="11.44140625" style="95" hidden="1" customWidth="1"/>
    <col min="404" max="404" width="7.109375" style="95" customWidth="1"/>
    <col min="405" max="406" width="11.44140625" style="95" hidden="1" customWidth="1"/>
    <col min="407" max="407" width="7.109375" style="95" customWidth="1"/>
    <col min="408" max="408" width="11.44140625" style="95" hidden="1" customWidth="1"/>
    <col min="409" max="409" width="6.44140625" style="95" customWidth="1"/>
    <col min="410" max="411" width="11.44140625" style="95" hidden="1" customWidth="1"/>
    <col min="412" max="412" width="6.88671875" style="95" customWidth="1"/>
    <col min="413" max="414" width="11.44140625" style="95" hidden="1" customWidth="1"/>
    <col min="415" max="415" width="6.88671875" style="95" customWidth="1"/>
    <col min="416" max="417" width="11.44140625" style="95" hidden="1" customWidth="1"/>
    <col min="418" max="418" width="6.44140625" style="95" customWidth="1"/>
    <col min="419" max="423" width="11.44140625" style="95" hidden="1" customWidth="1"/>
    <col min="424" max="424" width="6.44140625" style="95" customWidth="1"/>
    <col min="425" max="426" width="11.44140625" style="95" hidden="1" customWidth="1"/>
    <col min="427" max="427" width="7.5546875" style="95" customWidth="1"/>
    <col min="428" max="428" width="11.44140625" style="95" hidden="1" customWidth="1"/>
    <col min="429" max="429" width="9.44140625" style="95" customWidth="1"/>
    <col min="430" max="430" width="11.44140625" style="95" hidden="1" customWidth="1"/>
    <col min="431" max="431" width="9" style="95" customWidth="1"/>
    <col min="432" max="433" width="11.44140625" style="95" hidden="1" customWidth="1"/>
    <col min="434" max="434" width="8.5546875" style="95" customWidth="1"/>
    <col min="435" max="436" width="11.44140625" style="95" hidden="1" customWidth="1"/>
    <col min="437" max="437" width="6.44140625" style="95" customWidth="1"/>
    <col min="438" max="439" width="11.44140625" style="95" hidden="1" customWidth="1"/>
    <col min="440" max="440" width="7" style="95" customWidth="1"/>
    <col min="441" max="442" width="11.44140625" style="95" hidden="1" customWidth="1"/>
    <col min="443" max="445" width="7" style="95" customWidth="1"/>
    <col min="446" max="447" width="11.44140625" style="95" hidden="1" customWidth="1"/>
    <col min="448" max="448" width="7.5546875" style="95" customWidth="1"/>
    <col min="449" max="450" width="11.44140625" style="95" hidden="1" customWidth="1"/>
    <col min="451" max="451" width="7" style="95" customWidth="1"/>
    <col min="452" max="453" width="11.44140625" style="95" hidden="1" customWidth="1"/>
    <col min="454" max="454" width="7" style="95" customWidth="1"/>
    <col min="455" max="456" width="11.44140625" style="95" hidden="1" customWidth="1"/>
    <col min="457" max="457" width="7" style="95" customWidth="1"/>
    <col min="458" max="458" width="11.44140625" style="95" hidden="1" customWidth="1"/>
    <col min="459" max="459" width="6.44140625" style="95" customWidth="1"/>
    <col min="460" max="469" width="11.44140625" style="95" hidden="1" customWidth="1"/>
    <col min="470" max="504" width="11.44140625" style="95" hidden="1"/>
    <col min="505" max="505" width="41.44140625" style="95" customWidth="1"/>
    <col min="506" max="506" width="6.44140625" style="95" customWidth="1"/>
    <col min="507" max="507" width="14.6640625" style="95" customWidth="1"/>
    <col min="508" max="508" width="11.44140625" style="95" customWidth="1"/>
    <col min="509" max="509" width="13" style="95" customWidth="1"/>
    <col min="510" max="510" width="25.44140625" style="95" customWidth="1"/>
    <col min="511" max="520" width="9.44140625" style="95" customWidth="1"/>
    <col min="521" max="521" width="8.88671875" style="95" customWidth="1"/>
    <col min="522" max="522" width="9.44140625" style="95" customWidth="1"/>
    <col min="523" max="528" width="10.109375" style="95" customWidth="1"/>
    <col min="529" max="529" width="6.44140625" style="95" customWidth="1"/>
    <col min="530" max="530" width="6.88671875" style="95" customWidth="1"/>
    <col min="531" max="532" width="6.5546875" style="95" customWidth="1"/>
    <col min="533" max="533" width="6.33203125" style="95" customWidth="1"/>
    <col min="534" max="534" width="7.5546875" style="95" customWidth="1"/>
    <col min="535" max="535" width="14.5546875" style="95" customWidth="1"/>
    <col min="536" max="537" width="11.44140625" style="95" customWidth="1"/>
    <col min="538" max="538" width="56.88671875" style="95" customWidth="1"/>
    <col min="539" max="539" width="9.109375" style="95" bestFit="1" customWidth="1"/>
    <col min="540" max="540" width="26.6640625" style="95" customWidth="1"/>
    <col min="541" max="541" width="22.88671875" style="95" customWidth="1"/>
    <col min="542" max="542" width="14.6640625" style="95" customWidth="1"/>
    <col min="543" max="543" width="5" style="95" customWidth="1"/>
    <col min="544" max="545" width="11.44140625" style="95" hidden="1" customWidth="1"/>
    <col min="546" max="546" width="5" style="95" customWidth="1"/>
    <col min="547" max="548" width="11.44140625" style="95" hidden="1" customWidth="1"/>
    <col min="549" max="549" width="5" style="95" customWidth="1"/>
    <col min="550" max="551" width="11.44140625" style="95" hidden="1" customWidth="1"/>
    <col min="552" max="552" width="5" style="95" customWidth="1"/>
    <col min="553" max="554" width="11.44140625" style="95" hidden="1" customWidth="1"/>
    <col min="555" max="555" width="5" style="95" customWidth="1"/>
    <col min="556" max="557" width="11.44140625" style="95" hidden="1" customWidth="1"/>
    <col min="558" max="558" width="5" style="95" customWidth="1"/>
    <col min="559" max="560" width="11.44140625" style="95" hidden="1" customWidth="1"/>
    <col min="561" max="561" width="6.44140625" style="95" customWidth="1"/>
    <col min="562" max="569" width="11.44140625" style="95" hidden="1" customWidth="1"/>
    <col min="570" max="570" width="6.88671875" style="95" customWidth="1"/>
    <col min="571" max="572" width="11.44140625" style="95" hidden="1" customWidth="1"/>
    <col min="573" max="573" width="6.44140625" style="95" customWidth="1"/>
    <col min="574" max="575" width="11.44140625" style="95" hidden="1" customWidth="1"/>
    <col min="576" max="576" width="5.44140625" style="95" customWidth="1"/>
    <col min="577" max="578" width="11.44140625" style="95" hidden="1" customWidth="1"/>
    <col min="579" max="579" width="4.88671875" style="95" customWidth="1"/>
    <col min="580" max="584" width="11.44140625" style="95" hidden="1" customWidth="1"/>
    <col min="585" max="585" width="8.44140625" style="95" customWidth="1"/>
    <col min="586" max="587" width="11.44140625" style="95" hidden="1" customWidth="1"/>
    <col min="588" max="588" width="5.44140625" style="95" customWidth="1"/>
    <col min="589" max="590" width="11.44140625" style="95" hidden="1" customWidth="1"/>
    <col min="591" max="591" width="8.44140625" style="95" customWidth="1"/>
    <col min="592" max="593" width="11.44140625" style="95" hidden="1" customWidth="1"/>
    <col min="594" max="594" width="5.88671875" style="95" customWidth="1"/>
    <col min="595" max="596" width="11.44140625" style="95" hidden="1" customWidth="1"/>
    <col min="597" max="597" width="5.44140625" style="95" customWidth="1"/>
    <col min="598" max="599" width="11.44140625" style="95" hidden="1" customWidth="1"/>
    <col min="600" max="600" width="5.44140625" style="95" customWidth="1"/>
    <col min="601" max="602" width="11.44140625" style="95" hidden="1" customWidth="1"/>
    <col min="603" max="603" width="6" style="95" customWidth="1"/>
    <col min="604" max="608" width="11.44140625" style="95" hidden="1" customWidth="1"/>
    <col min="609" max="609" width="5" style="95" customWidth="1"/>
    <col min="610" max="617" width="11.44140625" style="95" hidden="1" customWidth="1"/>
    <col min="618" max="618" width="5" style="95" customWidth="1"/>
    <col min="619" max="619" width="11.44140625" style="95" hidden="1" customWidth="1"/>
    <col min="620" max="620" width="5" style="95" customWidth="1"/>
    <col min="621" max="621" width="9.44140625" style="95" customWidth="1"/>
    <col min="622" max="622" width="11.44140625" style="95" hidden="1" customWidth="1"/>
    <col min="623" max="623" width="5" style="95" customWidth="1"/>
    <col min="624" max="625" width="11.44140625" style="95" hidden="1" customWidth="1"/>
    <col min="626" max="626" width="5" style="95" customWidth="1"/>
    <col min="627" max="628" width="11.44140625" style="95" hidden="1" customWidth="1"/>
    <col min="629" max="629" width="5" style="95" customWidth="1"/>
    <col min="630" max="631" width="11.44140625" style="95" hidden="1" customWidth="1"/>
    <col min="632" max="632" width="5" style="95" customWidth="1"/>
    <col min="633" max="634" width="11.44140625" style="95" hidden="1" customWidth="1"/>
    <col min="635" max="635" width="5" style="95" customWidth="1"/>
    <col min="636" max="637" width="11.44140625" style="95" hidden="1" customWidth="1"/>
    <col min="638" max="638" width="5" style="95" customWidth="1"/>
    <col min="639" max="639" width="11.44140625" style="95" hidden="1" customWidth="1"/>
    <col min="640" max="640" width="6.44140625" style="95" customWidth="1"/>
    <col min="641" max="641" width="11.44140625" style="95" hidden="1" customWidth="1"/>
    <col min="642" max="642" width="7.109375" style="95" customWidth="1"/>
    <col min="643" max="644" width="11.44140625" style="95" hidden="1" customWidth="1"/>
    <col min="645" max="645" width="7.109375" style="95" customWidth="1"/>
    <col min="646" max="647" width="11.44140625" style="95" hidden="1" customWidth="1"/>
    <col min="648" max="648" width="7.109375" style="95" customWidth="1"/>
    <col min="649" max="650" width="11.44140625" style="95" hidden="1" customWidth="1"/>
    <col min="651" max="651" width="7.109375" style="95" customWidth="1"/>
    <col min="652" max="653" width="11.44140625" style="95" hidden="1" customWidth="1"/>
    <col min="654" max="654" width="7.109375" style="95" customWidth="1"/>
    <col min="655" max="656" width="11.44140625" style="95" hidden="1" customWidth="1"/>
    <col min="657" max="657" width="7.109375" style="95" customWidth="1"/>
    <col min="658" max="659" width="11.44140625" style="95" hidden="1" customWidth="1"/>
    <col min="660" max="660" width="7.109375" style="95" customWidth="1"/>
    <col min="661" max="662" width="11.44140625" style="95" hidden="1" customWidth="1"/>
    <col min="663" max="663" width="7.109375" style="95" customWidth="1"/>
    <col min="664" max="664" width="11.44140625" style="95" hidden="1" customWidth="1"/>
    <col min="665" max="665" width="6.44140625" style="95" customWidth="1"/>
    <col min="666" max="667" width="11.44140625" style="95" hidden="1" customWidth="1"/>
    <col min="668" max="668" width="6.88671875" style="95" customWidth="1"/>
    <col min="669" max="670" width="11.44140625" style="95" hidden="1" customWidth="1"/>
    <col min="671" max="671" width="6.88671875" style="95" customWidth="1"/>
    <col min="672" max="673" width="11.44140625" style="95" hidden="1" customWidth="1"/>
    <col min="674" max="674" width="6.44140625" style="95" customWidth="1"/>
    <col min="675" max="679" width="11.44140625" style="95" hidden="1" customWidth="1"/>
    <col min="680" max="680" width="6.44140625" style="95" customWidth="1"/>
    <col min="681" max="682" width="11.44140625" style="95" hidden="1" customWidth="1"/>
    <col min="683" max="683" width="7.5546875" style="95" customWidth="1"/>
    <col min="684" max="684" width="11.44140625" style="95" hidden="1" customWidth="1"/>
    <col min="685" max="685" width="9.44140625" style="95" customWidth="1"/>
    <col min="686" max="686" width="11.44140625" style="95" hidden="1" customWidth="1"/>
    <col min="687" max="687" width="9" style="95" customWidth="1"/>
    <col min="688" max="689" width="11.44140625" style="95" hidden="1" customWidth="1"/>
    <col min="690" max="690" width="8.5546875" style="95" customWidth="1"/>
    <col min="691" max="692" width="11.44140625" style="95" hidden="1" customWidth="1"/>
    <col min="693" max="693" width="6.44140625" style="95" customWidth="1"/>
    <col min="694" max="695" width="11.44140625" style="95" hidden="1" customWidth="1"/>
    <col min="696" max="696" width="7" style="95" customWidth="1"/>
    <col min="697" max="698" width="11.44140625" style="95" hidden="1" customWidth="1"/>
    <col min="699" max="701" width="7" style="95" customWidth="1"/>
    <col min="702" max="703" width="11.44140625" style="95" hidden="1" customWidth="1"/>
    <col min="704" max="704" width="7.5546875" style="95" customWidth="1"/>
    <col min="705" max="706" width="11.44140625" style="95" hidden="1" customWidth="1"/>
    <col min="707" max="707" width="7" style="95" customWidth="1"/>
    <col min="708" max="709" width="11.44140625" style="95" hidden="1" customWidth="1"/>
    <col min="710" max="710" width="7" style="95" customWidth="1"/>
    <col min="711" max="712" width="11.44140625" style="95" hidden="1" customWidth="1"/>
    <col min="713" max="713" width="7" style="95" customWidth="1"/>
    <col min="714" max="714" width="11.44140625" style="95" hidden="1" customWidth="1"/>
    <col min="715" max="715" width="6.44140625" style="95" customWidth="1"/>
    <col min="716" max="725" width="11.44140625" style="95" hidden="1" customWidth="1"/>
    <col min="726" max="760" width="11.44140625" style="95" hidden="1"/>
    <col min="761" max="761" width="41.44140625" style="95" customWidth="1"/>
    <col min="762" max="762" width="6.44140625" style="95" customWidth="1"/>
    <col min="763" max="763" width="14.6640625" style="95" customWidth="1"/>
    <col min="764" max="764" width="11.44140625" style="95" customWidth="1"/>
    <col min="765" max="765" width="13" style="95" customWidth="1"/>
    <col min="766" max="766" width="25.44140625" style="95" customWidth="1"/>
    <col min="767" max="776" width="9.44140625" style="95" customWidth="1"/>
    <col min="777" max="777" width="8.88671875" style="95" customWidth="1"/>
    <col min="778" max="778" width="9.44140625" style="95" customWidth="1"/>
    <col min="779" max="784" width="10.109375" style="95" customWidth="1"/>
    <col min="785" max="785" width="6.44140625" style="95" customWidth="1"/>
    <col min="786" max="786" width="6.88671875" style="95" customWidth="1"/>
    <col min="787" max="788" width="6.5546875" style="95" customWidth="1"/>
    <col min="789" max="789" width="6.33203125" style="95" customWidth="1"/>
    <col min="790" max="790" width="7.5546875" style="95" customWidth="1"/>
    <col min="791" max="791" width="14.5546875" style="95" customWidth="1"/>
    <col min="792" max="793" width="11.44140625" style="95" customWidth="1"/>
    <col min="794" max="794" width="56.88671875" style="95" customWidth="1"/>
    <col min="795" max="795" width="9.109375" style="95" bestFit="1" customWidth="1"/>
    <col min="796" max="796" width="26.6640625" style="95" customWidth="1"/>
    <col min="797" max="797" width="22.88671875" style="95" customWidth="1"/>
    <col min="798" max="798" width="14.6640625" style="95" customWidth="1"/>
    <col min="799" max="799" width="5" style="95" customWidth="1"/>
    <col min="800" max="801" width="11.44140625" style="95" hidden="1" customWidth="1"/>
    <col min="802" max="802" width="5" style="95" customWidth="1"/>
    <col min="803" max="804" width="11.44140625" style="95" hidden="1" customWidth="1"/>
    <col min="805" max="805" width="5" style="95" customWidth="1"/>
    <col min="806" max="807" width="11.44140625" style="95" hidden="1" customWidth="1"/>
    <col min="808" max="808" width="5" style="95" customWidth="1"/>
    <col min="809" max="810" width="11.44140625" style="95" hidden="1" customWidth="1"/>
    <col min="811" max="811" width="5" style="95" customWidth="1"/>
    <col min="812" max="813" width="11.44140625" style="95" hidden="1" customWidth="1"/>
    <col min="814" max="814" width="5" style="95" customWidth="1"/>
    <col min="815" max="816" width="11.44140625" style="95" hidden="1" customWidth="1"/>
    <col min="817" max="817" width="6.44140625" style="95" customWidth="1"/>
    <col min="818" max="825" width="11.44140625" style="95" hidden="1" customWidth="1"/>
    <col min="826" max="826" width="6.88671875" style="95" customWidth="1"/>
    <col min="827" max="828" width="11.44140625" style="95" hidden="1" customWidth="1"/>
    <col min="829" max="829" width="6.44140625" style="95" customWidth="1"/>
    <col min="830" max="831" width="11.44140625" style="95" hidden="1" customWidth="1"/>
    <col min="832" max="832" width="5.44140625" style="95" customWidth="1"/>
    <col min="833" max="834" width="11.44140625" style="95" hidden="1" customWidth="1"/>
    <col min="835" max="835" width="4.88671875" style="95" customWidth="1"/>
    <col min="836" max="840" width="11.44140625" style="95" hidden="1" customWidth="1"/>
    <col min="841" max="841" width="8.44140625" style="95" customWidth="1"/>
    <col min="842" max="843" width="11.44140625" style="95" hidden="1" customWidth="1"/>
    <col min="844" max="844" width="5.44140625" style="95" customWidth="1"/>
    <col min="845" max="846" width="11.44140625" style="95" hidden="1" customWidth="1"/>
    <col min="847" max="847" width="8.44140625" style="95" customWidth="1"/>
    <col min="848" max="849" width="11.44140625" style="95" hidden="1" customWidth="1"/>
    <col min="850" max="850" width="5.88671875" style="95" customWidth="1"/>
    <col min="851" max="852" width="11.44140625" style="95" hidden="1" customWidth="1"/>
    <col min="853" max="853" width="5.44140625" style="95" customWidth="1"/>
    <col min="854" max="855" width="11.44140625" style="95" hidden="1" customWidth="1"/>
    <col min="856" max="856" width="5.44140625" style="95" customWidth="1"/>
    <col min="857" max="858" width="11.44140625" style="95" hidden="1" customWidth="1"/>
    <col min="859" max="859" width="6" style="95" customWidth="1"/>
    <col min="860" max="864" width="11.44140625" style="95" hidden="1" customWidth="1"/>
    <col min="865" max="865" width="5" style="95" customWidth="1"/>
    <col min="866" max="873" width="11.44140625" style="95" hidden="1" customWidth="1"/>
    <col min="874" max="874" width="5" style="95" customWidth="1"/>
    <col min="875" max="875" width="11.44140625" style="95" hidden="1" customWidth="1"/>
    <col min="876" max="876" width="5" style="95" customWidth="1"/>
    <col min="877" max="877" width="9.44140625" style="95" customWidth="1"/>
    <col min="878" max="878" width="11.44140625" style="95" hidden="1" customWidth="1"/>
    <col min="879" max="879" width="5" style="95" customWidth="1"/>
    <col min="880" max="881" width="11.44140625" style="95" hidden="1" customWidth="1"/>
    <col min="882" max="882" width="5" style="95" customWidth="1"/>
    <col min="883" max="884" width="11.44140625" style="95" hidden="1" customWidth="1"/>
    <col min="885" max="885" width="5" style="95" customWidth="1"/>
    <col min="886" max="887" width="11.44140625" style="95" hidden="1" customWidth="1"/>
    <col min="888" max="888" width="5" style="95" customWidth="1"/>
    <col min="889" max="890" width="11.44140625" style="95" hidden="1" customWidth="1"/>
    <col min="891" max="891" width="5" style="95" customWidth="1"/>
    <col min="892" max="893" width="11.44140625" style="95" hidden="1" customWidth="1"/>
    <col min="894" max="894" width="5" style="95" customWidth="1"/>
    <col min="895" max="895" width="11.44140625" style="95" hidden="1" customWidth="1"/>
    <col min="896" max="896" width="6.44140625" style="95" customWidth="1"/>
    <col min="897" max="897" width="11.44140625" style="95" hidden="1" customWidth="1"/>
    <col min="898" max="898" width="7.109375" style="95" customWidth="1"/>
    <col min="899" max="900" width="11.44140625" style="95" hidden="1" customWidth="1"/>
    <col min="901" max="901" width="7.109375" style="95" customWidth="1"/>
    <col min="902" max="903" width="11.44140625" style="95" hidden="1" customWidth="1"/>
    <col min="904" max="904" width="7.109375" style="95" customWidth="1"/>
    <col min="905" max="906" width="11.44140625" style="95" hidden="1" customWidth="1"/>
    <col min="907" max="907" width="7.109375" style="95" customWidth="1"/>
    <col min="908" max="909" width="11.44140625" style="95" hidden="1" customWidth="1"/>
    <col min="910" max="910" width="7.109375" style="95" customWidth="1"/>
    <col min="911" max="912" width="11.44140625" style="95" hidden="1" customWidth="1"/>
    <col min="913" max="913" width="7.109375" style="95" customWidth="1"/>
    <col min="914" max="915" width="11.44140625" style="95" hidden="1" customWidth="1"/>
    <col min="916" max="916" width="7.109375" style="95" customWidth="1"/>
    <col min="917" max="918" width="11.44140625" style="95" hidden="1" customWidth="1"/>
    <col min="919" max="919" width="7.109375" style="95" customWidth="1"/>
    <col min="920" max="920" width="11.44140625" style="95" hidden="1" customWidth="1"/>
    <col min="921" max="921" width="6.44140625" style="95" customWidth="1"/>
    <col min="922" max="923" width="11.44140625" style="95" hidden="1" customWidth="1"/>
    <col min="924" max="924" width="6.88671875" style="95" customWidth="1"/>
    <col min="925" max="926" width="11.44140625" style="95" hidden="1" customWidth="1"/>
    <col min="927" max="927" width="6.88671875" style="95" customWidth="1"/>
    <col min="928" max="929" width="11.44140625" style="95" hidden="1" customWidth="1"/>
    <col min="930" max="930" width="6.44140625" style="95" customWidth="1"/>
    <col min="931" max="935" width="11.44140625" style="95" hidden="1" customWidth="1"/>
    <col min="936" max="936" width="6.44140625" style="95" customWidth="1"/>
    <col min="937" max="938" width="11.44140625" style="95" hidden="1" customWidth="1"/>
    <col min="939" max="939" width="7.5546875" style="95" customWidth="1"/>
    <col min="940" max="940" width="11.44140625" style="95" hidden="1" customWidth="1"/>
    <col min="941" max="941" width="9.44140625" style="95" customWidth="1"/>
    <col min="942" max="942" width="11.44140625" style="95" hidden="1" customWidth="1"/>
    <col min="943" max="943" width="9" style="95" customWidth="1"/>
    <col min="944" max="945" width="11.44140625" style="95" hidden="1" customWidth="1"/>
    <col min="946" max="946" width="8.5546875" style="95" customWidth="1"/>
    <col min="947" max="948" width="11.44140625" style="95" hidden="1" customWidth="1"/>
    <col min="949" max="949" width="6.44140625" style="95" customWidth="1"/>
    <col min="950" max="951" width="11.44140625" style="95" hidden="1" customWidth="1"/>
    <col min="952" max="952" width="7" style="95" customWidth="1"/>
    <col min="953" max="954" width="11.44140625" style="95" hidden="1" customWidth="1"/>
    <col min="955" max="957" width="7" style="95" customWidth="1"/>
    <col min="958" max="959" width="11.44140625" style="95" hidden="1" customWidth="1"/>
    <col min="960" max="960" width="7.5546875" style="95" customWidth="1"/>
    <col min="961" max="962" width="11.44140625" style="95" hidden="1" customWidth="1"/>
    <col min="963" max="963" width="7" style="95" customWidth="1"/>
    <col min="964" max="965" width="11.44140625" style="95" hidden="1" customWidth="1"/>
    <col min="966" max="966" width="7" style="95" customWidth="1"/>
    <col min="967" max="968" width="11.44140625" style="95" hidden="1" customWidth="1"/>
    <col min="969" max="969" width="7" style="95" customWidth="1"/>
    <col min="970" max="970" width="11.44140625" style="95" hidden="1" customWidth="1"/>
    <col min="971" max="971" width="6.44140625" style="95" customWidth="1"/>
    <col min="972" max="981" width="11.44140625" style="95" hidden="1" customWidth="1"/>
    <col min="982" max="1016" width="11.44140625" style="95" hidden="1"/>
    <col min="1017" max="1017" width="41.44140625" style="95" customWidth="1"/>
    <col min="1018" max="1018" width="6.44140625" style="95" customWidth="1"/>
    <col min="1019" max="1019" width="14.6640625" style="95" customWidth="1"/>
    <col min="1020" max="1020" width="11.44140625" style="95" customWidth="1"/>
    <col min="1021" max="1021" width="13" style="95" customWidth="1"/>
    <col min="1022" max="1022" width="25.44140625" style="95" customWidth="1"/>
    <col min="1023" max="1032" width="9.44140625" style="95" customWidth="1"/>
    <col min="1033" max="1033" width="8.88671875" style="95" customWidth="1"/>
    <col min="1034" max="1034" width="9.44140625" style="95" customWidth="1"/>
    <col min="1035" max="1040" width="10.109375" style="95" customWidth="1"/>
    <col min="1041" max="1041" width="6.44140625" style="95" customWidth="1"/>
    <col min="1042" max="1042" width="6.88671875" style="95" customWidth="1"/>
    <col min="1043" max="1044" width="6.5546875" style="95" customWidth="1"/>
    <col min="1045" max="1045" width="6.33203125" style="95" customWidth="1"/>
    <col min="1046" max="1046" width="7.5546875" style="95" customWidth="1"/>
    <col min="1047" max="1047" width="14.5546875" style="95" customWidth="1"/>
    <col min="1048" max="1049" width="11.44140625" style="95" customWidth="1"/>
    <col min="1050" max="1050" width="56.88671875" style="95" customWidth="1"/>
    <col min="1051" max="1051" width="9.109375" style="95" bestFit="1" customWidth="1"/>
    <col min="1052" max="1052" width="26.6640625" style="95" customWidth="1"/>
    <col min="1053" max="1053" width="22.88671875" style="95" customWidth="1"/>
    <col min="1054" max="1054" width="14.6640625" style="95" customWidth="1"/>
    <col min="1055" max="1055" width="5" style="95" customWidth="1"/>
    <col min="1056" max="1057" width="11.44140625" style="95" hidden="1" customWidth="1"/>
    <col min="1058" max="1058" width="5" style="95" customWidth="1"/>
    <col min="1059" max="1060" width="11.44140625" style="95" hidden="1" customWidth="1"/>
    <col min="1061" max="1061" width="5" style="95" customWidth="1"/>
    <col min="1062" max="1063" width="11.44140625" style="95" hidden="1" customWidth="1"/>
    <col min="1064" max="1064" width="5" style="95" customWidth="1"/>
    <col min="1065" max="1066" width="11.44140625" style="95" hidden="1" customWidth="1"/>
    <col min="1067" max="1067" width="5" style="95" customWidth="1"/>
    <col min="1068" max="1069" width="11.44140625" style="95" hidden="1" customWidth="1"/>
    <col min="1070" max="1070" width="5" style="95" customWidth="1"/>
    <col min="1071" max="1072" width="11.44140625" style="95" hidden="1" customWidth="1"/>
    <col min="1073" max="1073" width="6.44140625" style="95" customWidth="1"/>
    <col min="1074" max="1081" width="11.44140625" style="95" hidden="1" customWidth="1"/>
    <col min="1082" max="1082" width="6.88671875" style="95" customWidth="1"/>
    <col min="1083" max="1084" width="11.44140625" style="95" hidden="1" customWidth="1"/>
    <col min="1085" max="1085" width="6.44140625" style="95" customWidth="1"/>
    <col min="1086" max="1087" width="11.44140625" style="95" hidden="1" customWidth="1"/>
    <col min="1088" max="1088" width="5.44140625" style="95" customWidth="1"/>
    <col min="1089" max="1090" width="11.44140625" style="95" hidden="1" customWidth="1"/>
    <col min="1091" max="1091" width="4.88671875" style="95" customWidth="1"/>
    <col min="1092" max="1096" width="11.44140625" style="95" hidden="1" customWidth="1"/>
    <col min="1097" max="1097" width="8.44140625" style="95" customWidth="1"/>
    <col min="1098" max="1099" width="11.44140625" style="95" hidden="1" customWidth="1"/>
    <col min="1100" max="1100" width="5.44140625" style="95" customWidth="1"/>
    <col min="1101" max="1102" width="11.44140625" style="95" hidden="1" customWidth="1"/>
    <col min="1103" max="1103" width="8.44140625" style="95" customWidth="1"/>
    <col min="1104" max="1105" width="11.44140625" style="95" hidden="1" customWidth="1"/>
    <col min="1106" max="1106" width="5.88671875" style="95" customWidth="1"/>
    <col min="1107" max="1108" width="11.44140625" style="95" hidden="1" customWidth="1"/>
    <col min="1109" max="1109" width="5.44140625" style="95" customWidth="1"/>
    <col min="1110" max="1111" width="11.44140625" style="95" hidden="1" customWidth="1"/>
    <col min="1112" max="1112" width="5.44140625" style="95" customWidth="1"/>
    <col min="1113" max="1114" width="11.44140625" style="95" hidden="1" customWidth="1"/>
    <col min="1115" max="1115" width="6" style="95" customWidth="1"/>
    <col min="1116" max="1120" width="11.44140625" style="95" hidden="1" customWidth="1"/>
    <col min="1121" max="1121" width="5" style="95" customWidth="1"/>
    <col min="1122" max="1129" width="11.44140625" style="95" hidden="1" customWidth="1"/>
    <col min="1130" max="1130" width="5" style="95" customWidth="1"/>
    <col min="1131" max="1131" width="11.44140625" style="95" hidden="1" customWidth="1"/>
    <col min="1132" max="1132" width="5" style="95" customWidth="1"/>
    <col min="1133" max="1133" width="9.44140625" style="95" customWidth="1"/>
    <col min="1134" max="1134" width="11.44140625" style="95" hidden="1" customWidth="1"/>
    <col min="1135" max="1135" width="5" style="95" customWidth="1"/>
    <col min="1136" max="1137" width="11.44140625" style="95" hidden="1" customWidth="1"/>
    <col min="1138" max="1138" width="5" style="95" customWidth="1"/>
    <col min="1139" max="1140" width="11.44140625" style="95" hidden="1" customWidth="1"/>
    <col min="1141" max="1141" width="5" style="95" customWidth="1"/>
    <col min="1142" max="1143" width="11.44140625" style="95" hidden="1" customWidth="1"/>
    <col min="1144" max="1144" width="5" style="95" customWidth="1"/>
    <col min="1145" max="1146" width="11.44140625" style="95" hidden="1" customWidth="1"/>
    <col min="1147" max="1147" width="5" style="95" customWidth="1"/>
    <col min="1148" max="1149" width="11.44140625" style="95" hidden="1" customWidth="1"/>
    <col min="1150" max="1150" width="5" style="95" customWidth="1"/>
    <col min="1151" max="1151" width="11.44140625" style="95" hidden="1" customWidth="1"/>
    <col min="1152" max="1152" width="6.44140625" style="95" customWidth="1"/>
    <col min="1153" max="1153" width="11.44140625" style="95" hidden="1" customWidth="1"/>
    <col min="1154" max="1154" width="7.109375" style="95" customWidth="1"/>
    <col min="1155" max="1156" width="11.44140625" style="95" hidden="1" customWidth="1"/>
    <col min="1157" max="1157" width="7.109375" style="95" customWidth="1"/>
    <col min="1158" max="1159" width="11.44140625" style="95" hidden="1" customWidth="1"/>
    <col min="1160" max="1160" width="7.109375" style="95" customWidth="1"/>
    <col min="1161" max="1162" width="11.44140625" style="95" hidden="1" customWidth="1"/>
    <col min="1163" max="1163" width="7.109375" style="95" customWidth="1"/>
    <col min="1164" max="1165" width="11.44140625" style="95" hidden="1" customWidth="1"/>
    <col min="1166" max="1166" width="7.109375" style="95" customWidth="1"/>
    <col min="1167" max="1168" width="11.44140625" style="95" hidden="1" customWidth="1"/>
    <col min="1169" max="1169" width="7.109375" style="95" customWidth="1"/>
    <col min="1170" max="1171" width="11.44140625" style="95" hidden="1" customWidth="1"/>
    <col min="1172" max="1172" width="7.109375" style="95" customWidth="1"/>
    <col min="1173" max="1174" width="11.44140625" style="95" hidden="1" customWidth="1"/>
    <col min="1175" max="1175" width="7.109375" style="95" customWidth="1"/>
    <col min="1176" max="1176" width="11.44140625" style="95" hidden="1" customWidth="1"/>
    <col min="1177" max="1177" width="6.44140625" style="95" customWidth="1"/>
    <col min="1178" max="1179" width="11.44140625" style="95" hidden="1" customWidth="1"/>
    <col min="1180" max="1180" width="6.88671875" style="95" customWidth="1"/>
    <col min="1181" max="1182" width="11.44140625" style="95" hidden="1" customWidth="1"/>
    <col min="1183" max="1183" width="6.88671875" style="95" customWidth="1"/>
    <col min="1184" max="1185" width="11.44140625" style="95" hidden="1" customWidth="1"/>
    <col min="1186" max="1186" width="6.44140625" style="95" customWidth="1"/>
    <col min="1187" max="1191" width="11.44140625" style="95" hidden="1" customWidth="1"/>
    <col min="1192" max="1192" width="6.44140625" style="95" customWidth="1"/>
    <col min="1193" max="1194" width="11.44140625" style="95" hidden="1" customWidth="1"/>
    <col min="1195" max="1195" width="7.5546875" style="95" customWidth="1"/>
    <col min="1196" max="1196" width="11.44140625" style="95" hidden="1" customWidth="1"/>
    <col min="1197" max="1197" width="9.44140625" style="95" customWidth="1"/>
    <col min="1198" max="1198" width="11.44140625" style="95" hidden="1" customWidth="1"/>
    <col min="1199" max="1199" width="9" style="95" customWidth="1"/>
    <col min="1200" max="1201" width="11.44140625" style="95" hidden="1" customWidth="1"/>
    <col min="1202" max="1202" width="8.5546875" style="95" customWidth="1"/>
    <col min="1203" max="1204" width="11.44140625" style="95" hidden="1" customWidth="1"/>
    <col min="1205" max="1205" width="6.44140625" style="95" customWidth="1"/>
    <col min="1206" max="1207" width="11.44140625" style="95" hidden="1" customWidth="1"/>
    <col min="1208" max="1208" width="7" style="95" customWidth="1"/>
    <col min="1209" max="1210" width="11.44140625" style="95" hidden="1" customWidth="1"/>
    <col min="1211" max="1213" width="7" style="95" customWidth="1"/>
    <col min="1214" max="1215" width="11.44140625" style="95" hidden="1" customWidth="1"/>
    <col min="1216" max="1216" width="7.5546875" style="95" customWidth="1"/>
    <col min="1217" max="1218" width="11.44140625" style="95" hidden="1" customWidth="1"/>
    <col min="1219" max="1219" width="7" style="95" customWidth="1"/>
    <col min="1220" max="1221" width="11.44140625" style="95" hidden="1" customWidth="1"/>
    <col min="1222" max="1222" width="7" style="95" customWidth="1"/>
    <col min="1223" max="1224" width="11.44140625" style="95" hidden="1" customWidth="1"/>
    <col min="1225" max="1225" width="7" style="95" customWidth="1"/>
    <col min="1226" max="1226" width="11.44140625" style="95" hidden="1" customWidth="1"/>
    <col min="1227" max="1227" width="6.44140625" style="95" customWidth="1"/>
    <col min="1228" max="1237" width="11.44140625" style="95" hidden="1" customWidth="1"/>
    <col min="1238" max="1272" width="11.44140625" style="95" hidden="1"/>
    <col min="1273" max="1273" width="41.44140625" style="95" customWidth="1"/>
    <col min="1274" max="1274" width="6.44140625" style="95" customWidth="1"/>
    <col min="1275" max="1275" width="14.6640625" style="95" customWidth="1"/>
    <col min="1276" max="1276" width="11.44140625" style="95" customWidth="1"/>
    <col min="1277" max="1277" width="13" style="95" customWidth="1"/>
    <col min="1278" max="1278" width="25.44140625" style="95" customWidth="1"/>
    <col min="1279" max="1288" width="9.44140625" style="95" customWidth="1"/>
    <col min="1289" max="1289" width="8.88671875" style="95" customWidth="1"/>
    <col min="1290" max="1290" width="9.44140625" style="95" customWidth="1"/>
    <col min="1291" max="1296" width="10.109375" style="95" customWidth="1"/>
    <col min="1297" max="1297" width="6.44140625" style="95" customWidth="1"/>
    <col min="1298" max="1298" width="6.88671875" style="95" customWidth="1"/>
    <col min="1299" max="1300" width="6.5546875" style="95" customWidth="1"/>
    <col min="1301" max="1301" width="6.33203125" style="95" customWidth="1"/>
    <col min="1302" max="1302" width="7.5546875" style="95" customWidth="1"/>
    <col min="1303" max="1303" width="14.5546875" style="95" customWidth="1"/>
    <col min="1304" max="1305" width="11.44140625" style="95" customWidth="1"/>
    <col min="1306" max="1306" width="56.88671875" style="95" customWidth="1"/>
    <col min="1307" max="1307" width="9.109375" style="95" bestFit="1" customWidth="1"/>
    <col min="1308" max="1308" width="26.6640625" style="95" customWidth="1"/>
    <col min="1309" max="1309" width="22.88671875" style="95" customWidth="1"/>
    <col min="1310" max="1310" width="14.6640625" style="95" customWidth="1"/>
    <col min="1311" max="1311" width="5" style="95" customWidth="1"/>
    <col min="1312" max="1313" width="11.44140625" style="95" hidden="1" customWidth="1"/>
    <col min="1314" max="1314" width="5" style="95" customWidth="1"/>
    <col min="1315" max="1316" width="11.44140625" style="95" hidden="1" customWidth="1"/>
    <col min="1317" max="1317" width="5" style="95" customWidth="1"/>
    <col min="1318" max="1319" width="11.44140625" style="95" hidden="1" customWidth="1"/>
    <col min="1320" max="1320" width="5" style="95" customWidth="1"/>
    <col min="1321" max="1322" width="11.44140625" style="95" hidden="1" customWidth="1"/>
    <col min="1323" max="1323" width="5" style="95" customWidth="1"/>
    <col min="1324" max="1325" width="11.44140625" style="95" hidden="1" customWidth="1"/>
    <col min="1326" max="1326" width="5" style="95" customWidth="1"/>
    <col min="1327" max="1328" width="11.44140625" style="95" hidden="1" customWidth="1"/>
    <col min="1329" max="1329" width="6.44140625" style="95" customWidth="1"/>
    <col min="1330" max="1337" width="11.44140625" style="95" hidden="1" customWidth="1"/>
    <col min="1338" max="1338" width="6.88671875" style="95" customWidth="1"/>
    <col min="1339" max="1340" width="11.44140625" style="95" hidden="1" customWidth="1"/>
    <col min="1341" max="1341" width="6.44140625" style="95" customWidth="1"/>
    <col min="1342" max="1343" width="11.44140625" style="95" hidden="1" customWidth="1"/>
    <col min="1344" max="1344" width="5.44140625" style="95" customWidth="1"/>
    <col min="1345" max="1346" width="11.44140625" style="95" hidden="1" customWidth="1"/>
    <col min="1347" max="1347" width="4.88671875" style="95" customWidth="1"/>
    <col min="1348" max="1352" width="11.44140625" style="95" hidden="1" customWidth="1"/>
    <col min="1353" max="1353" width="8.44140625" style="95" customWidth="1"/>
    <col min="1354" max="1355" width="11.44140625" style="95" hidden="1" customWidth="1"/>
    <col min="1356" max="1356" width="5.44140625" style="95" customWidth="1"/>
    <col min="1357" max="1358" width="11.44140625" style="95" hidden="1" customWidth="1"/>
    <col min="1359" max="1359" width="8.44140625" style="95" customWidth="1"/>
    <col min="1360" max="1361" width="11.44140625" style="95" hidden="1" customWidth="1"/>
    <col min="1362" max="1362" width="5.88671875" style="95" customWidth="1"/>
    <col min="1363" max="1364" width="11.44140625" style="95" hidden="1" customWidth="1"/>
    <col min="1365" max="1365" width="5.44140625" style="95" customWidth="1"/>
    <col min="1366" max="1367" width="11.44140625" style="95" hidden="1" customWidth="1"/>
    <col min="1368" max="1368" width="5.44140625" style="95" customWidth="1"/>
    <col min="1369" max="1370" width="11.44140625" style="95" hidden="1" customWidth="1"/>
    <col min="1371" max="1371" width="6" style="95" customWidth="1"/>
    <col min="1372" max="1376" width="11.44140625" style="95" hidden="1" customWidth="1"/>
    <col min="1377" max="1377" width="5" style="95" customWidth="1"/>
    <col min="1378" max="1385" width="11.44140625" style="95" hidden="1" customWidth="1"/>
    <col min="1386" max="1386" width="5" style="95" customWidth="1"/>
    <col min="1387" max="1387" width="11.44140625" style="95" hidden="1" customWidth="1"/>
    <col min="1388" max="1388" width="5" style="95" customWidth="1"/>
    <col min="1389" max="1389" width="9.44140625" style="95" customWidth="1"/>
    <col min="1390" max="1390" width="11.44140625" style="95" hidden="1" customWidth="1"/>
    <col min="1391" max="1391" width="5" style="95" customWidth="1"/>
    <col min="1392" max="1393" width="11.44140625" style="95" hidden="1" customWidth="1"/>
    <col min="1394" max="1394" width="5" style="95" customWidth="1"/>
    <col min="1395" max="1396" width="11.44140625" style="95" hidden="1" customWidth="1"/>
    <col min="1397" max="1397" width="5" style="95" customWidth="1"/>
    <col min="1398" max="1399" width="11.44140625" style="95" hidden="1" customWidth="1"/>
    <col min="1400" max="1400" width="5" style="95" customWidth="1"/>
    <col min="1401" max="1402" width="11.44140625" style="95" hidden="1" customWidth="1"/>
    <col min="1403" max="1403" width="5" style="95" customWidth="1"/>
    <col min="1404" max="1405" width="11.44140625" style="95" hidden="1" customWidth="1"/>
    <col min="1406" max="1406" width="5" style="95" customWidth="1"/>
    <col min="1407" max="1407" width="11.44140625" style="95" hidden="1" customWidth="1"/>
    <col min="1408" max="1408" width="6.44140625" style="95" customWidth="1"/>
    <col min="1409" max="1409" width="11.44140625" style="95" hidden="1" customWidth="1"/>
    <col min="1410" max="1410" width="7.109375" style="95" customWidth="1"/>
    <col min="1411" max="1412" width="11.44140625" style="95" hidden="1" customWidth="1"/>
    <col min="1413" max="1413" width="7.109375" style="95" customWidth="1"/>
    <col min="1414" max="1415" width="11.44140625" style="95" hidden="1" customWidth="1"/>
    <col min="1416" max="1416" width="7.109375" style="95" customWidth="1"/>
    <col min="1417" max="1418" width="11.44140625" style="95" hidden="1" customWidth="1"/>
    <col min="1419" max="1419" width="7.109375" style="95" customWidth="1"/>
    <col min="1420" max="1421" width="11.44140625" style="95" hidden="1" customWidth="1"/>
    <col min="1422" max="1422" width="7.109375" style="95" customWidth="1"/>
    <col min="1423" max="1424" width="11.44140625" style="95" hidden="1" customWidth="1"/>
    <col min="1425" max="1425" width="7.109375" style="95" customWidth="1"/>
    <col min="1426" max="1427" width="11.44140625" style="95" hidden="1" customWidth="1"/>
    <col min="1428" max="1428" width="7.109375" style="95" customWidth="1"/>
    <col min="1429" max="1430" width="11.44140625" style="95" hidden="1" customWidth="1"/>
    <col min="1431" max="1431" width="7.109375" style="95" customWidth="1"/>
    <col min="1432" max="1432" width="11.44140625" style="95" hidden="1" customWidth="1"/>
    <col min="1433" max="1433" width="6.44140625" style="95" customWidth="1"/>
    <col min="1434" max="1435" width="11.44140625" style="95" hidden="1" customWidth="1"/>
    <col min="1436" max="1436" width="6.88671875" style="95" customWidth="1"/>
    <col min="1437" max="1438" width="11.44140625" style="95" hidden="1" customWidth="1"/>
    <col min="1439" max="1439" width="6.88671875" style="95" customWidth="1"/>
    <col min="1440" max="1441" width="11.44140625" style="95" hidden="1" customWidth="1"/>
    <col min="1442" max="1442" width="6.44140625" style="95" customWidth="1"/>
    <col min="1443" max="1447" width="11.44140625" style="95" hidden="1" customWidth="1"/>
    <col min="1448" max="1448" width="6.44140625" style="95" customWidth="1"/>
    <col min="1449" max="1450" width="11.44140625" style="95" hidden="1" customWidth="1"/>
    <col min="1451" max="1451" width="7.5546875" style="95" customWidth="1"/>
    <col min="1452" max="1452" width="11.44140625" style="95" hidden="1" customWidth="1"/>
    <col min="1453" max="1453" width="9.44140625" style="95" customWidth="1"/>
    <col min="1454" max="1454" width="11.44140625" style="95" hidden="1" customWidth="1"/>
    <col min="1455" max="1455" width="9" style="95" customWidth="1"/>
    <col min="1456" max="1457" width="11.44140625" style="95" hidden="1" customWidth="1"/>
    <col min="1458" max="1458" width="8.5546875" style="95" customWidth="1"/>
    <col min="1459" max="1460" width="11.44140625" style="95" hidden="1" customWidth="1"/>
    <col min="1461" max="1461" width="6.44140625" style="95" customWidth="1"/>
    <col min="1462" max="1463" width="11.44140625" style="95" hidden="1" customWidth="1"/>
    <col min="1464" max="1464" width="7" style="95" customWidth="1"/>
    <col min="1465" max="1466" width="11.44140625" style="95" hidden="1" customWidth="1"/>
    <col min="1467" max="1469" width="7" style="95" customWidth="1"/>
    <col min="1470" max="1471" width="11.44140625" style="95" hidden="1" customWidth="1"/>
    <col min="1472" max="1472" width="7.5546875" style="95" customWidth="1"/>
    <col min="1473" max="1474" width="11.44140625" style="95" hidden="1" customWidth="1"/>
    <col min="1475" max="1475" width="7" style="95" customWidth="1"/>
    <col min="1476" max="1477" width="11.44140625" style="95" hidden="1" customWidth="1"/>
    <col min="1478" max="1478" width="7" style="95" customWidth="1"/>
    <col min="1479" max="1480" width="11.44140625" style="95" hidden="1" customWidth="1"/>
    <col min="1481" max="1481" width="7" style="95" customWidth="1"/>
    <col min="1482" max="1482" width="11.44140625" style="95" hidden="1" customWidth="1"/>
    <col min="1483" max="1483" width="6.44140625" style="95" customWidth="1"/>
    <col min="1484" max="1493" width="11.44140625" style="95" hidden="1" customWidth="1"/>
    <col min="1494" max="1528" width="11.44140625" style="95" hidden="1"/>
    <col min="1529" max="1529" width="41.44140625" style="95" customWidth="1"/>
    <col min="1530" max="1530" width="6.44140625" style="95" customWidth="1"/>
    <col min="1531" max="1531" width="14.6640625" style="95" customWidth="1"/>
    <col min="1532" max="1532" width="11.44140625" style="95" customWidth="1"/>
    <col min="1533" max="1533" width="13" style="95" customWidth="1"/>
    <col min="1534" max="1534" width="25.44140625" style="95" customWidth="1"/>
    <col min="1535" max="1544" width="9.44140625" style="95" customWidth="1"/>
    <col min="1545" max="1545" width="8.88671875" style="95" customWidth="1"/>
    <col min="1546" max="1546" width="9.44140625" style="95" customWidth="1"/>
    <col min="1547" max="1552" width="10.109375" style="95" customWidth="1"/>
    <col min="1553" max="1553" width="6.44140625" style="95" customWidth="1"/>
    <col min="1554" max="1554" width="6.88671875" style="95" customWidth="1"/>
    <col min="1555" max="1556" width="6.5546875" style="95" customWidth="1"/>
    <col min="1557" max="1557" width="6.33203125" style="95" customWidth="1"/>
    <col min="1558" max="1558" width="7.5546875" style="95" customWidth="1"/>
    <col min="1559" max="1559" width="14.5546875" style="95" customWidth="1"/>
    <col min="1560" max="1561" width="11.44140625" style="95" customWidth="1"/>
    <col min="1562" max="1562" width="56.88671875" style="95" customWidth="1"/>
    <col min="1563" max="1563" width="9.109375" style="95" bestFit="1" customWidth="1"/>
    <col min="1564" max="1564" width="26.6640625" style="95" customWidth="1"/>
    <col min="1565" max="1565" width="22.88671875" style="95" customWidth="1"/>
    <col min="1566" max="1566" width="14.6640625" style="95" customWidth="1"/>
    <col min="1567" max="1567" width="5" style="95" customWidth="1"/>
    <col min="1568" max="1569" width="11.44140625" style="95" hidden="1" customWidth="1"/>
    <col min="1570" max="1570" width="5" style="95" customWidth="1"/>
    <col min="1571" max="1572" width="11.44140625" style="95" hidden="1" customWidth="1"/>
    <col min="1573" max="1573" width="5" style="95" customWidth="1"/>
    <col min="1574" max="1575" width="11.44140625" style="95" hidden="1" customWidth="1"/>
    <col min="1576" max="1576" width="5" style="95" customWidth="1"/>
    <col min="1577" max="1578" width="11.44140625" style="95" hidden="1" customWidth="1"/>
    <col min="1579" max="1579" width="5" style="95" customWidth="1"/>
    <col min="1580" max="1581" width="11.44140625" style="95" hidden="1" customWidth="1"/>
    <col min="1582" max="1582" width="5" style="95" customWidth="1"/>
    <col min="1583" max="1584" width="11.44140625" style="95" hidden="1" customWidth="1"/>
    <col min="1585" max="1585" width="6.44140625" style="95" customWidth="1"/>
    <col min="1586" max="1593" width="11.44140625" style="95" hidden="1" customWidth="1"/>
    <col min="1594" max="1594" width="6.88671875" style="95" customWidth="1"/>
    <col min="1595" max="1596" width="11.44140625" style="95" hidden="1" customWidth="1"/>
    <col min="1597" max="1597" width="6.44140625" style="95" customWidth="1"/>
    <col min="1598" max="1599" width="11.44140625" style="95" hidden="1" customWidth="1"/>
    <col min="1600" max="1600" width="5.44140625" style="95" customWidth="1"/>
    <col min="1601" max="1602" width="11.44140625" style="95" hidden="1" customWidth="1"/>
    <col min="1603" max="1603" width="4.88671875" style="95" customWidth="1"/>
    <col min="1604" max="1608" width="11.44140625" style="95" hidden="1" customWidth="1"/>
    <col min="1609" max="1609" width="8.44140625" style="95" customWidth="1"/>
    <col min="1610" max="1611" width="11.44140625" style="95" hidden="1" customWidth="1"/>
    <col min="1612" max="1612" width="5.44140625" style="95" customWidth="1"/>
    <col min="1613" max="1614" width="11.44140625" style="95" hidden="1" customWidth="1"/>
    <col min="1615" max="1615" width="8.44140625" style="95" customWidth="1"/>
    <col min="1616" max="1617" width="11.44140625" style="95" hidden="1" customWidth="1"/>
    <col min="1618" max="1618" width="5.88671875" style="95" customWidth="1"/>
    <col min="1619" max="1620" width="11.44140625" style="95" hidden="1" customWidth="1"/>
    <col min="1621" max="1621" width="5.44140625" style="95" customWidth="1"/>
    <col min="1622" max="1623" width="11.44140625" style="95" hidden="1" customWidth="1"/>
    <col min="1624" max="1624" width="5.44140625" style="95" customWidth="1"/>
    <col min="1625" max="1626" width="11.44140625" style="95" hidden="1" customWidth="1"/>
    <col min="1627" max="1627" width="6" style="95" customWidth="1"/>
    <col min="1628" max="1632" width="11.44140625" style="95" hidden="1" customWidth="1"/>
    <col min="1633" max="1633" width="5" style="95" customWidth="1"/>
    <col min="1634" max="1641" width="11.44140625" style="95" hidden="1" customWidth="1"/>
    <col min="1642" max="1642" width="5" style="95" customWidth="1"/>
    <col min="1643" max="1643" width="11.44140625" style="95" hidden="1" customWidth="1"/>
    <col min="1644" max="1644" width="5" style="95" customWidth="1"/>
    <col min="1645" max="1645" width="9.44140625" style="95" customWidth="1"/>
    <col min="1646" max="1646" width="11.44140625" style="95" hidden="1" customWidth="1"/>
    <col min="1647" max="1647" width="5" style="95" customWidth="1"/>
    <col min="1648" max="1649" width="11.44140625" style="95" hidden="1" customWidth="1"/>
    <col min="1650" max="1650" width="5" style="95" customWidth="1"/>
    <col min="1651" max="1652" width="11.44140625" style="95" hidden="1" customWidth="1"/>
    <col min="1653" max="1653" width="5" style="95" customWidth="1"/>
    <col min="1654" max="1655" width="11.44140625" style="95" hidden="1" customWidth="1"/>
    <col min="1656" max="1656" width="5" style="95" customWidth="1"/>
    <col min="1657" max="1658" width="11.44140625" style="95" hidden="1" customWidth="1"/>
    <col min="1659" max="1659" width="5" style="95" customWidth="1"/>
    <col min="1660" max="1661" width="11.44140625" style="95" hidden="1" customWidth="1"/>
    <col min="1662" max="1662" width="5" style="95" customWidth="1"/>
    <col min="1663" max="1663" width="11.44140625" style="95" hidden="1" customWidth="1"/>
    <col min="1664" max="1664" width="6.44140625" style="95" customWidth="1"/>
    <col min="1665" max="1665" width="11.44140625" style="95" hidden="1" customWidth="1"/>
    <col min="1666" max="1666" width="7.109375" style="95" customWidth="1"/>
    <col min="1667" max="1668" width="11.44140625" style="95" hidden="1" customWidth="1"/>
    <col min="1669" max="1669" width="7.109375" style="95" customWidth="1"/>
    <col min="1670" max="1671" width="11.44140625" style="95" hidden="1" customWidth="1"/>
    <col min="1672" max="1672" width="7.109375" style="95" customWidth="1"/>
    <col min="1673" max="1674" width="11.44140625" style="95" hidden="1" customWidth="1"/>
    <col min="1675" max="1675" width="7.109375" style="95" customWidth="1"/>
    <col min="1676" max="1677" width="11.44140625" style="95" hidden="1" customWidth="1"/>
    <col min="1678" max="1678" width="7.109375" style="95" customWidth="1"/>
    <col min="1679" max="1680" width="11.44140625" style="95" hidden="1" customWidth="1"/>
    <col min="1681" max="1681" width="7.109375" style="95" customWidth="1"/>
    <col min="1682" max="1683" width="11.44140625" style="95" hidden="1" customWidth="1"/>
    <col min="1684" max="1684" width="7.109375" style="95" customWidth="1"/>
    <col min="1685" max="1686" width="11.44140625" style="95" hidden="1" customWidth="1"/>
    <col min="1687" max="1687" width="7.109375" style="95" customWidth="1"/>
    <col min="1688" max="1688" width="11.44140625" style="95" hidden="1" customWidth="1"/>
    <col min="1689" max="1689" width="6.44140625" style="95" customWidth="1"/>
    <col min="1690" max="1691" width="11.44140625" style="95" hidden="1" customWidth="1"/>
    <col min="1692" max="1692" width="6.88671875" style="95" customWidth="1"/>
    <col min="1693" max="1694" width="11.44140625" style="95" hidden="1" customWidth="1"/>
    <col min="1695" max="1695" width="6.88671875" style="95" customWidth="1"/>
    <col min="1696" max="1697" width="11.44140625" style="95" hidden="1" customWidth="1"/>
    <col min="1698" max="1698" width="6.44140625" style="95" customWidth="1"/>
    <col min="1699" max="1703" width="11.44140625" style="95" hidden="1" customWidth="1"/>
    <col min="1704" max="1704" width="6.44140625" style="95" customWidth="1"/>
    <col min="1705" max="1706" width="11.44140625" style="95" hidden="1" customWidth="1"/>
    <col min="1707" max="1707" width="7.5546875" style="95" customWidth="1"/>
    <col min="1708" max="1708" width="11.44140625" style="95" hidden="1" customWidth="1"/>
    <col min="1709" max="1709" width="9.44140625" style="95" customWidth="1"/>
    <col min="1710" max="1710" width="11.44140625" style="95" hidden="1" customWidth="1"/>
    <col min="1711" max="1711" width="9" style="95" customWidth="1"/>
    <col min="1712" max="1713" width="11.44140625" style="95" hidden="1" customWidth="1"/>
    <col min="1714" max="1714" width="8.5546875" style="95" customWidth="1"/>
    <col min="1715" max="1716" width="11.44140625" style="95" hidden="1" customWidth="1"/>
    <col min="1717" max="1717" width="6.44140625" style="95" customWidth="1"/>
    <col min="1718" max="1719" width="11.44140625" style="95" hidden="1" customWidth="1"/>
    <col min="1720" max="1720" width="7" style="95" customWidth="1"/>
    <col min="1721" max="1722" width="11.44140625" style="95" hidden="1" customWidth="1"/>
    <col min="1723" max="1725" width="7" style="95" customWidth="1"/>
    <col min="1726" max="1727" width="11.44140625" style="95" hidden="1" customWidth="1"/>
    <col min="1728" max="1728" width="7.5546875" style="95" customWidth="1"/>
    <col min="1729" max="1730" width="11.44140625" style="95" hidden="1" customWidth="1"/>
    <col min="1731" max="1731" width="7" style="95" customWidth="1"/>
    <col min="1732" max="1733" width="11.44140625" style="95" hidden="1" customWidth="1"/>
    <col min="1734" max="1734" width="7" style="95" customWidth="1"/>
    <col min="1735" max="1736" width="11.44140625" style="95" hidden="1" customWidth="1"/>
    <col min="1737" max="1737" width="7" style="95" customWidth="1"/>
    <col min="1738" max="1738" width="11.44140625" style="95" hidden="1" customWidth="1"/>
    <col min="1739" max="1739" width="6.44140625" style="95" customWidth="1"/>
    <col min="1740" max="1749" width="11.44140625" style="95" hidden="1" customWidth="1"/>
    <col min="1750" max="1784" width="11.44140625" style="95" hidden="1"/>
    <col min="1785" max="1785" width="41.44140625" style="95" customWidth="1"/>
    <col min="1786" max="1786" width="6.44140625" style="95" customWidth="1"/>
    <col min="1787" max="1787" width="14.6640625" style="95" customWidth="1"/>
    <col min="1788" max="1788" width="11.44140625" style="95" customWidth="1"/>
    <col min="1789" max="1789" width="13" style="95" customWidth="1"/>
    <col min="1790" max="1790" width="25.44140625" style="95" customWidth="1"/>
    <col min="1791" max="1800" width="9.44140625" style="95" customWidth="1"/>
    <col min="1801" max="1801" width="8.88671875" style="95" customWidth="1"/>
    <col min="1802" max="1802" width="9.44140625" style="95" customWidth="1"/>
    <col min="1803" max="1808" width="10.109375" style="95" customWidth="1"/>
    <col min="1809" max="1809" width="6.44140625" style="95" customWidth="1"/>
    <col min="1810" max="1810" width="6.88671875" style="95" customWidth="1"/>
    <col min="1811" max="1812" width="6.5546875" style="95" customWidth="1"/>
    <col min="1813" max="1813" width="6.33203125" style="95" customWidth="1"/>
    <col min="1814" max="1814" width="7.5546875" style="95" customWidth="1"/>
    <col min="1815" max="1815" width="14.5546875" style="95" customWidth="1"/>
    <col min="1816" max="1817" width="11.44140625" style="95" customWidth="1"/>
    <col min="1818" max="1818" width="56.88671875" style="95" customWidth="1"/>
    <col min="1819" max="1819" width="9.109375" style="95" bestFit="1" customWidth="1"/>
    <col min="1820" max="1820" width="26.6640625" style="95" customWidth="1"/>
    <col min="1821" max="1821" width="22.88671875" style="95" customWidth="1"/>
    <col min="1822" max="1822" width="14.6640625" style="95" customWidth="1"/>
    <col min="1823" max="1823" width="5" style="95" customWidth="1"/>
    <col min="1824" max="1825" width="11.44140625" style="95" hidden="1" customWidth="1"/>
    <col min="1826" max="1826" width="5" style="95" customWidth="1"/>
    <col min="1827" max="1828" width="11.44140625" style="95" hidden="1" customWidth="1"/>
    <col min="1829" max="1829" width="5" style="95" customWidth="1"/>
    <col min="1830" max="1831" width="11.44140625" style="95" hidden="1" customWidth="1"/>
    <col min="1832" max="1832" width="5" style="95" customWidth="1"/>
    <col min="1833" max="1834" width="11.44140625" style="95" hidden="1" customWidth="1"/>
    <col min="1835" max="1835" width="5" style="95" customWidth="1"/>
    <col min="1836" max="1837" width="11.44140625" style="95" hidden="1" customWidth="1"/>
    <col min="1838" max="1838" width="5" style="95" customWidth="1"/>
    <col min="1839" max="1840" width="11.44140625" style="95" hidden="1" customWidth="1"/>
    <col min="1841" max="1841" width="6.44140625" style="95" customWidth="1"/>
    <col min="1842" max="1849" width="11.44140625" style="95" hidden="1" customWidth="1"/>
    <col min="1850" max="1850" width="6.88671875" style="95" customWidth="1"/>
    <col min="1851" max="1852" width="11.44140625" style="95" hidden="1" customWidth="1"/>
    <col min="1853" max="1853" width="6.44140625" style="95" customWidth="1"/>
    <col min="1854" max="1855" width="11.44140625" style="95" hidden="1" customWidth="1"/>
    <col min="1856" max="1856" width="5.44140625" style="95" customWidth="1"/>
    <col min="1857" max="1858" width="11.44140625" style="95" hidden="1" customWidth="1"/>
    <col min="1859" max="1859" width="4.88671875" style="95" customWidth="1"/>
    <col min="1860" max="1864" width="11.44140625" style="95" hidden="1" customWidth="1"/>
    <col min="1865" max="1865" width="8.44140625" style="95" customWidth="1"/>
    <col min="1866" max="1867" width="11.44140625" style="95" hidden="1" customWidth="1"/>
    <col min="1868" max="1868" width="5.44140625" style="95" customWidth="1"/>
    <col min="1869" max="1870" width="11.44140625" style="95" hidden="1" customWidth="1"/>
    <col min="1871" max="1871" width="8.44140625" style="95" customWidth="1"/>
    <col min="1872" max="1873" width="11.44140625" style="95" hidden="1" customWidth="1"/>
    <col min="1874" max="1874" width="5.88671875" style="95" customWidth="1"/>
    <col min="1875" max="1876" width="11.44140625" style="95" hidden="1" customWidth="1"/>
    <col min="1877" max="1877" width="5.44140625" style="95" customWidth="1"/>
    <col min="1878" max="1879" width="11.44140625" style="95" hidden="1" customWidth="1"/>
    <col min="1880" max="1880" width="5.44140625" style="95" customWidth="1"/>
    <col min="1881" max="1882" width="11.44140625" style="95" hidden="1" customWidth="1"/>
    <col min="1883" max="1883" width="6" style="95" customWidth="1"/>
    <col min="1884" max="1888" width="11.44140625" style="95" hidden="1" customWidth="1"/>
    <col min="1889" max="1889" width="5" style="95" customWidth="1"/>
    <col min="1890" max="1897" width="11.44140625" style="95" hidden="1" customWidth="1"/>
    <col min="1898" max="1898" width="5" style="95" customWidth="1"/>
    <col min="1899" max="1899" width="11.44140625" style="95" hidden="1" customWidth="1"/>
    <col min="1900" max="1900" width="5" style="95" customWidth="1"/>
    <col min="1901" max="1901" width="9.44140625" style="95" customWidth="1"/>
    <col min="1902" max="1902" width="11.44140625" style="95" hidden="1" customWidth="1"/>
    <col min="1903" max="1903" width="5" style="95" customWidth="1"/>
    <col min="1904" max="1905" width="11.44140625" style="95" hidden="1" customWidth="1"/>
    <col min="1906" max="1906" width="5" style="95" customWidth="1"/>
    <col min="1907" max="1908" width="11.44140625" style="95" hidden="1" customWidth="1"/>
    <col min="1909" max="1909" width="5" style="95" customWidth="1"/>
    <col min="1910" max="1911" width="11.44140625" style="95" hidden="1" customWidth="1"/>
    <col min="1912" max="1912" width="5" style="95" customWidth="1"/>
    <col min="1913" max="1914" width="11.44140625" style="95" hidden="1" customWidth="1"/>
    <col min="1915" max="1915" width="5" style="95" customWidth="1"/>
    <col min="1916" max="1917" width="11.44140625" style="95" hidden="1" customWidth="1"/>
    <col min="1918" max="1918" width="5" style="95" customWidth="1"/>
    <col min="1919" max="1919" width="11.44140625" style="95" hidden="1" customWidth="1"/>
    <col min="1920" max="1920" width="6.44140625" style="95" customWidth="1"/>
    <col min="1921" max="1921" width="11.44140625" style="95" hidden="1" customWidth="1"/>
    <col min="1922" max="1922" width="7.109375" style="95" customWidth="1"/>
    <col min="1923" max="1924" width="11.44140625" style="95" hidden="1" customWidth="1"/>
    <col min="1925" max="1925" width="7.109375" style="95" customWidth="1"/>
    <col min="1926" max="1927" width="11.44140625" style="95" hidden="1" customWidth="1"/>
    <col min="1928" max="1928" width="7.109375" style="95" customWidth="1"/>
    <col min="1929" max="1930" width="11.44140625" style="95" hidden="1" customWidth="1"/>
    <col min="1931" max="1931" width="7.109375" style="95" customWidth="1"/>
    <col min="1932" max="1933" width="11.44140625" style="95" hidden="1" customWidth="1"/>
    <col min="1934" max="1934" width="7.109375" style="95" customWidth="1"/>
    <col min="1935" max="1936" width="11.44140625" style="95" hidden="1" customWidth="1"/>
    <col min="1937" max="1937" width="7.109375" style="95" customWidth="1"/>
    <col min="1938" max="1939" width="11.44140625" style="95" hidden="1" customWidth="1"/>
    <col min="1940" max="1940" width="7.109375" style="95" customWidth="1"/>
    <col min="1941" max="1942" width="11.44140625" style="95" hidden="1" customWidth="1"/>
    <col min="1943" max="1943" width="7.109375" style="95" customWidth="1"/>
    <col min="1944" max="1944" width="11.44140625" style="95" hidden="1" customWidth="1"/>
    <col min="1945" max="1945" width="6.44140625" style="95" customWidth="1"/>
    <col min="1946" max="1947" width="11.44140625" style="95" hidden="1" customWidth="1"/>
    <col min="1948" max="1948" width="6.88671875" style="95" customWidth="1"/>
    <col min="1949" max="1950" width="11.44140625" style="95" hidden="1" customWidth="1"/>
    <col min="1951" max="1951" width="6.88671875" style="95" customWidth="1"/>
    <col min="1952" max="1953" width="11.44140625" style="95" hidden="1" customWidth="1"/>
    <col min="1954" max="1954" width="6.44140625" style="95" customWidth="1"/>
    <col min="1955" max="1959" width="11.44140625" style="95" hidden="1" customWidth="1"/>
    <col min="1960" max="1960" width="6.44140625" style="95" customWidth="1"/>
    <col min="1961" max="1962" width="11.44140625" style="95" hidden="1" customWidth="1"/>
    <col min="1963" max="1963" width="7.5546875" style="95" customWidth="1"/>
    <col min="1964" max="1964" width="11.44140625" style="95" hidden="1" customWidth="1"/>
    <col min="1965" max="1965" width="9.44140625" style="95" customWidth="1"/>
    <col min="1966" max="1966" width="11.44140625" style="95" hidden="1" customWidth="1"/>
    <col min="1967" max="1967" width="9" style="95" customWidth="1"/>
    <col min="1968" max="1969" width="11.44140625" style="95" hidden="1" customWidth="1"/>
    <col min="1970" max="1970" width="8.5546875" style="95" customWidth="1"/>
    <col min="1971" max="1972" width="11.44140625" style="95" hidden="1" customWidth="1"/>
    <col min="1973" max="1973" width="6.44140625" style="95" customWidth="1"/>
    <col min="1974" max="1975" width="11.44140625" style="95" hidden="1" customWidth="1"/>
    <col min="1976" max="1976" width="7" style="95" customWidth="1"/>
    <col min="1977" max="1978" width="11.44140625" style="95" hidden="1" customWidth="1"/>
    <col min="1979" max="1981" width="7" style="95" customWidth="1"/>
    <col min="1982" max="1983" width="11.44140625" style="95" hidden="1" customWidth="1"/>
    <col min="1984" max="1984" width="7.5546875" style="95" customWidth="1"/>
    <col min="1985" max="1986" width="11.44140625" style="95" hidden="1" customWidth="1"/>
    <col min="1987" max="1987" width="7" style="95" customWidth="1"/>
    <col min="1988" max="1989" width="11.44140625" style="95" hidden="1" customWidth="1"/>
    <col min="1990" max="1990" width="7" style="95" customWidth="1"/>
    <col min="1991" max="1992" width="11.44140625" style="95" hidden="1" customWidth="1"/>
    <col min="1993" max="1993" width="7" style="95" customWidth="1"/>
    <col min="1994" max="1994" width="11.44140625" style="95" hidden="1" customWidth="1"/>
    <col min="1995" max="1995" width="6.44140625" style="95" customWidth="1"/>
    <col min="1996" max="2005" width="11.44140625" style="95" hidden="1" customWidth="1"/>
    <col min="2006" max="2040" width="11.44140625" style="95" hidden="1"/>
    <col min="2041" max="2041" width="41.44140625" style="95" customWidth="1"/>
    <col min="2042" max="2042" width="6.44140625" style="95" customWidth="1"/>
    <col min="2043" max="2043" width="14.6640625" style="95" customWidth="1"/>
    <col min="2044" max="2044" width="11.44140625" style="95" customWidth="1"/>
    <col min="2045" max="2045" width="13" style="95" customWidth="1"/>
    <col min="2046" max="2046" width="25.44140625" style="95" customWidth="1"/>
    <col min="2047" max="2056" width="9.44140625" style="95" customWidth="1"/>
    <col min="2057" max="2057" width="8.88671875" style="95" customWidth="1"/>
    <col min="2058" max="2058" width="9.44140625" style="95" customWidth="1"/>
    <col min="2059" max="2064" width="10.109375" style="95" customWidth="1"/>
    <col min="2065" max="2065" width="6.44140625" style="95" customWidth="1"/>
    <col min="2066" max="2066" width="6.88671875" style="95" customWidth="1"/>
    <col min="2067" max="2068" width="6.5546875" style="95" customWidth="1"/>
    <col min="2069" max="2069" width="6.33203125" style="95" customWidth="1"/>
    <col min="2070" max="2070" width="7.5546875" style="95" customWidth="1"/>
    <col min="2071" max="2071" width="14.5546875" style="95" customWidth="1"/>
    <col min="2072" max="2073" width="11.44140625" style="95" customWidth="1"/>
    <col min="2074" max="2074" width="56.88671875" style="95" customWidth="1"/>
    <col min="2075" max="2075" width="9.109375" style="95" bestFit="1" customWidth="1"/>
    <col min="2076" max="2076" width="26.6640625" style="95" customWidth="1"/>
    <col min="2077" max="2077" width="22.88671875" style="95" customWidth="1"/>
    <col min="2078" max="2078" width="14.6640625" style="95" customWidth="1"/>
    <col min="2079" max="2079" width="5" style="95" customWidth="1"/>
    <col min="2080" max="2081" width="11.44140625" style="95" hidden="1" customWidth="1"/>
    <col min="2082" max="2082" width="5" style="95" customWidth="1"/>
    <col min="2083" max="2084" width="11.44140625" style="95" hidden="1" customWidth="1"/>
    <col min="2085" max="2085" width="5" style="95" customWidth="1"/>
    <col min="2086" max="2087" width="11.44140625" style="95" hidden="1" customWidth="1"/>
    <col min="2088" max="2088" width="5" style="95" customWidth="1"/>
    <col min="2089" max="2090" width="11.44140625" style="95" hidden="1" customWidth="1"/>
    <col min="2091" max="2091" width="5" style="95" customWidth="1"/>
    <col min="2092" max="2093" width="11.44140625" style="95" hidden="1" customWidth="1"/>
    <col min="2094" max="2094" width="5" style="95" customWidth="1"/>
    <col min="2095" max="2096" width="11.44140625" style="95" hidden="1" customWidth="1"/>
    <col min="2097" max="2097" width="6.44140625" style="95" customWidth="1"/>
    <col min="2098" max="2105" width="11.44140625" style="95" hidden="1" customWidth="1"/>
    <col min="2106" max="2106" width="6.88671875" style="95" customWidth="1"/>
    <col min="2107" max="2108" width="11.44140625" style="95" hidden="1" customWidth="1"/>
    <col min="2109" max="2109" width="6.44140625" style="95" customWidth="1"/>
    <col min="2110" max="2111" width="11.44140625" style="95" hidden="1" customWidth="1"/>
    <col min="2112" max="2112" width="5.44140625" style="95" customWidth="1"/>
    <col min="2113" max="2114" width="11.44140625" style="95" hidden="1" customWidth="1"/>
    <col min="2115" max="2115" width="4.88671875" style="95" customWidth="1"/>
    <col min="2116" max="2120" width="11.44140625" style="95" hidden="1" customWidth="1"/>
    <col min="2121" max="2121" width="8.44140625" style="95" customWidth="1"/>
    <col min="2122" max="2123" width="11.44140625" style="95" hidden="1" customWidth="1"/>
    <col min="2124" max="2124" width="5.44140625" style="95" customWidth="1"/>
    <col min="2125" max="2126" width="11.44140625" style="95" hidden="1" customWidth="1"/>
    <col min="2127" max="2127" width="8.44140625" style="95" customWidth="1"/>
    <col min="2128" max="2129" width="11.44140625" style="95" hidden="1" customWidth="1"/>
    <col min="2130" max="2130" width="5.88671875" style="95" customWidth="1"/>
    <col min="2131" max="2132" width="11.44140625" style="95" hidden="1" customWidth="1"/>
    <col min="2133" max="2133" width="5.44140625" style="95" customWidth="1"/>
    <col min="2134" max="2135" width="11.44140625" style="95" hidden="1" customWidth="1"/>
    <col min="2136" max="2136" width="5.44140625" style="95" customWidth="1"/>
    <col min="2137" max="2138" width="11.44140625" style="95" hidden="1" customWidth="1"/>
    <col min="2139" max="2139" width="6" style="95" customWidth="1"/>
    <col min="2140" max="2144" width="11.44140625" style="95" hidden="1" customWidth="1"/>
    <col min="2145" max="2145" width="5" style="95" customWidth="1"/>
    <col min="2146" max="2153" width="11.44140625" style="95" hidden="1" customWidth="1"/>
    <col min="2154" max="2154" width="5" style="95" customWidth="1"/>
    <col min="2155" max="2155" width="11.44140625" style="95" hidden="1" customWidth="1"/>
    <col min="2156" max="2156" width="5" style="95" customWidth="1"/>
    <col min="2157" max="2157" width="9.44140625" style="95" customWidth="1"/>
    <col min="2158" max="2158" width="11.44140625" style="95" hidden="1" customWidth="1"/>
    <col min="2159" max="2159" width="5" style="95" customWidth="1"/>
    <col min="2160" max="2161" width="11.44140625" style="95" hidden="1" customWidth="1"/>
    <col min="2162" max="2162" width="5" style="95" customWidth="1"/>
    <col min="2163" max="2164" width="11.44140625" style="95" hidden="1" customWidth="1"/>
    <col min="2165" max="2165" width="5" style="95" customWidth="1"/>
    <col min="2166" max="2167" width="11.44140625" style="95" hidden="1" customWidth="1"/>
    <col min="2168" max="2168" width="5" style="95" customWidth="1"/>
    <col min="2169" max="2170" width="11.44140625" style="95" hidden="1" customWidth="1"/>
    <col min="2171" max="2171" width="5" style="95" customWidth="1"/>
    <col min="2172" max="2173" width="11.44140625" style="95" hidden="1" customWidth="1"/>
    <col min="2174" max="2174" width="5" style="95" customWidth="1"/>
    <col min="2175" max="2175" width="11.44140625" style="95" hidden="1" customWidth="1"/>
    <col min="2176" max="2176" width="6.44140625" style="95" customWidth="1"/>
    <col min="2177" max="2177" width="11.44140625" style="95" hidden="1" customWidth="1"/>
    <col min="2178" max="2178" width="7.109375" style="95" customWidth="1"/>
    <col min="2179" max="2180" width="11.44140625" style="95" hidden="1" customWidth="1"/>
    <col min="2181" max="2181" width="7.109375" style="95" customWidth="1"/>
    <col min="2182" max="2183" width="11.44140625" style="95" hidden="1" customWidth="1"/>
    <col min="2184" max="2184" width="7.109375" style="95" customWidth="1"/>
    <col min="2185" max="2186" width="11.44140625" style="95" hidden="1" customWidth="1"/>
    <col min="2187" max="2187" width="7.109375" style="95" customWidth="1"/>
    <col min="2188" max="2189" width="11.44140625" style="95" hidden="1" customWidth="1"/>
    <col min="2190" max="2190" width="7.109375" style="95" customWidth="1"/>
    <col min="2191" max="2192" width="11.44140625" style="95" hidden="1" customWidth="1"/>
    <col min="2193" max="2193" width="7.109375" style="95" customWidth="1"/>
    <col min="2194" max="2195" width="11.44140625" style="95" hidden="1" customWidth="1"/>
    <col min="2196" max="2196" width="7.109375" style="95" customWidth="1"/>
    <col min="2197" max="2198" width="11.44140625" style="95" hidden="1" customWidth="1"/>
    <col min="2199" max="2199" width="7.109375" style="95" customWidth="1"/>
    <col min="2200" max="2200" width="11.44140625" style="95" hidden="1" customWidth="1"/>
    <col min="2201" max="2201" width="6.44140625" style="95" customWidth="1"/>
    <col min="2202" max="2203" width="11.44140625" style="95" hidden="1" customWidth="1"/>
    <col min="2204" max="2204" width="6.88671875" style="95" customWidth="1"/>
    <col min="2205" max="2206" width="11.44140625" style="95" hidden="1" customWidth="1"/>
    <col min="2207" max="2207" width="6.88671875" style="95" customWidth="1"/>
    <col min="2208" max="2209" width="11.44140625" style="95" hidden="1" customWidth="1"/>
    <col min="2210" max="2210" width="6.44140625" style="95" customWidth="1"/>
    <col min="2211" max="2215" width="11.44140625" style="95" hidden="1" customWidth="1"/>
    <col min="2216" max="2216" width="6.44140625" style="95" customWidth="1"/>
    <col min="2217" max="2218" width="11.44140625" style="95" hidden="1" customWidth="1"/>
    <col min="2219" max="2219" width="7.5546875" style="95" customWidth="1"/>
    <col min="2220" max="2220" width="11.44140625" style="95" hidden="1" customWidth="1"/>
    <col min="2221" max="2221" width="9.44140625" style="95" customWidth="1"/>
    <col min="2222" max="2222" width="11.44140625" style="95" hidden="1" customWidth="1"/>
    <col min="2223" max="2223" width="9" style="95" customWidth="1"/>
    <col min="2224" max="2225" width="11.44140625" style="95" hidden="1" customWidth="1"/>
    <col min="2226" max="2226" width="8.5546875" style="95" customWidth="1"/>
    <col min="2227" max="2228" width="11.44140625" style="95" hidden="1" customWidth="1"/>
    <col min="2229" max="2229" width="6.44140625" style="95" customWidth="1"/>
    <col min="2230" max="2231" width="11.44140625" style="95" hidden="1" customWidth="1"/>
    <col min="2232" max="2232" width="7" style="95" customWidth="1"/>
    <col min="2233" max="2234" width="11.44140625" style="95" hidden="1" customWidth="1"/>
    <col min="2235" max="2237" width="7" style="95" customWidth="1"/>
    <col min="2238" max="2239" width="11.44140625" style="95" hidden="1" customWidth="1"/>
    <col min="2240" max="2240" width="7.5546875" style="95" customWidth="1"/>
    <col min="2241" max="2242" width="11.44140625" style="95" hidden="1" customWidth="1"/>
    <col min="2243" max="2243" width="7" style="95" customWidth="1"/>
    <col min="2244" max="2245" width="11.44140625" style="95" hidden="1" customWidth="1"/>
    <col min="2246" max="2246" width="7" style="95" customWidth="1"/>
    <col min="2247" max="2248" width="11.44140625" style="95" hidden="1" customWidth="1"/>
    <col min="2249" max="2249" width="7" style="95" customWidth="1"/>
    <col min="2250" max="2250" width="11.44140625" style="95" hidden="1" customWidth="1"/>
    <col min="2251" max="2251" width="6.44140625" style="95" customWidth="1"/>
    <col min="2252" max="2261" width="11.44140625" style="95" hidden="1" customWidth="1"/>
    <col min="2262" max="2296" width="11.44140625" style="95" hidden="1"/>
    <col min="2297" max="2297" width="41.44140625" style="95" customWidth="1"/>
    <col min="2298" max="2298" width="6.44140625" style="95" customWidth="1"/>
    <col min="2299" max="2299" width="14.6640625" style="95" customWidth="1"/>
    <col min="2300" max="2300" width="11.44140625" style="95" customWidth="1"/>
    <col min="2301" max="2301" width="13" style="95" customWidth="1"/>
    <col min="2302" max="2302" width="25.44140625" style="95" customWidth="1"/>
    <col min="2303" max="2312" width="9.44140625" style="95" customWidth="1"/>
    <col min="2313" max="2313" width="8.88671875" style="95" customWidth="1"/>
    <col min="2314" max="2314" width="9.44140625" style="95" customWidth="1"/>
    <col min="2315" max="2320" width="10.109375" style="95" customWidth="1"/>
    <col min="2321" max="2321" width="6.44140625" style="95" customWidth="1"/>
    <col min="2322" max="2322" width="6.88671875" style="95" customWidth="1"/>
    <col min="2323" max="2324" width="6.5546875" style="95" customWidth="1"/>
    <col min="2325" max="2325" width="6.33203125" style="95" customWidth="1"/>
    <col min="2326" max="2326" width="7.5546875" style="95" customWidth="1"/>
    <col min="2327" max="2327" width="14.5546875" style="95" customWidth="1"/>
    <col min="2328" max="2329" width="11.44140625" style="95" customWidth="1"/>
    <col min="2330" max="2330" width="56.88671875" style="95" customWidth="1"/>
    <col min="2331" max="2331" width="9.109375" style="95" bestFit="1" customWidth="1"/>
    <col min="2332" max="2332" width="26.6640625" style="95" customWidth="1"/>
    <col min="2333" max="2333" width="22.88671875" style="95" customWidth="1"/>
    <col min="2334" max="2334" width="14.6640625" style="95" customWidth="1"/>
    <col min="2335" max="2335" width="5" style="95" customWidth="1"/>
    <col min="2336" max="2337" width="11.44140625" style="95" hidden="1" customWidth="1"/>
    <col min="2338" max="2338" width="5" style="95" customWidth="1"/>
    <col min="2339" max="2340" width="11.44140625" style="95" hidden="1" customWidth="1"/>
    <col min="2341" max="2341" width="5" style="95" customWidth="1"/>
    <col min="2342" max="2343" width="11.44140625" style="95" hidden="1" customWidth="1"/>
    <col min="2344" max="2344" width="5" style="95" customWidth="1"/>
    <col min="2345" max="2346" width="11.44140625" style="95" hidden="1" customWidth="1"/>
    <col min="2347" max="2347" width="5" style="95" customWidth="1"/>
    <col min="2348" max="2349" width="11.44140625" style="95" hidden="1" customWidth="1"/>
    <col min="2350" max="2350" width="5" style="95" customWidth="1"/>
    <col min="2351" max="2352" width="11.44140625" style="95" hidden="1" customWidth="1"/>
    <col min="2353" max="2353" width="6.44140625" style="95" customWidth="1"/>
    <col min="2354" max="2361" width="11.44140625" style="95" hidden="1" customWidth="1"/>
    <col min="2362" max="2362" width="6.88671875" style="95" customWidth="1"/>
    <col min="2363" max="2364" width="11.44140625" style="95" hidden="1" customWidth="1"/>
    <col min="2365" max="2365" width="6.44140625" style="95" customWidth="1"/>
    <col min="2366" max="2367" width="11.44140625" style="95" hidden="1" customWidth="1"/>
    <col min="2368" max="2368" width="5.44140625" style="95" customWidth="1"/>
    <col min="2369" max="2370" width="11.44140625" style="95" hidden="1" customWidth="1"/>
    <col min="2371" max="2371" width="4.88671875" style="95" customWidth="1"/>
    <col min="2372" max="2376" width="11.44140625" style="95" hidden="1" customWidth="1"/>
    <col min="2377" max="2377" width="8.44140625" style="95" customWidth="1"/>
    <col min="2378" max="2379" width="11.44140625" style="95" hidden="1" customWidth="1"/>
    <col min="2380" max="2380" width="5.44140625" style="95" customWidth="1"/>
    <col min="2381" max="2382" width="11.44140625" style="95" hidden="1" customWidth="1"/>
    <col min="2383" max="2383" width="8.44140625" style="95" customWidth="1"/>
    <col min="2384" max="2385" width="11.44140625" style="95" hidden="1" customWidth="1"/>
    <col min="2386" max="2386" width="5.88671875" style="95" customWidth="1"/>
    <col min="2387" max="2388" width="11.44140625" style="95" hidden="1" customWidth="1"/>
    <col min="2389" max="2389" width="5.44140625" style="95" customWidth="1"/>
    <col min="2390" max="2391" width="11.44140625" style="95" hidden="1" customWidth="1"/>
    <col min="2392" max="2392" width="5.44140625" style="95" customWidth="1"/>
    <col min="2393" max="2394" width="11.44140625" style="95" hidden="1" customWidth="1"/>
    <col min="2395" max="2395" width="6" style="95" customWidth="1"/>
    <col min="2396" max="2400" width="11.44140625" style="95" hidden="1" customWidth="1"/>
    <col min="2401" max="2401" width="5" style="95" customWidth="1"/>
    <col min="2402" max="2409" width="11.44140625" style="95" hidden="1" customWidth="1"/>
    <col min="2410" max="2410" width="5" style="95" customWidth="1"/>
    <col min="2411" max="2411" width="11.44140625" style="95" hidden="1" customWidth="1"/>
    <col min="2412" max="2412" width="5" style="95" customWidth="1"/>
    <col min="2413" max="2413" width="9.44140625" style="95" customWidth="1"/>
    <col min="2414" max="2414" width="11.44140625" style="95" hidden="1" customWidth="1"/>
    <col min="2415" max="2415" width="5" style="95" customWidth="1"/>
    <col min="2416" max="2417" width="11.44140625" style="95" hidden="1" customWidth="1"/>
    <col min="2418" max="2418" width="5" style="95" customWidth="1"/>
    <col min="2419" max="2420" width="11.44140625" style="95" hidden="1" customWidth="1"/>
    <col min="2421" max="2421" width="5" style="95" customWidth="1"/>
    <col min="2422" max="2423" width="11.44140625" style="95" hidden="1" customWidth="1"/>
    <col min="2424" max="2424" width="5" style="95" customWidth="1"/>
    <col min="2425" max="2426" width="11.44140625" style="95" hidden="1" customWidth="1"/>
    <col min="2427" max="2427" width="5" style="95" customWidth="1"/>
    <col min="2428" max="2429" width="11.44140625" style="95" hidden="1" customWidth="1"/>
    <col min="2430" max="2430" width="5" style="95" customWidth="1"/>
    <col min="2431" max="2431" width="11.44140625" style="95" hidden="1" customWidth="1"/>
    <col min="2432" max="2432" width="6.44140625" style="95" customWidth="1"/>
    <col min="2433" max="2433" width="11.44140625" style="95" hidden="1" customWidth="1"/>
    <col min="2434" max="2434" width="7.109375" style="95" customWidth="1"/>
    <col min="2435" max="2436" width="11.44140625" style="95" hidden="1" customWidth="1"/>
    <col min="2437" max="2437" width="7.109375" style="95" customWidth="1"/>
    <col min="2438" max="2439" width="11.44140625" style="95" hidden="1" customWidth="1"/>
    <col min="2440" max="2440" width="7.109375" style="95" customWidth="1"/>
    <col min="2441" max="2442" width="11.44140625" style="95" hidden="1" customWidth="1"/>
    <col min="2443" max="2443" width="7.109375" style="95" customWidth="1"/>
    <col min="2444" max="2445" width="11.44140625" style="95" hidden="1" customWidth="1"/>
    <col min="2446" max="2446" width="7.109375" style="95" customWidth="1"/>
    <col min="2447" max="2448" width="11.44140625" style="95" hidden="1" customWidth="1"/>
    <col min="2449" max="2449" width="7.109375" style="95" customWidth="1"/>
    <col min="2450" max="2451" width="11.44140625" style="95" hidden="1" customWidth="1"/>
    <col min="2452" max="2452" width="7.109375" style="95" customWidth="1"/>
    <col min="2453" max="2454" width="11.44140625" style="95" hidden="1" customWidth="1"/>
    <col min="2455" max="2455" width="7.109375" style="95" customWidth="1"/>
    <col min="2456" max="2456" width="11.44140625" style="95" hidden="1" customWidth="1"/>
    <col min="2457" max="2457" width="6.44140625" style="95" customWidth="1"/>
    <col min="2458" max="2459" width="11.44140625" style="95" hidden="1" customWidth="1"/>
    <col min="2460" max="2460" width="6.88671875" style="95" customWidth="1"/>
    <col min="2461" max="2462" width="11.44140625" style="95" hidden="1" customWidth="1"/>
    <col min="2463" max="2463" width="6.88671875" style="95" customWidth="1"/>
    <col min="2464" max="2465" width="11.44140625" style="95" hidden="1" customWidth="1"/>
    <col min="2466" max="2466" width="6.44140625" style="95" customWidth="1"/>
    <col min="2467" max="2471" width="11.44140625" style="95" hidden="1" customWidth="1"/>
    <col min="2472" max="2472" width="6.44140625" style="95" customWidth="1"/>
    <col min="2473" max="2474" width="11.44140625" style="95" hidden="1" customWidth="1"/>
    <col min="2475" max="2475" width="7.5546875" style="95" customWidth="1"/>
    <col min="2476" max="2476" width="11.44140625" style="95" hidden="1" customWidth="1"/>
    <col min="2477" max="2477" width="9.44140625" style="95" customWidth="1"/>
    <col min="2478" max="2478" width="11.44140625" style="95" hidden="1" customWidth="1"/>
    <col min="2479" max="2479" width="9" style="95" customWidth="1"/>
    <col min="2480" max="2481" width="11.44140625" style="95" hidden="1" customWidth="1"/>
    <col min="2482" max="2482" width="8.5546875" style="95" customWidth="1"/>
    <col min="2483" max="2484" width="11.44140625" style="95" hidden="1" customWidth="1"/>
    <col min="2485" max="2485" width="6.44140625" style="95" customWidth="1"/>
    <col min="2486" max="2487" width="11.44140625" style="95" hidden="1" customWidth="1"/>
    <col min="2488" max="2488" width="7" style="95" customWidth="1"/>
    <col min="2489" max="2490" width="11.44140625" style="95" hidden="1" customWidth="1"/>
    <col min="2491" max="2493" width="7" style="95" customWidth="1"/>
    <col min="2494" max="2495" width="11.44140625" style="95" hidden="1" customWidth="1"/>
    <col min="2496" max="2496" width="7.5546875" style="95" customWidth="1"/>
    <col min="2497" max="2498" width="11.44140625" style="95" hidden="1" customWidth="1"/>
    <col min="2499" max="2499" width="7" style="95" customWidth="1"/>
    <col min="2500" max="2501" width="11.44140625" style="95" hidden="1" customWidth="1"/>
    <col min="2502" max="2502" width="7" style="95" customWidth="1"/>
    <col min="2503" max="2504" width="11.44140625" style="95" hidden="1" customWidth="1"/>
    <col min="2505" max="2505" width="7" style="95" customWidth="1"/>
    <col min="2506" max="2506" width="11.44140625" style="95" hidden="1" customWidth="1"/>
    <col min="2507" max="2507" width="6.44140625" style="95" customWidth="1"/>
    <col min="2508" max="2517" width="11.44140625" style="95" hidden="1" customWidth="1"/>
    <col min="2518" max="2552" width="11.44140625" style="95" hidden="1"/>
    <col min="2553" max="2553" width="41.44140625" style="95" customWidth="1"/>
    <col min="2554" max="2554" width="6.44140625" style="95" customWidth="1"/>
    <col min="2555" max="2555" width="14.6640625" style="95" customWidth="1"/>
    <col min="2556" max="2556" width="11.44140625" style="95" customWidth="1"/>
    <col min="2557" max="2557" width="13" style="95" customWidth="1"/>
    <col min="2558" max="2558" width="25.44140625" style="95" customWidth="1"/>
    <col min="2559" max="2568" width="9.44140625" style="95" customWidth="1"/>
    <col min="2569" max="2569" width="8.88671875" style="95" customWidth="1"/>
    <col min="2570" max="2570" width="9.44140625" style="95" customWidth="1"/>
    <col min="2571" max="2576" width="10.109375" style="95" customWidth="1"/>
    <col min="2577" max="2577" width="6.44140625" style="95" customWidth="1"/>
    <col min="2578" max="2578" width="6.88671875" style="95" customWidth="1"/>
    <col min="2579" max="2580" width="6.5546875" style="95" customWidth="1"/>
    <col min="2581" max="2581" width="6.33203125" style="95" customWidth="1"/>
    <col min="2582" max="2582" width="7.5546875" style="95" customWidth="1"/>
    <col min="2583" max="2583" width="14.5546875" style="95" customWidth="1"/>
    <col min="2584" max="2585" width="11.44140625" style="95" customWidth="1"/>
    <col min="2586" max="2586" width="56.88671875" style="95" customWidth="1"/>
    <col min="2587" max="2587" width="9.109375" style="95" bestFit="1" customWidth="1"/>
    <col min="2588" max="2588" width="26.6640625" style="95" customWidth="1"/>
    <col min="2589" max="2589" width="22.88671875" style="95" customWidth="1"/>
    <col min="2590" max="2590" width="14.6640625" style="95" customWidth="1"/>
    <col min="2591" max="2591" width="5" style="95" customWidth="1"/>
    <col min="2592" max="2593" width="11.44140625" style="95" hidden="1" customWidth="1"/>
    <col min="2594" max="2594" width="5" style="95" customWidth="1"/>
    <col min="2595" max="2596" width="11.44140625" style="95" hidden="1" customWidth="1"/>
    <col min="2597" max="2597" width="5" style="95" customWidth="1"/>
    <col min="2598" max="2599" width="11.44140625" style="95" hidden="1" customWidth="1"/>
    <col min="2600" max="2600" width="5" style="95" customWidth="1"/>
    <col min="2601" max="2602" width="11.44140625" style="95" hidden="1" customWidth="1"/>
    <col min="2603" max="2603" width="5" style="95" customWidth="1"/>
    <col min="2604" max="2605" width="11.44140625" style="95" hidden="1" customWidth="1"/>
    <col min="2606" max="2606" width="5" style="95" customWidth="1"/>
    <col min="2607" max="2608" width="11.44140625" style="95" hidden="1" customWidth="1"/>
    <col min="2609" max="2609" width="6.44140625" style="95" customWidth="1"/>
    <col min="2610" max="2617" width="11.44140625" style="95" hidden="1" customWidth="1"/>
    <col min="2618" max="2618" width="6.88671875" style="95" customWidth="1"/>
    <col min="2619" max="2620" width="11.44140625" style="95" hidden="1" customWidth="1"/>
    <col min="2621" max="2621" width="6.44140625" style="95" customWidth="1"/>
    <col min="2622" max="2623" width="11.44140625" style="95" hidden="1" customWidth="1"/>
    <col min="2624" max="2624" width="5.44140625" style="95" customWidth="1"/>
    <col min="2625" max="2626" width="11.44140625" style="95" hidden="1" customWidth="1"/>
    <col min="2627" max="2627" width="4.88671875" style="95" customWidth="1"/>
    <col min="2628" max="2632" width="11.44140625" style="95" hidden="1" customWidth="1"/>
    <col min="2633" max="2633" width="8.44140625" style="95" customWidth="1"/>
    <col min="2634" max="2635" width="11.44140625" style="95" hidden="1" customWidth="1"/>
    <col min="2636" max="2636" width="5.44140625" style="95" customWidth="1"/>
    <col min="2637" max="2638" width="11.44140625" style="95" hidden="1" customWidth="1"/>
    <col min="2639" max="2639" width="8.44140625" style="95" customWidth="1"/>
    <col min="2640" max="2641" width="11.44140625" style="95" hidden="1" customWidth="1"/>
    <col min="2642" max="2642" width="5.88671875" style="95" customWidth="1"/>
    <col min="2643" max="2644" width="11.44140625" style="95" hidden="1" customWidth="1"/>
    <col min="2645" max="2645" width="5.44140625" style="95" customWidth="1"/>
    <col min="2646" max="2647" width="11.44140625" style="95" hidden="1" customWidth="1"/>
    <col min="2648" max="2648" width="5.44140625" style="95" customWidth="1"/>
    <col min="2649" max="2650" width="11.44140625" style="95" hidden="1" customWidth="1"/>
    <col min="2651" max="2651" width="6" style="95" customWidth="1"/>
    <col min="2652" max="2656" width="11.44140625" style="95" hidden="1" customWidth="1"/>
    <col min="2657" max="2657" width="5" style="95" customWidth="1"/>
    <col min="2658" max="2665" width="11.44140625" style="95" hidden="1" customWidth="1"/>
    <col min="2666" max="2666" width="5" style="95" customWidth="1"/>
    <col min="2667" max="2667" width="11.44140625" style="95" hidden="1" customWidth="1"/>
    <col min="2668" max="2668" width="5" style="95" customWidth="1"/>
    <col min="2669" max="2669" width="9.44140625" style="95" customWidth="1"/>
    <col min="2670" max="2670" width="11.44140625" style="95" hidden="1" customWidth="1"/>
    <col min="2671" max="2671" width="5" style="95" customWidth="1"/>
    <col min="2672" max="2673" width="11.44140625" style="95" hidden="1" customWidth="1"/>
    <col min="2674" max="2674" width="5" style="95" customWidth="1"/>
    <col min="2675" max="2676" width="11.44140625" style="95" hidden="1" customWidth="1"/>
    <col min="2677" max="2677" width="5" style="95" customWidth="1"/>
    <col min="2678" max="2679" width="11.44140625" style="95" hidden="1" customWidth="1"/>
    <col min="2680" max="2680" width="5" style="95" customWidth="1"/>
    <col min="2681" max="2682" width="11.44140625" style="95" hidden="1" customWidth="1"/>
    <col min="2683" max="2683" width="5" style="95" customWidth="1"/>
    <col min="2684" max="2685" width="11.44140625" style="95" hidden="1" customWidth="1"/>
    <col min="2686" max="2686" width="5" style="95" customWidth="1"/>
    <col min="2687" max="2687" width="11.44140625" style="95" hidden="1" customWidth="1"/>
    <col min="2688" max="2688" width="6.44140625" style="95" customWidth="1"/>
    <col min="2689" max="2689" width="11.44140625" style="95" hidden="1" customWidth="1"/>
    <col min="2690" max="2690" width="7.109375" style="95" customWidth="1"/>
    <col min="2691" max="2692" width="11.44140625" style="95" hidden="1" customWidth="1"/>
    <col min="2693" max="2693" width="7.109375" style="95" customWidth="1"/>
    <col min="2694" max="2695" width="11.44140625" style="95" hidden="1" customWidth="1"/>
    <col min="2696" max="2696" width="7.109375" style="95" customWidth="1"/>
    <col min="2697" max="2698" width="11.44140625" style="95" hidden="1" customWidth="1"/>
    <col min="2699" max="2699" width="7.109375" style="95" customWidth="1"/>
    <col min="2700" max="2701" width="11.44140625" style="95" hidden="1" customWidth="1"/>
    <col min="2702" max="2702" width="7.109375" style="95" customWidth="1"/>
    <col min="2703" max="2704" width="11.44140625" style="95" hidden="1" customWidth="1"/>
    <col min="2705" max="2705" width="7.109375" style="95" customWidth="1"/>
    <col min="2706" max="2707" width="11.44140625" style="95" hidden="1" customWidth="1"/>
    <col min="2708" max="2708" width="7.109375" style="95" customWidth="1"/>
    <col min="2709" max="2710" width="11.44140625" style="95" hidden="1" customWidth="1"/>
    <col min="2711" max="2711" width="7.109375" style="95" customWidth="1"/>
    <col min="2712" max="2712" width="11.44140625" style="95" hidden="1" customWidth="1"/>
    <col min="2713" max="2713" width="6.44140625" style="95" customWidth="1"/>
    <col min="2714" max="2715" width="11.44140625" style="95" hidden="1" customWidth="1"/>
    <col min="2716" max="2716" width="6.88671875" style="95" customWidth="1"/>
    <col min="2717" max="2718" width="11.44140625" style="95" hidden="1" customWidth="1"/>
    <col min="2719" max="2719" width="6.88671875" style="95" customWidth="1"/>
    <col min="2720" max="2721" width="11.44140625" style="95" hidden="1" customWidth="1"/>
    <col min="2722" max="2722" width="6.44140625" style="95" customWidth="1"/>
    <col min="2723" max="2727" width="11.44140625" style="95" hidden="1" customWidth="1"/>
    <col min="2728" max="2728" width="6.44140625" style="95" customWidth="1"/>
    <col min="2729" max="2730" width="11.44140625" style="95" hidden="1" customWidth="1"/>
    <col min="2731" max="2731" width="7.5546875" style="95" customWidth="1"/>
    <col min="2732" max="2732" width="11.44140625" style="95" hidden="1" customWidth="1"/>
    <col min="2733" max="2733" width="9.44140625" style="95" customWidth="1"/>
    <col min="2734" max="2734" width="11.44140625" style="95" hidden="1" customWidth="1"/>
    <col min="2735" max="2735" width="9" style="95" customWidth="1"/>
    <col min="2736" max="2737" width="11.44140625" style="95" hidden="1" customWidth="1"/>
    <col min="2738" max="2738" width="8.5546875" style="95" customWidth="1"/>
    <col min="2739" max="2740" width="11.44140625" style="95" hidden="1" customWidth="1"/>
    <col min="2741" max="2741" width="6.44140625" style="95" customWidth="1"/>
    <col min="2742" max="2743" width="11.44140625" style="95" hidden="1" customWidth="1"/>
    <col min="2744" max="2744" width="7" style="95" customWidth="1"/>
    <col min="2745" max="2746" width="11.44140625" style="95" hidden="1" customWidth="1"/>
    <col min="2747" max="2749" width="7" style="95" customWidth="1"/>
    <col min="2750" max="2751" width="11.44140625" style="95" hidden="1" customWidth="1"/>
    <col min="2752" max="2752" width="7.5546875" style="95" customWidth="1"/>
    <col min="2753" max="2754" width="11.44140625" style="95" hidden="1" customWidth="1"/>
    <col min="2755" max="2755" width="7" style="95" customWidth="1"/>
    <col min="2756" max="2757" width="11.44140625" style="95" hidden="1" customWidth="1"/>
    <col min="2758" max="2758" width="7" style="95" customWidth="1"/>
    <col min="2759" max="2760" width="11.44140625" style="95" hidden="1" customWidth="1"/>
    <col min="2761" max="2761" width="7" style="95" customWidth="1"/>
    <col min="2762" max="2762" width="11.44140625" style="95" hidden="1" customWidth="1"/>
    <col min="2763" max="2763" width="6.44140625" style="95" customWidth="1"/>
    <col min="2764" max="2773" width="11.44140625" style="95" hidden="1" customWidth="1"/>
    <col min="2774" max="2808" width="11.44140625" style="95" hidden="1"/>
    <col min="2809" max="2809" width="41.44140625" style="95" customWidth="1"/>
    <col min="2810" max="2810" width="6.44140625" style="95" customWidth="1"/>
    <col min="2811" max="2811" width="14.6640625" style="95" customWidth="1"/>
    <col min="2812" max="2812" width="11.44140625" style="95" customWidth="1"/>
    <col min="2813" max="2813" width="13" style="95" customWidth="1"/>
    <col min="2814" max="2814" width="25.44140625" style="95" customWidth="1"/>
    <col min="2815" max="2824" width="9.44140625" style="95" customWidth="1"/>
    <col min="2825" max="2825" width="8.88671875" style="95" customWidth="1"/>
    <col min="2826" max="2826" width="9.44140625" style="95" customWidth="1"/>
    <col min="2827" max="2832" width="10.109375" style="95" customWidth="1"/>
    <col min="2833" max="2833" width="6.44140625" style="95" customWidth="1"/>
    <col min="2834" max="2834" width="6.88671875" style="95" customWidth="1"/>
    <col min="2835" max="2836" width="6.5546875" style="95" customWidth="1"/>
    <col min="2837" max="2837" width="6.33203125" style="95" customWidth="1"/>
    <col min="2838" max="2838" width="7.5546875" style="95" customWidth="1"/>
    <col min="2839" max="2839" width="14.5546875" style="95" customWidth="1"/>
    <col min="2840" max="2841" width="11.44140625" style="95" customWidth="1"/>
    <col min="2842" max="2842" width="56.88671875" style="95" customWidth="1"/>
    <col min="2843" max="2843" width="9.109375" style="95" bestFit="1" customWidth="1"/>
    <col min="2844" max="2844" width="26.6640625" style="95" customWidth="1"/>
    <col min="2845" max="2845" width="22.88671875" style="95" customWidth="1"/>
    <col min="2846" max="2846" width="14.6640625" style="95" customWidth="1"/>
    <col min="2847" max="2847" width="5" style="95" customWidth="1"/>
    <col min="2848" max="2849" width="11.44140625" style="95" hidden="1" customWidth="1"/>
    <col min="2850" max="2850" width="5" style="95" customWidth="1"/>
    <col min="2851" max="2852" width="11.44140625" style="95" hidden="1" customWidth="1"/>
    <col min="2853" max="2853" width="5" style="95" customWidth="1"/>
    <col min="2854" max="2855" width="11.44140625" style="95" hidden="1" customWidth="1"/>
    <col min="2856" max="2856" width="5" style="95" customWidth="1"/>
    <col min="2857" max="2858" width="11.44140625" style="95" hidden="1" customWidth="1"/>
    <col min="2859" max="2859" width="5" style="95" customWidth="1"/>
    <col min="2860" max="2861" width="11.44140625" style="95" hidden="1" customWidth="1"/>
    <col min="2862" max="2862" width="5" style="95" customWidth="1"/>
    <col min="2863" max="2864" width="11.44140625" style="95" hidden="1" customWidth="1"/>
    <col min="2865" max="2865" width="6.44140625" style="95" customWidth="1"/>
    <col min="2866" max="2873" width="11.44140625" style="95" hidden="1" customWidth="1"/>
    <col min="2874" max="2874" width="6.88671875" style="95" customWidth="1"/>
    <col min="2875" max="2876" width="11.44140625" style="95" hidden="1" customWidth="1"/>
    <col min="2877" max="2877" width="6.44140625" style="95" customWidth="1"/>
    <col min="2878" max="2879" width="11.44140625" style="95" hidden="1" customWidth="1"/>
    <col min="2880" max="2880" width="5.44140625" style="95" customWidth="1"/>
    <col min="2881" max="2882" width="11.44140625" style="95" hidden="1" customWidth="1"/>
    <col min="2883" max="2883" width="4.88671875" style="95" customWidth="1"/>
    <col min="2884" max="2888" width="11.44140625" style="95" hidden="1" customWidth="1"/>
    <col min="2889" max="2889" width="8.44140625" style="95" customWidth="1"/>
    <col min="2890" max="2891" width="11.44140625" style="95" hidden="1" customWidth="1"/>
    <col min="2892" max="2892" width="5.44140625" style="95" customWidth="1"/>
    <col min="2893" max="2894" width="11.44140625" style="95" hidden="1" customWidth="1"/>
    <col min="2895" max="2895" width="8.44140625" style="95" customWidth="1"/>
    <col min="2896" max="2897" width="11.44140625" style="95" hidden="1" customWidth="1"/>
    <col min="2898" max="2898" width="5.88671875" style="95" customWidth="1"/>
    <col min="2899" max="2900" width="11.44140625" style="95" hidden="1" customWidth="1"/>
    <col min="2901" max="2901" width="5.44140625" style="95" customWidth="1"/>
    <col min="2902" max="2903" width="11.44140625" style="95" hidden="1" customWidth="1"/>
    <col min="2904" max="2904" width="5.44140625" style="95" customWidth="1"/>
    <col min="2905" max="2906" width="11.44140625" style="95" hidden="1" customWidth="1"/>
    <col min="2907" max="2907" width="6" style="95" customWidth="1"/>
    <col min="2908" max="2912" width="11.44140625" style="95" hidden="1" customWidth="1"/>
    <col min="2913" max="2913" width="5" style="95" customWidth="1"/>
    <col min="2914" max="2921" width="11.44140625" style="95" hidden="1" customWidth="1"/>
    <col min="2922" max="2922" width="5" style="95" customWidth="1"/>
    <col min="2923" max="2923" width="11.44140625" style="95" hidden="1" customWidth="1"/>
    <col min="2924" max="2924" width="5" style="95" customWidth="1"/>
    <col min="2925" max="2925" width="9.44140625" style="95" customWidth="1"/>
    <col min="2926" max="2926" width="11.44140625" style="95" hidden="1" customWidth="1"/>
    <col min="2927" max="2927" width="5" style="95" customWidth="1"/>
    <col min="2928" max="2929" width="11.44140625" style="95" hidden="1" customWidth="1"/>
    <col min="2930" max="2930" width="5" style="95" customWidth="1"/>
    <col min="2931" max="2932" width="11.44140625" style="95" hidden="1" customWidth="1"/>
    <col min="2933" max="2933" width="5" style="95" customWidth="1"/>
    <col min="2934" max="2935" width="11.44140625" style="95" hidden="1" customWidth="1"/>
    <col min="2936" max="2936" width="5" style="95" customWidth="1"/>
    <col min="2937" max="2938" width="11.44140625" style="95" hidden="1" customWidth="1"/>
    <col min="2939" max="2939" width="5" style="95" customWidth="1"/>
    <col min="2940" max="2941" width="11.44140625" style="95" hidden="1" customWidth="1"/>
    <col min="2942" max="2942" width="5" style="95" customWidth="1"/>
    <col min="2943" max="2943" width="11.44140625" style="95" hidden="1" customWidth="1"/>
    <col min="2944" max="2944" width="6.44140625" style="95" customWidth="1"/>
    <col min="2945" max="2945" width="11.44140625" style="95" hidden="1" customWidth="1"/>
    <col min="2946" max="2946" width="7.109375" style="95" customWidth="1"/>
    <col min="2947" max="2948" width="11.44140625" style="95" hidden="1" customWidth="1"/>
    <col min="2949" max="2949" width="7.109375" style="95" customWidth="1"/>
    <col min="2950" max="2951" width="11.44140625" style="95" hidden="1" customWidth="1"/>
    <col min="2952" max="2952" width="7.109375" style="95" customWidth="1"/>
    <col min="2953" max="2954" width="11.44140625" style="95" hidden="1" customWidth="1"/>
    <col min="2955" max="2955" width="7.109375" style="95" customWidth="1"/>
    <col min="2956" max="2957" width="11.44140625" style="95" hidden="1" customWidth="1"/>
    <col min="2958" max="2958" width="7.109375" style="95" customWidth="1"/>
    <col min="2959" max="2960" width="11.44140625" style="95" hidden="1" customWidth="1"/>
    <col min="2961" max="2961" width="7.109375" style="95" customWidth="1"/>
    <col min="2962" max="2963" width="11.44140625" style="95" hidden="1" customWidth="1"/>
    <col min="2964" max="2964" width="7.109375" style="95" customWidth="1"/>
    <col min="2965" max="2966" width="11.44140625" style="95" hidden="1" customWidth="1"/>
    <col min="2967" max="2967" width="7.109375" style="95" customWidth="1"/>
    <col min="2968" max="2968" width="11.44140625" style="95" hidden="1" customWidth="1"/>
    <col min="2969" max="2969" width="6.44140625" style="95" customWidth="1"/>
    <col min="2970" max="2971" width="11.44140625" style="95" hidden="1" customWidth="1"/>
    <col min="2972" max="2972" width="6.88671875" style="95" customWidth="1"/>
    <col min="2973" max="2974" width="11.44140625" style="95" hidden="1" customWidth="1"/>
    <col min="2975" max="2975" width="6.88671875" style="95" customWidth="1"/>
    <col min="2976" max="2977" width="11.44140625" style="95" hidden="1" customWidth="1"/>
    <col min="2978" max="2978" width="6.44140625" style="95" customWidth="1"/>
    <col min="2979" max="2983" width="11.44140625" style="95" hidden="1" customWidth="1"/>
    <col min="2984" max="2984" width="6.44140625" style="95" customWidth="1"/>
    <col min="2985" max="2986" width="11.44140625" style="95" hidden="1" customWidth="1"/>
    <col min="2987" max="2987" width="7.5546875" style="95" customWidth="1"/>
    <col min="2988" max="2988" width="11.44140625" style="95" hidden="1" customWidth="1"/>
    <col min="2989" max="2989" width="9.44140625" style="95" customWidth="1"/>
    <col min="2990" max="2990" width="11.44140625" style="95" hidden="1" customWidth="1"/>
    <col min="2991" max="2991" width="9" style="95" customWidth="1"/>
    <col min="2992" max="2993" width="11.44140625" style="95" hidden="1" customWidth="1"/>
    <col min="2994" max="2994" width="8.5546875" style="95" customWidth="1"/>
    <col min="2995" max="2996" width="11.44140625" style="95" hidden="1" customWidth="1"/>
    <col min="2997" max="2997" width="6.44140625" style="95" customWidth="1"/>
    <col min="2998" max="2999" width="11.44140625" style="95" hidden="1" customWidth="1"/>
    <col min="3000" max="3000" width="7" style="95" customWidth="1"/>
    <col min="3001" max="3002" width="11.44140625" style="95" hidden="1" customWidth="1"/>
    <col min="3003" max="3005" width="7" style="95" customWidth="1"/>
    <col min="3006" max="3007" width="11.44140625" style="95" hidden="1" customWidth="1"/>
    <col min="3008" max="3008" width="7.5546875" style="95" customWidth="1"/>
    <col min="3009" max="3010" width="11.44140625" style="95" hidden="1" customWidth="1"/>
    <col min="3011" max="3011" width="7" style="95" customWidth="1"/>
    <col min="3012" max="3013" width="11.44140625" style="95" hidden="1" customWidth="1"/>
    <col min="3014" max="3014" width="7" style="95" customWidth="1"/>
    <col min="3015" max="3016" width="11.44140625" style="95" hidden="1" customWidth="1"/>
    <col min="3017" max="3017" width="7" style="95" customWidth="1"/>
    <col min="3018" max="3018" width="11.44140625" style="95" hidden="1" customWidth="1"/>
    <col min="3019" max="3019" width="6.44140625" style="95" customWidth="1"/>
    <col min="3020" max="3029" width="11.44140625" style="95" hidden="1" customWidth="1"/>
    <col min="3030" max="3064" width="11.44140625" style="95" hidden="1"/>
    <col min="3065" max="3065" width="41.44140625" style="95" customWidth="1"/>
    <col min="3066" max="3066" width="6.44140625" style="95" customWidth="1"/>
    <col min="3067" max="3067" width="14.6640625" style="95" customWidth="1"/>
    <col min="3068" max="3068" width="11.44140625" style="95" customWidth="1"/>
    <col min="3069" max="3069" width="13" style="95" customWidth="1"/>
    <col min="3070" max="3070" width="25.44140625" style="95" customWidth="1"/>
    <col min="3071" max="3080" width="9.44140625" style="95" customWidth="1"/>
    <col min="3081" max="3081" width="8.88671875" style="95" customWidth="1"/>
    <col min="3082" max="3082" width="9.44140625" style="95" customWidth="1"/>
    <col min="3083" max="3088" width="10.109375" style="95" customWidth="1"/>
    <col min="3089" max="3089" width="6.44140625" style="95" customWidth="1"/>
    <col min="3090" max="3090" width="6.88671875" style="95" customWidth="1"/>
    <col min="3091" max="3092" width="6.5546875" style="95" customWidth="1"/>
    <col min="3093" max="3093" width="6.33203125" style="95" customWidth="1"/>
    <col min="3094" max="3094" width="7.5546875" style="95" customWidth="1"/>
    <col min="3095" max="3095" width="14.5546875" style="95" customWidth="1"/>
    <col min="3096" max="3097" width="11.44140625" style="95" customWidth="1"/>
    <col min="3098" max="3098" width="56.88671875" style="95" customWidth="1"/>
    <col min="3099" max="3099" width="9.109375" style="95" bestFit="1" customWidth="1"/>
    <col min="3100" max="3100" width="26.6640625" style="95" customWidth="1"/>
    <col min="3101" max="3101" width="22.88671875" style="95" customWidth="1"/>
    <col min="3102" max="3102" width="14.6640625" style="95" customWidth="1"/>
    <col min="3103" max="3103" width="5" style="95" customWidth="1"/>
    <col min="3104" max="3105" width="11.44140625" style="95" hidden="1" customWidth="1"/>
    <col min="3106" max="3106" width="5" style="95" customWidth="1"/>
    <col min="3107" max="3108" width="11.44140625" style="95" hidden="1" customWidth="1"/>
    <col min="3109" max="3109" width="5" style="95" customWidth="1"/>
    <col min="3110" max="3111" width="11.44140625" style="95" hidden="1" customWidth="1"/>
    <col min="3112" max="3112" width="5" style="95" customWidth="1"/>
    <col min="3113" max="3114" width="11.44140625" style="95" hidden="1" customWidth="1"/>
    <col min="3115" max="3115" width="5" style="95" customWidth="1"/>
    <col min="3116" max="3117" width="11.44140625" style="95" hidden="1" customWidth="1"/>
    <col min="3118" max="3118" width="5" style="95" customWidth="1"/>
    <col min="3119" max="3120" width="11.44140625" style="95" hidden="1" customWidth="1"/>
    <col min="3121" max="3121" width="6.44140625" style="95" customWidth="1"/>
    <col min="3122" max="3129" width="11.44140625" style="95" hidden="1" customWidth="1"/>
    <col min="3130" max="3130" width="6.88671875" style="95" customWidth="1"/>
    <col min="3131" max="3132" width="11.44140625" style="95" hidden="1" customWidth="1"/>
    <col min="3133" max="3133" width="6.44140625" style="95" customWidth="1"/>
    <col min="3134" max="3135" width="11.44140625" style="95" hidden="1" customWidth="1"/>
    <col min="3136" max="3136" width="5.44140625" style="95" customWidth="1"/>
    <col min="3137" max="3138" width="11.44140625" style="95" hidden="1" customWidth="1"/>
    <col min="3139" max="3139" width="4.88671875" style="95" customWidth="1"/>
    <col min="3140" max="3144" width="11.44140625" style="95" hidden="1" customWidth="1"/>
    <col min="3145" max="3145" width="8.44140625" style="95" customWidth="1"/>
    <col min="3146" max="3147" width="11.44140625" style="95" hidden="1" customWidth="1"/>
    <col min="3148" max="3148" width="5.44140625" style="95" customWidth="1"/>
    <col min="3149" max="3150" width="11.44140625" style="95" hidden="1" customWidth="1"/>
    <col min="3151" max="3151" width="8.44140625" style="95" customWidth="1"/>
    <col min="3152" max="3153" width="11.44140625" style="95" hidden="1" customWidth="1"/>
    <col min="3154" max="3154" width="5.88671875" style="95" customWidth="1"/>
    <col min="3155" max="3156" width="11.44140625" style="95" hidden="1" customWidth="1"/>
    <col min="3157" max="3157" width="5.44140625" style="95" customWidth="1"/>
    <col min="3158" max="3159" width="11.44140625" style="95" hidden="1" customWidth="1"/>
    <col min="3160" max="3160" width="5.44140625" style="95" customWidth="1"/>
    <col min="3161" max="3162" width="11.44140625" style="95" hidden="1" customWidth="1"/>
    <col min="3163" max="3163" width="6" style="95" customWidth="1"/>
    <col min="3164" max="3168" width="11.44140625" style="95" hidden="1" customWidth="1"/>
    <col min="3169" max="3169" width="5" style="95" customWidth="1"/>
    <col min="3170" max="3177" width="11.44140625" style="95" hidden="1" customWidth="1"/>
    <col min="3178" max="3178" width="5" style="95" customWidth="1"/>
    <col min="3179" max="3179" width="11.44140625" style="95" hidden="1" customWidth="1"/>
    <col min="3180" max="3180" width="5" style="95" customWidth="1"/>
    <col min="3181" max="3181" width="9.44140625" style="95" customWidth="1"/>
    <col min="3182" max="3182" width="11.44140625" style="95" hidden="1" customWidth="1"/>
    <col min="3183" max="3183" width="5" style="95" customWidth="1"/>
    <col min="3184" max="3185" width="11.44140625" style="95" hidden="1" customWidth="1"/>
    <col min="3186" max="3186" width="5" style="95" customWidth="1"/>
    <col min="3187" max="3188" width="11.44140625" style="95" hidden="1" customWidth="1"/>
    <col min="3189" max="3189" width="5" style="95" customWidth="1"/>
    <col min="3190" max="3191" width="11.44140625" style="95" hidden="1" customWidth="1"/>
    <col min="3192" max="3192" width="5" style="95" customWidth="1"/>
    <col min="3193" max="3194" width="11.44140625" style="95" hidden="1" customWidth="1"/>
    <col min="3195" max="3195" width="5" style="95" customWidth="1"/>
    <col min="3196" max="3197" width="11.44140625" style="95" hidden="1" customWidth="1"/>
    <col min="3198" max="3198" width="5" style="95" customWidth="1"/>
    <col min="3199" max="3199" width="11.44140625" style="95" hidden="1" customWidth="1"/>
    <col min="3200" max="3200" width="6.44140625" style="95" customWidth="1"/>
    <col min="3201" max="3201" width="11.44140625" style="95" hidden="1" customWidth="1"/>
    <col min="3202" max="3202" width="7.109375" style="95" customWidth="1"/>
    <col min="3203" max="3204" width="11.44140625" style="95" hidden="1" customWidth="1"/>
    <col min="3205" max="3205" width="7.109375" style="95" customWidth="1"/>
    <col min="3206" max="3207" width="11.44140625" style="95" hidden="1" customWidth="1"/>
    <col min="3208" max="3208" width="7.109375" style="95" customWidth="1"/>
    <col min="3209" max="3210" width="11.44140625" style="95" hidden="1" customWidth="1"/>
    <col min="3211" max="3211" width="7.109375" style="95" customWidth="1"/>
    <col min="3212" max="3213" width="11.44140625" style="95" hidden="1" customWidth="1"/>
    <col min="3214" max="3214" width="7.109375" style="95" customWidth="1"/>
    <col min="3215" max="3216" width="11.44140625" style="95" hidden="1" customWidth="1"/>
    <col min="3217" max="3217" width="7.109375" style="95" customWidth="1"/>
    <col min="3218" max="3219" width="11.44140625" style="95" hidden="1" customWidth="1"/>
    <col min="3220" max="3220" width="7.109375" style="95" customWidth="1"/>
    <col min="3221" max="3222" width="11.44140625" style="95" hidden="1" customWidth="1"/>
    <col min="3223" max="3223" width="7.109375" style="95" customWidth="1"/>
    <col min="3224" max="3224" width="11.44140625" style="95" hidden="1" customWidth="1"/>
    <col min="3225" max="3225" width="6.44140625" style="95" customWidth="1"/>
    <col min="3226" max="3227" width="11.44140625" style="95" hidden="1" customWidth="1"/>
    <col min="3228" max="3228" width="6.88671875" style="95" customWidth="1"/>
    <col min="3229" max="3230" width="11.44140625" style="95" hidden="1" customWidth="1"/>
    <col min="3231" max="3231" width="6.88671875" style="95" customWidth="1"/>
    <col min="3232" max="3233" width="11.44140625" style="95" hidden="1" customWidth="1"/>
    <col min="3234" max="3234" width="6.44140625" style="95" customWidth="1"/>
    <col min="3235" max="3239" width="11.44140625" style="95" hidden="1" customWidth="1"/>
    <col min="3240" max="3240" width="6.44140625" style="95" customWidth="1"/>
    <col min="3241" max="3242" width="11.44140625" style="95" hidden="1" customWidth="1"/>
    <col min="3243" max="3243" width="7.5546875" style="95" customWidth="1"/>
    <col min="3244" max="3244" width="11.44140625" style="95" hidden="1" customWidth="1"/>
    <col min="3245" max="3245" width="9.44140625" style="95" customWidth="1"/>
    <col min="3246" max="3246" width="11.44140625" style="95" hidden="1" customWidth="1"/>
    <col min="3247" max="3247" width="9" style="95" customWidth="1"/>
    <col min="3248" max="3249" width="11.44140625" style="95" hidden="1" customWidth="1"/>
    <col min="3250" max="3250" width="8.5546875" style="95" customWidth="1"/>
    <col min="3251" max="3252" width="11.44140625" style="95" hidden="1" customWidth="1"/>
    <col min="3253" max="3253" width="6.44140625" style="95" customWidth="1"/>
    <col min="3254" max="3255" width="11.44140625" style="95" hidden="1" customWidth="1"/>
    <col min="3256" max="3256" width="7" style="95" customWidth="1"/>
    <col min="3257" max="3258" width="11.44140625" style="95" hidden="1" customWidth="1"/>
    <col min="3259" max="3261" width="7" style="95" customWidth="1"/>
    <col min="3262" max="3263" width="11.44140625" style="95" hidden="1" customWidth="1"/>
    <col min="3264" max="3264" width="7.5546875" style="95" customWidth="1"/>
    <col min="3265" max="3266" width="11.44140625" style="95" hidden="1" customWidth="1"/>
    <col min="3267" max="3267" width="7" style="95" customWidth="1"/>
    <col min="3268" max="3269" width="11.44140625" style="95" hidden="1" customWidth="1"/>
    <col min="3270" max="3270" width="7" style="95" customWidth="1"/>
    <col min="3271" max="3272" width="11.44140625" style="95" hidden="1" customWidth="1"/>
    <col min="3273" max="3273" width="7" style="95" customWidth="1"/>
    <col min="3274" max="3274" width="11.44140625" style="95" hidden="1" customWidth="1"/>
    <col min="3275" max="3275" width="6.44140625" style="95" customWidth="1"/>
    <col min="3276" max="3285" width="11.44140625" style="95" hidden="1" customWidth="1"/>
    <col min="3286" max="3320" width="11.44140625" style="95" hidden="1"/>
    <col min="3321" max="3321" width="41.44140625" style="95" customWidth="1"/>
    <col min="3322" max="3322" width="6.44140625" style="95" customWidth="1"/>
    <col min="3323" max="3323" width="14.6640625" style="95" customWidth="1"/>
    <col min="3324" max="3324" width="11.44140625" style="95" customWidth="1"/>
    <col min="3325" max="3325" width="13" style="95" customWidth="1"/>
    <col min="3326" max="3326" width="25.44140625" style="95" customWidth="1"/>
    <col min="3327" max="3336" width="9.44140625" style="95" customWidth="1"/>
    <col min="3337" max="3337" width="8.88671875" style="95" customWidth="1"/>
    <col min="3338" max="3338" width="9.44140625" style="95" customWidth="1"/>
    <col min="3339" max="3344" width="10.109375" style="95" customWidth="1"/>
    <col min="3345" max="3345" width="6.44140625" style="95" customWidth="1"/>
    <col min="3346" max="3346" width="6.88671875" style="95" customWidth="1"/>
    <col min="3347" max="3348" width="6.5546875" style="95" customWidth="1"/>
    <col min="3349" max="3349" width="6.33203125" style="95" customWidth="1"/>
    <col min="3350" max="3350" width="7.5546875" style="95" customWidth="1"/>
    <col min="3351" max="3351" width="14.5546875" style="95" customWidth="1"/>
    <col min="3352" max="3353" width="11.44140625" style="95" customWidth="1"/>
    <col min="3354" max="3354" width="56.88671875" style="95" customWidth="1"/>
    <col min="3355" max="3355" width="9.109375" style="95" bestFit="1" customWidth="1"/>
    <col min="3356" max="3356" width="26.6640625" style="95" customWidth="1"/>
    <col min="3357" max="3357" width="22.88671875" style="95" customWidth="1"/>
    <col min="3358" max="3358" width="14.6640625" style="95" customWidth="1"/>
    <col min="3359" max="3359" width="5" style="95" customWidth="1"/>
    <col min="3360" max="3361" width="11.44140625" style="95" hidden="1" customWidth="1"/>
    <col min="3362" max="3362" width="5" style="95" customWidth="1"/>
    <col min="3363" max="3364" width="11.44140625" style="95" hidden="1" customWidth="1"/>
    <col min="3365" max="3365" width="5" style="95" customWidth="1"/>
    <col min="3366" max="3367" width="11.44140625" style="95" hidden="1" customWidth="1"/>
    <col min="3368" max="3368" width="5" style="95" customWidth="1"/>
    <col min="3369" max="3370" width="11.44140625" style="95" hidden="1" customWidth="1"/>
    <col min="3371" max="3371" width="5" style="95" customWidth="1"/>
    <col min="3372" max="3373" width="11.44140625" style="95" hidden="1" customWidth="1"/>
    <col min="3374" max="3374" width="5" style="95" customWidth="1"/>
    <col min="3375" max="3376" width="11.44140625" style="95" hidden="1" customWidth="1"/>
    <col min="3377" max="3377" width="6.44140625" style="95" customWidth="1"/>
    <col min="3378" max="3385" width="11.44140625" style="95" hidden="1" customWidth="1"/>
    <col min="3386" max="3386" width="6.88671875" style="95" customWidth="1"/>
    <col min="3387" max="3388" width="11.44140625" style="95" hidden="1" customWidth="1"/>
    <col min="3389" max="3389" width="6.44140625" style="95" customWidth="1"/>
    <col min="3390" max="3391" width="11.44140625" style="95" hidden="1" customWidth="1"/>
    <col min="3392" max="3392" width="5.44140625" style="95" customWidth="1"/>
    <col min="3393" max="3394" width="11.44140625" style="95" hidden="1" customWidth="1"/>
    <col min="3395" max="3395" width="4.88671875" style="95" customWidth="1"/>
    <col min="3396" max="3400" width="11.44140625" style="95" hidden="1" customWidth="1"/>
    <col min="3401" max="3401" width="8.44140625" style="95" customWidth="1"/>
    <col min="3402" max="3403" width="11.44140625" style="95" hidden="1" customWidth="1"/>
    <col min="3404" max="3404" width="5.44140625" style="95" customWidth="1"/>
    <col min="3405" max="3406" width="11.44140625" style="95" hidden="1" customWidth="1"/>
    <col min="3407" max="3407" width="8.44140625" style="95" customWidth="1"/>
    <col min="3408" max="3409" width="11.44140625" style="95" hidden="1" customWidth="1"/>
    <col min="3410" max="3410" width="5.88671875" style="95" customWidth="1"/>
    <col min="3411" max="3412" width="11.44140625" style="95" hidden="1" customWidth="1"/>
    <col min="3413" max="3413" width="5.44140625" style="95" customWidth="1"/>
    <col min="3414" max="3415" width="11.44140625" style="95" hidden="1" customWidth="1"/>
    <col min="3416" max="3416" width="5.44140625" style="95" customWidth="1"/>
    <col min="3417" max="3418" width="11.44140625" style="95" hidden="1" customWidth="1"/>
    <col min="3419" max="3419" width="6" style="95" customWidth="1"/>
    <col min="3420" max="3424" width="11.44140625" style="95" hidden="1" customWidth="1"/>
    <col min="3425" max="3425" width="5" style="95" customWidth="1"/>
    <col min="3426" max="3433" width="11.44140625" style="95" hidden="1" customWidth="1"/>
    <col min="3434" max="3434" width="5" style="95" customWidth="1"/>
    <col min="3435" max="3435" width="11.44140625" style="95" hidden="1" customWidth="1"/>
    <col min="3436" max="3436" width="5" style="95" customWidth="1"/>
    <col min="3437" max="3437" width="9.44140625" style="95" customWidth="1"/>
    <col min="3438" max="3438" width="11.44140625" style="95" hidden="1" customWidth="1"/>
    <col min="3439" max="3439" width="5" style="95" customWidth="1"/>
    <col min="3440" max="3441" width="11.44140625" style="95" hidden="1" customWidth="1"/>
    <col min="3442" max="3442" width="5" style="95" customWidth="1"/>
    <col min="3443" max="3444" width="11.44140625" style="95" hidden="1" customWidth="1"/>
    <col min="3445" max="3445" width="5" style="95" customWidth="1"/>
    <col min="3446" max="3447" width="11.44140625" style="95" hidden="1" customWidth="1"/>
    <col min="3448" max="3448" width="5" style="95" customWidth="1"/>
    <col min="3449" max="3450" width="11.44140625" style="95" hidden="1" customWidth="1"/>
    <col min="3451" max="3451" width="5" style="95" customWidth="1"/>
    <col min="3452" max="3453" width="11.44140625" style="95" hidden="1" customWidth="1"/>
    <col min="3454" max="3454" width="5" style="95" customWidth="1"/>
    <col min="3455" max="3455" width="11.44140625" style="95" hidden="1" customWidth="1"/>
    <col min="3456" max="3456" width="6.44140625" style="95" customWidth="1"/>
    <col min="3457" max="3457" width="11.44140625" style="95" hidden="1" customWidth="1"/>
    <col min="3458" max="3458" width="7.109375" style="95" customWidth="1"/>
    <col min="3459" max="3460" width="11.44140625" style="95" hidden="1" customWidth="1"/>
    <col min="3461" max="3461" width="7.109375" style="95" customWidth="1"/>
    <col min="3462" max="3463" width="11.44140625" style="95" hidden="1" customWidth="1"/>
    <col min="3464" max="3464" width="7.109375" style="95" customWidth="1"/>
    <col min="3465" max="3466" width="11.44140625" style="95" hidden="1" customWidth="1"/>
    <col min="3467" max="3467" width="7.109375" style="95" customWidth="1"/>
    <col min="3468" max="3469" width="11.44140625" style="95" hidden="1" customWidth="1"/>
    <col min="3470" max="3470" width="7.109375" style="95" customWidth="1"/>
    <col min="3471" max="3472" width="11.44140625" style="95" hidden="1" customWidth="1"/>
    <col min="3473" max="3473" width="7.109375" style="95" customWidth="1"/>
    <col min="3474" max="3475" width="11.44140625" style="95" hidden="1" customWidth="1"/>
    <col min="3476" max="3476" width="7.109375" style="95" customWidth="1"/>
    <col min="3477" max="3478" width="11.44140625" style="95" hidden="1" customWidth="1"/>
    <col min="3479" max="3479" width="7.109375" style="95" customWidth="1"/>
    <col min="3480" max="3480" width="11.44140625" style="95" hidden="1" customWidth="1"/>
    <col min="3481" max="3481" width="6.44140625" style="95" customWidth="1"/>
    <col min="3482" max="3483" width="11.44140625" style="95" hidden="1" customWidth="1"/>
    <col min="3484" max="3484" width="6.88671875" style="95" customWidth="1"/>
    <col min="3485" max="3486" width="11.44140625" style="95" hidden="1" customWidth="1"/>
    <col min="3487" max="3487" width="6.88671875" style="95" customWidth="1"/>
    <col min="3488" max="3489" width="11.44140625" style="95" hidden="1" customWidth="1"/>
    <col min="3490" max="3490" width="6.44140625" style="95" customWidth="1"/>
    <col min="3491" max="3495" width="11.44140625" style="95" hidden="1" customWidth="1"/>
    <col min="3496" max="3496" width="6.44140625" style="95" customWidth="1"/>
    <col min="3497" max="3498" width="11.44140625" style="95" hidden="1" customWidth="1"/>
    <col min="3499" max="3499" width="7.5546875" style="95" customWidth="1"/>
    <col min="3500" max="3500" width="11.44140625" style="95" hidden="1" customWidth="1"/>
    <col min="3501" max="3501" width="9.44140625" style="95" customWidth="1"/>
    <col min="3502" max="3502" width="11.44140625" style="95" hidden="1" customWidth="1"/>
    <col min="3503" max="3503" width="9" style="95" customWidth="1"/>
    <col min="3504" max="3505" width="11.44140625" style="95" hidden="1" customWidth="1"/>
    <col min="3506" max="3506" width="8.5546875" style="95" customWidth="1"/>
    <col min="3507" max="3508" width="11.44140625" style="95" hidden="1" customWidth="1"/>
    <col min="3509" max="3509" width="6.44140625" style="95" customWidth="1"/>
    <col min="3510" max="3511" width="11.44140625" style="95" hidden="1" customWidth="1"/>
    <col min="3512" max="3512" width="7" style="95" customWidth="1"/>
    <col min="3513" max="3514" width="11.44140625" style="95" hidden="1" customWidth="1"/>
    <col min="3515" max="3517" width="7" style="95" customWidth="1"/>
    <col min="3518" max="3519" width="11.44140625" style="95" hidden="1" customWidth="1"/>
    <col min="3520" max="3520" width="7.5546875" style="95" customWidth="1"/>
    <col min="3521" max="3522" width="11.44140625" style="95" hidden="1" customWidth="1"/>
    <col min="3523" max="3523" width="7" style="95" customWidth="1"/>
    <col min="3524" max="3525" width="11.44140625" style="95" hidden="1" customWidth="1"/>
    <col min="3526" max="3526" width="7" style="95" customWidth="1"/>
    <col min="3527" max="3528" width="11.44140625" style="95" hidden="1" customWidth="1"/>
    <col min="3529" max="3529" width="7" style="95" customWidth="1"/>
    <col min="3530" max="3530" width="11.44140625" style="95" hidden="1" customWidth="1"/>
    <col min="3531" max="3531" width="6.44140625" style="95" customWidth="1"/>
    <col min="3532" max="3541" width="11.44140625" style="95" hidden="1" customWidth="1"/>
    <col min="3542" max="3576" width="11.44140625" style="95" hidden="1"/>
    <col min="3577" max="3577" width="41.44140625" style="95" customWidth="1"/>
    <col min="3578" max="3578" width="6.44140625" style="95" customWidth="1"/>
    <col min="3579" max="3579" width="14.6640625" style="95" customWidth="1"/>
    <col min="3580" max="3580" width="11.44140625" style="95" customWidth="1"/>
    <col min="3581" max="3581" width="13" style="95" customWidth="1"/>
    <col min="3582" max="3582" width="25.44140625" style="95" customWidth="1"/>
    <col min="3583" max="3592" width="9.44140625" style="95" customWidth="1"/>
    <col min="3593" max="3593" width="8.88671875" style="95" customWidth="1"/>
    <col min="3594" max="3594" width="9.44140625" style="95" customWidth="1"/>
    <col min="3595" max="3600" width="10.109375" style="95" customWidth="1"/>
    <col min="3601" max="3601" width="6.44140625" style="95" customWidth="1"/>
    <col min="3602" max="3602" width="6.88671875" style="95" customWidth="1"/>
    <col min="3603" max="3604" width="6.5546875" style="95" customWidth="1"/>
    <col min="3605" max="3605" width="6.33203125" style="95" customWidth="1"/>
    <col min="3606" max="3606" width="7.5546875" style="95" customWidth="1"/>
    <col min="3607" max="3607" width="14.5546875" style="95" customWidth="1"/>
    <col min="3608" max="3609" width="11.44140625" style="95" customWidth="1"/>
    <col min="3610" max="3610" width="56.88671875" style="95" customWidth="1"/>
    <col min="3611" max="3611" width="9.109375" style="95" bestFit="1" customWidth="1"/>
    <col min="3612" max="3612" width="26.6640625" style="95" customWidth="1"/>
    <col min="3613" max="3613" width="22.88671875" style="95" customWidth="1"/>
    <col min="3614" max="3614" width="14.6640625" style="95" customWidth="1"/>
    <col min="3615" max="3615" width="5" style="95" customWidth="1"/>
    <col min="3616" max="3617" width="11.44140625" style="95" hidden="1" customWidth="1"/>
    <col min="3618" max="3618" width="5" style="95" customWidth="1"/>
    <col min="3619" max="3620" width="11.44140625" style="95" hidden="1" customWidth="1"/>
    <col min="3621" max="3621" width="5" style="95" customWidth="1"/>
    <col min="3622" max="3623" width="11.44140625" style="95" hidden="1" customWidth="1"/>
    <col min="3624" max="3624" width="5" style="95" customWidth="1"/>
    <col min="3625" max="3626" width="11.44140625" style="95" hidden="1" customWidth="1"/>
    <col min="3627" max="3627" width="5" style="95" customWidth="1"/>
    <col min="3628" max="3629" width="11.44140625" style="95" hidden="1" customWidth="1"/>
    <col min="3630" max="3630" width="5" style="95" customWidth="1"/>
    <col min="3631" max="3632" width="11.44140625" style="95" hidden="1" customWidth="1"/>
    <col min="3633" max="3633" width="6.44140625" style="95" customWidth="1"/>
    <col min="3634" max="3641" width="11.44140625" style="95" hidden="1" customWidth="1"/>
    <col min="3642" max="3642" width="6.88671875" style="95" customWidth="1"/>
    <col min="3643" max="3644" width="11.44140625" style="95" hidden="1" customWidth="1"/>
    <col min="3645" max="3645" width="6.44140625" style="95" customWidth="1"/>
    <col min="3646" max="3647" width="11.44140625" style="95" hidden="1" customWidth="1"/>
    <col min="3648" max="3648" width="5.44140625" style="95" customWidth="1"/>
    <col min="3649" max="3650" width="11.44140625" style="95" hidden="1" customWidth="1"/>
    <col min="3651" max="3651" width="4.88671875" style="95" customWidth="1"/>
    <col min="3652" max="3656" width="11.44140625" style="95" hidden="1" customWidth="1"/>
    <col min="3657" max="3657" width="8.44140625" style="95" customWidth="1"/>
    <col min="3658" max="3659" width="11.44140625" style="95" hidden="1" customWidth="1"/>
    <col min="3660" max="3660" width="5.44140625" style="95" customWidth="1"/>
    <col min="3661" max="3662" width="11.44140625" style="95" hidden="1" customWidth="1"/>
    <col min="3663" max="3663" width="8.44140625" style="95" customWidth="1"/>
    <col min="3664" max="3665" width="11.44140625" style="95" hidden="1" customWidth="1"/>
    <col min="3666" max="3666" width="5.88671875" style="95" customWidth="1"/>
    <col min="3667" max="3668" width="11.44140625" style="95" hidden="1" customWidth="1"/>
    <col min="3669" max="3669" width="5.44140625" style="95" customWidth="1"/>
    <col min="3670" max="3671" width="11.44140625" style="95" hidden="1" customWidth="1"/>
    <col min="3672" max="3672" width="5.44140625" style="95" customWidth="1"/>
    <col min="3673" max="3674" width="11.44140625" style="95" hidden="1" customWidth="1"/>
    <col min="3675" max="3675" width="6" style="95" customWidth="1"/>
    <col min="3676" max="3680" width="11.44140625" style="95" hidden="1" customWidth="1"/>
    <col min="3681" max="3681" width="5" style="95" customWidth="1"/>
    <col min="3682" max="3689" width="11.44140625" style="95" hidden="1" customWidth="1"/>
    <col min="3690" max="3690" width="5" style="95" customWidth="1"/>
    <col min="3691" max="3691" width="11.44140625" style="95" hidden="1" customWidth="1"/>
    <col min="3692" max="3692" width="5" style="95" customWidth="1"/>
    <col min="3693" max="3693" width="9.44140625" style="95" customWidth="1"/>
    <col min="3694" max="3694" width="11.44140625" style="95" hidden="1" customWidth="1"/>
    <col min="3695" max="3695" width="5" style="95" customWidth="1"/>
    <col min="3696" max="3697" width="11.44140625" style="95" hidden="1" customWidth="1"/>
    <col min="3698" max="3698" width="5" style="95" customWidth="1"/>
    <col min="3699" max="3700" width="11.44140625" style="95" hidden="1" customWidth="1"/>
    <col min="3701" max="3701" width="5" style="95" customWidth="1"/>
    <col min="3702" max="3703" width="11.44140625" style="95" hidden="1" customWidth="1"/>
    <col min="3704" max="3704" width="5" style="95" customWidth="1"/>
    <col min="3705" max="3706" width="11.44140625" style="95" hidden="1" customWidth="1"/>
    <col min="3707" max="3707" width="5" style="95" customWidth="1"/>
    <col min="3708" max="3709" width="11.44140625" style="95" hidden="1" customWidth="1"/>
    <col min="3710" max="3710" width="5" style="95" customWidth="1"/>
    <col min="3711" max="3711" width="11.44140625" style="95" hidden="1" customWidth="1"/>
    <col min="3712" max="3712" width="6.44140625" style="95" customWidth="1"/>
    <col min="3713" max="3713" width="11.44140625" style="95" hidden="1" customWidth="1"/>
    <col min="3714" max="3714" width="7.109375" style="95" customWidth="1"/>
    <col min="3715" max="3716" width="11.44140625" style="95" hidden="1" customWidth="1"/>
    <col min="3717" max="3717" width="7.109375" style="95" customWidth="1"/>
    <col min="3718" max="3719" width="11.44140625" style="95" hidden="1" customWidth="1"/>
    <col min="3720" max="3720" width="7.109375" style="95" customWidth="1"/>
    <col min="3721" max="3722" width="11.44140625" style="95" hidden="1" customWidth="1"/>
    <col min="3723" max="3723" width="7.109375" style="95" customWidth="1"/>
    <col min="3724" max="3725" width="11.44140625" style="95" hidden="1" customWidth="1"/>
    <col min="3726" max="3726" width="7.109375" style="95" customWidth="1"/>
    <col min="3727" max="3728" width="11.44140625" style="95" hidden="1" customWidth="1"/>
    <col min="3729" max="3729" width="7.109375" style="95" customWidth="1"/>
    <col min="3730" max="3731" width="11.44140625" style="95" hidden="1" customWidth="1"/>
    <col min="3732" max="3732" width="7.109375" style="95" customWidth="1"/>
    <col min="3733" max="3734" width="11.44140625" style="95" hidden="1" customWidth="1"/>
    <col min="3735" max="3735" width="7.109375" style="95" customWidth="1"/>
    <col min="3736" max="3736" width="11.44140625" style="95" hidden="1" customWidth="1"/>
    <col min="3737" max="3737" width="6.44140625" style="95" customWidth="1"/>
    <col min="3738" max="3739" width="11.44140625" style="95" hidden="1" customWidth="1"/>
    <col min="3740" max="3740" width="6.88671875" style="95" customWidth="1"/>
    <col min="3741" max="3742" width="11.44140625" style="95" hidden="1" customWidth="1"/>
    <col min="3743" max="3743" width="6.88671875" style="95" customWidth="1"/>
    <col min="3744" max="3745" width="11.44140625" style="95" hidden="1" customWidth="1"/>
    <col min="3746" max="3746" width="6.44140625" style="95" customWidth="1"/>
    <col min="3747" max="3751" width="11.44140625" style="95" hidden="1" customWidth="1"/>
    <col min="3752" max="3752" width="6.44140625" style="95" customWidth="1"/>
    <col min="3753" max="3754" width="11.44140625" style="95" hidden="1" customWidth="1"/>
    <col min="3755" max="3755" width="7.5546875" style="95" customWidth="1"/>
    <col min="3756" max="3756" width="11.44140625" style="95" hidden="1" customWidth="1"/>
    <col min="3757" max="3757" width="9.44140625" style="95" customWidth="1"/>
    <col min="3758" max="3758" width="11.44140625" style="95" hidden="1" customWidth="1"/>
    <col min="3759" max="3759" width="9" style="95" customWidth="1"/>
    <col min="3760" max="3761" width="11.44140625" style="95" hidden="1" customWidth="1"/>
    <col min="3762" max="3762" width="8.5546875" style="95" customWidth="1"/>
    <col min="3763" max="3764" width="11.44140625" style="95" hidden="1" customWidth="1"/>
    <col min="3765" max="3765" width="6.44140625" style="95" customWidth="1"/>
    <col min="3766" max="3767" width="11.44140625" style="95" hidden="1" customWidth="1"/>
    <col min="3768" max="3768" width="7" style="95" customWidth="1"/>
    <col min="3769" max="3770" width="11.44140625" style="95" hidden="1" customWidth="1"/>
    <col min="3771" max="3773" width="7" style="95" customWidth="1"/>
    <col min="3774" max="3775" width="11.44140625" style="95" hidden="1" customWidth="1"/>
    <col min="3776" max="3776" width="7.5546875" style="95" customWidth="1"/>
    <col min="3777" max="3778" width="11.44140625" style="95" hidden="1" customWidth="1"/>
    <col min="3779" max="3779" width="7" style="95" customWidth="1"/>
    <col min="3780" max="3781" width="11.44140625" style="95" hidden="1" customWidth="1"/>
    <col min="3782" max="3782" width="7" style="95" customWidth="1"/>
    <col min="3783" max="3784" width="11.44140625" style="95" hidden="1" customWidth="1"/>
    <col min="3785" max="3785" width="7" style="95" customWidth="1"/>
    <col min="3786" max="3786" width="11.44140625" style="95" hidden="1" customWidth="1"/>
    <col min="3787" max="3787" width="6.44140625" style="95" customWidth="1"/>
    <col min="3788" max="3797" width="11.44140625" style="95" hidden="1" customWidth="1"/>
    <col min="3798" max="3832" width="11.44140625" style="95" hidden="1"/>
    <col min="3833" max="3833" width="41.44140625" style="95" customWidth="1"/>
    <col min="3834" max="3834" width="6.44140625" style="95" customWidth="1"/>
    <col min="3835" max="3835" width="14.6640625" style="95" customWidth="1"/>
    <col min="3836" max="3836" width="11.44140625" style="95" customWidth="1"/>
    <col min="3837" max="3837" width="13" style="95" customWidth="1"/>
    <col min="3838" max="3838" width="25.44140625" style="95" customWidth="1"/>
    <col min="3839" max="3848" width="9.44140625" style="95" customWidth="1"/>
    <col min="3849" max="3849" width="8.88671875" style="95" customWidth="1"/>
    <col min="3850" max="3850" width="9.44140625" style="95" customWidth="1"/>
    <col min="3851" max="3856" width="10.109375" style="95" customWidth="1"/>
    <col min="3857" max="3857" width="6.44140625" style="95" customWidth="1"/>
    <col min="3858" max="3858" width="6.88671875" style="95" customWidth="1"/>
    <col min="3859" max="3860" width="6.5546875" style="95" customWidth="1"/>
    <col min="3861" max="3861" width="6.33203125" style="95" customWidth="1"/>
    <col min="3862" max="3862" width="7.5546875" style="95" customWidth="1"/>
    <col min="3863" max="3863" width="14.5546875" style="95" customWidth="1"/>
    <col min="3864" max="3865" width="11.44140625" style="95" customWidth="1"/>
    <col min="3866" max="3866" width="56.88671875" style="95" customWidth="1"/>
    <col min="3867" max="3867" width="9.109375" style="95" bestFit="1" customWidth="1"/>
    <col min="3868" max="3868" width="26.6640625" style="95" customWidth="1"/>
    <col min="3869" max="3869" width="22.88671875" style="95" customWidth="1"/>
    <col min="3870" max="3870" width="14.6640625" style="95" customWidth="1"/>
    <col min="3871" max="3871" width="5" style="95" customWidth="1"/>
    <col min="3872" max="3873" width="11.44140625" style="95" hidden="1" customWidth="1"/>
    <col min="3874" max="3874" width="5" style="95" customWidth="1"/>
    <col min="3875" max="3876" width="11.44140625" style="95" hidden="1" customWidth="1"/>
    <col min="3877" max="3877" width="5" style="95" customWidth="1"/>
    <col min="3878" max="3879" width="11.44140625" style="95" hidden="1" customWidth="1"/>
    <col min="3880" max="3880" width="5" style="95" customWidth="1"/>
    <col min="3881" max="3882" width="11.44140625" style="95" hidden="1" customWidth="1"/>
    <col min="3883" max="3883" width="5" style="95" customWidth="1"/>
    <col min="3884" max="3885" width="11.44140625" style="95" hidden="1" customWidth="1"/>
    <col min="3886" max="3886" width="5" style="95" customWidth="1"/>
    <col min="3887" max="3888" width="11.44140625" style="95" hidden="1" customWidth="1"/>
    <col min="3889" max="3889" width="6.44140625" style="95" customWidth="1"/>
    <col min="3890" max="3897" width="11.44140625" style="95" hidden="1" customWidth="1"/>
    <col min="3898" max="3898" width="6.88671875" style="95" customWidth="1"/>
    <col min="3899" max="3900" width="11.44140625" style="95" hidden="1" customWidth="1"/>
    <col min="3901" max="3901" width="6.44140625" style="95" customWidth="1"/>
    <col min="3902" max="3903" width="11.44140625" style="95" hidden="1" customWidth="1"/>
    <col min="3904" max="3904" width="5.44140625" style="95" customWidth="1"/>
    <col min="3905" max="3906" width="11.44140625" style="95" hidden="1" customWidth="1"/>
    <col min="3907" max="3907" width="4.88671875" style="95" customWidth="1"/>
    <col min="3908" max="3912" width="11.44140625" style="95" hidden="1" customWidth="1"/>
    <col min="3913" max="3913" width="8.44140625" style="95" customWidth="1"/>
    <col min="3914" max="3915" width="11.44140625" style="95" hidden="1" customWidth="1"/>
    <col min="3916" max="3916" width="5.44140625" style="95" customWidth="1"/>
    <col min="3917" max="3918" width="11.44140625" style="95" hidden="1" customWidth="1"/>
    <col min="3919" max="3919" width="8.44140625" style="95" customWidth="1"/>
    <col min="3920" max="3921" width="11.44140625" style="95" hidden="1" customWidth="1"/>
    <col min="3922" max="3922" width="5.88671875" style="95" customWidth="1"/>
    <col min="3923" max="3924" width="11.44140625" style="95" hidden="1" customWidth="1"/>
    <col min="3925" max="3925" width="5.44140625" style="95" customWidth="1"/>
    <col min="3926" max="3927" width="11.44140625" style="95" hidden="1" customWidth="1"/>
    <col min="3928" max="3928" width="5.44140625" style="95" customWidth="1"/>
    <col min="3929" max="3930" width="11.44140625" style="95" hidden="1" customWidth="1"/>
    <col min="3931" max="3931" width="6" style="95" customWidth="1"/>
    <col min="3932" max="3936" width="11.44140625" style="95" hidden="1" customWidth="1"/>
    <col min="3937" max="3937" width="5" style="95" customWidth="1"/>
    <col min="3938" max="3945" width="11.44140625" style="95" hidden="1" customWidth="1"/>
    <col min="3946" max="3946" width="5" style="95" customWidth="1"/>
    <col min="3947" max="3947" width="11.44140625" style="95" hidden="1" customWidth="1"/>
    <col min="3948" max="3948" width="5" style="95" customWidth="1"/>
    <col min="3949" max="3949" width="9.44140625" style="95" customWidth="1"/>
    <col min="3950" max="3950" width="11.44140625" style="95" hidden="1" customWidth="1"/>
    <col min="3951" max="3951" width="5" style="95" customWidth="1"/>
    <col min="3952" max="3953" width="11.44140625" style="95" hidden="1" customWidth="1"/>
    <col min="3954" max="3954" width="5" style="95" customWidth="1"/>
    <col min="3955" max="3956" width="11.44140625" style="95" hidden="1" customWidth="1"/>
    <col min="3957" max="3957" width="5" style="95" customWidth="1"/>
    <col min="3958" max="3959" width="11.44140625" style="95" hidden="1" customWidth="1"/>
    <col min="3960" max="3960" width="5" style="95" customWidth="1"/>
    <col min="3961" max="3962" width="11.44140625" style="95" hidden="1" customWidth="1"/>
    <col min="3963" max="3963" width="5" style="95" customWidth="1"/>
    <col min="3964" max="3965" width="11.44140625" style="95" hidden="1" customWidth="1"/>
    <col min="3966" max="3966" width="5" style="95" customWidth="1"/>
    <col min="3967" max="3967" width="11.44140625" style="95" hidden="1" customWidth="1"/>
    <col min="3968" max="3968" width="6.44140625" style="95" customWidth="1"/>
    <col min="3969" max="3969" width="11.44140625" style="95" hidden="1" customWidth="1"/>
    <col min="3970" max="3970" width="7.109375" style="95" customWidth="1"/>
    <col min="3971" max="3972" width="11.44140625" style="95" hidden="1" customWidth="1"/>
    <col min="3973" max="3973" width="7.109375" style="95" customWidth="1"/>
    <col min="3974" max="3975" width="11.44140625" style="95" hidden="1" customWidth="1"/>
    <col min="3976" max="3976" width="7.109375" style="95" customWidth="1"/>
    <col min="3977" max="3978" width="11.44140625" style="95" hidden="1" customWidth="1"/>
    <col min="3979" max="3979" width="7.109375" style="95" customWidth="1"/>
    <col min="3980" max="3981" width="11.44140625" style="95" hidden="1" customWidth="1"/>
    <col min="3982" max="3982" width="7.109375" style="95" customWidth="1"/>
    <col min="3983" max="3984" width="11.44140625" style="95" hidden="1" customWidth="1"/>
    <col min="3985" max="3985" width="7.109375" style="95" customWidth="1"/>
    <col min="3986" max="3987" width="11.44140625" style="95" hidden="1" customWidth="1"/>
    <col min="3988" max="3988" width="7.109375" style="95" customWidth="1"/>
    <col min="3989" max="3990" width="11.44140625" style="95" hidden="1" customWidth="1"/>
    <col min="3991" max="3991" width="7.109375" style="95" customWidth="1"/>
    <col min="3992" max="3992" width="11.44140625" style="95" hidden="1" customWidth="1"/>
    <col min="3993" max="3993" width="6.44140625" style="95" customWidth="1"/>
    <col min="3994" max="3995" width="11.44140625" style="95" hidden="1" customWidth="1"/>
    <col min="3996" max="3996" width="6.88671875" style="95" customWidth="1"/>
    <col min="3997" max="3998" width="11.44140625" style="95" hidden="1" customWidth="1"/>
    <col min="3999" max="3999" width="6.88671875" style="95" customWidth="1"/>
    <col min="4000" max="4001" width="11.44140625" style="95" hidden="1" customWidth="1"/>
    <col min="4002" max="4002" width="6.44140625" style="95" customWidth="1"/>
    <col min="4003" max="4007" width="11.44140625" style="95" hidden="1" customWidth="1"/>
    <col min="4008" max="4008" width="6.44140625" style="95" customWidth="1"/>
    <col min="4009" max="4010" width="11.44140625" style="95" hidden="1" customWidth="1"/>
    <col min="4011" max="4011" width="7.5546875" style="95" customWidth="1"/>
    <col min="4012" max="4012" width="11.44140625" style="95" hidden="1" customWidth="1"/>
    <col min="4013" max="4013" width="9.44140625" style="95" customWidth="1"/>
    <col min="4014" max="4014" width="11.44140625" style="95" hidden="1" customWidth="1"/>
    <col min="4015" max="4015" width="9" style="95" customWidth="1"/>
    <col min="4016" max="4017" width="11.44140625" style="95" hidden="1" customWidth="1"/>
    <col min="4018" max="4018" width="8.5546875" style="95" customWidth="1"/>
    <col min="4019" max="4020" width="11.44140625" style="95" hidden="1" customWidth="1"/>
    <col min="4021" max="4021" width="6.44140625" style="95" customWidth="1"/>
    <col min="4022" max="4023" width="11.44140625" style="95" hidden="1" customWidth="1"/>
    <col min="4024" max="4024" width="7" style="95" customWidth="1"/>
    <col min="4025" max="4026" width="11.44140625" style="95" hidden="1" customWidth="1"/>
    <col min="4027" max="4029" width="7" style="95" customWidth="1"/>
    <col min="4030" max="4031" width="11.44140625" style="95" hidden="1" customWidth="1"/>
    <col min="4032" max="4032" width="7.5546875" style="95" customWidth="1"/>
    <col min="4033" max="4034" width="11.44140625" style="95" hidden="1" customWidth="1"/>
    <col min="4035" max="4035" width="7" style="95" customWidth="1"/>
    <col min="4036" max="4037" width="11.44140625" style="95" hidden="1" customWidth="1"/>
    <col min="4038" max="4038" width="7" style="95" customWidth="1"/>
    <col min="4039" max="4040" width="11.44140625" style="95" hidden="1" customWidth="1"/>
    <col min="4041" max="4041" width="7" style="95" customWidth="1"/>
    <col min="4042" max="4042" width="11.44140625" style="95" hidden="1" customWidth="1"/>
    <col min="4043" max="4043" width="6.44140625" style="95" customWidth="1"/>
    <col min="4044" max="4053" width="11.44140625" style="95" hidden="1" customWidth="1"/>
    <col min="4054" max="4088" width="11.44140625" style="95" hidden="1"/>
    <col min="4089" max="4089" width="41.44140625" style="95" customWidth="1"/>
    <col min="4090" max="4090" width="6.44140625" style="95" customWidth="1"/>
    <col min="4091" max="4091" width="14.6640625" style="95" customWidth="1"/>
    <col min="4092" max="4092" width="11.44140625" style="95" customWidth="1"/>
    <col min="4093" max="4093" width="13" style="95" customWidth="1"/>
    <col min="4094" max="4094" width="25.44140625" style="95" customWidth="1"/>
    <col min="4095" max="4104" width="9.44140625" style="95" customWidth="1"/>
    <col min="4105" max="4105" width="8.88671875" style="95" customWidth="1"/>
    <col min="4106" max="4106" width="9.44140625" style="95" customWidth="1"/>
    <col min="4107" max="4112" width="10.109375" style="95" customWidth="1"/>
    <col min="4113" max="4113" width="6.44140625" style="95" customWidth="1"/>
    <col min="4114" max="4114" width="6.88671875" style="95" customWidth="1"/>
    <col min="4115" max="4116" width="6.5546875" style="95" customWidth="1"/>
    <col min="4117" max="4117" width="6.33203125" style="95" customWidth="1"/>
    <col min="4118" max="4118" width="7.5546875" style="95" customWidth="1"/>
    <col min="4119" max="4119" width="14.5546875" style="95" customWidth="1"/>
    <col min="4120" max="4121" width="11.44140625" style="95" customWidth="1"/>
    <col min="4122" max="4122" width="56.88671875" style="95" customWidth="1"/>
    <col min="4123" max="4123" width="9.109375" style="95" bestFit="1" customWidth="1"/>
    <col min="4124" max="4124" width="26.6640625" style="95" customWidth="1"/>
    <col min="4125" max="4125" width="22.88671875" style="95" customWidth="1"/>
    <col min="4126" max="4126" width="14.6640625" style="95" customWidth="1"/>
    <col min="4127" max="4127" width="5" style="95" customWidth="1"/>
    <col min="4128" max="4129" width="11.44140625" style="95" hidden="1" customWidth="1"/>
    <col min="4130" max="4130" width="5" style="95" customWidth="1"/>
    <col min="4131" max="4132" width="11.44140625" style="95" hidden="1" customWidth="1"/>
    <col min="4133" max="4133" width="5" style="95" customWidth="1"/>
    <col min="4134" max="4135" width="11.44140625" style="95" hidden="1" customWidth="1"/>
    <col min="4136" max="4136" width="5" style="95" customWidth="1"/>
    <col min="4137" max="4138" width="11.44140625" style="95" hidden="1" customWidth="1"/>
    <col min="4139" max="4139" width="5" style="95" customWidth="1"/>
    <col min="4140" max="4141" width="11.44140625" style="95" hidden="1" customWidth="1"/>
    <col min="4142" max="4142" width="5" style="95" customWidth="1"/>
    <col min="4143" max="4144" width="11.44140625" style="95" hidden="1" customWidth="1"/>
    <col min="4145" max="4145" width="6.44140625" style="95" customWidth="1"/>
    <col min="4146" max="4153" width="11.44140625" style="95" hidden="1" customWidth="1"/>
    <col min="4154" max="4154" width="6.88671875" style="95" customWidth="1"/>
    <col min="4155" max="4156" width="11.44140625" style="95" hidden="1" customWidth="1"/>
    <col min="4157" max="4157" width="6.44140625" style="95" customWidth="1"/>
    <col min="4158" max="4159" width="11.44140625" style="95" hidden="1" customWidth="1"/>
    <col min="4160" max="4160" width="5.44140625" style="95" customWidth="1"/>
    <col min="4161" max="4162" width="11.44140625" style="95" hidden="1" customWidth="1"/>
    <col min="4163" max="4163" width="4.88671875" style="95" customWidth="1"/>
    <col min="4164" max="4168" width="11.44140625" style="95" hidden="1" customWidth="1"/>
    <col min="4169" max="4169" width="8.44140625" style="95" customWidth="1"/>
    <col min="4170" max="4171" width="11.44140625" style="95" hidden="1" customWidth="1"/>
    <col min="4172" max="4172" width="5.44140625" style="95" customWidth="1"/>
    <col min="4173" max="4174" width="11.44140625" style="95" hidden="1" customWidth="1"/>
    <col min="4175" max="4175" width="8.44140625" style="95" customWidth="1"/>
    <col min="4176" max="4177" width="11.44140625" style="95" hidden="1" customWidth="1"/>
    <col min="4178" max="4178" width="5.88671875" style="95" customWidth="1"/>
    <col min="4179" max="4180" width="11.44140625" style="95" hidden="1" customWidth="1"/>
    <col min="4181" max="4181" width="5.44140625" style="95" customWidth="1"/>
    <col min="4182" max="4183" width="11.44140625" style="95" hidden="1" customWidth="1"/>
    <col min="4184" max="4184" width="5.44140625" style="95" customWidth="1"/>
    <col min="4185" max="4186" width="11.44140625" style="95" hidden="1" customWidth="1"/>
    <col min="4187" max="4187" width="6" style="95" customWidth="1"/>
    <col min="4188" max="4192" width="11.44140625" style="95" hidden="1" customWidth="1"/>
    <col min="4193" max="4193" width="5" style="95" customWidth="1"/>
    <col min="4194" max="4201" width="11.44140625" style="95" hidden="1" customWidth="1"/>
    <col min="4202" max="4202" width="5" style="95" customWidth="1"/>
    <col min="4203" max="4203" width="11.44140625" style="95" hidden="1" customWidth="1"/>
    <col min="4204" max="4204" width="5" style="95" customWidth="1"/>
    <col min="4205" max="4205" width="9.44140625" style="95" customWidth="1"/>
    <col min="4206" max="4206" width="11.44140625" style="95" hidden="1" customWidth="1"/>
    <col min="4207" max="4207" width="5" style="95" customWidth="1"/>
    <col min="4208" max="4209" width="11.44140625" style="95" hidden="1" customWidth="1"/>
    <col min="4210" max="4210" width="5" style="95" customWidth="1"/>
    <col min="4211" max="4212" width="11.44140625" style="95" hidden="1" customWidth="1"/>
    <col min="4213" max="4213" width="5" style="95" customWidth="1"/>
    <col min="4214" max="4215" width="11.44140625" style="95" hidden="1" customWidth="1"/>
    <col min="4216" max="4216" width="5" style="95" customWidth="1"/>
    <col min="4217" max="4218" width="11.44140625" style="95" hidden="1" customWidth="1"/>
    <col min="4219" max="4219" width="5" style="95" customWidth="1"/>
    <col min="4220" max="4221" width="11.44140625" style="95" hidden="1" customWidth="1"/>
    <col min="4222" max="4222" width="5" style="95" customWidth="1"/>
    <col min="4223" max="4223" width="11.44140625" style="95" hidden="1" customWidth="1"/>
    <col min="4224" max="4224" width="6.44140625" style="95" customWidth="1"/>
    <col min="4225" max="4225" width="11.44140625" style="95" hidden="1" customWidth="1"/>
    <col min="4226" max="4226" width="7.109375" style="95" customWidth="1"/>
    <col min="4227" max="4228" width="11.44140625" style="95" hidden="1" customWidth="1"/>
    <col min="4229" max="4229" width="7.109375" style="95" customWidth="1"/>
    <col min="4230" max="4231" width="11.44140625" style="95" hidden="1" customWidth="1"/>
    <col min="4232" max="4232" width="7.109375" style="95" customWidth="1"/>
    <col min="4233" max="4234" width="11.44140625" style="95" hidden="1" customWidth="1"/>
    <col min="4235" max="4235" width="7.109375" style="95" customWidth="1"/>
    <col min="4236" max="4237" width="11.44140625" style="95" hidden="1" customWidth="1"/>
    <col min="4238" max="4238" width="7.109375" style="95" customWidth="1"/>
    <col min="4239" max="4240" width="11.44140625" style="95" hidden="1" customWidth="1"/>
    <col min="4241" max="4241" width="7.109375" style="95" customWidth="1"/>
    <col min="4242" max="4243" width="11.44140625" style="95" hidden="1" customWidth="1"/>
    <col min="4244" max="4244" width="7.109375" style="95" customWidth="1"/>
    <col min="4245" max="4246" width="11.44140625" style="95" hidden="1" customWidth="1"/>
    <col min="4247" max="4247" width="7.109375" style="95" customWidth="1"/>
    <col min="4248" max="4248" width="11.44140625" style="95" hidden="1" customWidth="1"/>
    <col min="4249" max="4249" width="6.44140625" style="95" customWidth="1"/>
    <col min="4250" max="4251" width="11.44140625" style="95" hidden="1" customWidth="1"/>
    <col min="4252" max="4252" width="6.88671875" style="95" customWidth="1"/>
    <col min="4253" max="4254" width="11.44140625" style="95" hidden="1" customWidth="1"/>
    <col min="4255" max="4255" width="6.88671875" style="95" customWidth="1"/>
    <col min="4256" max="4257" width="11.44140625" style="95" hidden="1" customWidth="1"/>
    <col min="4258" max="4258" width="6.44140625" style="95" customWidth="1"/>
    <col min="4259" max="4263" width="11.44140625" style="95" hidden="1" customWidth="1"/>
    <col min="4264" max="4264" width="6.44140625" style="95" customWidth="1"/>
    <col min="4265" max="4266" width="11.44140625" style="95" hidden="1" customWidth="1"/>
    <col min="4267" max="4267" width="7.5546875" style="95" customWidth="1"/>
    <col min="4268" max="4268" width="11.44140625" style="95" hidden="1" customWidth="1"/>
    <col min="4269" max="4269" width="9.44140625" style="95" customWidth="1"/>
    <col min="4270" max="4270" width="11.44140625" style="95" hidden="1" customWidth="1"/>
    <col min="4271" max="4271" width="9" style="95" customWidth="1"/>
    <col min="4272" max="4273" width="11.44140625" style="95" hidden="1" customWidth="1"/>
    <col min="4274" max="4274" width="8.5546875" style="95" customWidth="1"/>
    <col min="4275" max="4276" width="11.44140625" style="95" hidden="1" customWidth="1"/>
    <col min="4277" max="4277" width="6.44140625" style="95" customWidth="1"/>
    <col min="4278" max="4279" width="11.44140625" style="95" hidden="1" customWidth="1"/>
    <col min="4280" max="4280" width="7" style="95" customWidth="1"/>
    <col min="4281" max="4282" width="11.44140625" style="95" hidden="1" customWidth="1"/>
    <col min="4283" max="4285" width="7" style="95" customWidth="1"/>
    <col min="4286" max="4287" width="11.44140625" style="95" hidden="1" customWidth="1"/>
    <col min="4288" max="4288" width="7.5546875" style="95" customWidth="1"/>
    <col min="4289" max="4290" width="11.44140625" style="95" hidden="1" customWidth="1"/>
    <col min="4291" max="4291" width="7" style="95" customWidth="1"/>
    <col min="4292" max="4293" width="11.44140625" style="95" hidden="1" customWidth="1"/>
    <col min="4294" max="4294" width="7" style="95" customWidth="1"/>
    <col min="4295" max="4296" width="11.44140625" style="95" hidden="1" customWidth="1"/>
    <col min="4297" max="4297" width="7" style="95" customWidth="1"/>
    <col min="4298" max="4298" width="11.44140625" style="95" hidden="1" customWidth="1"/>
    <col min="4299" max="4299" width="6.44140625" style="95" customWidth="1"/>
    <col min="4300" max="4309" width="11.44140625" style="95" hidden="1" customWidth="1"/>
    <col min="4310" max="4344" width="11.44140625" style="95" hidden="1"/>
    <col min="4345" max="4345" width="41.44140625" style="95" customWidth="1"/>
    <col min="4346" max="4346" width="6.44140625" style="95" customWidth="1"/>
    <col min="4347" max="4347" width="14.6640625" style="95" customWidth="1"/>
    <col min="4348" max="4348" width="11.44140625" style="95" customWidth="1"/>
    <col min="4349" max="4349" width="13" style="95" customWidth="1"/>
    <col min="4350" max="4350" width="25.44140625" style="95" customWidth="1"/>
    <col min="4351" max="4360" width="9.44140625" style="95" customWidth="1"/>
    <col min="4361" max="4361" width="8.88671875" style="95" customWidth="1"/>
    <col min="4362" max="4362" width="9.44140625" style="95" customWidth="1"/>
    <col min="4363" max="4368" width="10.109375" style="95" customWidth="1"/>
    <col min="4369" max="4369" width="6.44140625" style="95" customWidth="1"/>
    <col min="4370" max="4370" width="6.88671875" style="95" customWidth="1"/>
    <col min="4371" max="4372" width="6.5546875" style="95" customWidth="1"/>
    <col min="4373" max="4373" width="6.33203125" style="95" customWidth="1"/>
    <col min="4374" max="4374" width="7.5546875" style="95" customWidth="1"/>
    <col min="4375" max="4375" width="14.5546875" style="95" customWidth="1"/>
    <col min="4376" max="4377" width="11.44140625" style="95" customWidth="1"/>
    <col min="4378" max="4378" width="56.88671875" style="95" customWidth="1"/>
    <col min="4379" max="4379" width="9.109375" style="95" bestFit="1" customWidth="1"/>
    <col min="4380" max="4380" width="26.6640625" style="95" customWidth="1"/>
    <col min="4381" max="4381" width="22.88671875" style="95" customWidth="1"/>
    <col min="4382" max="4382" width="14.6640625" style="95" customWidth="1"/>
    <col min="4383" max="4383" width="5" style="95" customWidth="1"/>
    <col min="4384" max="4385" width="11.44140625" style="95" hidden="1" customWidth="1"/>
    <col min="4386" max="4386" width="5" style="95" customWidth="1"/>
    <col min="4387" max="4388" width="11.44140625" style="95" hidden="1" customWidth="1"/>
    <col min="4389" max="4389" width="5" style="95" customWidth="1"/>
    <col min="4390" max="4391" width="11.44140625" style="95" hidden="1" customWidth="1"/>
    <col min="4392" max="4392" width="5" style="95" customWidth="1"/>
    <col min="4393" max="4394" width="11.44140625" style="95" hidden="1" customWidth="1"/>
    <col min="4395" max="4395" width="5" style="95" customWidth="1"/>
    <col min="4396" max="4397" width="11.44140625" style="95" hidden="1" customWidth="1"/>
    <col min="4398" max="4398" width="5" style="95" customWidth="1"/>
    <col min="4399" max="4400" width="11.44140625" style="95" hidden="1" customWidth="1"/>
    <col min="4401" max="4401" width="6.44140625" style="95" customWidth="1"/>
    <col min="4402" max="4409" width="11.44140625" style="95" hidden="1" customWidth="1"/>
    <col min="4410" max="4410" width="6.88671875" style="95" customWidth="1"/>
    <col min="4411" max="4412" width="11.44140625" style="95" hidden="1" customWidth="1"/>
    <col min="4413" max="4413" width="6.44140625" style="95" customWidth="1"/>
    <col min="4414" max="4415" width="11.44140625" style="95" hidden="1" customWidth="1"/>
    <col min="4416" max="4416" width="5.44140625" style="95" customWidth="1"/>
    <col min="4417" max="4418" width="11.44140625" style="95" hidden="1" customWidth="1"/>
    <col min="4419" max="4419" width="4.88671875" style="95" customWidth="1"/>
    <col min="4420" max="4424" width="11.44140625" style="95" hidden="1" customWidth="1"/>
    <col min="4425" max="4425" width="8.44140625" style="95" customWidth="1"/>
    <col min="4426" max="4427" width="11.44140625" style="95" hidden="1" customWidth="1"/>
    <col min="4428" max="4428" width="5.44140625" style="95" customWidth="1"/>
    <col min="4429" max="4430" width="11.44140625" style="95" hidden="1" customWidth="1"/>
    <col min="4431" max="4431" width="8.44140625" style="95" customWidth="1"/>
    <col min="4432" max="4433" width="11.44140625" style="95" hidden="1" customWidth="1"/>
    <col min="4434" max="4434" width="5.88671875" style="95" customWidth="1"/>
    <col min="4435" max="4436" width="11.44140625" style="95" hidden="1" customWidth="1"/>
    <col min="4437" max="4437" width="5.44140625" style="95" customWidth="1"/>
    <col min="4438" max="4439" width="11.44140625" style="95" hidden="1" customWidth="1"/>
    <col min="4440" max="4440" width="5.44140625" style="95" customWidth="1"/>
    <col min="4441" max="4442" width="11.44140625" style="95" hidden="1" customWidth="1"/>
    <col min="4443" max="4443" width="6" style="95" customWidth="1"/>
    <col min="4444" max="4448" width="11.44140625" style="95" hidden="1" customWidth="1"/>
    <col min="4449" max="4449" width="5" style="95" customWidth="1"/>
    <col min="4450" max="4457" width="11.44140625" style="95" hidden="1" customWidth="1"/>
    <col min="4458" max="4458" width="5" style="95" customWidth="1"/>
    <col min="4459" max="4459" width="11.44140625" style="95" hidden="1" customWidth="1"/>
    <col min="4460" max="4460" width="5" style="95" customWidth="1"/>
    <col min="4461" max="4461" width="9.44140625" style="95" customWidth="1"/>
    <col min="4462" max="4462" width="11.44140625" style="95" hidden="1" customWidth="1"/>
    <col min="4463" max="4463" width="5" style="95" customWidth="1"/>
    <col min="4464" max="4465" width="11.44140625" style="95" hidden="1" customWidth="1"/>
    <col min="4466" max="4466" width="5" style="95" customWidth="1"/>
    <col min="4467" max="4468" width="11.44140625" style="95" hidden="1" customWidth="1"/>
    <col min="4469" max="4469" width="5" style="95" customWidth="1"/>
    <col min="4470" max="4471" width="11.44140625" style="95" hidden="1" customWidth="1"/>
    <col min="4472" max="4472" width="5" style="95" customWidth="1"/>
    <col min="4473" max="4474" width="11.44140625" style="95" hidden="1" customWidth="1"/>
    <col min="4475" max="4475" width="5" style="95" customWidth="1"/>
    <col min="4476" max="4477" width="11.44140625" style="95" hidden="1" customWidth="1"/>
    <col min="4478" max="4478" width="5" style="95" customWidth="1"/>
    <col min="4479" max="4479" width="11.44140625" style="95" hidden="1" customWidth="1"/>
    <col min="4480" max="4480" width="6.44140625" style="95" customWidth="1"/>
    <col min="4481" max="4481" width="11.44140625" style="95" hidden="1" customWidth="1"/>
    <col min="4482" max="4482" width="7.109375" style="95" customWidth="1"/>
    <col min="4483" max="4484" width="11.44140625" style="95" hidden="1" customWidth="1"/>
    <col min="4485" max="4485" width="7.109375" style="95" customWidth="1"/>
    <col min="4486" max="4487" width="11.44140625" style="95" hidden="1" customWidth="1"/>
    <col min="4488" max="4488" width="7.109375" style="95" customWidth="1"/>
    <col min="4489" max="4490" width="11.44140625" style="95" hidden="1" customWidth="1"/>
    <col min="4491" max="4491" width="7.109375" style="95" customWidth="1"/>
    <col min="4492" max="4493" width="11.44140625" style="95" hidden="1" customWidth="1"/>
    <col min="4494" max="4494" width="7.109375" style="95" customWidth="1"/>
    <col min="4495" max="4496" width="11.44140625" style="95" hidden="1" customWidth="1"/>
    <col min="4497" max="4497" width="7.109375" style="95" customWidth="1"/>
    <col min="4498" max="4499" width="11.44140625" style="95" hidden="1" customWidth="1"/>
    <col min="4500" max="4500" width="7.109375" style="95" customWidth="1"/>
    <col min="4501" max="4502" width="11.44140625" style="95" hidden="1" customWidth="1"/>
    <col min="4503" max="4503" width="7.109375" style="95" customWidth="1"/>
    <col min="4504" max="4504" width="11.44140625" style="95" hidden="1" customWidth="1"/>
    <col min="4505" max="4505" width="6.44140625" style="95" customWidth="1"/>
    <col min="4506" max="4507" width="11.44140625" style="95" hidden="1" customWidth="1"/>
    <col min="4508" max="4508" width="6.88671875" style="95" customWidth="1"/>
    <col min="4509" max="4510" width="11.44140625" style="95" hidden="1" customWidth="1"/>
    <col min="4511" max="4511" width="6.88671875" style="95" customWidth="1"/>
    <col min="4512" max="4513" width="11.44140625" style="95" hidden="1" customWidth="1"/>
    <col min="4514" max="4514" width="6.44140625" style="95" customWidth="1"/>
    <col min="4515" max="4519" width="11.44140625" style="95" hidden="1" customWidth="1"/>
    <col min="4520" max="4520" width="6.44140625" style="95" customWidth="1"/>
    <col min="4521" max="4522" width="11.44140625" style="95" hidden="1" customWidth="1"/>
    <col min="4523" max="4523" width="7.5546875" style="95" customWidth="1"/>
    <col min="4524" max="4524" width="11.44140625" style="95" hidden="1" customWidth="1"/>
    <col min="4525" max="4525" width="9.44140625" style="95" customWidth="1"/>
    <col min="4526" max="4526" width="11.44140625" style="95" hidden="1" customWidth="1"/>
    <col min="4527" max="4527" width="9" style="95" customWidth="1"/>
    <col min="4528" max="4529" width="11.44140625" style="95" hidden="1" customWidth="1"/>
    <col min="4530" max="4530" width="8.5546875" style="95" customWidth="1"/>
    <col min="4531" max="4532" width="11.44140625" style="95" hidden="1" customWidth="1"/>
    <col min="4533" max="4533" width="6.44140625" style="95" customWidth="1"/>
    <col min="4534" max="4535" width="11.44140625" style="95" hidden="1" customWidth="1"/>
    <col min="4536" max="4536" width="7" style="95" customWidth="1"/>
    <col min="4537" max="4538" width="11.44140625" style="95" hidden="1" customWidth="1"/>
    <col min="4539" max="4541" width="7" style="95" customWidth="1"/>
    <col min="4542" max="4543" width="11.44140625" style="95" hidden="1" customWidth="1"/>
    <col min="4544" max="4544" width="7.5546875" style="95" customWidth="1"/>
    <col min="4545" max="4546" width="11.44140625" style="95" hidden="1" customWidth="1"/>
    <col min="4547" max="4547" width="7" style="95" customWidth="1"/>
    <col min="4548" max="4549" width="11.44140625" style="95" hidden="1" customWidth="1"/>
    <col min="4550" max="4550" width="7" style="95" customWidth="1"/>
    <col min="4551" max="4552" width="11.44140625" style="95" hidden="1" customWidth="1"/>
    <col min="4553" max="4553" width="7" style="95" customWidth="1"/>
    <col min="4554" max="4554" width="11.44140625" style="95" hidden="1" customWidth="1"/>
    <col min="4555" max="4555" width="6.44140625" style="95" customWidth="1"/>
    <col min="4556" max="4565" width="11.44140625" style="95" hidden="1" customWidth="1"/>
    <col min="4566" max="4600" width="11.44140625" style="95" hidden="1"/>
    <col min="4601" max="4601" width="41.44140625" style="95" customWidth="1"/>
    <col min="4602" max="4602" width="6.44140625" style="95" customWidth="1"/>
    <col min="4603" max="4603" width="14.6640625" style="95" customWidth="1"/>
    <col min="4604" max="4604" width="11.44140625" style="95" customWidth="1"/>
    <col min="4605" max="4605" width="13" style="95" customWidth="1"/>
    <col min="4606" max="4606" width="25.44140625" style="95" customWidth="1"/>
    <col min="4607" max="4616" width="9.44140625" style="95" customWidth="1"/>
    <col min="4617" max="4617" width="8.88671875" style="95" customWidth="1"/>
    <col min="4618" max="4618" width="9.44140625" style="95" customWidth="1"/>
    <col min="4619" max="4624" width="10.109375" style="95" customWidth="1"/>
    <col min="4625" max="4625" width="6.44140625" style="95" customWidth="1"/>
    <col min="4626" max="4626" width="6.88671875" style="95" customWidth="1"/>
    <col min="4627" max="4628" width="6.5546875" style="95" customWidth="1"/>
    <col min="4629" max="4629" width="6.33203125" style="95" customWidth="1"/>
    <col min="4630" max="4630" width="7.5546875" style="95" customWidth="1"/>
    <col min="4631" max="4631" width="14.5546875" style="95" customWidth="1"/>
    <col min="4632" max="4633" width="11.44140625" style="95" customWidth="1"/>
    <col min="4634" max="4634" width="56.88671875" style="95" customWidth="1"/>
    <col min="4635" max="4635" width="9.109375" style="95" bestFit="1" customWidth="1"/>
    <col min="4636" max="4636" width="26.6640625" style="95" customWidth="1"/>
    <col min="4637" max="4637" width="22.88671875" style="95" customWidth="1"/>
    <col min="4638" max="4638" width="14.6640625" style="95" customWidth="1"/>
    <col min="4639" max="4639" width="5" style="95" customWidth="1"/>
    <col min="4640" max="4641" width="11.44140625" style="95" hidden="1" customWidth="1"/>
    <col min="4642" max="4642" width="5" style="95" customWidth="1"/>
    <col min="4643" max="4644" width="11.44140625" style="95" hidden="1" customWidth="1"/>
    <col min="4645" max="4645" width="5" style="95" customWidth="1"/>
    <col min="4646" max="4647" width="11.44140625" style="95" hidden="1" customWidth="1"/>
    <col min="4648" max="4648" width="5" style="95" customWidth="1"/>
    <col min="4649" max="4650" width="11.44140625" style="95" hidden="1" customWidth="1"/>
    <col min="4651" max="4651" width="5" style="95" customWidth="1"/>
    <col min="4652" max="4653" width="11.44140625" style="95" hidden="1" customWidth="1"/>
    <col min="4654" max="4654" width="5" style="95" customWidth="1"/>
    <col min="4655" max="4656" width="11.44140625" style="95" hidden="1" customWidth="1"/>
    <col min="4657" max="4657" width="6.44140625" style="95" customWidth="1"/>
    <col min="4658" max="4665" width="11.44140625" style="95" hidden="1" customWidth="1"/>
    <col min="4666" max="4666" width="6.88671875" style="95" customWidth="1"/>
    <col min="4667" max="4668" width="11.44140625" style="95" hidden="1" customWidth="1"/>
    <col min="4669" max="4669" width="6.44140625" style="95" customWidth="1"/>
    <col min="4670" max="4671" width="11.44140625" style="95" hidden="1" customWidth="1"/>
    <col min="4672" max="4672" width="5.44140625" style="95" customWidth="1"/>
    <col min="4673" max="4674" width="11.44140625" style="95" hidden="1" customWidth="1"/>
    <col min="4675" max="4675" width="4.88671875" style="95" customWidth="1"/>
    <col min="4676" max="4680" width="11.44140625" style="95" hidden="1" customWidth="1"/>
    <col min="4681" max="4681" width="8.44140625" style="95" customWidth="1"/>
    <col min="4682" max="4683" width="11.44140625" style="95" hidden="1" customWidth="1"/>
    <col min="4684" max="4684" width="5.44140625" style="95" customWidth="1"/>
    <col min="4685" max="4686" width="11.44140625" style="95" hidden="1" customWidth="1"/>
    <col min="4687" max="4687" width="8.44140625" style="95" customWidth="1"/>
    <col min="4688" max="4689" width="11.44140625" style="95" hidden="1" customWidth="1"/>
    <col min="4690" max="4690" width="5.88671875" style="95" customWidth="1"/>
    <col min="4691" max="4692" width="11.44140625" style="95" hidden="1" customWidth="1"/>
    <col min="4693" max="4693" width="5.44140625" style="95" customWidth="1"/>
    <col min="4694" max="4695" width="11.44140625" style="95" hidden="1" customWidth="1"/>
    <col min="4696" max="4696" width="5.44140625" style="95" customWidth="1"/>
    <col min="4697" max="4698" width="11.44140625" style="95" hidden="1" customWidth="1"/>
    <col min="4699" max="4699" width="6" style="95" customWidth="1"/>
    <col min="4700" max="4704" width="11.44140625" style="95" hidden="1" customWidth="1"/>
    <col min="4705" max="4705" width="5" style="95" customWidth="1"/>
    <col min="4706" max="4713" width="11.44140625" style="95" hidden="1" customWidth="1"/>
    <col min="4714" max="4714" width="5" style="95" customWidth="1"/>
    <col min="4715" max="4715" width="11.44140625" style="95" hidden="1" customWidth="1"/>
    <col min="4716" max="4716" width="5" style="95" customWidth="1"/>
    <col min="4717" max="4717" width="9.44140625" style="95" customWidth="1"/>
    <col min="4718" max="4718" width="11.44140625" style="95" hidden="1" customWidth="1"/>
    <col min="4719" max="4719" width="5" style="95" customWidth="1"/>
    <col min="4720" max="4721" width="11.44140625" style="95" hidden="1" customWidth="1"/>
    <col min="4722" max="4722" width="5" style="95" customWidth="1"/>
    <col min="4723" max="4724" width="11.44140625" style="95" hidden="1" customWidth="1"/>
    <col min="4725" max="4725" width="5" style="95" customWidth="1"/>
    <col min="4726" max="4727" width="11.44140625" style="95" hidden="1" customWidth="1"/>
    <col min="4728" max="4728" width="5" style="95" customWidth="1"/>
    <col min="4729" max="4730" width="11.44140625" style="95" hidden="1" customWidth="1"/>
    <col min="4731" max="4731" width="5" style="95" customWidth="1"/>
    <col min="4732" max="4733" width="11.44140625" style="95" hidden="1" customWidth="1"/>
    <col min="4734" max="4734" width="5" style="95" customWidth="1"/>
    <col min="4735" max="4735" width="11.44140625" style="95" hidden="1" customWidth="1"/>
    <col min="4736" max="4736" width="6.44140625" style="95" customWidth="1"/>
    <col min="4737" max="4737" width="11.44140625" style="95" hidden="1" customWidth="1"/>
    <col min="4738" max="4738" width="7.109375" style="95" customWidth="1"/>
    <col min="4739" max="4740" width="11.44140625" style="95" hidden="1" customWidth="1"/>
    <col min="4741" max="4741" width="7.109375" style="95" customWidth="1"/>
    <col min="4742" max="4743" width="11.44140625" style="95" hidden="1" customWidth="1"/>
    <col min="4744" max="4744" width="7.109375" style="95" customWidth="1"/>
    <col min="4745" max="4746" width="11.44140625" style="95" hidden="1" customWidth="1"/>
    <col min="4747" max="4747" width="7.109375" style="95" customWidth="1"/>
    <col min="4748" max="4749" width="11.44140625" style="95" hidden="1" customWidth="1"/>
    <col min="4750" max="4750" width="7.109375" style="95" customWidth="1"/>
    <col min="4751" max="4752" width="11.44140625" style="95" hidden="1" customWidth="1"/>
    <col min="4753" max="4753" width="7.109375" style="95" customWidth="1"/>
    <col min="4754" max="4755" width="11.44140625" style="95" hidden="1" customWidth="1"/>
    <col min="4756" max="4756" width="7.109375" style="95" customWidth="1"/>
    <col min="4757" max="4758" width="11.44140625" style="95" hidden="1" customWidth="1"/>
    <col min="4759" max="4759" width="7.109375" style="95" customWidth="1"/>
    <col min="4760" max="4760" width="11.44140625" style="95" hidden="1" customWidth="1"/>
    <col min="4761" max="4761" width="6.44140625" style="95" customWidth="1"/>
    <col min="4762" max="4763" width="11.44140625" style="95" hidden="1" customWidth="1"/>
    <col min="4764" max="4764" width="6.88671875" style="95" customWidth="1"/>
    <col min="4765" max="4766" width="11.44140625" style="95" hidden="1" customWidth="1"/>
    <col min="4767" max="4767" width="6.88671875" style="95" customWidth="1"/>
    <col min="4768" max="4769" width="11.44140625" style="95" hidden="1" customWidth="1"/>
    <col min="4770" max="4770" width="6.44140625" style="95" customWidth="1"/>
    <col min="4771" max="4775" width="11.44140625" style="95" hidden="1" customWidth="1"/>
    <col min="4776" max="4776" width="6.44140625" style="95" customWidth="1"/>
    <col min="4777" max="4778" width="11.44140625" style="95" hidden="1" customWidth="1"/>
    <col min="4779" max="4779" width="7.5546875" style="95" customWidth="1"/>
    <col min="4780" max="4780" width="11.44140625" style="95" hidden="1" customWidth="1"/>
    <col min="4781" max="4781" width="9.44140625" style="95" customWidth="1"/>
    <col min="4782" max="4782" width="11.44140625" style="95" hidden="1" customWidth="1"/>
    <col min="4783" max="4783" width="9" style="95" customWidth="1"/>
    <col min="4784" max="4785" width="11.44140625" style="95" hidden="1" customWidth="1"/>
    <col min="4786" max="4786" width="8.5546875" style="95" customWidth="1"/>
    <col min="4787" max="4788" width="11.44140625" style="95" hidden="1" customWidth="1"/>
    <col min="4789" max="4789" width="6.44140625" style="95" customWidth="1"/>
    <col min="4790" max="4791" width="11.44140625" style="95" hidden="1" customWidth="1"/>
    <col min="4792" max="4792" width="7" style="95" customWidth="1"/>
    <col min="4793" max="4794" width="11.44140625" style="95" hidden="1" customWidth="1"/>
    <col min="4795" max="4797" width="7" style="95" customWidth="1"/>
    <col min="4798" max="4799" width="11.44140625" style="95" hidden="1" customWidth="1"/>
    <col min="4800" max="4800" width="7.5546875" style="95" customWidth="1"/>
    <col min="4801" max="4802" width="11.44140625" style="95" hidden="1" customWidth="1"/>
    <col min="4803" max="4803" width="7" style="95" customWidth="1"/>
    <col min="4804" max="4805" width="11.44140625" style="95" hidden="1" customWidth="1"/>
    <col min="4806" max="4806" width="7" style="95" customWidth="1"/>
    <col min="4807" max="4808" width="11.44140625" style="95" hidden="1" customWidth="1"/>
    <col min="4809" max="4809" width="7" style="95" customWidth="1"/>
    <col min="4810" max="4810" width="11.44140625" style="95" hidden="1" customWidth="1"/>
    <col min="4811" max="4811" width="6.44140625" style="95" customWidth="1"/>
    <col min="4812" max="4821" width="11.44140625" style="95" hidden="1" customWidth="1"/>
    <col min="4822" max="4856" width="11.44140625" style="95" hidden="1"/>
    <col min="4857" max="4857" width="41.44140625" style="95" customWidth="1"/>
    <col min="4858" max="4858" width="6.44140625" style="95" customWidth="1"/>
    <col min="4859" max="4859" width="14.6640625" style="95" customWidth="1"/>
    <col min="4860" max="4860" width="11.44140625" style="95" customWidth="1"/>
    <col min="4861" max="4861" width="13" style="95" customWidth="1"/>
    <col min="4862" max="4862" width="25.44140625" style="95" customWidth="1"/>
    <col min="4863" max="4872" width="9.44140625" style="95" customWidth="1"/>
    <col min="4873" max="4873" width="8.88671875" style="95" customWidth="1"/>
    <col min="4874" max="4874" width="9.44140625" style="95" customWidth="1"/>
    <col min="4875" max="4880" width="10.109375" style="95" customWidth="1"/>
    <col min="4881" max="4881" width="6.44140625" style="95" customWidth="1"/>
    <col min="4882" max="4882" width="6.88671875" style="95" customWidth="1"/>
    <col min="4883" max="4884" width="6.5546875" style="95" customWidth="1"/>
    <col min="4885" max="4885" width="6.33203125" style="95" customWidth="1"/>
    <col min="4886" max="4886" width="7.5546875" style="95" customWidth="1"/>
    <col min="4887" max="4887" width="14.5546875" style="95" customWidth="1"/>
    <col min="4888" max="4889" width="11.44140625" style="95" customWidth="1"/>
    <col min="4890" max="4890" width="56.88671875" style="95" customWidth="1"/>
    <col min="4891" max="4891" width="9.109375" style="95" bestFit="1" customWidth="1"/>
    <col min="4892" max="4892" width="26.6640625" style="95" customWidth="1"/>
    <col min="4893" max="4893" width="22.88671875" style="95" customWidth="1"/>
    <col min="4894" max="4894" width="14.6640625" style="95" customWidth="1"/>
    <col min="4895" max="4895" width="5" style="95" customWidth="1"/>
    <col min="4896" max="4897" width="11.44140625" style="95" hidden="1" customWidth="1"/>
    <col min="4898" max="4898" width="5" style="95" customWidth="1"/>
    <col min="4899" max="4900" width="11.44140625" style="95" hidden="1" customWidth="1"/>
    <col min="4901" max="4901" width="5" style="95" customWidth="1"/>
    <col min="4902" max="4903" width="11.44140625" style="95" hidden="1" customWidth="1"/>
    <col min="4904" max="4904" width="5" style="95" customWidth="1"/>
    <col min="4905" max="4906" width="11.44140625" style="95" hidden="1" customWidth="1"/>
    <col min="4907" max="4907" width="5" style="95" customWidth="1"/>
    <col min="4908" max="4909" width="11.44140625" style="95" hidden="1" customWidth="1"/>
    <col min="4910" max="4910" width="5" style="95" customWidth="1"/>
    <col min="4911" max="4912" width="11.44140625" style="95" hidden="1" customWidth="1"/>
    <col min="4913" max="4913" width="6.44140625" style="95" customWidth="1"/>
    <col min="4914" max="4921" width="11.44140625" style="95" hidden="1" customWidth="1"/>
    <col min="4922" max="4922" width="6.88671875" style="95" customWidth="1"/>
    <col min="4923" max="4924" width="11.44140625" style="95" hidden="1" customWidth="1"/>
    <col min="4925" max="4925" width="6.44140625" style="95" customWidth="1"/>
    <col min="4926" max="4927" width="11.44140625" style="95" hidden="1" customWidth="1"/>
    <col min="4928" max="4928" width="5.44140625" style="95" customWidth="1"/>
    <col min="4929" max="4930" width="11.44140625" style="95" hidden="1" customWidth="1"/>
    <col min="4931" max="4931" width="4.88671875" style="95" customWidth="1"/>
    <col min="4932" max="4936" width="11.44140625" style="95" hidden="1" customWidth="1"/>
    <col min="4937" max="4937" width="8.44140625" style="95" customWidth="1"/>
    <col min="4938" max="4939" width="11.44140625" style="95" hidden="1" customWidth="1"/>
    <col min="4940" max="4940" width="5.44140625" style="95" customWidth="1"/>
    <col min="4941" max="4942" width="11.44140625" style="95" hidden="1" customWidth="1"/>
    <col min="4943" max="4943" width="8.44140625" style="95" customWidth="1"/>
    <col min="4944" max="4945" width="11.44140625" style="95" hidden="1" customWidth="1"/>
    <col min="4946" max="4946" width="5.88671875" style="95" customWidth="1"/>
    <col min="4947" max="4948" width="11.44140625" style="95" hidden="1" customWidth="1"/>
    <col min="4949" max="4949" width="5.44140625" style="95" customWidth="1"/>
    <col min="4950" max="4951" width="11.44140625" style="95" hidden="1" customWidth="1"/>
    <col min="4952" max="4952" width="5.44140625" style="95" customWidth="1"/>
    <col min="4953" max="4954" width="11.44140625" style="95" hidden="1" customWidth="1"/>
    <col min="4955" max="4955" width="6" style="95" customWidth="1"/>
    <col min="4956" max="4960" width="11.44140625" style="95" hidden="1" customWidth="1"/>
    <col min="4961" max="4961" width="5" style="95" customWidth="1"/>
    <col min="4962" max="4969" width="11.44140625" style="95" hidden="1" customWidth="1"/>
    <col min="4970" max="4970" width="5" style="95" customWidth="1"/>
    <col min="4971" max="4971" width="11.44140625" style="95" hidden="1" customWidth="1"/>
    <col min="4972" max="4972" width="5" style="95" customWidth="1"/>
    <col min="4973" max="4973" width="9.44140625" style="95" customWidth="1"/>
    <col min="4974" max="4974" width="11.44140625" style="95" hidden="1" customWidth="1"/>
    <col min="4975" max="4975" width="5" style="95" customWidth="1"/>
    <col min="4976" max="4977" width="11.44140625" style="95" hidden="1" customWidth="1"/>
    <col min="4978" max="4978" width="5" style="95" customWidth="1"/>
    <col min="4979" max="4980" width="11.44140625" style="95" hidden="1" customWidth="1"/>
    <col min="4981" max="4981" width="5" style="95" customWidth="1"/>
    <col min="4982" max="4983" width="11.44140625" style="95" hidden="1" customWidth="1"/>
    <col min="4984" max="4984" width="5" style="95" customWidth="1"/>
    <col min="4985" max="4986" width="11.44140625" style="95" hidden="1" customWidth="1"/>
    <col min="4987" max="4987" width="5" style="95" customWidth="1"/>
    <col min="4988" max="4989" width="11.44140625" style="95" hidden="1" customWidth="1"/>
    <col min="4990" max="4990" width="5" style="95" customWidth="1"/>
    <col min="4991" max="4991" width="11.44140625" style="95" hidden="1" customWidth="1"/>
    <col min="4992" max="4992" width="6.44140625" style="95" customWidth="1"/>
    <col min="4993" max="4993" width="11.44140625" style="95" hidden="1" customWidth="1"/>
    <col min="4994" max="4994" width="7.109375" style="95" customWidth="1"/>
    <col min="4995" max="4996" width="11.44140625" style="95" hidden="1" customWidth="1"/>
    <col min="4997" max="4997" width="7.109375" style="95" customWidth="1"/>
    <col min="4998" max="4999" width="11.44140625" style="95" hidden="1" customWidth="1"/>
    <col min="5000" max="5000" width="7.109375" style="95" customWidth="1"/>
    <col min="5001" max="5002" width="11.44140625" style="95" hidden="1" customWidth="1"/>
    <col min="5003" max="5003" width="7.109375" style="95" customWidth="1"/>
    <col min="5004" max="5005" width="11.44140625" style="95" hidden="1" customWidth="1"/>
    <col min="5006" max="5006" width="7.109375" style="95" customWidth="1"/>
    <col min="5007" max="5008" width="11.44140625" style="95" hidden="1" customWidth="1"/>
    <col min="5009" max="5009" width="7.109375" style="95" customWidth="1"/>
    <col min="5010" max="5011" width="11.44140625" style="95" hidden="1" customWidth="1"/>
    <col min="5012" max="5012" width="7.109375" style="95" customWidth="1"/>
    <col min="5013" max="5014" width="11.44140625" style="95" hidden="1" customWidth="1"/>
    <col min="5015" max="5015" width="7.109375" style="95" customWidth="1"/>
    <col min="5016" max="5016" width="11.44140625" style="95" hidden="1" customWidth="1"/>
    <col min="5017" max="5017" width="6.44140625" style="95" customWidth="1"/>
    <col min="5018" max="5019" width="11.44140625" style="95" hidden="1" customWidth="1"/>
    <col min="5020" max="5020" width="6.88671875" style="95" customWidth="1"/>
    <col min="5021" max="5022" width="11.44140625" style="95" hidden="1" customWidth="1"/>
    <col min="5023" max="5023" width="6.88671875" style="95" customWidth="1"/>
    <col min="5024" max="5025" width="11.44140625" style="95" hidden="1" customWidth="1"/>
    <col min="5026" max="5026" width="6.44140625" style="95" customWidth="1"/>
    <col min="5027" max="5031" width="11.44140625" style="95" hidden="1" customWidth="1"/>
    <col min="5032" max="5032" width="6.44140625" style="95" customWidth="1"/>
    <col min="5033" max="5034" width="11.44140625" style="95" hidden="1" customWidth="1"/>
    <col min="5035" max="5035" width="7.5546875" style="95" customWidth="1"/>
    <col min="5036" max="5036" width="11.44140625" style="95" hidden="1" customWidth="1"/>
    <col min="5037" max="5037" width="9.44140625" style="95" customWidth="1"/>
    <col min="5038" max="5038" width="11.44140625" style="95" hidden="1" customWidth="1"/>
    <col min="5039" max="5039" width="9" style="95" customWidth="1"/>
    <col min="5040" max="5041" width="11.44140625" style="95" hidden="1" customWidth="1"/>
    <col min="5042" max="5042" width="8.5546875" style="95" customWidth="1"/>
    <col min="5043" max="5044" width="11.44140625" style="95" hidden="1" customWidth="1"/>
    <col min="5045" max="5045" width="6.44140625" style="95" customWidth="1"/>
    <col min="5046" max="5047" width="11.44140625" style="95" hidden="1" customWidth="1"/>
    <col min="5048" max="5048" width="7" style="95" customWidth="1"/>
    <col min="5049" max="5050" width="11.44140625" style="95" hidden="1" customWidth="1"/>
    <col min="5051" max="5053" width="7" style="95" customWidth="1"/>
    <col min="5054" max="5055" width="11.44140625" style="95" hidden="1" customWidth="1"/>
    <col min="5056" max="5056" width="7.5546875" style="95" customWidth="1"/>
    <col min="5057" max="5058" width="11.44140625" style="95" hidden="1" customWidth="1"/>
    <col min="5059" max="5059" width="7" style="95" customWidth="1"/>
    <col min="5060" max="5061" width="11.44140625" style="95" hidden="1" customWidth="1"/>
    <col min="5062" max="5062" width="7" style="95" customWidth="1"/>
    <col min="5063" max="5064" width="11.44140625" style="95" hidden="1" customWidth="1"/>
    <col min="5065" max="5065" width="7" style="95" customWidth="1"/>
    <col min="5066" max="5066" width="11.44140625" style="95" hidden="1" customWidth="1"/>
    <col min="5067" max="5067" width="6.44140625" style="95" customWidth="1"/>
    <col min="5068" max="5077" width="11.44140625" style="95" hidden="1" customWidth="1"/>
    <col min="5078" max="5112" width="11.44140625" style="95" hidden="1"/>
    <col min="5113" max="5113" width="41.44140625" style="95" customWidth="1"/>
    <col min="5114" max="5114" width="6.44140625" style="95" customWidth="1"/>
    <col min="5115" max="5115" width="14.6640625" style="95" customWidth="1"/>
    <col min="5116" max="5116" width="11.44140625" style="95" customWidth="1"/>
    <col min="5117" max="5117" width="13" style="95" customWidth="1"/>
    <col min="5118" max="5118" width="25.44140625" style="95" customWidth="1"/>
    <col min="5119" max="5128" width="9.44140625" style="95" customWidth="1"/>
    <col min="5129" max="5129" width="8.88671875" style="95" customWidth="1"/>
    <col min="5130" max="5130" width="9.44140625" style="95" customWidth="1"/>
    <col min="5131" max="5136" width="10.109375" style="95" customWidth="1"/>
    <col min="5137" max="5137" width="6.44140625" style="95" customWidth="1"/>
    <col min="5138" max="5138" width="6.88671875" style="95" customWidth="1"/>
    <col min="5139" max="5140" width="6.5546875" style="95" customWidth="1"/>
    <col min="5141" max="5141" width="6.33203125" style="95" customWidth="1"/>
    <col min="5142" max="5142" width="7.5546875" style="95" customWidth="1"/>
    <col min="5143" max="5143" width="14.5546875" style="95" customWidth="1"/>
    <col min="5144" max="5145" width="11.44140625" style="95" customWidth="1"/>
    <col min="5146" max="5146" width="56.88671875" style="95" customWidth="1"/>
    <col min="5147" max="5147" width="9.109375" style="95" bestFit="1" customWidth="1"/>
    <col min="5148" max="5148" width="26.6640625" style="95" customWidth="1"/>
    <col min="5149" max="5149" width="22.88671875" style="95" customWidth="1"/>
    <col min="5150" max="5150" width="14.6640625" style="95" customWidth="1"/>
    <col min="5151" max="5151" width="5" style="95" customWidth="1"/>
    <col min="5152" max="5153" width="11.44140625" style="95" hidden="1" customWidth="1"/>
    <col min="5154" max="5154" width="5" style="95" customWidth="1"/>
    <col min="5155" max="5156" width="11.44140625" style="95" hidden="1" customWidth="1"/>
    <col min="5157" max="5157" width="5" style="95" customWidth="1"/>
    <col min="5158" max="5159" width="11.44140625" style="95" hidden="1" customWidth="1"/>
    <col min="5160" max="5160" width="5" style="95" customWidth="1"/>
    <col min="5161" max="5162" width="11.44140625" style="95" hidden="1" customWidth="1"/>
    <col min="5163" max="5163" width="5" style="95" customWidth="1"/>
    <col min="5164" max="5165" width="11.44140625" style="95" hidden="1" customWidth="1"/>
    <col min="5166" max="5166" width="5" style="95" customWidth="1"/>
    <col min="5167" max="5168" width="11.44140625" style="95" hidden="1" customWidth="1"/>
    <col min="5169" max="5169" width="6.44140625" style="95" customWidth="1"/>
    <col min="5170" max="5177" width="11.44140625" style="95" hidden="1" customWidth="1"/>
    <col min="5178" max="5178" width="6.88671875" style="95" customWidth="1"/>
    <col min="5179" max="5180" width="11.44140625" style="95" hidden="1" customWidth="1"/>
    <col min="5181" max="5181" width="6.44140625" style="95" customWidth="1"/>
    <col min="5182" max="5183" width="11.44140625" style="95" hidden="1" customWidth="1"/>
    <col min="5184" max="5184" width="5.44140625" style="95" customWidth="1"/>
    <col min="5185" max="5186" width="11.44140625" style="95" hidden="1" customWidth="1"/>
    <col min="5187" max="5187" width="4.88671875" style="95" customWidth="1"/>
    <col min="5188" max="5192" width="11.44140625" style="95" hidden="1" customWidth="1"/>
    <col min="5193" max="5193" width="8.44140625" style="95" customWidth="1"/>
    <col min="5194" max="5195" width="11.44140625" style="95" hidden="1" customWidth="1"/>
    <col min="5196" max="5196" width="5.44140625" style="95" customWidth="1"/>
    <col min="5197" max="5198" width="11.44140625" style="95" hidden="1" customWidth="1"/>
    <col min="5199" max="5199" width="8.44140625" style="95" customWidth="1"/>
    <col min="5200" max="5201" width="11.44140625" style="95" hidden="1" customWidth="1"/>
    <col min="5202" max="5202" width="5.88671875" style="95" customWidth="1"/>
    <col min="5203" max="5204" width="11.44140625" style="95" hidden="1" customWidth="1"/>
    <col min="5205" max="5205" width="5.44140625" style="95" customWidth="1"/>
    <col min="5206" max="5207" width="11.44140625" style="95" hidden="1" customWidth="1"/>
    <col min="5208" max="5208" width="5.44140625" style="95" customWidth="1"/>
    <col min="5209" max="5210" width="11.44140625" style="95" hidden="1" customWidth="1"/>
    <col min="5211" max="5211" width="6" style="95" customWidth="1"/>
    <col min="5212" max="5216" width="11.44140625" style="95" hidden="1" customWidth="1"/>
    <col min="5217" max="5217" width="5" style="95" customWidth="1"/>
    <col min="5218" max="5225" width="11.44140625" style="95" hidden="1" customWidth="1"/>
    <col min="5226" max="5226" width="5" style="95" customWidth="1"/>
    <col min="5227" max="5227" width="11.44140625" style="95" hidden="1" customWidth="1"/>
    <col min="5228" max="5228" width="5" style="95" customWidth="1"/>
    <col min="5229" max="5229" width="9.44140625" style="95" customWidth="1"/>
    <col min="5230" max="5230" width="11.44140625" style="95" hidden="1" customWidth="1"/>
    <col min="5231" max="5231" width="5" style="95" customWidth="1"/>
    <col min="5232" max="5233" width="11.44140625" style="95" hidden="1" customWidth="1"/>
    <col min="5234" max="5234" width="5" style="95" customWidth="1"/>
    <col min="5235" max="5236" width="11.44140625" style="95" hidden="1" customWidth="1"/>
    <col min="5237" max="5237" width="5" style="95" customWidth="1"/>
    <col min="5238" max="5239" width="11.44140625" style="95" hidden="1" customWidth="1"/>
    <col min="5240" max="5240" width="5" style="95" customWidth="1"/>
    <col min="5241" max="5242" width="11.44140625" style="95" hidden="1" customWidth="1"/>
    <col min="5243" max="5243" width="5" style="95" customWidth="1"/>
    <col min="5244" max="5245" width="11.44140625" style="95" hidden="1" customWidth="1"/>
    <col min="5246" max="5246" width="5" style="95" customWidth="1"/>
    <col min="5247" max="5247" width="11.44140625" style="95" hidden="1" customWidth="1"/>
    <col min="5248" max="5248" width="6.44140625" style="95" customWidth="1"/>
    <col min="5249" max="5249" width="11.44140625" style="95" hidden="1" customWidth="1"/>
    <col min="5250" max="5250" width="7.109375" style="95" customWidth="1"/>
    <col min="5251" max="5252" width="11.44140625" style="95" hidden="1" customWidth="1"/>
    <col min="5253" max="5253" width="7.109375" style="95" customWidth="1"/>
    <col min="5254" max="5255" width="11.44140625" style="95" hidden="1" customWidth="1"/>
    <col min="5256" max="5256" width="7.109375" style="95" customWidth="1"/>
    <col min="5257" max="5258" width="11.44140625" style="95" hidden="1" customWidth="1"/>
    <col min="5259" max="5259" width="7.109375" style="95" customWidth="1"/>
    <col min="5260" max="5261" width="11.44140625" style="95" hidden="1" customWidth="1"/>
    <col min="5262" max="5262" width="7.109375" style="95" customWidth="1"/>
    <col min="5263" max="5264" width="11.44140625" style="95" hidden="1" customWidth="1"/>
    <col min="5265" max="5265" width="7.109375" style="95" customWidth="1"/>
    <col min="5266" max="5267" width="11.44140625" style="95" hidden="1" customWidth="1"/>
    <col min="5268" max="5268" width="7.109375" style="95" customWidth="1"/>
    <col min="5269" max="5270" width="11.44140625" style="95" hidden="1" customWidth="1"/>
    <col min="5271" max="5271" width="7.109375" style="95" customWidth="1"/>
    <col min="5272" max="5272" width="11.44140625" style="95" hidden="1" customWidth="1"/>
    <col min="5273" max="5273" width="6.44140625" style="95" customWidth="1"/>
    <col min="5274" max="5275" width="11.44140625" style="95" hidden="1" customWidth="1"/>
    <col min="5276" max="5276" width="6.88671875" style="95" customWidth="1"/>
    <col min="5277" max="5278" width="11.44140625" style="95" hidden="1" customWidth="1"/>
    <col min="5279" max="5279" width="6.88671875" style="95" customWidth="1"/>
    <col min="5280" max="5281" width="11.44140625" style="95" hidden="1" customWidth="1"/>
    <col min="5282" max="5282" width="6.44140625" style="95" customWidth="1"/>
    <col min="5283" max="5287" width="11.44140625" style="95" hidden="1" customWidth="1"/>
    <col min="5288" max="5288" width="6.44140625" style="95" customWidth="1"/>
    <col min="5289" max="5290" width="11.44140625" style="95" hidden="1" customWidth="1"/>
    <col min="5291" max="5291" width="7.5546875" style="95" customWidth="1"/>
    <col min="5292" max="5292" width="11.44140625" style="95" hidden="1" customWidth="1"/>
    <col min="5293" max="5293" width="9.44140625" style="95" customWidth="1"/>
    <col min="5294" max="5294" width="11.44140625" style="95" hidden="1" customWidth="1"/>
    <col min="5295" max="5295" width="9" style="95" customWidth="1"/>
    <col min="5296" max="5297" width="11.44140625" style="95" hidden="1" customWidth="1"/>
    <col min="5298" max="5298" width="8.5546875" style="95" customWidth="1"/>
    <col min="5299" max="5300" width="11.44140625" style="95" hidden="1" customWidth="1"/>
    <col min="5301" max="5301" width="6.44140625" style="95" customWidth="1"/>
    <col min="5302" max="5303" width="11.44140625" style="95" hidden="1" customWidth="1"/>
    <col min="5304" max="5304" width="7" style="95" customWidth="1"/>
    <col min="5305" max="5306" width="11.44140625" style="95" hidden="1" customWidth="1"/>
    <col min="5307" max="5309" width="7" style="95" customWidth="1"/>
    <col min="5310" max="5311" width="11.44140625" style="95" hidden="1" customWidth="1"/>
    <col min="5312" max="5312" width="7.5546875" style="95" customWidth="1"/>
    <col min="5313" max="5314" width="11.44140625" style="95" hidden="1" customWidth="1"/>
    <col min="5315" max="5315" width="7" style="95" customWidth="1"/>
    <col min="5316" max="5317" width="11.44140625" style="95" hidden="1" customWidth="1"/>
    <col min="5318" max="5318" width="7" style="95" customWidth="1"/>
    <col min="5319" max="5320" width="11.44140625" style="95" hidden="1" customWidth="1"/>
    <col min="5321" max="5321" width="7" style="95" customWidth="1"/>
    <col min="5322" max="5322" width="11.44140625" style="95" hidden="1" customWidth="1"/>
    <col min="5323" max="5323" width="6.44140625" style="95" customWidth="1"/>
    <col min="5324" max="5333" width="11.44140625" style="95" hidden="1" customWidth="1"/>
    <col min="5334" max="5368" width="11.44140625" style="95" hidden="1"/>
    <col min="5369" max="5369" width="41.44140625" style="95" customWidth="1"/>
    <col min="5370" max="5370" width="6.44140625" style="95" customWidth="1"/>
    <col min="5371" max="5371" width="14.6640625" style="95" customWidth="1"/>
    <col min="5372" max="5372" width="11.44140625" style="95" customWidth="1"/>
    <col min="5373" max="5373" width="13" style="95" customWidth="1"/>
    <col min="5374" max="5374" width="25.44140625" style="95" customWidth="1"/>
    <col min="5375" max="5384" width="9.44140625" style="95" customWidth="1"/>
    <col min="5385" max="5385" width="8.88671875" style="95" customWidth="1"/>
    <col min="5386" max="5386" width="9.44140625" style="95" customWidth="1"/>
    <col min="5387" max="5392" width="10.109375" style="95" customWidth="1"/>
    <col min="5393" max="5393" width="6.44140625" style="95" customWidth="1"/>
    <col min="5394" max="5394" width="6.88671875" style="95" customWidth="1"/>
    <col min="5395" max="5396" width="6.5546875" style="95" customWidth="1"/>
    <col min="5397" max="5397" width="6.33203125" style="95" customWidth="1"/>
    <col min="5398" max="5398" width="7.5546875" style="95" customWidth="1"/>
    <col min="5399" max="5399" width="14.5546875" style="95" customWidth="1"/>
    <col min="5400" max="5401" width="11.44140625" style="95" customWidth="1"/>
    <col min="5402" max="5402" width="56.88671875" style="95" customWidth="1"/>
    <col min="5403" max="5403" width="9.109375" style="95" bestFit="1" customWidth="1"/>
    <col min="5404" max="5404" width="26.6640625" style="95" customWidth="1"/>
    <col min="5405" max="5405" width="22.88671875" style="95" customWidth="1"/>
    <col min="5406" max="5406" width="14.6640625" style="95" customWidth="1"/>
    <col min="5407" max="5407" width="5" style="95" customWidth="1"/>
    <col min="5408" max="5409" width="11.44140625" style="95" hidden="1" customWidth="1"/>
    <col min="5410" max="5410" width="5" style="95" customWidth="1"/>
    <col min="5411" max="5412" width="11.44140625" style="95" hidden="1" customWidth="1"/>
    <col min="5413" max="5413" width="5" style="95" customWidth="1"/>
    <col min="5414" max="5415" width="11.44140625" style="95" hidden="1" customWidth="1"/>
    <col min="5416" max="5416" width="5" style="95" customWidth="1"/>
    <col min="5417" max="5418" width="11.44140625" style="95" hidden="1" customWidth="1"/>
    <col min="5419" max="5419" width="5" style="95" customWidth="1"/>
    <col min="5420" max="5421" width="11.44140625" style="95" hidden="1" customWidth="1"/>
    <col min="5422" max="5422" width="5" style="95" customWidth="1"/>
    <col min="5423" max="5424" width="11.44140625" style="95" hidden="1" customWidth="1"/>
    <col min="5425" max="5425" width="6.44140625" style="95" customWidth="1"/>
    <col min="5426" max="5433" width="11.44140625" style="95" hidden="1" customWidth="1"/>
    <col min="5434" max="5434" width="6.88671875" style="95" customWidth="1"/>
    <col min="5435" max="5436" width="11.44140625" style="95" hidden="1" customWidth="1"/>
    <col min="5437" max="5437" width="6.44140625" style="95" customWidth="1"/>
    <col min="5438" max="5439" width="11.44140625" style="95" hidden="1" customWidth="1"/>
    <col min="5440" max="5440" width="5.44140625" style="95" customWidth="1"/>
    <col min="5441" max="5442" width="11.44140625" style="95" hidden="1" customWidth="1"/>
    <col min="5443" max="5443" width="4.88671875" style="95" customWidth="1"/>
    <col min="5444" max="5448" width="11.44140625" style="95" hidden="1" customWidth="1"/>
    <col min="5449" max="5449" width="8.44140625" style="95" customWidth="1"/>
    <col min="5450" max="5451" width="11.44140625" style="95" hidden="1" customWidth="1"/>
    <col min="5452" max="5452" width="5.44140625" style="95" customWidth="1"/>
    <col min="5453" max="5454" width="11.44140625" style="95" hidden="1" customWidth="1"/>
    <col min="5455" max="5455" width="8.44140625" style="95" customWidth="1"/>
    <col min="5456" max="5457" width="11.44140625" style="95" hidden="1" customWidth="1"/>
    <col min="5458" max="5458" width="5.88671875" style="95" customWidth="1"/>
    <col min="5459" max="5460" width="11.44140625" style="95" hidden="1" customWidth="1"/>
    <col min="5461" max="5461" width="5.44140625" style="95" customWidth="1"/>
    <col min="5462" max="5463" width="11.44140625" style="95" hidden="1" customWidth="1"/>
    <col min="5464" max="5464" width="5.44140625" style="95" customWidth="1"/>
    <col min="5465" max="5466" width="11.44140625" style="95" hidden="1" customWidth="1"/>
    <col min="5467" max="5467" width="6" style="95" customWidth="1"/>
    <col min="5468" max="5472" width="11.44140625" style="95" hidden="1" customWidth="1"/>
    <col min="5473" max="5473" width="5" style="95" customWidth="1"/>
    <col min="5474" max="5481" width="11.44140625" style="95" hidden="1" customWidth="1"/>
    <col min="5482" max="5482" width="5" style="95" customWidth="1"/>
    <col min="5483" max="5483" width="11.44140625" style="95" hidden="1" customWidth="1"/>
    <col min="5484" max="5484" width="5" style="95" customWidth="1"/>
    <col min="5485" max="5485" width="9.44140625" style="95" customWidth="1"/>
    <col min="5486" max="5486" width="11.44140625" style="95" hidden="1" customWidth="1"/>
    <col min="5487" max="5487" width="5" style="95" customWidth="1"/>
    <col min="5488" max="5489" width="11.44140625" style="95" hidden="1" customWidth="1"/>
    <col min="5490" max="5490" width="5" style="95" customWidth="1"/>
    <col min="5491" max="5492" width="11.44140625" style="95" hidden="1" customWidth="1"/>
    <col min="5493" max="5493" width="5" style="95" customWidth="1"/>
    <col min="5494" max="5495" width="11.44140625" style="95" hidden="1" customWidth="1"/>
    <col min="5496" max="5496" width="5" style="95" customWidth="1"/>
    <col min="5497" max="5498" width="11.44140625" style="95" hidden="1" customWidth="1"/>
    <col min="5499" max="5499" width="5" style="95" customWidth="1"/>
    <col min="5500" max="5501" width="11.44140625" style="95" hidden="1" customWidth="1"/>
    <col min="5502" max="5502" width="5" style="95" customWidth="1"/>
    <col min="5503" max="5503" width="11.44140625" style="95" hidden="1" customWidth="1"/>
    <col min="5504" max="5504" width="6.44140625" style="95" customWidth="1"/>
    <col min="5505" max="5505" width="11.44140625" style="95" hidden="1" customWidth="1"/>
    <col min="5506" max="5506" width="7.109375" style="95" customWidth="1"/>
    <col min="5507" max="5508" width="11.44140625" style="95" hidden="1" customWidth="1"/>
    <col min="5509" max="5509" width="7.109375" style="95" customWidth="1"/>
    <col min="5510" max="5511" width="11.44140625" style="95" hidden="1" customWidth="1"/>
    <col min="5512" max="5512" width="7.109375" style="95" customWidth="1"/>
    <col min="5513" max="5514" width="11.44140625" style="95" hidden="1" customWidth="1"/>
    <col min="5515" max="5515" width="7.109375" style="95" customWidth="1"/>
    <col min="5516" max="5517" width="11.44140625" style="95" hidden="1" customWidth="1"/>
    <col min="5518" max="5518" width="7.109375" style="95" customWidth="1"/>
    <col min="5519" max="5520" width="11.44140625" style="95" hidden="1" customWidth="1"/>
    <col min="5521" max="5521" width="7.109375" style="95" customWidth="1"/>
    <col min="5522" max="5523" width="11.44140625" style="95" hidden="1" customWidth="1"/>
    <col min="5524" max="5524" width="7.109375" style="95" customWidth="1"/>
    <col min="5525" max="5526" width="11.44140625" style="95" hidden="1" customWidth="1"/>
    <col min="5527" max="5527" width="7.109375" style="95" customWidth="1"/>
    <col min="5528" max="5528" width="11.44140625" style="95" hidden="1" customWidth="1"/>
    <col min="5529" max="5529" width="6.44140625" style="95" customWidth="1"/>
    <col min="5530" max="5531" width="11.44140625" style="95" hidden="1" customWidth="1"/>
    <col min="5532" max="5532" width="6.88671875" style="95" customWidth="1"/>
    <col min="5533" max="5534" width="11.44140625" style="95" hidden="1" customWidth="1"/>
    <col min="5535" max="5535" width="6.88671875" style="95" customWidth="1"/>
    <col min="5536" max="5537" width="11.44140625" style="95" hidden="1" customWidth="1"/>
    <col min="5538" max="5538" width="6.44140625" style="95" customWidth="1"/>
    <col min="5539" max="5543" width="11.44140625" style="95" hidden="1" customWidth="1"/>
    <col min="5544" max="5544" width="6.44140625" style="95" customWidth="1"/>
    <col min="5545" max="5546" width="11.44140625" style="95" hidden="1" customWidth="1"/>
    <col min="5547" max="5547" width="7.5546875" style="95" customWidth="1"/>
    <col min="5548" max="5548" width="11.44140625" style="95" hidden="1" customWidth="1"/>
    <col min="5549" max="5549" width="9.44140625" style="95" customWidth="1"/>
    <col min="5550" max="5550" width="11.44140625" style="95" hidden="1" customWidth="1"/>
    <col min="5551" max="5551" width="9" style="95" customWidth="1"/>
    <col min="5552" max="5553" width="11.44140625" style="95" hidden="1" customWidth="1"/>
    <col min="5554" max="5554" width="8.5546875" style="95" customWidth="1"/>
    <col min="5555" max="5556" width="11.44140625" style="95" hidden="1" customWidth="1"/>
    <col min="5557" max="5557" width="6.44140625" style="95" customWidth="1"/>
    <col min="5558" max="5559" width="11.44140625" style="95" hidden="1" customWidth="1"/>
    <col min="5560" max="5560" width="7" style="95" customWidth="1"/>
    <col min="5561" max="5562" width="11.44140625" style="95" hidden="1" customWidth="1"/>
    <col min="5563" max="5565" width="7" style="95" customWidth="1"/>
    <col min="5566" max="5567" width="11.44140625" style="95" hidden="1" customWidth="1"/>
    <col min="5568" max="5568" width="7.5546875" style="95" customWidth="1"/>
    <col min="5569" max="5570" width="11.44140625" style="95" hidden="1" customWidth="1"/>
    <col min="5571" max="5571" width="7" style="95" customWidth="1"/>
    <col min="5572" max="5573" width="11.44140625" style="95" hidden="1" customWidth="1"/>
    <col min="5574" max="5574" width="7" style="95" customWidth="1"/>
    <col min="5575" max="5576" width="11.44140625" style="95" hidden="1" customWidth="1"/>
    <col min="5577" max="5577" width="7" style="95" customWidth="1"/>
    <col min="5578" max="5578" width="11.44140625" style="95" hidden="1" customWidth="1"/>
    <col min="5579" max="5579" width="6.44140625" style="95" customWidth="1"/>
    <col min="5580" max="5589" width="11.44140625" style="95" hidden="1" customWidth="1"/>
    <col min="5590" max="5624" width="11.44140625" style="95" hidden="1"/>
    <col min="5625" max="5625" width="41.44140625" style="95" customWidth="1"/>
    <col min="5626" max="5626" width="6.44140625" style="95" customWidth="1"/>
    <col min="5627" max="5627" width="14.6640625" style="95" customWidth="1"/>
    <col min="5628" max="5628" width="11.44140625" style="95" customWidth="1"/>
    <col min="5629" max="5629" width="13" style="95" customWidth="1"/>
    <col min="5630" max="5630" width="25.44140625" style="95" customWidth="1"/>
    <col min="5631" max="5640" width="9.44140625" style="95" customWidth="1"/>
    <col min="5641" max="5641" width="8.88671875" style="95" customWidth="1"/>
    <col min="5642" max="5642" width="9.44140625" style="95" customWidth="1"/>
    <col min="5643" max="5648" width="10.109375" style="95" customWidth="1"/>
    <col min="5649" max="5649" width="6.44140625" style="95" customWidth="1"/>
    <col min="5650" max="5650" width="6.88671875" style="95" customWidth="1"/>
    <col min="5651" max="5652" width="6.5546875" style="95" customWidth="1"/>
    <col min="5653" max="5653" width="6.33203125" style="95" customWidth="1"/>
    <col min="5654" max="5654" width="7.5546875" style="95" customWidth="1"/>
    <col min="5655" max="5655" width="14.5546875" style="95" customWidth="1"/>
    <col min="5656" max="5657" width="11.44140625" style="95" customWidth="1"/>
    <col min="5658" max="5658" width="56.88671875" style="95" customWidth="1"/>
    <col min="5659" max="5659" width="9.109375" style="95" bestFit="1" customWidth="1"/>
    <col min="5660" max="5660" width="26.6640625" style="95" customWidth="1"/>
    <col min="5661" max="5661" width="22.88671875" style="95" customWidth="1"/>
    <col min="5662" max="5662" width="14.6640625" style="95" customWidth="1"/>
    <col min="5663" max="5663" width="5" style="95" customWidth="1"/>
    <col min="5664" max="5665" width="11.44140625" style="95" hidden="1" customWidth="1"/>
    <col min="5666" max="5666" width="5" style="95" customWidth="1"/>
    <col min="5667" max="5668" width="11.44140625" style="95" hidden="1" customWidth="1"/>
    <col min="5669" max="5669" width="5" style="95" customWidth="1"/>
    <col min="5670" max="5671" width="11.44140625" style="95" hidden="1" customWidth="1"/>
    <col min="5672" max="5672" width="5" style="95" customWidth="1"/>
    <col min="5673" max="5674" width="11.44140625" style="95" hidden="1" customWidth="1"/>
    <col min="5675" max="5675" width="5" style="95" customWidth="1"/>
    <col min="5676" max="5677" width="11.44140625" style="95" hidden="1" customWidth="1"/>
    <col min="5678" max="5678" width="5" style="95" customWidth="1"/>
    <col min="5679" max="5680" width="11.44140625" style="95" hidden="1" customWidth="1"/>
    <col min="5681" max="5681" width="6.44140625" style="95" customWidth="1"/>
    <col min="5682" max="5689" width="11.44140625" style="95" hidden="1" customWidth="1"/>
    <col min="5690" max="5690" width="6.88671875" style="95" customWidth="1"/>
    <col min="5691" max="5692" width="11.44140625" style="95" hidden="1" customWidth="1"/>
    <col min="5693" max="5693" width="6.44140625" style="95" customWidth="1"/>
    <col min="5694" max="5695" width="11.44140625" style="95" hidden="1" customWidth="1"/>
    <col min="5696" max="5696" width="5.44140625" style="95" customWidth="1"/>
    <col min="5697" max="5698" width="11.44140625" style="95" hidden="1" customWidth="1"/>
    <col min="5699" max="5699" width="4.88671875" style="95" customWidth="1"/>
    <col min="5700" max="5704" width="11.44140625" style="95" hidden="1" customWidth="1"/>
    <col min="5705" max="5705" width="8.44140625" style="95" customWidth="1"/>
    <col min="5706" max="5707" width="11.44140625" style="95" hidden="1" customWidth="1"/>
    <col min="5708" max="5708" width="5.44140625" style="95" customWidth="1"/>
    <col min="5709" max="5710" width="11.44140625" style="95" hidden="1" customWidth="1"/>
    <col min="5711" max="5711" width="8.44140625" style="95" customWidth="1"/>
    <col min="5712" max="5713" width="11.44140625" style="95" hidden="1" customWidth="1"/>
    <col min="5714" max="5714" width="5.88671875" style="95" customWidth="1"/>
    <col min="5715" max="5716" width="11.44140625" style="95" hidden="1" customWidth="1"/>
    <col min="5717" max="5717" width="5.44140625" style="95" customWidth="1"/>
    <col min="5718" max="5719" width="11.44140625" style="95" hidden="1" customWidth="1"/>
    <col min="5720" max="5720" width="5.44140625" style="95" customWidth="1"/>
    <col min="5721" max="5722" width="11.44140625" style="95" hidden="1" customWidth="1"/>
    <col min="5723" max="5723" width="6" style="95" customWidth="1"/>
    <col min="5724" max="5728" width="11.44140625" style="95" hidden="1" customWidth="1"/>
    <col min="5729" max="5729" width="5" style="95" customWidth="1"/>
    <col min="5730" max="5737" width="11.44140625" style="95" hidden="1" customWidth="1"/>
    <col min="5738" max="5738" width="5" style="95" customWidth="1"/>
    <col min="5739" max="5739" width="11.44140625" style="95" hidden="1" customWidth="1"/>
    <col min="5740" max="5740" width="5" style="95" customWidth="1"/>
    <col min="5741" max="5741" width="9.44140625" style="95" customWidth="1"/>
    <col min="5742" max="5742" width="11.44140625" style="95" hidden="1" customWidth="1"/>
    <col min="5743" max="5743" width="5" style="95" customWidth="1"/>
    <col min="5744" max="5745" width="11.44140625" style="95" hidden="1" customWidth="1"/>
    <col min="5746" max="5746" width="5" style="95" customWidth="1"/>
    <col min="5747" max="5748" width="11.44140625" style="95" hidden="1" customWidth="1"/>
    <col min="5749" max="5749" width="5" style="95" customWidth="1"/>
    <col min="5750" max="5751" width="11.44140625" style="95" hidden="1" customWidth="1"/>
    <col min="5752" max="5752" width="5" style="95" customWidth="1"/>
    <col min="5753" max="5754" width="11.44140625" style="95" hidden="1" customWidth="1"/>
    <col min="5755" max="5755" width="5" style="95" customWidth="1"/>
    <col min="5756" max="5757" width="11.44140625" style="95" hidden="1" customWidth="1"/>
    <col min="5758" max="5758" width="5" style="95" customWidth="1"/>
    <col min="5759" max="5759" width="11.44140625" style="95" hidden="1" customWidth="1"/>
    <col min="5760" max="5760" width="6.44140625" style="95" customWidth="1"/>
    <col min="5761" max="5761" width="11.44140625" style="95" hidden="1" customWidth="1"/>
    <col min="5762" max="5762" width="7.109375" style="95" customWidth="1"/>
    <col min="5763" max="5764" width="11.44140625" style="95" hidden="1" customWidth="1"/>
    <col min="5765" max="5765" width="7.109375" style="95" customWidth="1"/>
    <col min="5766" max="5767" width="11.44140625" style="95" hidden="1" customWidth="1"/>
    <col min="5768" max="5768" width="7.109375" style="95" customWidth="1"/>
    <col min="5769" max="5770" width="11.44140625" style="95" hidden="1" customWidth="1"/>
    <col min="5771" max="5771" width="7.109375" style="95" customWidth="1"/>
    <col min="5772" max="5773" width="11.44140625" style="95" hidden="1" customWidth="1"/>
    <col min="5774" max="5774" width="7.109375" style="95" customWidth="1"/>
    <col min="5775" max="5776" width="11.44140625" style="95" hidden="1" customWidth="1"/>
    <col min="5777" max="5777" width="7.109375" style="95" customWidth="1"/>
    <col min="5778" max="5779" width="11.44140625" style="95" hidden="1" customWidth="1"/>
    <col min="5780" max="5780" width="7.109375" style="95" customWidth="1"/>
    <col min="5781" max="5782" width="11.44140625" style="95" hidden="1" customWidth="1"/>
    <col min="5783" max="5783" width="7.109375" style="95" customWidth="1"/>
    <col min="5784" max="5784" width="11.44140625" style="95" hidden="1" customWidth="1"/>
    <col min="5785" max="5785" width="6.44140625" style="95" customWidth="1"/>
    <col min="5786" max="5787" width="11.44140625" style="95" hidden="1" customWidth="1"/>
    <col min="5788" max="5788" width="6.88671875" style="95" customWidth="1"/>
    <col min="5789" max="5790" width="11.44140625" style="95" hidden="1" customWidth="1"/>
    <col min="5791" max="5791" width="6.88671875" style="95" customWidth="1"/>
    <col min="5792" max="5793" width="11.44140625" style="95" hidden="1" customWidth="1"/>
    <col min="5794" max="5794" width="6.44140625" style="95" customWidth="1"/>
    <col min="5795" max="5799" width="11.44140625" style="95" hidden="1" customWidth="1"/>
    <col min="5800" max="5800" width="6.44140625" style="95" customWidth="1"/>
    <col min="5801" max="5802" width="11.44140625" style="95" hidden="1" customWidth="1"/>
    <col min="5803" max="5803" width="7.5546875" style="95" customWidth="1"/>
    <col min="5804" max="5804" width="11.44140625" style="95" hidden="1" customWidth="1"/>
    <col min="5805" max="5805" width="9.44140625" style="95" customWidth="1"/>
    <col min="5806" max="5806" width="11.44140625" style="95" hidden="1" customWidth="1"/>
    <col min="5807" max="5807" width="9" style="95" customWidth="1"/>
    <col min="5808" max="5809" width="11.44140625" style="95" hidden="1" customWidth="1"/>
    <col min="5810" max="5810" width="8.5546875" style="95" customWidth="1"/>
    <col min="5811" max="5812" width="11.44140625" style="95" hidden="1" customWidth="1"/>
    <col min="5813" max="5813" width="6.44140625" style="95" customWidth="1"/>
    <col min="5814" max="5815" width="11.44140625" style="95" hidden="1" customWidth="1"/>
    <col min="5816" max="5816" width="7" style="95" customWidth="1"/>
    <col min="5817" max="5818" width="11.44140625" style="95" hidden="1" customWidth="1"/>
    <col min="5819" max="5821" width="7" style="95" customWidth="1"/>
    <col min="5822" max="5823" width="11.44140625" style="95" hidden="1" customWidth="1"/>
    <col min="5824" max="5824" width="7.5546875" style="95" customWidth="1"/>
    <col min="5825" max="5826" width="11.44140625" style="95" hidden="1" customWidth="1"/>
    <col min="5827" max="5827" width="7" style="95" customWidth="1"/>
    <col min="5828" max="5829" width="11.44140625" style="95" hidden="1" customWidth="1"/>
    <col min="5830" max="5830" width="7" style="95" customWidth="1"/>
    <col min="5831" max="5832" width="11.44140625" style="95" hidden="1" customWidth="1"/>
    <col min="5833" max="5833" width="7" style="95" customWidth="1"/>
    <col min="5834" max="5834" width="11.44140625" style="95" hidden="1" customWidth="1"/>
    <col min="5835" max="5835" width="6.44140625" style="95" customWidth="1"/>
    <col min="5836" max="5845" width="11.44140625" style="95" hidden="1" customWidth="1"/>
    <col min="5846" max="5880" width="11.44140625" style="95" hidden="1"/>
    <col min="5881" max="5881" width="41.44140625" style="95" customWidth="1"/>
    <col min="5882" max="5882" width="6.44140625" style="95" customWidth="1"/>
    <col min="5883" max="5883" width="14.6640625" style="95" customWidth="1"/>
    <col min="5884" max="5884" width="11.44140625" style="95" customWidth="1"/>
    <col min="5885" max="5885" width="13" style="95" customWidth="1"/>
    <col min="5886" max="5886" width="25.44140625" style="95" customWidth="1"/>
    <col min="5887" max="5896" width="9.44140625" style="95" customWidth="1"/>
    <col min="5897" max="5897" width="8.88671875" style="95" customWidth="1"/>
    <col min="5898" max="5898" width="9.44140625" style="95" customWidth="1"/>
    <col min="5899" max="5904" width="10.109375" style="95" customWidth="1"/>
    <col min="5905" max="5905" width="6.44140625" style="95" customWidth="1"/>
    <col min="5906" max="5906" width="6.88671875" style="95" customWidth="1"/>
    <col min="5907" max="5908" width="6.5546875" style="95" customWidth="1"/>
    <col min="5909" max="5909" width="6.33203125" style="95" customWidth="1"/>
    <col min="5910" max="5910" width="7.5546875" style="95" customWidth="1"/>
    <col min="5911" max="5911" width="14.5546875" style="95" customWidth="1"/>
    <col min="5912" max="5913" width="11.44140625" style="95" customWidth="1"/>
    <col min="5914" max="5914" width="56.88671875" style="95" customWidth="1"/>
    <col min="5915" max="5915" width="9.109375" style="95" bestFit="1" customWidth="1"/>
    <col min="5916" max="5916" width="26.6640625" style="95" customWidth="1"/>
    <col min="5917" max="5917" width="22.88671875" style="95" customWidth="1"/>
    <col min="5918" max="5918" width="14.6640625" style="95" customWidth="1"/>
    <col min="5919" max="5919" width="5" style="95" customWidth="1"/>
    <col min="5920" max="5921" width="11.44140625" style="95" hidden="1" customWidth="1"/>
    <col min="5922" max="5922" width="5" style="95" customWidth="1"/>
    <col min="5923" max="5924" width="11.44140625" style="95" hidden="1" customWidth="1"/>
    <col min="5925" max="5925" width="5" style="95" customWidth="1"/>
    <col min="5926" max="5927" width="11.44140625" style="95" hidden="1" customWidth="1"/>
    <col min="5928" max="5928" width="5" style="95" customWidth="1"/>
    <col min="5929" max="5930" width="11.44140625" style="95" hidden="1" customWidth="1"/>
    <col min="5931" max="5931" width="5" style="95" customWidth="1"/>
    <col min="5932" max="5933" width="11.44140625" style="95" hidden="1" customWidth="1"/>
    <col min="5934" max="5934" width="5" style="95" customWidth="1"/>
    <col min="5935" max="5936" width="11.44140625" style="95" hidden="1" customWidth="1"/>
    <col min="5937" max="5937" width="6.44140625" style="95" customWidth="1"/>
    <col min="5938" max="5945" width="11.44140625" style="95" hidden="1" customWidth="1"/>
    <col min="5946" max="5946" width="6.88671875" style="95" customWidth="1"/>
    <col min="5947" max="5948" width="11.44140625" style="95" hidden="1" customWidth="1"/>
    <col min="5949" max="5949" width="6.44140625" style="95" customWidth="1"/>
    <col min="5950" max="5951" width="11.44140625" style="95" hidden="1" customWidth="1"/>
    <col min="5952" max="5952" width="5.44140625" style="95" customWidth="1"/>
    <col min="5953" max="5954" width="11.44140625" style="95" hidden="1" customWidth="1"/>
    <col min="5955" max="5955" width="4.88671875" style="95" customWidth="1"/>
    <col min="5956" max="5960" width="11.44140625" style="95" hidden="1" customWidth="1"/>
    <col min="5961" max="5961" width="8.44140625" style="95" customWidth="1"/>
    <col min="5962" max="5963" width="11.44140625" style="95" hidden="1" customWidth="1"/>
    <col min="5964" max="5964" width="5.44140625" style="95" customWidth="1"/>
    <col min="5965" max="5966" width="11.44140625" style="95" hidden="1" customWidth="1"/>
    <col min="5967" max="5967" width="8.44140625" style="95" customWidth="1"/>
    <col min="5968" max="5969" width="11.44140625" style="95" hidden="1" customWidth="1"/>
    <col min="5970" max="5970" width="5.88671875" style="95" customWidth="1"/>
    <col min="5971" max="5972" width="11.44140625" style="95" hidden="1" customWidth="1"/>
    <col min="5973" max="5973" width="5.44140625" style="95" customWidth="1"/>
    <col min="5974" max="5975" width="11.44140625" style="95" hidden="1" customWidth="1"/>
    <col min="5976" max="5976" width="5.44140625" style="95" customWidth="1"/>
    <col min="5977" max="5978" width="11.44140625" style="95" hidden="1" customWidth="1"/>
    <col min="5979" max="5979" width="6" style="95" customWidth="1"/>
    <col min="5980" max="5984" width="11.44140625" style="95" hidden="1" customWidth="1"/>
    <col min="5985" max="5985" width="5" style="95" customWidth="1"/>
    <col min="5986" max="5993" width="11.44140625" style="95" hidden="1" customWidth="1"/>
    <col min="5994" max="5994" width="5" style="95" customWidth="1"/>
    <col min="5995" max="5995" width="11.44140625" style="95" hidden="1" customWidth="1"/>
    <col min="5996" max="5996" width="5" style="95" customWidth="1"/>
    <col min="5997" max="5997" width="9.44140625" style="95" customWidth="1"/>
    <col min="5998" max="5998" width="11.44140625" style="95" hidden="1" customWidth="1"/>
    <col min="5999" max="5999" width="5" style="95" customWidth="1"/>
    <col min="6000" max="6001" width="11.44140625" style="95" hidden="1" customWidth="1"/>
    <col min="6002" max="6002" width="5" style="95" customWidth="1"/>
    <col min="6003" max="6004" width="11.44140625" style="95" hidden="1" customWidth="1"/>
    <col min="6005" max="6005" width="5" style="95" customWidth="1"/>
    <col min="6006" max="6007" width="11.44140625" style="95" hidden="1" customWidth="1"/>
    <col min="6008" max="6008" width="5" style="95" customWidth="1"/>
    <col min="6009" max="6010" width="11.44140625" style="95" hidden="1" customWidth="1"/>
    <col min="6011" max="6011" width="5" style="95" customWidth="1"/>
    <col min="6012" max="6013" width="11.44140625" style="95" hidden="1" customWidth="1"/>
    <col min="6014" max="6014" width="5" style="95" customWidth="1"/>
    <col min="6015" max="6015" width="11.44140625" style="95" hidden="1" customWidth="1"/>
    <col min="6016" max="6016" width="6.44140625" style="95" customWidth="1"/>
    <col min="6017" max="6017" width="11.44140625" style="95" hidden="1" customWidth="1"/>
    <col min="6018" max="6018" width="7.109375" style="95" customWidth="1"/>
    <col min="6019" max="6020" width="11.44140625" style="95" hidden="1" customWidth="1"/>
    <col min="6021" max="6021" width="7.109375" style="95" customWidth="1"/>
    <col min="6022" max="6023" width="11.44140625" style="95" hidden="1" customWidth="1"/>
    <col min="6024" max="6024" width="7.109375" style="95" customWidth="1"/>
    <col min="6025" max="6026" width="11.44140625" style="95" hidden="1" customWidth="1"/>
    <col min="6027" max="6027" width="7.109375" style="95" customWidth="1"/>
    <col min="6028" max="6029" width="11.44140625" style="95" hidden="1" customWidth="1"/>
    <col min="6030" max="6030" width="7.109375" style="95" customWidth="1"/>
    <col min="6031" max="6032" width="11.44140625" style="95" hidden="1" customWidth="1"/>
    <col min="6033" max="6033" width="7.109375" style="95" customWidth="1"/>
    <col min="6034" max="6035" width="11.44140625" style="95" hidden="1" customWidth="1"/>
    <col min="6036" max="6036" width="7.109375" style="95" customWidth="1"/>
    <col min="6037" max="6038" width="11.44140625" style="95" hidden="1" customWidth="1"/>
    <col min="6039" max="6039" width="7.109375" style="95" customWidth="1"/>
    <col min="6040" max="6040" width="11.44140625" style="95" hidden="1" customWidth="1"/>
    <col min="6041" max="6041" width="6.44140625" style="95" customWidth="1"/>
    <col min="6042" max="6043" width="11.44140625" style="95" hidden="1" customWidth="1"/>
    <col min="6044" max="6044" width="6.88671875" style="95" customWidth="1"/>
    <col min="6045" max="6046" width="11.44140625" style="95" hidden="1" customWidth="1"/>
    <col min="6047" max="6047" width="6.88671875" style="95" customWidth="1"/>
    <col min="6048" max="6049" width="11.44140625" style="95" hidden="1" customWidth="1"/>
    <col min="6050" max="6050" width="6.44140625" style="95" customWidth="1"/>
    <col min="6051" max="6055" width="11.44140625" style="95" hidden="1" customWidth="1"/>
    <col min="6056" max="6056" width="6.44140625" style="95" customWidth="1"/>
    <col min="6057" max="6058" width="11.44140625" style="95" hidden="1" customWidth="1"/>
    <col min="6059" max="6059" width="7.5546875" style="95" customWidth="1"/>
    <col min="6060" max="6060" width="11.44140625" style="95" hidden="1" customWidth="1"/>
    <col min="6061" max="6061" width="9.44140625" style="95" customWidth="1"/>
    <col min="6062" max="6062" width="11.44140625" style="95" hidden="1" customWidth="1"/>
    <col min="6063" max="6063" width="9" style="95" customWidth="1"/>
    <col min="6064" max="6065" width="11.44140625" style="95" hidden="1" customWidth="1"/>
    <col min="6066" max="6066" width="8.5546875" style="95" customWidth="1"/>
    <col min="6067" max="6068" width="11.44140625" style="95" hidden="1" customWidth="1"/>
    <col min="6069" max="6069" width="6.44140625" style="95" customWidth="1"/>
    <col min="6070" max="6071" width="11.44140625" style="95" hidden="1" customWidth="1"/>
    <col min="6072" max="6072" width="7" style="95" customWidth="1"/>
    <col min="6073" max="6074" width="11.44140625" style="95" hidden="1" customWidth="1"/>
    <col min="6075" max="6077" width="7" style="95" customWidth="1"/>
    <col min="6078" max="6079" width="11.44140625" style="95" hidden="1" customWidth="1"/>
    <col min="6080" max="6080" width="7.5546875" style="95" customWidth="1"/>
    <col min="6081" max="6082" width="11.44140625" style="95" hidden="1" customWidth="1"/>
    <col min="6083" max="6083" width="7" style="95" customWidth="1"/>
    <col min="6084" max="6085" width="11.44140625" style="95" hidden="1" customWidth="1"/>
    <col min="6086" max="6086" width="7" style="95" customWidth="1"/>
    <col min="6087" max="6088" width="11.44140625" style="95" hidden="1" customWidth="1"/>
    <col min="6089" max="6089" width="7" style="95" customWidth="1"/>
    <col min="6090" max="6090" width="11.44140625" style="95" hidden="1" customWidth="1"/>
    <col min="6091" max="6091" width="6.44140625" style="95" customWidth="1"/>
    <col min="6092" max="6101" width="11.44140625" style="95" hidden="1" customWidth="1"/>
    <col min="6102" max="6136" width="11.44140625" style="95" hidden="1"/>
    <col min="6137" max="6137" width="41.44140625" style="95" customWidth="1"/>
    <col min="6138" max="6138" width="6.44140625" style="95" customWidth="1"/>
    <col min="6139" max="6139" width="14.6640625" style="95" customWidth="1"/>
    <col min="6140" max="6140" width="11.44140625" style="95" customWidth="1"/>
    <col min="6141" max="6141" width="13" style="95" customWidth="1"/>
    <col min="6142" max="6142" width="25.44140625" style="95" customWidth="1"/>
    <col min="6143" max="6152" width="9.44140625" style="95" customWidth="1"/>
    <col min="6153" max="6153" width="8.88671875" style="95" customWidth="1"/>
    <col min="6154" max="6154" width="9.44140625" style="95" customWidth="1"/>
    <col min="6155" max="6160" width="10.109375" style="95" customWidth="1"/>
    <col min="6161" max="6161" width="6.44140625" style="95" customWidth="1"/>
    <col min="6162" max="6162" width="6.88671875" style="95" customWidth="1"/>
    <col min="6163" max="6164" width="6.5546875" style="95" customWidth="1"/>
    <col min="6165" max="6165" width="6.33203125" style="95" customWidth="1"/>
    <col min="6166" max="6166" width="7.5546875" style="95" customWidth="1"/>
    <col min="6167" max="6167" width="14.5546875" style="95" customWidth="1"/>
    <col min="6168" max="6169" width="11.44140625" style="95" customWidth="1"/>
    <col min="6170" max="6170" width="56.88671875" style="95" customWidth="1"/>
    <col min="6171" max="6171" width="9.109375" style="95" bestFit="1" customWidth="1"/>
    <col min="6172" max="6172" width="26.6640625" style="95" customWidth="1"/>
    <col min="6173" max="6173" width="22.88671875" style="95" customWidth="1"/>
    <col min="6174" max="6174" width="14.6640625" style="95" customWidth="1"/>
    <col min="6175" max="6175" width="5" style="95" customWidth="1"/>
    <col min="6176" max="6177" width="11.44140625" style="95" hidden="1" customWidth="1"/>
    <col min="6178" max="6178" width="5" style="95" customWidth="1"/>
    <col min="6179" max="6180" width="11.44140625" style="95" hidden="1" customWidth="1"/>
    <col min="6181" max="6181" width="5" style="95" customWidth="1"/>
    <col min="6182" max="6183" width="11.44140625" style="95" hidden="1" customWidth="1"/>
    <col min="6184" max="6184" width="5" style="95" customWidth="1"/>
    <col min="6185" max="6186" width="11.44140625" style="95" hidden="1" customWidth="1"/>
    <col min="6187" max="6187" width="5" style="95" customWidth="1"/>
    <col min="6188" max="6189" width="11.44140625" style="95" hidden="1" customWidth="1"/>
    <col min="6190" max="6190" width="5" style="95" customWidth="1"/>
    <col min="6191" max="6192" width="11.44140625" style="95" hidden="1" customWidth="1"/>
    <col min="6193" max="6193" width="6.44140625" style="95" customWidth="1"/>
    <col min="6194" max="6201" width="11.44140625" style="95" hidden="1" customWidth="1"/>
    <col min="6202" max="6202" width="6.88671875" style="95" customWidth="1"/>
    <col min="6203" max="6204" width="11.44140625" style="95" hidden="1" customWidth="1"/>
    <col min="6205" max="6205" width="6.44140625" style="95" customWidth="1"/>
    <col min="6206" max="6207" width="11.44140625" style="95" hidden="1" customWidth="1"/>
    <col min="6208" max="6208" width="5.44140625" style="95" customWidth="1"/>
    <col min="6209" max="6210" width="11.44140625" style="95" hidden="1" customWidth="1"/>
    <col min="6211" max="6211" width="4.88671875" style="95" customWidth="1"/>
    <col min="6212" max="6216" width="11.44140625" style="95" hidden="1" customWidth="1"/>
    <col min="6217" max="6217" width="8.44140625" style="95" customWidth="1"/>
    <col min="6218" max="6219" width="11.44140625" style="95" hidden="1" customWidth="1"/>
    <col min="6220" max="6220" width="5.44140625" style="95" customWidth="1"/>
    <col min="6221" max="6222" width="11.44140625" style="95" hidden="1" customWidth="1"/>
    <col min="6223" max="6223" width="8.44140625" style="95" customWidth="1"/>
    <col min="6224" max="6225" width="11.44140625" style="95" hidden="1" customWidth="1"/>
    <col min="6226" max="6226" width="5.88671875" style="95" customWidth="1"/>
    <col min="6227" max="6228" width="11.44140625" style="95" hidden="1" customWidth="1"/>
    <col min="6229" max="6229" width="5.44140625" style="95" customWidth="1"/>
    <col min="6230" max="6231" width="11.44140625" style="95" hidden="1" customWidth="1"/>
    <col min="6232" max="6232" width="5.44140625" style="95" customWidth="1"/>
    <col min="6233" max="6234" width="11.44140625" style="95" hidden="1" customWidth="1"/>
    <col min="6235" max="6235" width="6" style="95" customWidth="1"/>
    <col min="6236" max="6240" width="11.44140625" style="95" hidden="1" customWidth="1"/>
    <col min="6241" max="6241" width="5" style="95" customWidth="1"/>
    <col min="6242" max="6249" width="11.44140625" style="95" hidden="1" customWidth="1"/>
    <col min="6250" max="6250" width="5" style="95" customWidth="1"/>
    <col min="6251" max="6251" width="11.44140625" style="95" hidden="1" customWidth="1"/>
    <col min="6252" max="6252" width="5" style="95" customWidth="1"/>
    <col min="6253" max="6253" width="9.44140625" style="95" customWidth="1"/>
    <col min="6254" max="6254" width="11.44140625" style="95" hidden="1" customWidth="1"/>
    <col min="6255" max="6255" width="5" style="95" customWidth="1"/>
    <col min="6256" max="6257" width="11.44140625" style="95" hidden="1" customWidth="1"/>
    <col min="6258" max="6258" width="5" style="95" customWidth="1"/>
    <col min="6259" max="6260" width="11.44140625" style="95" hidden="1" customWidth="1"/>
    <col min="6261" max="6261" width="5" style="95" customWidth="1"/>
    <col min="6262" max="6263" width="11.44140625" style="95" hidden="1" customWidth="1"/>
    <col min="6264" max="6264" width="5" style="95" customWidth="1"/>
    <col min="6265" max="6266" width="11.44140625" style="95" hidden="1" customWidth="1"/>
    <col min="6267" max="6267" width="5" style="95" customWidth="1"/>
    <col min="6268" max="6269" width="11.44140625" style="95" hidden="1" customWidth="1"/>
    <col min="6270" max="6270" width="5" style="95" customWidth="1"/>
    <col min="6271" max="6271" width="11.44140625" style="95" hidden="1" customWidth="1"/>
    <col min="6272" max="6272" width="6.44140625" style="95" customWidth="1"/>
    <col min="6273" max="6273" width="11.44140625" style="95" hidden="1" customWidth="1"/>
    <col min="6274" max="6274" width="7.109375" style="95" customWidth="1"/>
    <col min="6275" max="6276" width="11.44140625" style="95" hidden="1" customWidth="1"/>
    <col min="6277" max="6277" width="7.109375" style="95" customWidth="1"/>
    <col min="6278" max="6279" width="11.44140625" style="95" hidden="1" customWidth="1"/>
    <col min="6280" max="6280" width="7.109375" style="95" customWidth="1"/>
    <col min="6281" max="6282" width="11.44140625" style="95" hidden="1" customWidth="1"/>
    <col min="6283" max="6283" width="7.109375" style="95" customWidth="1"/>
    <col min="6284" max="6285" width="11.44140625" style="95" hidden="1" customWidth="1"/>
    <col min="6286" max="6286" width="7.109375" style="95" customWidth="1"/>
    <col min="6287" max="6288" width="11.44140625" style="95" hidden="1" customWidth="1"/>
    <col min="6289" max="6289" width="7.109375" style="95" customWidth="1"/>
    <col min="6290" max="6291" width="11.44140625" style="95" hidden="1" customWidth="1"/>
    <col min="6292" max="6292" width="7.109375" style="95" customWidth="1"/>
    <col min="6293" max="6294" width="11.44140625" style="95" hidden="1" customWidth="1"/>
    <col min="6295" max="6295" width="7.109375" style="95" customWidth="1"/>
    <col min="6296" max="6296" width="11.44140625" style="95" hidden="1" customWidth="1"/>
    <col min="6297" max="6297" width="6.44140625" style="95" customWidth="1"/>
    <col min="6298" max="6299" width="11.44140625" style="95" hidden="1" customWidth="1"/>
    <col min="6300" max="6300" width="6.88671875" style="95" customWidth="1"/>
    <col min="6301" max="6302" width="11.44140625" style="95" hidden="1" customWidth="1"/>
    <col min="6303" max="6303" width="6.88671875" style="95" customWidth="1"/>
    <col min="6304" max="6305" width="11.44140625" style="95" hidden="1" customWidth="1"/>
    <col min="6306" max="6306" width="6.44140625" style="95" customWidth="1"/>
    <col min="6307" max="6311" width="11.44140625" style="95" hidden="1" customWidth="1"/>
    <col min="6312" max="6312" width="6.44140625" style="95" customWidth="1"/>
    <col min="6313" max="6314" width="11.44140625" style="95" hidden="1" customWidth="1"/>
    <col min="6315" max="6315" width="7.5546875" style="95" customWidth="1"/>
    <col min="6316" max="6316" width="11.44140625" style="95" hidden="1" customWidth="1"/>
    <col min="6317" max="6317" width="9.44140625" style="95" customWidth="1"/>
    <col min="6318" max="6318" width="11.44140625" style="95" hidden="1" customWidth="1"/>
    <col min="6319" max="6319" width="9" style="95" customWidth="1"/>
    <col min="6320" max="6321" width="11.44140625" style="95" hidden="1" customWidth="1"/>
    <col min="6322" max="6322" width="8.5546875" style="95" customWidth="1"/>
    <col min="6323" max="6324" width="11.44140625" style="95" hidden="1" customWidth="1"/>
    <col min="6325" max="6325" width="6.44140625" style="95" customWidth="1"/>
    <col min="6326" max="6327" width="11.44140625" style="95" hidden="1" customWidth="1"/>
    <col min="6328" max="6328" width="7" style="95" customWidth="1"/>
    <col min="6329" max="6330" width="11.44140625" style="95" hidden="1" customWidth="1"/>
    <col min="6331" max="6333" width="7" style="95" customWidth="1"/>
    <col min="6334" max="6335" width="11.44140625" style="95" hidden="1" customWidth="1"/>
    <col min="6336" max="6336" width="7.5546875" style="95" customWidth="1"/>
    <col min="6337" max="6338" width="11.44140625" style="95" hidden="1" customWidth="1"/>
    <col min="6339" max="6339" width="7" style="95" customWidth="1"/>
    <col min="6340" max="6341" width="11.44140625" style="95" hidden="1" customWidth="1"/>
    <col min="6342" max="6342" width="7" style="95" customWidth="1"/>
    <col min="6343" max="6344" width="11.44140625" style="95" hidden="1" customWidth="1"/>
    <col min="6345" max="6345" width="7" style="95" customWidth="1"/>
    <col min="6346" max="6346" width="11.44140625" style="95" hidden="1" customWidth="1"/>
    <col min="6347" max="6347" width="6.44140625" style="95" customWidth="1"/>
    <col min="6348" max="6357" width="11.44140625" style="95" hidden="1" customWidth="1"/>
    <col min="6358" max="6392" width="11.44140625" style="95" hidden="1"/>
    <col min="6393" max="6393" width="41.44140625" style="95" customWidth="1"/>
    <col min="6394" max="6394" width="6.44140625" style="95" customWidth="1"/>
    <col min="6395" max="6395" width="14.6640625" style="95" customWidth="1"/>
    <col min="6396" max="6396" width="11.44140625" style="95" customWidth="1"/>
    <col min="6397" max="6397" width="13" style="95" customWidth="1"/>
    <col min="6398" max="6398" width="25.44140625" style="95" customWidth="1"/>
    <col min="6399" max="6408" width="9.44140625" style="95" customWidth="1"/>
    <col min="6409" max="6409" width="8.88671875" style="95" customWidth="1"/>
    <col min="6410" max="6410" width="9.44140625" style="95" customWidth="1"/>
    <col min="6411" max="6416" width="10.109375" style="95" customWidth="1"/>
    <col min="6417" max="6417" width="6.44140625" style="95" customWidth="1"/>
    <col min="6418" max="6418" width="6.88671875" style="95" customWidth="1"/>
    <col min="6419" max="6420" width="6.5546875" style="95" customWidth="1"/>
    <col min="6421" max="6421" width="6.33203125" style="95" customWidth="1"/>
    <col min="6422" max="6422" width="7.5546875" style="95" customWidth="1"/>
    <col min="6423" max="6423" width="14.5546875" style="95" customWidth="1"/>
    <col min="6424" max="6425" width="11.44140625" style="95" customWidth="1"/>
    <col min="6426" max="6426" width="56.88671875" style="95" customWidth="1"/>
    <col min="6427" max="6427" width="9.109375" style="95" bestFit="1" customWidth="1"/>
    <col min="6428" max="6428" width="26.6640625" style="95" customWidth="1"/>
    <col min="6429" max="6429" width="22.88671875" style="95" customWidth="1"/>
    <col min="6430" max="6430" width="14.6640625" style="95" customWidth="1"/>
    <col min="6431" max="6431" width="5" style="95" customWidth="1"/>
    <col min="6432" max="6433" width="11.44140625" style="95" hidden="1" customWidth="1"/>
    <col min="6434" max="6434" width="5" style="95" customWidth="1"/>
    <col min="6435" max="6436" width="11.44140625" style="95" hidden="1" customWidth="1"/>
    <col min="6437" max="6437" width="5" style="95" customWidth="1"/>
    <col min="6438" max="6439" width="11.44140625" style="95" hidden="1" customWidth="1"/>
    <col min="6440" max="6440" width="5" style="95" customWidth="1"/>
    <col min="6441" max="6442" width="11.44140625" style="95" hidden="1" customWidth="1"/>
    <col min="6443" max="6443" width="5" style="95" customWidth="1"/>
    <col min="6444" max="6445" width="11.44140625" style="95" hidden="1" customWidth="1"/>
    <col min="6446" max="6446" width="5" style="95" customWidth="1"/>
    <col min="6447" max="6448" width="11.44140625" style="95" hidden="1" customWidth="1"/>
    <col min="6449" max="6449" width="6.44140625" style="95" customWidth="1"/>
    <col min="6450" max="6457" width="11.44140625" style="95" hidden="1" customWidth="1"/>
    <col min="6458" max="6458" width="6.88671875" style="95" customWidth="1"/>
    <col min="6459" max="6460" width="11.44140625" style="95" hidden="1" customWidth="1"/>
    <col min="6461" max="6461" width="6.44140625" style="95" customWidth="1"/>
    <col min="6462" max="6463" width="11.44140625" style="95" hidden="1" customWidth="1"/>
    <col min="6464" max="6464" width="5.44140625" style="95" customWidth="1"/>
    <col min="6465" max="6466" width="11.44140625" style="95" hidden="1" customWidth="1"/>
    <col min="6467" max="6467" width="4.88671875" style="95" customWidth="1"/>
    <col min="6468" max="6472" width="11.44140625" style="95" hidden="1" customWidth="1"/>
    <col min="6473" max="6473" width="8.44140625" style="95" customWidth="1"/>
    <col min="6474" max="6475" width="11.44140625" style="95" hidden="1" customWidth="1"/>
    <col min="6476" max="6476" width="5.44140625" style="95" customWidth="1"/>
    <col min="6477" max="6478" width="11.44140625" style="95" hidden="1" customWidth="1"/>
    <col min="6479" max="6479" width="8.44140625" style="95" customWidth="1"/>
    <col min="6480" max="6481" width="11.44140625" style="95" hidden="1" customWidth="1"/>
    <col min="6482" max="6482" width="5.88671875" style="95" customWidth="1"/>
    <col min="6483" max="6484" width="11.44140625" style="95" hidden="1" customWidth="1"/>
    <col min="6485" max="6485" width="5.44140625" style="95" customWidth="1"/>
    <col min="6486" max="6487" width="11.44140625" style="95" hidden="1" customWidth="1"/>
    <col min="6488" max="6488" width="5.44140625" style="95" customWidth="1"/>
    <col min="6489" max="6490" width="11.44140625" style="95" hidden="1" customWidth="1"/>
    <col min="6491" max="6491" width="6" style="95" customWidth="1"/>
    <col min="6492" max="6496" width="11.44140625" style="95" hidden="1" customWidth="1"/>
    <col min="6497" max="6497" width="5" style="95" customWidth="1"/>
    <col min="6498" max="6505" width="11.44140625" style="95" hidden="1" customWidth="1"/>
    <col min="6506" max="6506" width="5" style="95" customWidth="1"/>
    <col min="6507" max="6507" width="11.44140625" style="95" hidden="1" customWidth="1"/>
    <col min="6508" max="6508" width="5" style="95" customWidth="1"/>
    <col min="6509" max="6509" width="9.44140625" style="95" customWidth="1"/>
    <col min="6510" max="6510" width="11.44140625" style="95" hidden="1" customWidth="1"/>
    <col min="6511" max="6511" width="5" style="95" customWidth="1"/>
    <col min="6512" max="6513" width="11.44140625" style="95" hidden="1" customWidth="1"/>
    <col min="6514" max="6514" width="5" style="95" customWidth="1"/>
    <col min="6515" max="6516" width="11.44140625" style="95" hidden="1" customWidth="1"/>
    <col min="6517" max="6517" width="5" style="95" customWidth="1"/>
    <col min="6518" max="6519" width="11.44140625" style="95" hidden="1" customWidth="1"/>
    <col min="6520" max="6520" width="5" style="95" customWidth="1"/>
    <col min="6521" max="6522" width="11.44140625" style="95" hidden="1" customWidth="1"/>
    <col min="6523" max="6523" width="5" style="95" customWidth="1"/>
    <col min="6524" max="6525" width="11.44140625" style="95" hidden="1" customWidth="1"/>
    <col min="6526" max="6526" width="5" style="95" customWidth="1"/>
    <col min="6527" max="6527" width="11.44140625" style="95" hidden="1" customWidth="1"/>
    <col min="6528" max="6528" width="6.44140625" style="95" customWidth="1"/>
    <col min="6529" max="6529" width="11.44140625" style="95" hidden="1" customWidth="1"/>
    <col min="6530" max="6530" width="7.109375" style="95" customWidth="1"/>
    <col min="6531" max="6532" width="11.44140625" style="95" hidden="1" customWidth="1"/>
    <col min="6533" max="6533" width="7.109375" style="95" customWidth="1"/>
    <col min="6534" max="6535" width="11.44140625" style="95" hidden="1" customWidth="1"/>
    <col min="6536" max="6536" width="7.109375" style="95" customWidth="1"/>
    <col min="6537" max="6538" width="11.44140625" style="95" hidden="1" customWidth="1"/>
    <col min="6539" max="6539" width="7.109375" style="95" customWidth="1"/>
    <col min="6540" max="6541" width="11.44140625" style="95" hidden="1" customWidth="1"/>
    <col min="6542" max="6542" width="7.109375" style="95" customWidth="1"/>
    <col min="6543" max="6544" width="11.44140625" style="95" hidden="1" customWidth="1"/>
    <col min="6545" max="6545" width="7.109375" style="95" customWidth="1"/>
    <col min="6546" max="6547" width="11.44140625" style="95" hidden="1" customWidth="1"/>
    <col min="6548" max="6548" width="7.109375" style="95" customWidth="1"/>
    <col min="6549" max="6550" width="11.44140625" style="95" hidden="1" customWidth="1"/>
    <col min="6551" max="6551" width="7.109375" style="95" customWidth="1"/>
    <col min="6552" max="6552" width="11.44140625" style="95" hidden="1" customWidth="1"/>
    <col min="6553" max="6553" width="6.44140625" style="95" customWidth="1"/>
    <col min="6554" max="6555" width="11.44140625" style="95" hidden="1" customWidth="1"/>
    <col min="6556" max="6556" width="6.88671875" style="95" customWidth="1"/>
    <col min="6557" max="6558" width="11.44140625" style="95" hidden="1" customWidth="1"/>
    <col min="6559" max="6559" width="6.88671875" style="95" customWidth="1"/>
    <col min="6560" max="6561" width="11.44140625" style="95" hidden="1" customWidth="1"/>
    <col min="6562" max="6562" width="6.44140625" style="95" customWidth="1"/>
    <col min="6563" max="6567" width="11.44140625" style="95" hidden="1" customWidth="1"/>
    <col min="6568" max="6568" width="6.44140625" style="95" customWidth="1"/>
    <col min="6569" max="6570" width="11.44140625" style="95" hidden="1" customWidth="1"/>
    <col min="6571" max="6571" width="7.5546875" style="95" customWidth="1"/>
    <col min="6572" max="6572" width="11.44140625" style="95" hidden="1" customWidth="1"/>
    <col min="6573" max="6573" width="9.44140625" style="95" customWidth="1"/>
    <col min="6574" max="6574" width="11.44140625" style="95" hidden="1" customWidth="1"/>
    <col min="6575" max="6575" width="9" style="95" customWidth="1"/>
    <col min="6576" max="6577" width="11.44140625" style="95" hidden="1" customWidth="1"/>
    <col min="6578" max="6578" width="8.5546875" style="95" customWidth="1"/>
    <col min="6579" max="6580" width="11.44140625" style="95" hidden="1" customWidth="1"/>
    <col min="6581" max="6581" width="6.44140625" style="95" customWidth="1"/>
    <col min="6582" max="6583" width="11.44140625" style="95" hidden="1" customWidth="1"/>
    <col min="6584" max="6584" width="7" style="95" customWidth="1"/>
    <col min="6585" max="6586" width="11.44140625" style="95" hidden="1" customWidth="1"/>
    <col min="6587" max="6589" width="7" style="95" customWidth="1"/>
    <col min="6590" max="6591" width="11.44140625" style="95" hidden="1" customWidth="1"/>
    <col min="6592" max="6592" width="7.5546875" style="95" customWidth="1"/>
    <col min="6593" max="6594" width="11.44140625" style="95" hidden="1" customWidth="1"/>
    <col min="6595" max="6595" width="7" style="95" customWidth="1"/>
    <col min="6596" max="6597" width="11.44140625" style="95" hidden="1" customWidth="1"/>
    <col min="6598" max="6598" width="7" style="95" customWidth="1"/>
    <col min="6599" max="6600" width="11.44140625" style="95" hidden="1" customWidth="1"/>
    <col min="6601" max="6601" width="7" style="95" customWidth="1"/>
    <col min="6602" max="6602" width="11.44140625" style="95" hidden="1" customWidth="1"/>
    <col min="6603" max="6603" width="6.44140625" style="95" customWidth="1"/>
    <col min="6604" max="6613" width="11.44140625" style="95" hidden="1" customWidth="1"/>
    <col min="6614" max="6648" width="11.44140625" style="95" hidden="1"/>
    <col min="6649" max="6649" width="41.44140625" style="95" customWidth="1"/>
    <col min="6650" max="6650" width="6.44140625" style="95" customWidth="1"/>
    <col min="6651" max="6651" width="14.6640625" style="95" customWidth="1"/>
    <col min="6652" max="6652" width="11.44140625" style="95" customWidth="1"/>
    <col min="6653" max="6653" width="13" style="95" customWidth="1"/>
    <col min="6654" max="6654" width="25.44140625" style="95" customWidth="1"/>
    <col min="6655" max="6664" width="9.44140625" style="95" customWidth="1"/>
    <col min="6665" max="6665" width="8.88671875" style="95" customWidth="1"/>
    <col min="6666" max="6666" width="9.44140625" style="95" customWidth="1"/>
    <col min="6667" max="6672" width="10.109375" style="95" customWidth="1"/>
    <col min="6673" max="6673" width="6.44140625" style="95" customWidth="1"/>
    <col min="6674" max="6674" width="6.88671875" style="95" customWidth="1"/>
    <col min="6675" max="6676" width="6.5546875" style="95" customWidth="1"/>
    <col min="6677" max="6677" width="6.33203125" style="95" customWidth="1"/>
    <col min="6678" max="6678" width="7.5546875" style="95" customWidth="1"/>
    <col min="6679" max="6679" width="14.5546875" style="95" customWidth="1"/>
    <col min="6680" max="6681" width="11.44140625" style="95" customWidth="1"/>
    <col min="6682" max="6682" width="56.88671875" style="95" customWidth="1"/>
    <col min="6683" max="6683" width="9.109375" style="95" bestFit="1" customWidth="1"/>
    <col min="6684" max="6684" width="26.6640625" style="95" customWidth="1"/>
    <col min="6685" max="6685" width="22.88671875" style="95" customWidth="1"/>
    <col min="6686" max="6686" width="14.6640625" style="95" customWidth="1"/>
    <col min="6687" max="6687" width="5" style="95" customWidth="1"/>
    <col min="6688" max="6689" width="11.44140625" style="95" hidden="1" customWidth="1"/>
    <col min="6690" max="6690" width="5" style="95" customWidth="1"/>
    <col min="6691" max="6692" width="11.44140625" style="95" hidden="1" customWidth="1"/>
    <col min="6693" max="6693" width="5" style="95" customWidth="1"/>
    <col min="6694" max="6695" width="11.44140625" style="95" hidden="1" customWidth="1"/>
    <col min="6696" max="6696" width="5" style="95" customWidth="1"/>
    <col min="6697" max="6698" width="11.44140625" style="95" hidden="1" customWidth="1"/>
    <col min="6699" max="6699" width="5" style="95" customWidth="1"/>
    <col min="6700" max="6701" width="11.44140625" style="95" hidden="1" customWidth="1"/>
    <col min="6702" max="6702" width="5" style="95" customWidth="1"/>
    <col min="6703" max="6704" width="11.44140625" style="95" hidden="1" customWidth="1"/>
    <col min="6705" max="6705" width="6.44140625" style="95" customWidth="1"/>
    <col min="6706" max="6713" width="11.44140625" style="95" hidden="1" customWidth="1"/>
    <col min="6714" max="6714" width="6.88671875" style="95" customWidth="1"/>
    <col min="6715" max="6716" width="11.44140625" style="95" hidden="1" customWidth="1"/>
    <col min="6717" max="6717" width="6.44140625" style="95" customWidth="1"/>
    <col min="6718" max="6719" width="11.44140625" style="95" hidden="1" customWidth="1"/>
    <col min="6720" max="6720" width="5.44140625" style="95" customWidth="1"/>
    <col min="6721" max="6722" width="11.44140625" style="95" hidden="1" customWidth="1"/>
    <col min="6723" max="6723" width="4.88671875" style="95" customWidth="1"/>
    <col min="6724" max="6728" width="11.44140625" style="95" hidden="1" customWidth="1"/>
    <col min="6729" max="6729" width="8.44140625" style="95" customWidth="1"/>
    <col min="6730" max="6731" width="11.44140625" style="95" hidden="1" customWidth="1"/>
    <col min="6732" max="6732" width="5.44140625" style="95" customWidth="1"/>
    <col min="6733" max="6734" width="11.44140625" style="95" hidden="1" customWidth="1"/>
    <col min="6735" max="6735" width="8.44140625" style="95" customWidth="1"/>
    <col min="6736" max="6737" width="11.44140625" style="95" hidden="1" customWidth="1"/>
    <col min="6738" max="6738" width="5.88671875" style="95" customWidth="1"/>
    <col min="6739" max="6740" width="11.44140625" style="95" hidden="1" customWidth="1"/>
    <col min="6741" max="6741" width="5.44140625" style="95" customWidth="1"/>
    <col min="6742" max="6743" width="11.44140625" style="95" hidden="1" customWidth="1"/>
    <col min="6744" max="6744" width="5.44140625" style="95" customWidth="1"/>
    <col min="6745" max="6746" width="11.44140625" style="95" hidden="1" customWidth="1"/>
    <col min="6747" max="6747" width="6" style="95" customWidth="1"/>
    <col min="6748" max="6752" width="11.44140625" style="95" hidden="1" customWidth="1"/>
    <col min="6753" max="6753" width="5" style="95" customWidth="1"/>
    <col min="6754" max="6761" width="11.44140625" style="95" hidden="1" customWidth="1"/>
    <col min="6762" max="6762" width="5" style="95" customWidth="1"/>
    <col min="6763" max="6763" width="11.44140625" style="95" hidden="1" customWidth="1"/>
    <col min="6764" max="6764" width="5" style="95" customWidth="1"/>
    <col min="6765" max="6765" width="9.44140625" style="95" customWidth="1"/>
    <col min="6766" max="6766" width="11.44140625" style="95" hidden="1" customWidth="1"/>
    <col min="6767" max="6767" width="5" style="95" customWidth="1"/>
    <col min="6768" max="6769" width="11.44140625" style="95" hidden="1" customWidth="1"/>
    <col min="6770" max="6770" width="5" style="95" customWidth="1"/>
    <col min="6771" max="6772" width="11.44140625" style="95" hidden="1" customWidth="1"/>
    <col min="6773" max="6773" width="5" style="95" customWidth="1"/>
    <col min="6774" max="6775" width="11.44140625" style="95" hidden="1" customWidth="1"/>
    <col min="6776" max="6776" width="5" style="95" customWidth="1"/>
    <col min="6777" max="6778" width="11.44140625" style="95" hidden="1" customWidth="1"/>
    <col min="6779" max="6779" width="5" style="95" customWidth="1"/>
    <col min="6780" max="6781" width="11.44140625" style="95" hidden="1" customWidth="1"/>
    <col min="6782" max="6782" width="5" style="95" customWidth="1"/>
    <col min="6783" max="6783" width="11.44140625" style="95" hidden="1" customWidth="1"/>
    <col min="6784" max="6784" width="6.44140625" style="95" customWidth="1"/>
    <col min="6785" max="6785" width="11.44140625" style="95" hidden="1" customWidth="1"/>
    <col min="6786" max="6786" width="7.109375" style="95" customWidth="1"/>
    <col min="6787" max="6788" width="11.44140625" style="95" hidden="1" customWidth="1"/>
    <col min="6789" max="6789" width="7.109375" style="95" customWidth="1"/>
    <col min="6790" max="6791" width="11.44140625" style="95" hidden="1" customWidth="1"/>
    <col min="6792" max="6792" width="7.109375" style="95" customWidth="1"/>
    <col min="6793" max="6794" width="11.44140625" style="95" hidden="1" customWidth="1"/>
    <col min="6795" max="6795" width="7.109375" style="95" customWidth="1"/>
    <col min="6796" max="6797" width="11.44140625" style="95" hidden="1" customWidth="1"/>
    <col min="6798" max="6798" width="7.109375" style="95" customWidth="1"/>
    <col min="6799" max="6800" width="11.44140625" style="95" hidden="1" customWidth="1"/>
    <col min="6801" max="6801" width="7.109375" style="95" customWidth="1"/>
    <col min="6802" max="6803" width="11.44140625" style="95" hidden="1" customWidth="1"/>
    <col min="6804" max="6804" width="7.109375" style="95" customWidth="1"/>
    <col min="6805" max="6806" width="11.44140625" style="95" hidden="1" customWidth="1"/>
    <col min="6807" max="6807" width="7.109375" style="95" customWidth="1"/>
    <col min="6808" max="6808" width="11.44140625" style="95" hidden="1" customWidth="1"/>
    <col min="6809" max="6809" width="6.44140625" style="95" customWidth="1"/>
    <col min="6810" max="6811" width="11.44140625" style="95" hidden="1" customWidth="1"/>
    <col min="6812" max="6812" width="6.88671875" style="95" customWidth="1"/>
    <col min="6813" max="6814" width="11.44140625" style="95" hidden="1" customWidth="1"/>
    <col min="6815" max="6815" width="6.88671875" style="95" customWidth="1"/>
    <col min="6816" max="6817" width="11.44140625" style="95" hidden="1" customWidth="1"/>
    <col min="6818" max="6818" width="6.44140625" style="95" customWidth="1"/>
    <col min="6819" max="6823" width="11.44140625" style="95" hidden="1" customWidth="1"/>
    <col min="6824" max="6824" width="6.44140625" style="95" customWidth="1"/>
    <col min="6825" max="6826" width="11.44140625" style="95" hidden="1" customWidth="1"/>
    <col min="6827" max="6827" width="7.5546875" style="95" customWidth="1"/>
    <col min="6828" max="6828" width="11.44140625" style="95" hidden="1" customWidth="1"/>
    <col min="6829" max="6829" width="9.44140625" style="95" customWidth="1"/>
    <col min="6830" max="6830" width="11.44140625" style="95" hidden="1" customWidth="1"/>
    <col min="6831" max="6831" width="9" style="95" customWidth="1"/>
    <col min="6832" max="6833" width="11.44140625" style="95" hidden="1" customWidth="1"/>
    <col min="6834" max="6834" width="8.5546875" style="95" customWidth="1"/>
    <col min="6835" max="6836" width="11.44140625" style="95" hidden="1" customWidth="1"/>
    <col min="6837" max="6837" width="6.44140625" style="95" customWidth="1"/>
    <col min="6838" max="6839" width="11.44140625" style="95" hidden="1" customWidth="1"/>
    <col min="6840" max="6840" width="7" style="95" customWidth="1"/>
    <col min="6841" max="6842" width="11.44140625" style="95" hidden="1" customWidth="1"/>
    <col min="6843" max="6845" width="7" style="95" customWidth="1"/>
    <col min="6846" max="6847" width="11.44140625" style="95" hidden="1" customWidth="1"/>
    <col min="6848" max="6848" width="7.5546875" style="95" customWidth="1"/>
    <col min="6849" max="6850" width="11.44140625" style="95" hidden="1" customWidth="1"/>
    <col min="6851" max="6851" width="7" style="95" customWidth="1"/>
    <col min="6852" max="6853" width="11.44140625" style="95" hidden="1" customWidth="1"/>
    <col min="6854" max="6854" width="7" style="95" customWidth="1"/>
    <col min="6855" max="6856" width="11.44140625" style="95" hidden="1" customWidth="1"/>
    <col min="6857" max="6857" width="7" style="95" customWidth="1"/>
    <col min="6858" max="6858" width="11.44140625" style="95" hidden="1" customWidth="1"/>
    <col min="6859" max="6859" width="6.44140625" style="95" customWidth="1"/>
    <col min="6860" max="6869" width="11.44140625" style="95" hidden="1" customWidth="1"/>
    <col min="6870" max="6904" width="11.44140625" style="95" hidden="1"/>
    <col min="6905" max="6905" width="41.44140625" style="95" customWidth="1"/>
    <col min="6906" max="6906" width="6.44140625" style="95" customWidth="1"/>
    <col min="6907" max="6907" width="14.6640625" style="95" customWidth="1"/>
    <col min="6908" max="6908" width="11.44140625" style="95" customWidth="1"/>
    <col min="6909" max="6909" width="13" style="95" customWidth="1"/>
    <col min="6910" max="6910" width="25.44140625" style="95" customWidth="1"/>
    <col min="6911" max="6920" width="9.44140625" style="95" customWidth="1"/>
    <col min="6921" max="6921" width="8.88671875" style="95" customWidth="1"/>
    <col min="6922" max="6922" width="9.44140625" style="95" customWidth="1"/>
    <col min="6923" max="6928" width="10.109375" style="95" customWidth="1"/>
    <col min="6929" max="6929" width="6.44140625" style="95" customWidth="1"/>
    <col min="6930" max="6930" width="6.88671875" style="95" customWidth="1"/>
    <col min="6931" max="6932" width="6.5546875" style="95" customWidth="1"/>
    <col min="6933" max="6933" width="6.33203125" style="95" customWidth="1"/>
    <col min="6934" max="6934" width="7.5546875" style="95" customWidth="1"/>
    <col min="6935" max="6935" width="14.5546875" style="95" customWidth="1"/>
    <col min="6936" max="6937" width="11.44140625" style="95" customWidth="1"/>
    <col min="6938" max="6938" width="56.88671875" style="95" customWidth="1"/>
    <col min="6939" max="6939" width="9.109375" style="95" bestFit="1" customWidth="1"/>
    <col min="6940" max="6940" width="26.6640625" style="95" customWidth="1"/>
    <col min="6941" max="6941" width="22.88671875" style="95" customWidth="1"/>
    <col min="6942" max="6942" width="14.6640625" style="95" customWidth="1"/>
    <col min="6943" max="6943" width="5" style="95" customWidth="1"/>
    <col min="6944" max="6945" width="11.44140625" style="95" hidden="1" customWidth="1"/>
    <col min="6946" max="6946" width="5" style="95" customWidth="1"/>
    <col min="6947" max="6948" width="11.44140625" style="95" hidden="1" customWidth="1"/>
    <col min="6949" max="6949" width="5" style="95" customWidth="1"/>
    <col min="6950" max="6951" width="11.44140625" style="95" hidden="1" customWidth="1"/>
    <col min="6952" max="6952" width="5" style="95" customWidth="1"/>
    <col min="6953" max="6954" width="11.44140625" style="95" hidden="1" customWidth="1"/>
    <col min="6955" max="6955" width="5" style="95" customWidth="1"/>
    <col min="6956" max="6957" width="11.44140625" style="95" hidden="1" customWidth="1"/>
    <col min="6958" max="6958" width="5" style="95" customWidth="1"/>
    <col min="6959" max="6960" width="11.44140625" style="95" hidden="1" customWidth="1"/>
    <col min="6961" max="6961" width="6.44140625" style="95" customWidth="1"/>
    <col min="6962" max="6969" width="11.44140625" style="95" hidden="1" customWidth="1"/>
    <col min="6970" max="6970" width="6.88671875" style="95" customWidth="1"/>
    <col min="6971" max="6972" width="11.44140625" style="95" hidden="1" customWidth="1"/>
    <col min="6973" max="6973" width="6.44140625" style="95" customWidth="1"/>
    <col min="6974" max="6975" width="11.44140625" style="95" hidden="1" customWidth="1"/>
    <col min="6976" max="6976" width="5.44140625" style="95" customWidth="1"/>
    <col min="6977" max="6978" width="11.44140625" style="95" hidden="1" customWidth="1"/>
    <col min="6979" max="6979" width="4.88671875" style="95" customWidth="1"/>
    <col min="6980" max="6984" width="11.44140625" style="95" hidden="1" customWidth="1"/>
    <col min="6985" max="6985" width="8.44140625" style="95" customWidth="1"/>
    <col min="6986" max="6987" width="11.44140625" style="95" hidden="1" customWidth="1"/>
    <col min="6988" max="6988" width="5.44140625" style="95" customWidth="1"/>
    <col min="6989" max="6990" width="11.44140625" style="95" hidden="1" customWidth="1"/>
    <col min="6991" max="6991" width="8.44140625" style="95" customWidth="1"/>
    <col min="6992" max="6993" width="11.44140625" style="95" hidden="1" customWidth="1"/>
    <col min="6994" max="6994" width="5.88671875" style="95" customWidth="1"/>
    <col min="6995" max="6996" width="11.44140625" style="95" hidden="1" customWidth="1"/>
    <col min="6997" max="6997" width="5.44140625" style="95" customWidth="1"/>
    <col min="6998" max="6999" width="11.44140625" style="95" hidden="1" customWidth="1"/>
    <col min="7000" max="7000" width="5.44140625" style="95" customWidth="1"/>
    <col min="7001" max="7002" width="11.44140625" style="95" hidden="1" customWidth="1"/>
    <col min="7003" max="7003" width="6" style="95" customWidth="1"/>
    <col min="7004" max="7008" width="11.44140625" style="95" hidden="1" customWidth="1"/>
    <col min="7009" max="7009" width="5" style="95" customWidth="1"/>
    <col min="7010" max="7017" width="11.44140625" style="95" hidden="1" customWidth="1"/>
    <col min="7018" max="7018" width="5" style="95" customWidth="1"/>
    <col min="7019" max="7019" width="11.44140625" style="95" hidden="1" customWidth="1"/>
    <col min="7020" max="7020" width="5" style="95" customWidth="1"/>
    <col min="7021" max="7021" width="9.44140625" style="95" customWidth="1"/>
    <col min="7022" max="7022" width="11.44140625" style="95" hidden="1" customWidth="1"/>
    <col min="7023" max="7023" width="5" style="95" customWidth="1"/>
    <col min="7024" max="7025" width="11.44140625" style="95" hidden="1" customWidth="1"/>
    <col min="7026" max="7026" width="5" style="95" customWidth="1"/>
    <col min="7027" max="7028" width="11.44140625" style="95" hidden="1" customWidth="1"/>
    <col min="7029" max="7029" width="5" style="95" customWidth="1"/>
    <col min="7030" max="7031" width="11.44140625" style="95" hidden="1" customWidth="1"/>
    <col min="7032" max="7032" width="5" style="95" customWidth="1"/>
    <col min="7033" max="7034" width="11.44140625" style="95" hidden="1" customWidth="1"/>
    <col min="7035" max="7035" width="5" style="95" customWidth="1"/>
    <col min="7036" max="7037" width="11.44140625" style="95" hidden="1" customWidth="1"/>
    <col min="7038" max="7038" width="5" style="95" customWidth="1"/>
    <col min="7039" max="7039" width="11.44140625" style="95" hidden="1" customWidth="1"/>
    <col min="7040" max="7040" width="6.44140625" style="95" customWidth="1"/>
    <col min="7041" max="7041" width="11.44140625" style="95" hidden="1" customWidth="1"/>
    <col min="7042" max="7042" width="7.109375" style="95" customWidth="1"/>
    <col min="7043" max="7044" width="11.44140625" style="95" hidden="1" customWidth="1"/>
    <col min="7045" max="7045" width="7.109375" style="95" customWidth="1"/>
    <col min="7046" max="7047" width="11.44140625" style="95" hidden="1" customWidth="1"/>
    <col min="7048" max="7048" width="7.109375" style="95" customWidth="1"/>
    <col min="7049" max="7050" width="11.44140625" style="95" hidden="1" customWidth="1"/>
    <col min="7051" max="7051" width="7.109375" style="95" customWidth="1"/>
    <col min="7052" max="7053" width="11.44140625" style="95" hidden="1" customWidth="1"/>
    <col min="7054" max="7054" width="7.109375" style="95" customWidth="1"/>
    <col min="7055" max="7056" width="11.44140625" style="95" hidden="1" customWidth="1"/>
    <col min="7057" max="7057" width="7.109375" style="95" customWidth="1"/>
    <col min="7058" max="7059" width="11.44140625" style="95" hidden="1" customWidth="1"/>
    <col min="7060" max="7060" width="7.109375" style="95" customWidth="1"/>
    <col min="7061" max="7062" width="11.44140625" style="95" hidden="1" customWidth="1"/>
    <col min="7063" max="7063" width="7.109375" style="95" customWidth="1"/>
    <col min="7064" max="7064" width="11.44140625" style="95" hidden="1" customWidth="1"/>
    <col min="7065" max="7065" width="6.44140625" style="95" customWidth="1"/>
    <col min="7066" max="7067" width="11.44140625" style="95" hidden="1" customWidth="1"/>
    <col min="7068" max="7068" width="6.88671875" style="95" customWidth="1"/>
    <col min="7069" max="7070" width="11.44140625" style="95" hidden="1" customWidth="1"/>
    <col min="7071" max="7071" width="6.88671875" style="95" customWidth="1"/>
    <col min="7072" max="7073" width="11.44140625" style="95" hidden="1" customWidth="1"/>
    <col min="7074" max="7074" width="6.44140625" style="95" customWidth="1"/>
    <col min="7075" max="7079" width="11.44140625" style="95" hidden="1" customWidth="1"/>
    <col min="7080" max="7080" width="6.44140625" style="95" customWidth="1"/>
    <col min="7081" max="7082" width="11.44140625" style="95" hidden="1" customWidth="1"/>
    <col min="7083" max="7083" width="7.5546875" style="95" customWidth="1"/>
    <col min="7084" max="7084" width="11.44140625" style="95" hidden="1" customWidth="1"/>
    <col min="7085" max="7085" width="9.44140625" style="95" customWidth="1"/>
    <col min="7086" max="7086" width="11.44140625" style="95" hidden="1" customWidth="1"/>
    <col min="7087" max="7087" width="9" style="95" customWidth="1"/>
    <col min="7088" max="7089" width="11.44140625" style="95" hidden="1" customWidth="1"/>
    <col min="7090" max="7090" width="8.5546875" style="95" customWidth="1"/>
    <col min="7091" max="7092" width="11.44140625" style="95" hidden="1" customWidth="1"/>
    <col min="7093" max="7093" width="6.44140625" style="95" customWidth="1"/>
    <col min="7094" max="7095" width="11.44140625" style="95" hidden="1" customWidth="1"/>
    <col min="7096" max="7096" width="7" style="95" customWidth="1"/>
    <col min="7097" max="7098" width="11.44140625" style="95" hidden="1" customWidth="1"/>
    <col min="7099" max="7101" width="7" style="95" customWidth="1"/>
    <col min="7102" max="7103" width="11.44140625" style="95" hidden="1" customWidth="1"/>
    <col min="7104" max="7104" width="7.5546875" style="95" customWidth="1"/>
    <col min="7105" max="7106" width="11.44140625" style="95" hidden="1" customWidth="1"/>
    <col min="7107" max="7107" width="7" style="95" customWidth="1"/>
    <col min="7108" max="7109" width="11.44140625" style="95" hidden="1" customWidth="1"/>
    <col min="7110" max="7110" width="7" style="95" customWidth="1"/>
    <col min="7111" max="7112" width="11.44140625" style="95" hidden="1" customWidth="1"/>
    <col min="7113" max="7113" width="7" style="95" customWidth="1"/>
    <col min="7114" max="7114" width="11.44140625" style="95" hidden="1" customWidth="1"/>
    <col min="7115" max="7115" width="6.44140625" style="95" customWidth="1"/>
    <col min="7116" max="7125" width="11.44140625" style="95" hidden="1" customWidth="1"/>
    <col min="7126" max="7160" width="11.44140625" style="95" hidden="1"/>
    <col min="7161" max="7161" width="41.44140625" style="95" customWidth="1"/>
    <col min="7162" max="7162" width="6.44140625" style="95" customWidth="1"/>
    <col min="7163" max="7163" width="14.6640625" style="95" customWidth="1"/>
    <col min="7164" max="7164" width="11.44140625" style="95" customWidth="1"/>
    <col min="7165" max="7165" width="13" style="95" customWidth="1"/>
    <col min="7166" max="7166" width="25.44140625" style="95" customWidth="1"/>
    <col min="7167" max="7176" width="9.44140625" style="95" customWidth="1"/>
    <col min="7177" max="7177" width="8.88671875" style="95" customWidth="1"/>
    <col min="7178" max="7178" width="9.44140625" style="95" customWidth="1"/>
    <col min="7179" max="7184" width="10.109375" style="95" customWidth="1"/>
    <col min="7185" max="7185" width="6.44140625" style="95" customWidth="1"/>
    <col min="7186" max="7186" width="6.88671875" style="95" customWidth="1"/>
    <col min="7187" max="7188" width="6.5546875" style="95" customWidth="1"/>
    <col min="7189" max="7189" width="6.33203125" style="95" customWidth="1"/>
    <col min="7190" max="7190" width="7.5546875" style="95" customWidth="1"/>
    <col min="7191" max="7191" width="14.5546875" style="95" customWidth="1"/>
    <col min="7192" max="7193" width="11.44140625" style="95" customWidth="1"/>
    <col min="7194" max="7194" width="56.88671875" style="95" customWidth="1"/>
    <col min="7195" max="7195" width="9.109375" style="95" bestFit="1" customWidth="1"/>
    <col min="7196" max="7196" width="26.6640625" style="95" customWidth="1"/>
    <col min="7197" max="7197" width="22.88671875" style="95" customWidth="1"/>
    <col min="7198" max="7198" width="14.6640625" style="95" customWidth="1"/>
    <col min="7199" max="7199" width="5" style="95" customWidth="1"/>
    <col min="7200" max="7201" width="11.44140625" style="95" hidden="1" customWidth="1"/>
    <col min="7202" max="7202" width="5" style="95" customWidth="1"/>
    <col min="7203" max="7204" width="11.44140625" style="95" hidden="1" customWidth="1"/>
    <col min="7205" max="7205" width="5" style="95" customWidth="1"/>
    <col min="7206" max="7207" width="11.44140625" style="95" hidden="1" customWidth="1"/>
    <col min="7208" max="7208" width="5" style="95" customWidth="1"/>
    <col min="7209" max="7210" width="11.44140625" style="95" hidden="1" customWidth="1"/>
    <col min="7211" max="7211" width="5" style="95" customWidth="1"/>
    <col min="7212" max="7213" width="11.44140625" style="95" hidden="1" customWidth="1"/>
    <col min="7214" max="7214" width="5" style="95" customWidth="1"/>
    <col min="7215" max="7216" width="11.44140625" style="95" hidden="1" customWidth="1"/>
    <col min="7217" max="7217" width="6.44140625" style="95" customWidth="1"/>
    <col min="7218" max="7225" width="11.44140625" style="95" hidden="1" customWidth="1"/>
    <col min="7226" max="7226" width="6.88671875" style="95" customWidth="1"/>
    <col min="7227" max="7228" width="11.44140625" style="95" hidden="1" customWidth="1"/>
    <col min="7229" max="7229" width="6.44140625" style="95" customWidth="1"/>
    <col min="7230" max="7231" width="11.44140625" style="95" hidden="1" customWidth="1"/>
    <col min="7232" max="7232" width="5.44140625" style="95" customWidth="1"/>
    <col min="7233" max="7234" width="11.44140625" style="95" hidden="1" customWidth="1"/>
    <col min="7235" max="7235" width="4.88671875" style="95" customWidth="1"/>
    <col min="7236" max="7240" width="11.44140625" style="95" hidden="1" customWidth="1"/>
    <col min="7241" max="7241" width="8.44140625" style="95" customWidth="1"/>
    <col min="7242" max="7243" width="11.44140625" style="95" hidden="1" customWidth="1"/>
    <col min="7244" max="7244" width="5.44140625" style="95" customWidth="1"/>
    <col min="7245" max="7246" width="11.44140625" style="95" hidden="1" customWidth="1"/>
    <col min="7247" max="7247" width="8.44140625" style="95" customWidth="1"/>
    <col min="7248" max="7249" width="11.44140625" style="95" hidden="1" customWidth="1"/>
    <col min="7250" max="7250" width="5.88671875" style="95" customWidth="1"/>
    <col min="7251" max="7252" width="11.44140625" style="95" hidden="1" customWidth="1"/>
    <col min="7253" max="7253" width="5.44140625" style="95" customWidth="1"/>
    <col min="7254" max="7255" width="11.44140625" style="95" hidden="1" customWidth="1"/>
    <col min="7256" max="7256" width="5.44140625" style="95" customWidth="1"/>
    <col min="7257" max="7258" width="11.44140625" style="95" hidden="1" customWidth="1"/>
    <col min="7259" max="7259" width="6" style="95" customWidth="1"/>
    <col min="7260" max="7264" width="11.44140625" style="95" hidden="1" customWidth="1"/>
    <col min="7265" max="7265" width="5" style="95" customWidth="1"/>
    <col min="7266" max="7273" width="11.44140625" style="95" hidden="1" customWidth="1"/>
    <col min="7274" max="7274" width="5" style="95" customWidth="1"/>
    <col min="7275" max="7275" width="11.44140625" style="95" hidden="1" customWidth="1"/>
    <col min="7276" max="7276" width="5" style="95" customWidth="1"/>
    <col min="7277" max="7277" width="9.44140625" style="95" customWidth="1"/>
    <col min="7278" max="7278" width="11.44140625" style="95" hidden="1" customWidth="1"/>
    <col min="7279" max="7279" width="5" style="95" customWidth="1"/>
    <col min="7280" max="7281" width="11.44140625" style="95" hidden="1" customWidth="1"/>
    <col min="7282" max="7282" width="5" style="95" customWidth="1"/>
    <col min="7283" max="7284" width="11.44140625" style="95" hidden="1" customWidth="1"/>
    <col min="7285" max="7285" width="5" style="95" customWidth="1"/>
    <col min="7286" max="7287" width="11.44140625" style="95" hidden="1" customWidth="1"/>
    <col min="7288" max="7288" width="5" style="95" customWidth="1"/>
    <col min="7289" max="7290" width="11.44140625" style="95" hidden="1" customWidth="1"/>
    <col min="7291" max="7291" width="5" style="95" customWidth="1"/>
    <col min="7292" max="7293" width="11.44140625" style="95" hidden="1" customWidth="1"/>
    <col min="7294" max="7294" width="5" style="95" customWidth="1"/>
    <col min="7295" max="7295" width="11.44140625" style="95" hidden="1" customWidth="1"/>
    <col min="7296" max="7296" width="6.44140625" style="95" customWidth="1"/>
    <col min="7297" max="7297" width="11.44140625" style="95" hidden="1" customWidth="1"/>
    <col min="7298" max="7298" width="7.109375" style="95" customWidth="1"/>
    <col min="7299" max="7300" width="11.44140625" style="95" hidden="1" customWidth="1"/>
    <col min="7301" max="7301" width="7.109375" style="95" customWidth="1"/>
    <col min="7302" max="7303" width="11.44140625" style="95" hidden="1" customWidth="1"/>
    <col min="7304" max="7304" width="7.109375" style="95" customWidth="1"/>
    <col min="7305" max="7306" width="11.44140625" style="95" hidden="1" customWidth="1"/>
    <col min="7307" max="7307" width="7.109375" style="95" customWidth="1"/>
    <col min="7308" max="7309" width="11.44140625" style="95" hidden="1" customWidth="1"/>
    <col min="7310" max="7310" width="7.109375" style="95" customWidth="1"/>
    <col min="7311" max="7312" width="11.44140625" style="95" hidden="1" customWidth="1"/>
    <col min="7313" max="7313" width="7.109375" style="95" customWidth="1"/>
    <col min="7314" max="7315" width="11.44140625" style="95" hidden="1" customWidth="1"/>
    <col min="7316" max="7316" width="7.109375" style="95" customWidth="1"/>
    <col min="7317" max="7318" width="11.44140625" style="95" hidden="1" customWidth="1"/>
    <col min="7319" max="7319" width="7.109375" style="95" customWidth="1"/>
    <col min="7320" max="7320" width="11.44140625" style="95" hidden="1" customWidth="1"/>
    <col min="7321" max="7321" width="6.44140625" style="95" customWidth="1"/>
    <col min="7322" max="7323" width="11.44140625" style="95" hidden="1" customWidth="1"/>
    <col min="7324" max="7324" width="6.88671875" style="95" customWidth="1"/>
    <col min="7325" max="7326" width="11.44140625" style="95" hidden="1" customWidth="1"/>
    <col min="7327" max="7327" width="6.88671875" style="95" customWidth="1"/>
    <col min="7328" max="7329" width="11.44140625" style="95" hidden="1" customWidth="1"/>
    <col min="7330" max="7330" width="6.44140625" style="95" customWidth="1"/>
    <col min="7331" max="7335" width="11.44140625" style="95" hidden="1" customWidth="1"/>
    <col min="7336" max="7336" width="6.44140625" style="95" customWidth="1"/>
    <col min="7337" max="7338" width="11.44140625" style="95" hidden="1" customWidth="1"/>
    <col min="7339" max="7339" width="7.5546875" style="95" customWidth="1"/>
    <col min="7340" max="7340" width="11.44140625" style="95" hidden="1" customWidth="1"/>
    <col min="7341" max="7341" width="9.44140625" style="95" customWidth="1"/>
    <col min="7342" max="7342" width="11.44140625" style="95" hidden="1" customWidth="1"/>
    <col min="7343" max="7343" width="9" style="95" customWidth="1"/>
    <col min="7344" max="7345" width="11.44140625" style="95" hidden="1" customWidth="1"/>
    <col min="7346" max="7346" width="8.5546875" style="95" customWidth="1"/>
    <col min="7347" max="7348" width="11.44140625" style="95" hidden="1" customWidth="1"/>
    <col min="7349" max="7349" width="6.44140625" style="95" customWidth="1"/>
    <col min="7350" max="7351" width="11.44140625" style="95" hidden="1" customWidth="1"/>
    <col min="7352" max="7352" width="7" style="95" customWidth="1"/>
    <col min="7353" max="7354" width="11.44140625" style="95" hidden="1" customWidth="1"/>
    <col min="7355" max="7357" width="7" style="95" customWidth="1"/>
    <col min="7358" max="7359" width="11.44140625" style="95" hidden="1" customWidth="1"/>
    <col min="7360" max="7360" width="7.5546875" style="95" customWidth="1"/>
    <col min="7361" max="7362" width="11.44140625" style="95" hidden="1" customWidth="1"/>
    <col min="7363" max="7363" width="7" style="95" customWidth="1"/>
    <col min="7364" max="7365" width="11.44140625" style="95" hidden="1" customWidth="1"/>
    <col min="7366" max="7366" width="7" style="95" customWidth="1"/>
    <col min="7367" max="7368" width="11.44140625" style="95" hidden="1" customWidth="1"/>
    <col min="7369" max="7369" width="7" style="95" customWidth="1"/>
    <col min="7370" max="7370" width="11.44140625" style="95" hidden="1" customWidth="1"/>
    <col min="7371" max="7371" width="6.44140625" style="95" customWidth="1"/>
    <col min="7372" max="7381" width="11.44140625" style="95" hidden="1" customWidth="1"/>
    <col min="7382" max="7416" width="11.44140625" style="95" hidden="1"/>
    <col min="7417" max="7417" width="41.44140625" style="95" customWidth="1"/>
    <col min="7418" max="7418" width="6.44140625" style="95" customWidth="1"/>
    <col min="7419" max="7419" width="14.6640625" style="95" customWidth="1"/>
    <col min="7420" max="7420" width="11.44140625" style="95" customWidth="1"/>
    <col min="7421" max="7421" width="13" style="95" customWidth="1"/>
    <col min="7422" max="7422" width="25.44140625" style="95" customWidth="1"/>
    <col min="7423" max="7432" width="9.44140625" style="95" customWidth="1"/>
    <col min="7433" max="7433" width="8.88671875" style="95" customWidth="1"/>
    <col min="7434" max="7434" width="9.44140625" style="95" customWidth="1"/>
    <col min="7435" max="7440" width="10.109375" style="95" customWidth="1"/>
    <col min="7441" max="7441" width="6.44140625" style="95" customWidth="1"/>
    <col min="7442" max="7442" width="6.88671875" style="95" customWidth="1"/>
    <col min="7443" max="7444" width="6.5546875" style="95" customWidth="1"/>
    <col min="7445" max="7445" width="6.33203125" style="95" customWidth="1"/>
    <col min="7446" max="7446" width="7.5546875" style="95" customWidth="1"/>
    <col min="7447" max="7447" width="14.5546875" style="95" customWidth="1"/>
    <col min="7448" max="7449" width="11.44140625" style="95" customWidth="1"/>
    <col min="7450" max="7450" width="56.88671875" style="95" customWidth="1"/>
    <col min="7451" max="7451" width="9.109375" style="95" bestFit="1" customWidth="1"/>
    <col min="7452" max="7452" width="26.6640625" style="95" customWidth="1"/>
    <col min="7453" max="7453" width="22.88671875" style="95" customWidth="1"/>
    <col min="7454" max="7454" width="14.6640625" style="95" customWidth="1"/>
    <col min="7455" max="7455" width="5" style="95" customWidth="1"/>
    <col min="7456" max="7457" width="11.44140625" style="95" hidden="1" customWidth="1"/>
    <col min="7458" max="7458" width="5" style="95" customWidth="1"/>
    <col min="7459" max="7460" width="11.44140625" style="95" hidden="1" customWidth="1"/>
    <col min="7461" max="7461" width="5" style="95" customWidth="1"/>
    <col min="7462" max="7463" width="11.44140625" style="95" hidden="1" customWidth="1"/>
    <col min="7464" max="7464" width="5" style="95" customWidth="1"/>
    <col min="7465" max="7466" width="11.44140625" style="95" hidden="1" customWidth="1"/>
    <col min="7467" max="7467" width="5" style="95" customWidth="1"/>
    <col min="7468" max="7469" width="11.44140625" style="95" hidden="1" customWidth="1"/>
    <col min="7470" max="7470" width="5" style="95" customWidth="1"/>
    <col min="7471" max="7472" width="11.44140625" style="95" hidden="1" customWidth="1"/>
    <col min="7473" max="7473" width="6.44140625" style="95" customWidth="1"/>
    <col min="7474" max="7481" width="11.44140625" style="95" hidden="1" customWidth="1"/>
    <col min="7482" max="7482" width="6.88671875" style="95" customWidth="1"/>
    <col min="7483" max="7484" width="11.44140625" style="95" hidden="1" customWidth="1"/>
    <col min="7485" max="7485" width="6.44140625" style="95" customWidth="1"/>
    <col min="7486" max="7487" width="11.44140625" style="95" hidden="1" customWidth="1"/>
    <col min="7488" max="7488" width="5.44140625" style="95" customWidth="1"/>
    <col min="7489" max="7490" width="11.44140625" style="95" hidden="1" customWidth="1"/>
    <col min="7491" max="7491" width="4.88671875" style="95" customWidth="1"/>
    <col min="7492" max="7496" width="11.44140625" style="95" hidden="1" customWidth="1"/>
    <col min="7497" max="7497" width="8.44140625" style="95" customWidth="1"/>
    <col min="7498" max="7499" width="11.44140625" style="95" hidden="1" customWidth="1"/>
    <col min="7500" max="7500" width="5.44140625" style="95" customWidth="1"/>
    <col min="7501" max="7502" width="11.44140625" style="95" hidden="1" customWidth="1"/>
    <col min="7503" max="7503" width="8.44140625" style="95" customWidth="1"/>
    <col min="7504" max="7505" width="11.44140625" style="95" hidden="1" customWidth="1"/>
    <col min="7506" max="7506" width="5.88671875" style="95" customWidth="1"/>
    <col min="7507" max="7508" width="11.44140625" style="95" hidden="1" customWidth="1"/>
    <col min="7509" max="7509" width="5.44140625" style="95" customWidth="1"/>
    <col min="7510" max="7511" width="11.44140625" style="95" hidden="1" customWidth="1"/>
    <col min="7512" max="7512" width="5.44140625" style="95" customWidth="1"/>
    <col min="7513" max="7514" width="11.44140625" style="95" hidden="1" customWidth="1"/>
    <col min="7515" max="7515" width="6" style="95" customWidth="1"/>
    <col min="7516" max="7520" width="11.44140625" style="95" hidden="1" customWidth="1"/>
    <col min="7521" max="7521" width="5" style="95" customWidth="1"/>
    <col min="7522" max="7529" width="11.44140625" style="95" hidden="1" customWidth="1"/>
    <col min="7530" max="7530" width="5" style="95" customWidth="1"/>
    <col min="7531" max="7531" width="11.44140625" style="95" hidden="1" customWidth="1"/>
    <col min="7532" max="7532" width="5" style="95" customWidth="1"/>
    <col min="7533" max="7533" width="9.44140625" style="95" customWidth="1"/>
    <col min="7534" max="7534" width="11.44140625" style="95" hidden="1" customWidth="1"/>
    <col min="7535" max="7535" width="5" style="95" customWidth="1"/>
    <col min="7536" max="7537" width="11.44140625" style="95" hidden="1" customWidth="1"/>
    <col min="7538" max="7538" width="5" style="95" customWidth="1"/>
    <col min="7539" max="7540" width="11.44140625" style="95" hidden="1" customWidth="1"/>
    <col min="7541" max="7541" width="5" style="95" customWidth="1"/>
    <col min="7542" max="7543" width="11.44140625" style="95" hidden="1" customWidth="1"/>
    <col min="7544" max="7544" width="5" style="95" customWidth="1"/>
    <col min="7545" max="7546" width="11.44140625" style="95" hidden="1" customWidth="1"/>
    <col min="7547" max="7547" width="5" style="95" customWidth="1"/>
    <col min="7548" max="7549" width="11.44140625" style="95" hidden="1" customWidth="1"/>
    <col min="7550" max="7550" width="5" style="95" customWidth="1"/>
    <col min="7551" max="7551" width="11.44140625" style="95" hidden="1" customWidth="1"/>
    <col min="7552" max="7552" width="6.44140625" style="95" customWidth="1"/>
    <col min="7553" max="7553" width="11.44140625" style="95" hidden="1" customWidth="1"/>
    <col min="7554" max="7554" width="7.109375" style="95" customWidth="1"/>
    <col min="7555" max="7556" width="11.44140625" style="95" hidden="1" customWidth="1"/>
    <col min="7557" max="7557" width="7.109375" style="95" customWidth="1"/>
    <col min="7558" max="7559" width="11.44140625" style="95" hidden="1" customWidth="1"/>
    <col min="7560" max="7560" width="7.109375" style="95" customWidth="1"/>
    <col min="7561" max="7562" width="11.44140625" style="95" hidden="1" customWidth="1"/>
    <col min="7563" max="7563" width="7.109375" style="95" customWidth="1"/>
    <col min="7564" max="7565" width="11.44140625" style="95" hidden="1" customWidth="1"/>
    <col min="7566" max="7566" width="7.109375" style="95" customWidth="1"/>
    <col min="7567" max="7568" width="11.44140625" style="95" hidden="1" customWidth="1"/>
    <col min="7569" max="7569" width="7.109375" style="95" customWidth="1"/>
    <col min="7570" max="7571" width="11.44140625" style="95" hidden="1" customWidth="1"/>
    <col min="7572" max="7572" width="7.109375" style="95" customWidth="1"/>
    <col min="7573" max="7574" width="11.44140625" style="95" hidden="1" customWidth="1"/>
    <col min="7575" max="7575" width="7.109375" style="95" customWidth="1"/>
    <col min="7576" max="7576" width="11.44140625" style="95" hidden="1" customWidth="1"/>
    <col min="7577" max="7577" width="6.44140625" style="95" customWidth="1"/>
    <col min="7578" max="7579" width="11.44140625" style="95" hidden="1" customWidth="1"/>
    <col min="7580" max="7580" width="6.88671875" style="95" customWidth="1"/>
    <col min="7581" max="7582" width="11.44140625" style="95" hidden="1" customWidth="1"/>
    <col min="7583" max="7583" width="6.88671875" style="95" customWidth="1"/>
    <col min="7584" max="7585" width="11.44140625" style="95" hidden="1" customWidth="1"/>
    <col min="7586" max="7586" width="6.44140625" style="95" customWidth="1"/>
    <col min="7587" max="7591" width="11.44140625" style="95" hidden="1" customWidth="1"/>
    <col min="7592" max="7592" width="6.44140625" style="95" customWidth="1"/>
    <col min="7593" max="7594" width="11.44140625" style="95" hidden="1" customWidth="1"/>
    <col min="7595" max="7595" width="7.5546875" style="95" customWidth="1"/>
    <col min="7596" max="7596" width="11.44140625" style="95" hidden="1" customWidth="1"/>
    <col min="7597" max="7597" width="9.44140625" style="95" customWidth="1"/>
    <col min="7598" max="7598" width="11.44140625" style="95" hidden="1" customWidth="1"/>
    <col min="7599" max="7599" width="9" style="95" customWidth="1"/>
    <col min="7600" max="7601" width="11.44140625" style="95" hidden="1" customWidth="1"/>
    <col min="7602" max="7602" width="8.5546875" style="95" customWidth="1"/>
    <col min="7603" max="7604" width="11.44140625" style="95" hidden="1" customWidth="1"/>
    <col min="7605" max="7605" width="6.44140625" style="95" customWidth="1"/>
    <col min="7606" max="7607" width="11.44140625" style="95" hidden="1" customWidth="1"/>
    <col min="7608" max="7608" width="7" style="95" customWidth="1"/>
    <col min="7609" max="7610" width="11.44140625" style="95" hidden="1" customWidth="1"/>
    <col min="7611" max="7613" width="7" style="95" customWidth="1"/>
    <col min="7614" max="7615" width="11.44140625" style="95" hidden="1" customWidth="1"/>
    <col min="7616" max="7616" width="7.5546875" style="95" customWidth="1"/>
    <col min="7617" max="7618" width="11.44140625" style="95" hidden="1" customWidth="1"/>
    <col min="7619" max="7619" width="7" style="95" customWidth="1"/>
    <col min="7620" max="7621" width="11.44140625" style="95" hidden="1" customWidth="1"/>
    <col min="7622" max="7622" width="7" style="95" customWidth="1"/>
    <col min="7623" max="7624" width="11.44140625" style="95" hidden="1" customWidth="1"/>
    <col min="7625" max="7625" width="7" style="95" customWidth="1"/>
    <col min="7626" max="7626" width="11.44140625" style="95" hidden="1" customWidth="1"/>
    <col min="7627" max="7627" width="6.44140625" style="95" customWidth="1"/>
    <col min="7628" max="7637" width="11.44140625" style="95" hidden="1" customWidth="1"/>
    <col min="7638" max="7672" width="11.44140625" style="95" hidden="1"/>
    <col min="7673" max="7673" width="41.44140625" style="95" customWidth="1"/>
    <col min="7674" max="7674" width="6.44140625" style="95" customWidth="1"/>
    <col min="7675" max="7675" width="14.6640625" style="95" customWidth="1"/>
    <col min="7676" max="7676" width="11.44140625" style="95" customWidth="1"/>
    <col min="7677" max="7677" width="13" style="95" customWidth="1"/>
    <col min="7678" max="7678" width="25.44140625" style="95" customWidth="1"/>
    <col min="7679" max="7688" width="9.44140625" style="95" customWidth="1"/>
    <col min="7689" max="7689" width="8.88671875" style="95" customWidth="1"/>
    <col min="7690" max="7690" width="9.44140625" style="95" customWidth="1"/>
    <col min="7691" max="7696" width="10.109375" style="95" customWidth="1"/>
    <col min="7697" max="7697" width="6.44140625" style="95" customWidth="1"/>
    <col min="7698" max="7698" width="6.88671875" style="95" customWidth="1"/>
    <col min="7699" max="7700" width="6.5546875" style="95" customWidth="1"/>
    <col min="7701" max="7701" width="6.33203125" style="95" customWidth="1"/>
    <col min="7702" max="7702" width="7.5546875" style="95" customWidth="1"/>
    <col min="7703" max="7703" width="14.5546875" style="95" customWidth="1"/>
    <col min="7704" max="7705" width="11.44140625" style="95" customWidth="1"/>
    <col min="7706" max="7706" width="56.88671875" style="95" customWidth="1"/>
    <col min="7707" max="7707" width="9.109375" style="95" bestFit="1" customWidth="1"/>
    <col min="7708" max="7708" width="26.6640625" style="95" customWidth="1"/>
    <col min="7709" max="7709" width="22.88671875" style="95" customWidth="1"/>
    <col min="7710" max="7710" width="14.6640625" style="95" customWidth="1"/>
    <col min="7711" max="7711" width="5" style="95" customWidth="1"/>
    <col min="7712" max="7713" width="11.44140625" style="95" hidden="1" customWidth="1"/>
    <col min="7714" max="7714" width="5" style="95" customWidth="1"/>
    <col min="7715" max="7716" width="11.44140625" style="95" hidden="1" customWidth="1"/>
    <col min="7717" max="7717" width="5" style="95" customWidth="1"/>
    <col min="7718" max="7719" width="11.44140625" style="95" hidden="1" customWidth="1"/>
    <col min="7720" max="7720" width="5" style="95" customWidth="1"/>
    <col min="7721" max="7722" width="11.44140625" style="95" hidden="1" customWidth="1"/>
    <col min="7723" max="7723" width="5" style="95" customWidth="1"/>
    <col min="7724" max="7725" width="11.44140625" style="95" hidden="1" customWidth="1"/>
    <col min="7726" max="7726" width="5" style="95" customWidth="1"/>
    <col min="7727" max="7728" width="11.44140625" style="95" hidden="1" customWidth="1"/>
    <col min="7729" max="7729" width="6.44140625" style="95" customWidth="1"/>
    <col min="7730" max="7737" width="11.44140625" style="95" hidden="1" customWidth="1"/>
    <col min="7738" max="7738" width="6.88671875" style="95" customWidth="1"/>
    <col min="7739" max="7740" width="11.44140625" style="95" hidden="1" customWidth="1"/>
    <col min="7741" max="7741" width="6.44140625" style="95" customWidth="1"/>
    <col min="7742" max="7743" width="11.44140625" style="95" hidden="1" customWidth="1"/>
    <col min="7744" max="7744" width="5.44140625" style="95" customWidth="1"/>
    <col min="7745" max="7746" width="11.44140625" style="95" hidden="1" customWidth="1"/>
    <col min="7747" max="7747" width="4.88671875" style="95" customWidth="1"/>
    <col min="7748" max="7752" width="11.44140625" style="95" hidden="1" customWidth="1"/>
    <col min="7753" max="7753" width="8.44140625" style="95" customWidth="1"/>
    <col min="7754" max="7755" width="11.44140625" style="95" hidden="1" customWidth="1"/>
    <col min="7756" max="7756" width="5.44140625" style="95" customWidth="1"/>
    <col min="7757" max="7758" width="11.44140625" style="95" hidden="1" customWidth="1"/>
    <col min="7759" max="7759" width="8.44140625" style="95" customWidth="1"/>
    <col min="7760" max="7761" width="11.44140625" style="95" hidden="1" customWidth="1"/>
    <col min="7762" max="7762" width="5.88671875" style="95" customWidth="1"/>
    <col min="7763" max="7764" width="11.44140625" style="95" hidden="1" customWidth="1"/>
    <col min="7765" max="7765" width="5.44140625" style="95" customWidth="1"/>
    <col min="7766" max="7767" width="11.44140625" style="95" hidden="1" customWidth="1"/>
    <col min="7768" max="7768" width="5.44140625" style="95" customWidth="1"/>
    <col min="7769" max="7770" width="11.44140625" style="95" hidden="1" customWidth="1"/>
    <col min="7771" max="7771" width="6" style="95" customWidth="1"/>
    <col min="7772" max="7776" width="11.44140625" style="95" hidden="1" customWidth="1"/>
    <col min="7777" max="7777" width="5" style="95" customWidth="1"/>
    <col min="7778" max="7785" width="11.44140625" style="95" hidden="1" customWidth="1"/>
    <col min="7786" max="7786" width="5" style="95" customWidth="1"/>
    <col min="7787" max="7787" width="11.44140625" style="95" hidden="1" customWidth="1"/>
    <col min="7788" max="7788" width="5" style="95" customWidth="1"/>
    <col min="7789" max="7789" width="9.44140625" style="95" customWidth="1"/>
    <col min="7790" max="7790" width="11.44140625" style="95" hidden="1" customWidth="1"/>
    <col min="7791" max="7791" width="5" style="95" customWidth="1"/>
    <col min="7792" max="7793" width="11.44140625" style="95" hidden="1" customWidth="1"/>
    <col min="7794" max="7794" width="5" style="95" customWidth="1"/>
    <col min="7795" max="7796" width="11.44140625" style="95" hidden="1" customWidth="1"/>
    <col min="7797" max="7797" width="5" style="95" customWidth="1"/>
    <col min="7798" max="7799" width="11.44140625" style="95" hidden="1" customWidth="1"/>
    <col min="7800" max="7800" width="5" style="95" customWidth="1"/>
    <col min="7801" max="7802" width="11.44140625" style="95" hidden="1" customWidth="1"/>
    <col min="7803" max="7803" width="5" style="95" customWidth="1"/>
    <col min="7804" max="7805" width="11.44140625" style="95" hidden="1" customWidth="1"/>
    <col min="7806" max="7806" width="5" style="95" customWidth="1"/>
    <col min="7807" max="7807" width="11.44140625" style="95" hidden="1" customWidth="1"/>
    <col min="7808" max="7808" width="6.44140625" style="95" customWidth="1"/>
    <col min="7809" max="7809" width="11.44140625" style="95" hidden="1" customWidth="1"/>
    <col min="7810" max="7810" width="7.109375" style="95" customWidth="1"/>
    <col min="7811" max="7812" width="11.44140625" style="95" hidden="1" customWidth="1"/>
    <col min="7813" max="7813" width="7.109375" style="95" customWidth="1"/>
    <col min="7814" max="7815" width="11.44140625" style="95" hidden="1" customWidth="1"/>
    <col min="7816" max="7816" width="7.109375" style="95" customWidth="1"/>
    <col min="7817" max="7818" width="11.44140625" style="95" hidden="1" customWidth="1"/>
    <col min="7819" max="7819" width="7.109375" style="95" customWidth="1"/>
    <col min="7820" max="7821" width="11.44140625" style="95" hidden="1" customWidth="1"/>
    <col min="7822" max="7822" width="7.109375" style="95" customWidth="1"/>
    <col min="7823" max="7824" width="11.44140625" style="95" hidden="1" customWidth="1"/>
    <col min="7825" max="7825" width="7.109375" style="95" customWidth="1"/>
    <col min="7826" max="7827" width="11.44140625" style="95" hidden="1" customWidth="1"/>
    <col min="7828" max="7828" width="7.109375" style="95" customWidth="1"/>
    <col min="7829" max="7830" width="11.44140625" style="95" hidden="1" customWidth="1"/>
    <col min="7831" max="7831" width="7.109375" style="95" customWidth="1"/>
    <col min="7832" max="7832" width="11.44140625" style="95" hidden="1" customWidth="1"/>
    <col min="7833" max="7833" width="6.44140625" style="95" customWidth="1"/>
    <col min="7834" max="7835" width="11.44140625" style="95" hidden="1" customWidth="1"/>
    <col min="7836" max="7836" width="6.88671875" style="95" customWidth="1"/>
    <col min="7837" max="7838" width="11.44140625" style="95" hidden="1" customWidth="1"/>
    <col min="7839" max="7839" width="6.88671875" style="95" customWidth="1"/>
    <col min="7840" max="7841" width="11.44140625" style="95" hidden="1" customWidth="1"/>
    <col min="7842" max="7842" width="6.44140625" style="95" customWidth="1"/>
    <col min="7843" max="7847" width="11.44140625" style="95" hidden="1" customWidth="1"/>
    <col min="7848" max="7848" width="6.44140625" style="95" customWidth="1"/>
    <col min="7849" max="7850" width="11.44140625" style="95" hidden="1" customWidth="1"/>
    <col min="7851" max="7851" width="7.5546875" style="95" customWidth="1"/>
    <col min="7852" max="7852" width="11.44140625" style="95" hidden="1" customWidth="1"/>
    <col min="7853" max="7853" width="9.44140625" style="95" customWidth="1"/>
    <col min="7854" max="7854" width="11.44140625" style="95" hidden="1" customWidth="1"/>
    <col min="7855" max="7855" width="9" style="95" customWidth="1"/>
    <col min="7856" max="7857" width="11.44140625" style="95" hidden="1" customWidth="1"/>
    <col min="7858" max="7858" width="8.5546875" style="95" customWidth="1"/>
    <col min="7859" max="7860" width="11.44140625" style="95" hidden="1" customWidth="1"/>
    <col min="7861" max="7861" width="6.44140625" style="95" customWidth="1"/>
    <col min="7862" max="7863" width="11.44140625" style="95" hidden="1" customWidth="1"/>
    <col min="7864" max="7864" width="7" style="95" customWidth="1"/>
    <col min="7865" max="7866" width="11.44140625" style="95" hidden="1" customWidth="1"/>
    <col min="7867" max="7869" width="7" style="95" customWidth="1"/>
    <col min="7870" max="7871" width="11.44140625" style="95" hidden="1" customWidth="1"/>
    <col min="7872" max="7872" width="7.5546875" style="95" customWidth="1"/>
    <col min="7873" max="7874" width="11.44140625" style="95" hidden="1" customWidth="1"/>
    <col min="7875" max="7875" width="7" style="95" customWidth="1"/>
    <col min="7876" max="7877" width="11.44140625" style="95" hidden="1" customWidth="1"/>
    <col min="7878" max="7878" width="7" style="95" customWidth="1"/>
    <col min="7879" max="7880" width="11.44140625" style="95" hidden="1" customWidth="1"/>
    <col min="7881" max="7881" width="7" style="95" customWidth="1"/>
    <col min="7882" max="7882" width="11.44140625" style="95" hidden="1" customWidth="1"/>
    <col min="7883" max="7883" width="6.44140625" style="95" customWidth="1"/>
    <col min="7884" max="7893" width="11.44140625" style="95" hidden="1" customWidth="1"/>
    <col min="7894" max="7928" width="11.44140625" style="95" hidden="1"/>
    <col min="7929" max="7929" width="41.44140625" style="95" customWidth="1"/>
    <col min="7930" max="7930" width="6.44140625" style="95" customWidth="1"/>
    <col min="7931" max="7931" width="14.6640625" style="95" customWidth="1"/>
    <col min="7932" max="7932" width="11.44140625" style="95" customWidth="1"/>
    <col min="7933" max="7933" width="13" style="95" customWidth="1"/>
    <col min="7934" max="7934" width="25.44140625" style="95" customWidth="1"/>
    <col min="7935" max="7944" width="9.44140625" style="95" customWidth="1"/>
    <col min="7945" max="7945" width="8.88671875" style="95" customWidth="1"/>
    <col min="7946" max="7946" width="9.44140625" style="95" customWidth="1"/>
    <col min="7947" max="7952" width="10.109375" style="95" customWidth="1"/>
    <col min="7953" max="7953" width="6.44140625" style="95" customWidth="1"/>
    <col min="7954" max="7954" width="6.88671875" style="95" customWidth="1"/>
    <col min="7955" max="7956" width="6.5546875" style="95" customWidth="1"/>
    <col min="7957" max="7957" width="6.33203125" style="95" customWidth="1"/>
    <col min="7958" max="7958" width="7.5546875" style="95" customWidth="1"/>
    <col min="7959" max="7959" width="14.5546875" style="95" customWidth="1"/>
    <col min="7960" max="7961" width="11.44140625" style="95" customWidth="1"/>
    <col min="7962" max="7962" width="56.88671875" style="95" customWidth="1"/>
    <col min="7963" max="7963" width="9.109375" style="95" bestFit="1" customWidth="1"/>
    <col min="7964" max="7964" width="26.6640625" style="95" customWidth="1"/>
    <col min="7965" max="7965" width="22.88671875" style="95" customWidth="1"/>
    <col min="7966" max="7966" width="14.6640625" style="95" customWidth="1"/>
    <col min="7967" max="7967" width="5" style="95" customWidth="1"/>
    <col min="7968" max="7969" width="11.44140625" style="95" hidden="1" customWidth="1"/>
    <col min="7970" max="7970" width="5" style="95" customWidth="1"/>
    <col min="7971" max="7972" width="11.44140625" style="95" hidden="1" customWidth="1"/>
    <col min="7973" max="7973" width="5" style="95" customWidth="1"/>
    <col min="7974" max="7975" width="11.44140625" style="95" hidden="1" customWidth="1"/>
    <col min="7976" max="7976" width="5" style="95" customWidth="1"/>
    <col min="7977" max="7978" width="11.44140625" style="95" hidden="1" customWidth="1"/>
    <col min="7979" max="7979" width="5" style="95" customWidth="1"/>
    <col min="7980" max="7981" width="11.44140625" style="95" hidden="1" customWidth="1"/>
    <col min="7982" max="7982" width="5" style="95" customWidth="1"/>
    <col min="7983" max="7984" width="11.44140625" style="95" hidden="1" customWidth="1"/>
    <col min="7985" max="7985" width="6.44140625" style="95" customWidth="1"/>
    <col min="7986" max="7993" width="11.44140625" style="95" hidden="1" customWidth="1"/>
    <col min="7994" max="7994" width="6.88671875" style="95" customWidth="1"/>
    <col min="7995" max="7996" width="11.44140625" style="95" hidden="1" customWidth="1"/>
    <col min="7997" max="7997" width="6.44140625" style="95" customWidth="1"/>
    <col min="7998" max="7999" width="11.44140625" style="95" hidden="1" customWidth="1"/>
    <col min="8000" max="8000" width="5.44140625" style="95" customWidth="1"/>
    <col min="8001" max="8002" width="11.44140625" style="95" hidden="1" customWidth="1"/>
    <col min="8003" max="8003" width="4.88671875" style="95" customWidth="1"/>
    <col min="8004" max="8008" width="11.44140625" style="95" hidden="1" customWidth="1"/>
    <col min="8009" max="8009" width="8.44140625" style="95" customWidth="1"/>
    <col min="8010" max="8011" width="11.44140625" style="95" hidden="1" customWidth="1"/>
    <col min="8012" max="8012" width="5.44140625" style="95" customWidth="1"/>
    <col min="8013" max="8014" width="11.44140625" style="95" hidden="1" customWidth="1"/>
    <col min="8015" max="8015" width="8.44140625" style="95" customWidth="1"/>
    <col min="8016" max="8017" width="11.44140625" style="95" hidden="1" customWidth="1"/>
    <col min="8018" max="8018" width="5.88671875" style="95" customWidth="1"/>
    <col min="8019" max="8020" width="11.44140625" style="95" hidden="1" customWidth="1"/>
    <col min="8021" max="8021" width="5.44140625" style="95" customWidth="1"/>
    <col min="8022" max="8023" width="11.44140625" style="95" hidden="1" customWidth="1"/>
    <col min="8024" max="8024" width="5.44140625" style="95" customWidth="1"/>
    <col min="8025" max="8026" width="11.44140625" style="95" hidden="1" customWidth="1"/>
    <col min="8027" max="8027" width="6" style="95" customWidth="1"/>
    <col min="8028" max="8032" width="11.44140625" style="95" hidden="1" customWidth="1"/>
    <col min="8033" max="8033" width="5" style="95" customWidth="1"/>
    <col min="8034" max="8041" width="11.44140625" style="95" hidden="1" customWidth="1"/>
    <col min="8042" max="8042" width="5" style="95" customWidth="1"/>
    <col min="8043" max="8043" width="11.44140625" style="95" hidden="1" customWidth="1"/>
    <col min="8044" max="8044" width="5" style="95" customWidth="1"/>
    <col min="8045" max="8045" width="9.44140625" style="95" customWidth="1"/>
    <col min="8046" max="8046" width="11.44140625" style="95" hidden="1" customWidth="1"/>
    <col min="8047" max="8047" width="5" style="95" customWidth="1"/>
    <col min="8048" max="8049" width="11.44140625" style="95" hidden="1" customWidth="1"/>
    <col min="8050" max="8050" width="5" style="95" customWidth="1"/>
    <col min="8051" max="8052" width="11.44140625" style="95" hidden="1" customWidth="1"/>
    <col min="8053" max="8053" width="5" style="95" customWidth="1"/>
    <col min="8054" max="8055" width="11.44140625" style="95" hidden="1" customWidth="1"/>
    <col min="8056" max="8056" width="5" style="95" customWidth="1"/>
    <col min="8057" max="8058" width="11.44140625" style="95" hidden="1" customWidth="1"/>
    <col min="8059" max="8059" width="5" style="95" customWidth="1"/>
    <col min="8060" max="8061" width="11.44140625" style="95" hidden="1" customWidth="1"/>
    <col min="8062" max="8062" width="5" style="95" customWidth="1"/>
    <col min="8063" max="8063" width="11.44140625" style="95" hidden="1" customWidth="1"/>
    <col min="8064" max="8064" width="6.44140625" style="95" customWidth="1"/>
    <col min="8065" max="8065" width="11.44140625" style="95" hidden="1" customWidth="1"/>
    <col min="8066" max="8066" width="7.109375" style="95" customWidth="1"/>
    <col min="8067" max="8068" width="11.44140625" style="95" hidden="1" customWidth="1"/>
    <col min="8069" max="8069" width="7.109375" style="95" customWidth="1"/>
    <col min="8070" max="8071" width="11.44140625" style="95" hidden="1" customWidth="1"/>
    <col min="8072" max="8072" width="7.109375" style="95" customWidth="1"/>
    <col min="8073" max="8074" width="11.44140625" style="95" hidden="1" customWidth="1"/>
    <col min="8075" max="8075" width="7.109375" style="95" customWidth="1"/>
    <col min="8076" max="8077" width="11.44140625" style="95" hidden="1" customWidth="1"/>
    <col min="8078" max="8078" width="7.109375" style="95" customWidth="1"/>
    <col min="8079" max="8080" width="11.44140625" style="95" hidden="1" customWidth="1"/>
    <col min="8081" max="8081" width="7.109375" style="95" customWidth="1"/>
    <col min="8082" max="8083" width="11.44140625" style="95" hidden="1" customWidth="1"/>
    <col min="8084" max="8084" width="7.109375" style="95" customWidth="1"/>
    <col min="8085" max="8086" width="11.44140625" style="95" hidden="1" customWidth="1"/>
    <col min="8087" max="8087" width="7.109375" style="95" customWidth="1"/>
    <col min="8088" max="8088" width="11.44140625" style="95" hidden="1" customWidth="1"/>
    <col min="8089" max="8089" width="6.44140625" style="95" customWidth="1"/>
    <col min="8090" max="8091" width="11.44140625" style="95" hidden="1" customWidth="1"/>
    <col min="8092" max="8092" width="6.88671875" style="95" customWidth="1"/>
    <col min="8093" max="8094" width="11.44140625" style="95" hidden="1" customWidth="1"/>
    <col min="8095" max="8095" width="6.88671875" style="95" customWidth="1"/>
    <col min="8096" max="8097" width="11.44140625" style="95" hidden="1" customWidth="1"/>
    <col min="8098" max="8098" width="6.44140625" style="95" customWidth="1"/>
    <col min="8099" max="8103" width="11.44140625" style="95" hidden="1" customWidth="1"/>
    <col min="8104" max="8104" width="6.44140625" style="95" customWidth="1"/>
    <col min="8105" max="8106" width="11.44140625" style="95" hidden="1" customWidth="1"/>
    <col min="8107" max="8107" width="7.5546875" style="95" customWidth="1"/>
    <col min="8108" max="8108" width="11.44140625" style="95" hidden="1" customWidth="1"/>
    <col min="8109" max="8109" width="9.44140625" style="95" customWidth="1"/>
    <col min="8110" max="8110" width="11.44140625" style="95" hidden="1" customWidth="1"/>
    <col min="8111" max="8111" width="9" style="95" customWidth="1"/>
    <col min="8112" max="8113" width="11.44140625" style="95" hidden="1" customWidth="1"/>
    <col min="8114" max="8114" width="8.5546875" style="95" customWidth="1"/>
    <col min="8115" max="8116" width="11.44140625" style="95" hidden="1" customWidth="1"/>
    <col min="8117" max="8117" width="6.44140625" style="95" customWidth="1"/>
    <col min="8118" max="8119" width="11.44140625" style="95" hidden="1" customWidth="1"/>
    <col min="8120" max="8120" width="7" style="95" customWidth="1"/>
    <col min="8121" max="8122" width="11.44140625" style="95" hidden="1" customWidth="1"/>
    <col min="8123" max="8125" width="7" style="95" customWidth="1"/>
    <col min="8126" max="8127" width="11.44140625" style="95" hidden="1" customWidth="1"/>
    <col min="8128" max="8128" width="7.5546875" style="95" customWidth="1"/>
    <col min="8129" max="8130" width="11.44140625" style="95" hidden="1" customWidth="1"/>
    <col min="8131" max="8131" width="7" style="95" customWidth="1"/>
    <col min="8132" max="8133" width="11.44140625" style="95" hidden="1" customWidth="1"/>
    <col min="8134" max="8134" width="7" style="95" customWidth="1"/>
    <col min="8135" max="8136" width="11.44140625" style="95" hidden="1" customWidth="1"/>
    <col min="8137" max="8137" width="7" style="95" customWidth="1"/>
    <col min="8138" max="8138" width="11.44140625" style="95" hidden="1" customWidth="1"/>
    <col min="8139" max="8139" width="6.44140625" style="95" customWidth="1"/>
    <col min="8140" max="8149" width="11.44140625" style="95" hidden="1" customWidth="1"/>
    <col min="8150" max="8184" width="11.44140625" style="95" hidden="1"/>
    <col min="8185" max="8185" width="41.44140625" style="95" customWidth="1"/>
    <col min="8186" max="8186" width="6.44140625" style="95" customWidth="1"/>
    <col min="8187" max="8187" width="14.6640625" style="95" customWidth="1"/>
    <col min="8188" max="8188" width="11.44140625" style="95" customWidth="1"/>
    <col min="8189" max="8189" width="13" style="95" customWidth="1"/>
    <col min="8190" max="8190" width="25.44140625" style="95" customWidth="1"/>
    <col min="8191" max="8200" width="9.44140625" style="95" customWidth="1"/>
    <col min="8201" max="8201" width="8.88671875" style="95" customWidth="1"/>
    <col min="8202" max="8202" width="9.44140625" style="95" customWidth="1"/>
    <col min="8203" max="8208" width="10.109375" style="95" customWidth="1"/>
    <col min="8209" max="8209" width="6.44140625" style="95" customWidth="1"/>
    <col min="8210" max="8210" width="6.88671875" style="95" customWidth="1"/>
    <col min="8211" max="8212" width="6.5546875" style="95" customWidth="1"/>
    <col min="8213" max="8213" width="6.33203125" style="95" customWidth="1"/>
    <col min="8214" max="8214" width="7.5546875" style="95" customWidth="1"/>
    <col min="8215" max="8215" width="14.5546875" style="95" customWidth="1"/>
    <col min="8216" max="8217" width="11.44140625" style="95" customWidth="1"/>
    <col min="8218" max="8218" width="56.88671875" style="95" customWidth="1"/>
    <col min="8219" max="8219" width="9.109375" style="95" bestFit="1" customWidth="1"/>
    <col min="8220" max="8220" width="26.6640625" style="95" customWidth="1"/>
    <col min="8221" max="8221" width="22.88671875" style="95" customWidth="1"/>
    <col min="8222" max="8222" width="14.6640625" style="95" customWidth="1"/>
    <col min="8223" max="8223" width="5" style="95" customWidth="1"/>
    <col min="8224" max="8225" width="11.44140625" style="95" hidden="1" customWidth="1"/>
    <col min="8226" max="8226" width="5" style="95" customWidth="1"/>
    <col min="8227" max="8228" width="11.44140625" style="95" hidden="1" customWidth="1"/>
    <col min="8229" max="8229" width="5" style="95" customWidth="1"/>
    <col min="8230" max="8231" width="11.44140625" style="95" hidden="1" customWidth="1"/>
    <col min="8232" max="8232" width="5" style="95" customWidth="1"/>
    <col min="8233" max="8234" width="11.44140625" style="95" hidden="1" customWidth="1"/>
    <col min="8235" max="8235" width="5" style="95" customWidth="1"/>
    <col min="8236" max="8237" width="11.44140625" style="95" hidden="1" customWidth="1"/>
    <col min="8238" max="8238" width="5" style="95" customWidth="1"/>
    <col min="8239" max="8240" width="11.44140625" style="95" hidden="1" customWidth="1"/>
    <col min="8241" max="8241" width="6.44140625" style="95" customWidth="1"/>
    <col min="8242" max="8249" width="11.44140625" style="95" hidden="1" customWidth="1"/>
    <col min="8250" max="8250" width="6.88671875" style="95" customWidth="1"/>
    <col min="8251" max="8252" width="11.44140625" style="95" hidden="1" customWidth="1"/>
    <col min="8253" max="8253" width="6.44140625" style="95" customWidth="1"/>
    <col min="8254" max="8255" width="11.44140625" style="95" hidden="1" customWidth="1"/>
    <col min="8256" max="8256" width="5.44140625" style="95" customWidth="1"/>
    <col min="8257" max="8258" width="11.44140625" style="95" hidden="1" customWidth="1"/>
    <col min="8259" max="8259" width="4.88671875" style="95" customWidth="1"/>
    <col min="8260" max="8264" width="11.44140625" style="95" hidden="1" customWidth="1"/>
    <col min="8265" max="8265" width="8.44140625" style="95" customWidth="1"/>
    <col min="8266" max="8267" width="11.44140625" style="95" hidden="1" customWidth="1"/>
    <col min="8268" max="8268" width="5.44140625" style="95" customWidth="1"/>
    <col min="8269" max="8270" width="11.44140625" style="95" hidden="1" customWidth="1"/>
    <col min="8271" max="8271" width="8.44140625" style="95" customWidth="1"/>
    <col min="8272" max="8273" width="11.44140625" style="95" hidden="1" customWidth="1"/>
    <col min="8274" max="8274" width="5.88671875" style="95" customWidth="1"/>
    <col min="8275" max="8276" width="11.44140625" style="95" hidden="1" customWidth="1"/>
    <col min="8277" max="8277" width="5.44140625" style="95" customWidth="1"/>
    <col min="8278" max="8279" width="11.44140625" style="95" hidden="1" customWidth="1"/>
    <col min="8280" max="8280" width="5.44140625" style="95" customWidth="1"/>
    <col min="8281" max="8282" width="11.44140625" style="95" hidden="1" customWidth="1"/>
    <col min="8283" max="8283" width="6" style="95" customWidth="1"/>
    <col min="8284" max="8288" width="11.44140625" style="95" hidden="1" customWidth="1"/>
    <col min="8289" max="8289" width="5" style="95" customWidth="1"/>
    <col min="8290" max="8297" width="11.44140625" style="95" hidden="1" customWidth="1"/>
    <col min="8298" max="8298" width="5" style="95" customWidth="1"/>
    <col min="8299" max="8299" width="11.44140625" style="95" hidden="1" customWidth="1"/>
    <col min="8300" max="8300" width="5" style="95" customWidth="1"/>
    <col min="8301" max="8301" width="9.44140625" style="95" customWidth="1"/>
    <col min="8302" max="8302" width="11.44140625" style="95" hidden="1" customWidth="1"/>
    <col min="8303" max="8303" width="5" style="95" customWidth="1"/>
    <col min="8304" max="8305" width="11.44140625" style="95" hidden="1" customWidth="1"/>
    <col min="8306" max="8306" width="5" style="95" customWidth="1"/>
    <col min="8307" max="8308" width="11.44140625" style="95" hidden="1" customWidth="1"/>
    <col min="8309" max="8309" width="5" style="95" customWidth="1"/>
    <col min="8310" max="8311" width="11.44140625" style="95" hidden="1" customWidth="1"/>
    <col min="8312" max="8312" width="5" style="95" customWidth="1"/>
    <col min="8313" max="8314" width="11.44140625" style="95" hidden="1" customWidth="1"/>
    <col min="8315" max="8315" width="5" style="95" customWidth="1"/>
    <col min="8316" max="8317" width="11.44140625" style="95" hidden="1" customWidth="1"/>
    <col min="8318" max="8318" width="5" style="95" customWidth="1"/>
    <col min="8319" max="8319" width="11.44140625" style="95" hidden="1" customWidth="1"/>
    <col min="8320" max="8320" width="6.44140625" style="95" customWidth="1"/>
    <col min="8321" max="8321" width="11.44140625" style="95" hidden="1" customWidth="1"/>
    <col min="8322" max="8322" width="7.109375" style="95" customWidth="1"/>
    <col min="8323" max="8324" width="11.44140625" style="95" hidden="1" customWidth="1"/>
    <col min="8325" max="8325" width="7.109375" style="95" customWidth="1"/>
    <col min="8326" max="8327" width="11.44140625" style="95" hidden="1" customWidth="1"/>
    <col min="8328" max="8328" width="7.109375" style="95" customWidth="1"/>
    <col min="8329" max="8330" width="11.44140625" style="95" hidden="1" customWidth="1"/>
    <col min="8331" max="8331" width="7.109375" style="95" customWidth="1"/>
    <col min="8332" max="8333" width="11.44140625" style="95" hidden="1" customWidth="1"/>
    <col min="8334" max="8334" width="7.109375" style="95" customWidth="1"/>
    <col min="8335" max="8336" width="11.44140625" style="95" hidden="1" customWidth="1"/>
    <col min="8337" max="8337" width="7.109375" style="95" customWidth="1"/>
    <col min="8338" max="8339" width="11.44140625" style="95" hidden="1" customWidth="1"/>
    <col min="8340" max="8340" width="7.109375" style="95" customWidth="1"/>
    <col min="8341" max="8342" width="11.44140625" style="95" hidden="1" customWidth="1"/>
    <col min="8343" max="8343" width="7.109375" style="95" customWidth="1"/>
    <col min="8344" max="8344" width="11.44140625" style="95" hidden="1" customWidth="1"/>
    <col min="8345" max="8345" width="6.44140625" style="95" customWidth="1"/>
    <col min="8346" max="8347" width="11.44140625" style="95" hidden="1" customWidth="1"/>
    <col min="8348" max="8348" width="6.88671875" style="95" customWidth="1"/>
    <col min="8349" max="8350" width="11.44140625" style="95" hidden="1" customWidth="1"/>
    <col min="8351" max="8351" width="6.88671875" style="95" customWidth="1"/>
    <col min="8352" max="8353" width="11.44140625" style="95" hidden="1" customWidth="1"/>
    <col min="8354" max="8354" width="6.44140625" style="95" customWidth="1"/>
    <col min="8355" max="8359" width="11.44140625" style="95" hidden="1" customWidth="1"/>
    <col min="8360" max="8360" width="6.44140625" style="95" customWidth="1"/>
    <col min="8361" max="8362" width="11.44140625" style="95" hidden="1" customWidth="1"/>
    <col min="8363" max="8363" width="7.5546875" style="95" customWidth="1"/>
    <col min="8364" max="8364" width="11.44140625" style="95" hidden="1" customWidth="1"/>
    <col min="8365" max="8365" width="9.44140625" style="95" customWidth="1"/>
    <col min="8366" max="8366" width="11.44140625" style="95" hidden="1" customWidth="1"/>
    <col min="8367" max="8367" width="9" style="95" customWidth="1"/>
    <col min="8368" max="8369" width="11.44140625" style="95" hidden="1" customWidth="1"/>
    <col min="8370" max="8370" width="8.5546875" style="95" customWidth="1"/>
    <col min="8371" max="8372" width="11.44140625" style="95" hidden="1" customWidth="1"/>
    <col min="8373" max="8373" width="6.44140625" style="95" customWidth="1"/>
    <col min="8374" max="8375" width="11.44140625" style="95" hidden="1" customWidth="1"/>
    <col min="8376" max="8376" width="7" style="95" customWidth="1"/>
    <col min="8377" max="8378" width="11.44140625" style="95" hidden="1" customWidth="1"/>
    <col min="8379" max="8381" width="7" style="95" customWidth="1"/>
    <col min="8382" max="8383" width="11.44140625" style="95" hidden="1" customWidth="1"/>
    <col min="8384" max="8384" width="7.5546875" style="95" customWidth="1"/>
    <col min="8385" max="8386" width="11.44140625" style="95" hidden="1" customWidth="1"/>
    <col min="8387" max="8387" width="7" style="95" customWidth="1"/>
    <col min="8388" max="8389" width="11.44140625" style="95" hidden="1" customWidth="1"/>
    <col min="8390" max="8390" width="7" style="95" customWidth="1"/>
    <col min="8391" max="8392" width="11.44140625" style="95" hidden="1" customWidth="1"/>
    <col min="8393" max="8393" width="7" style="95" customWidth="1"/>
    <col min="8394" max="8394" width="11.44140625" style="95" hidden="1" customWidth="1"/>
    <col min="8395" max="8395" width="6.44140625" style="95" customWidth="1"/>
    <col min="8396" max="8405" width="11.44140625" style="95" hidden="1" customWidth="1"/>
    <col min="8406" max="8440" width="11.44140625" style="95" hidden="1"/>
    <col min="8441" max="8441" width="41.44140625" style="95" customWidth="1"/>
    <col min="8442" max="8442" width="6.44140625" style="95" customWidth="1"/>
    <col min="8443" max="8443" width="14.6640625" style="95" customWidth="1"/>
    <col min="8444" max="8444" width="11.44140625" style="95" customWidth="1"/>
    <col min="8445" max="8445" width="13" style="95" customWidth="1"/>
    <col min="8446" max="8446" width="25.44140625" style="95" customWidth="1"/>
    <col min="8447" max="8456" width="9.44140625" style="95" customWidth="1"/>
    <col min="8457" max="8457" width="8.88671875" style="95" customWidth="1"/>
    <col min="8458" max="8458" width="9.44140625" style="95" customWidth="1"/>
    <col min="8459" max="8464" width="10.109375" style="95" customWidth="1"/>
    <col min="8465" max="8465" width="6.44140625" style="95" customWidth="1"/>
    <col min="8466" max="8466" width="6.88671875" style="95" customWidth="1"/>
    <col min="8467" max="8468" width="6.5546875" style="95" customWidth="1"/>
    <col min="8469" max="8469" width="6.33203125" style="95" customWidth="1"/>
    <col min="8470" max="8470" width="7.5546875" style="95" customWidth="1"/>
    <col min="8471" max="8471" width="14.5546875" style="95" customWidth="1"/>
    <col min="8472" max="8473" width="11.44140625" style="95" customWidth="1"/>
    <col min="8474" max="8474" width="56.88671875" style="95" customWidth="1"/>
    <col min="8475" max="8475" width="9.109375" style="95" bestFit="1" customWidth="1"/>
    <col min="8476" max="8476" width="26.6640625" style="95" customWidth="1"/>
    <col min="8477" max="8477" width="22.88671875" style="95" customWidth="1"/>
    <col min="8478" max="8478" width="14.6640625" style="95" customWidth="1"/>
    <col min="8479" max="8479" width="5" style="95" customWidth="1"/>
    <col min="8480" max="8481" width="11.44140625" style="95" hidden="1" customWidth="1"/>
    <col min="8482" max="8482" width="5" style="95" customWidth="1"/>
    <col min="8483" max="8484" width="11.44140625" style="95" hidden="1" customWidth="1"/>
    <col min="8485" max="8485" width="5" style="95" customWidth="1"/>
    <col min="8486" max="8487" width="11.44140625" style="95" hidden="1" customWidth="1"/>
    <col min="8488" max="8488" width="5" style="95" customWidth="1"/>
    <col min="8489" max="8490" width="11.44140625" style="95" hidden="1" customWidth="1"/>
    <col min="8491" max="8491" width="5" style="95" customWidth="1"/>
    <col min="8492" max="8493" width="11.44140625" style="95" hidden="1" customWidth="1"/>
    <col min="8494" max="8494" width="5" style="95" customWidth="1"/>
    <col min="8495" max="8496" width="11.44140625" style="95" hidden="1" customWidth="1"/>
    <col min="8497" max="8497" width="6.44140625" style="95" customWidth="1"/>
    <col min="8498" max="8505" width="11.44140625" style="95" hidden="1" customWidth="1"/>
    <col min="8506" max="8506" width="6.88671875" style="95" customWidth="1"/>
    <col min="8507" max="8508" width="11.44140625" style="95" hidden="1" customWidth="1"/>
    <col min="8509" max="8509" width="6.44140625" style="95" customWidth="1"/>
    <col min="8510" max="8511" width="11.44140625" style="95" hidden="1" customWidth="1"/>
    <col min="8512" max="8512" width="5.44140625" style="95" customWidth="1"/>
    <col min="8513" max="8514" width="11.44140625" style="95" hidden="1" customWidth="1"/>
    <col min="8515" max="8515" width="4.88671875" style="95" customWidth="1"/>
    <col min="8516" max="8520" width="11.44140625" style="95" hidden="1" customWidth="1"/>
    <col min="8521" max="8521" width="8.44140625" style="95" customWidth="1"/>
    <col min="8522" max="8523" width="11.44140625" style="95" hidden="1" customWidth="1"/>
    <col min="8524" max="8524" width="5.44140625" style="95" customWidth="1"/>
    <col min="8525" max="8526" width="11.44140625" style="95" hidden="1" customWidth="1"/>
    <col min="8527" max="8527" width="8.44140625" style="95" customWidth="1"/>
    <col min="8528" max="8529" width="11.44140625" style="95" hidden="1" customWidth="1"/>
    <col min="8530" max="8530" width="5.88671875" style="95" customWidth="1"/>
    <col min="8531" max="8532" width="11.44140625" style="95" hidden="1" customWidth="1"/>
    <col min="8533" max="8533" width="5.44140625" style="95" customWidth="1"/>
    <col min="8534" max="8535" width="11.44140625" style="95" hidden="1" customWidth="1"/>
    <col min="8536" max="8536" width="5.44140625" style="95" customWidth="1"/>
    <col min="8537" max="8538" width="11.44140625" style="95" hidden="1" customWidth="1"/>
    <col min="8539" max="8539" width="6" style="95" customWidth="1"/>
    <col min="8540" max="8544" width="11.44140625" style="95" hidden="1" customWidth="1"/>
    <col min="8545" max="8545" width="5" style="95" customWidth="1"/>
    <col min="8546" max="8553" width="11.44140625" style="95" hidden="1" customWidth="1"/>
    <col min="8554" max="8554" width="5" style="95" customWidth="1"/>
    <col min="8555" max="8555" width="11.44140625" style="95" hidden="1" customWidth="1"/>
    <col min="8556" max="8556" width="5" style="95" customWidth="1"/>
    <col min="8557" max="8557" width="9.44140625" style="95" customWidth="1"/>
    <col min="8558" max="8558" width="11.44140625" style="95" hidden="1" customWidth="1"/>
    <col min="8559" max="8559" width="5" style="95" customWidth="1"/>
    <col min="8560" max="8561" width="11.44140625" style="95" hidden="1" customWidth="1"/>
    <col min="8562" max="8562" width="5" style="95" customWidth="1"/>
    <col min="8563" max="8564" width="11.44140625" style="95" hidden="1" customWidth="1"/>
    <col min="8565" max="8565" width="5" style="95" customWidth="1"/>
    <col min="8566" max="8567" width="11.44140625" style="95" hidden="1" customWidth="1"/>
    <col min="8568" max="8568" width="5" style="95" customWidth="1"/>
    <col min="8569" max="8570" width="11.44140625" style="95" hidden="1" customWidth="1"/>
    <col min="8571" max="8571" width="5" style="95" customWidth="1"/>
    <col min="8572" max="8573" width="11.44140625" style="95" hidden="1" customWidth="1"/>
    <col min="8574" max="8574" width="5" style="95" customWidth="1"/>
    <col min="8575" max="8575" width="11.44140625" style="95" hidden="1" customWidth="1"/>
    <col min="8576" max="8576" width="6.44140625" style="95" customWidth="1"/>
    <col min="8577" max="8577" width="11.44140625" style="95" hidden="1" customWidth="1"/>
    <col min="8578" max="8578" width="7.109375" style="95" customWidth="1"/>
    <col min="8579" max="8580" width="11.44140625" style="95" hidden="1" customWidth="1"/>
    <col min="8581" max="8581" width="7.109375" style="95" customWidth="1"/>
    <col min="8582" max="8583" width="11.44140625" style="95" hidden="1" customWidth="1"/>
    <col min="8584" max="8584" width="7.109375" style="95" customWidth="1"/>
    <col min="8585" max="8586" width="11.44140625" style="95" hidden="1" customWidth="1"/>
    <col min="8587" max="8587" width="7.109375" style="95" customWidth="1"/>
    <col min="8588" max="8589" width="11.44140625" style="95" hidden="1" customWidth="1"/>
    <col min="8590" max="8590" width="7.109375" style="95" customWidth="1"/>
    <col min="8591" max="8592" width="11.44140625" style="95" hidden="1" customWidth="1"/>
    <col min="8593" max="8593" width="7.109375" style="95" customWidth="1"/>
    <col min="8594" max="8595" width="11.44140625" style="95" hidden="1" customWidth="1"/>
    <col min="8596" max="8596" width="7.109375" style="95" customWidth="1"/>
    <col min="8597" max="8598" width="11.44140625" style="95" hidden="1" customWidth="1"/>
    <col min="8599" max="8599" width="7.109375" style="95" customWidth="1"/>
    <col min="8600" max="8600" width="11.44140625" style="95" hidden="1" customWidth="1"/>
    <col min="8601" max="8601" width="6.44140625" style="95" customWidth="1"/>
    <col min="8602" max="8603" width="11.44140625" style="95" hidden="1" customWidth="1"/>
    <col min="8604" max="8604" width="6.88671875" style="95" customWidth="1"/>
    <col min="8605" max="8606" width="11.44140625" style="95" hidden="1" customWidth="1"/>
    <col min="8607" max="8607" width="6.88671875" style="95" customWidth="1"/>
    <col min="8608" max="8609" width="11.44140625" style="95" hidden="1" customWidth="1"/>
    <col min="8610" max="8610" width="6.44140625" style="95" customWidth="1"/>
    <col min="8611" max="8615" width="11.44140625" style="95" hidden="1" customWidth="1"/>
    <col min="8616" max="8616" width="6.44140625" style="95" customWidth="1"/>
    <col min="8617" max="8618" width="11.44140625" style="95" hidden="1" customWidth="1"/>
    <col min="8619" max="8619" width="7.5546875" style="95" customWidth="1"/>
    <col min="8620" max="8620" width="11.44140625" style="95" hidden="1" customWidth="1"/>
    <col min="8621" max="8621" width="9.44140625" style="95" customWidth="1"/>
    <col min="8622" max="8622" width="11.44140625" style="95" hidden="1" customWidth="1"/>
    <col min="8623" max="8623" width="9" style="95" customWidth="1"/>
    <col min="8624" max="8625" width="11.44140625" style="95" hidden="1" customWidth="1"/>
    <col min="8626" max="8626" width="8.5546875" style="95" customWidth="1"/>
    <col min="8627" max="8628" width="11.44140625" style="95" hidden="1" customWidth="1"/>
    <col min="8629" max="8629" width="6.44140625" style="95" customWidth="1"/>
    <col min="8630" max="8631" width="11.44140625" style="95" hidden="1" customWidth="1"/>
    <col min="8632" max="8632" width="7" style="95" customWidth="1"/>
    <col min="8633" max="8634" width="11.44140625" style="95" hidden="1" customWidth="1"/>
    <col min="8635" max="8637" width="7" style="95" customWidth="1"/>
    <col min="8638" max="8639" width="11.44140625" style="95" hidden="1" customWidth="1"/>
    <col min="8640" max="8640" width="7.5546875" style="95" customWidth="1"/>
    <col min="8641" max="8642" width="11.44140625" style="95" hidden="1" customWidth="1"/>
    <col min="8643" max="8643" width="7" style="95" customWidth="1"/>
    <col min="8644" max="8645" width="11.44140625" style="95" hidden="1" customWidth="1"/>
    <col min="8646" max="8646" width="7" style="95" customWidth="1"/>
    <col min="8647" max="8648" width="11.44140625" style="95" hidden="1" customWidth="1"/>
    <col min="8649" max="8649" width="7" style="95" customWidth="1"/>
    <col min="8650" max="8650" width="11.44140625" style="95" hidden="1" customWidth="1"/>
    <col min="8651" max="8651" width="6.44140625" style="95" customWidth="1"/>
    <col min="8652" max="8661" width="11.44140625" style="95" hidden="1" customWidth="1"/>
    <col min="8662" max="8696" width="11.44140625" style="95" hidden="1"/>
    <col min="8697" max="8697" width="41.44140625" style="95" customWidth="1"/>
    <col min="8698" max="8698" width="6.44140625" style="95" customWidth="1"/>
    <col min="8699" max="8699" width="14.6640625" style="95" customWidth="1"/>
    <col min="8700" max="8700" width="11.44140625" style="95" customWidth="1"/>
    <col min="8701" max="8701" width="13" style="95" customWidth="1"/>
    <col min="8702" max="8702" width="25.44140625" style="95" customWidth="1"/>
    <col min="8703" max="8712" width="9.44140625" style="95" customWidth="1"/>
    <col min="8713" max="8713" width="8.88671875" style="95" customWidth="1"/>
    <col min="8714" max="8714" width="9.44140625" style="95" customWidth="1"/>
    <col min="8715" max="8720" width="10.109375" style="95" customWidth="1"/>
    <col min="8721" max="8721" width="6.44140625" style="95" customWidth="1"/>
    <col min="8722" max="8722" width="6.88671875" style="95" customWidth="1"/>
    <col min="8723" max="8724" width="6.5546875" style="95" customWidth="1"/>
    <col min="8725" max="8725" width="6.33203125" style="95" customWidth="1"/>
    <col min="8726" max="8726" width="7.5546875" style="95" customWidth="1"/>
    <col min="8727" max="8727" width="14.5546875" style="95" customWidth="1"/>
    <col min="8728" max="8729" width="11.44140625" style="95" customWidth="1"/>
    <col min="8730" max="8730" width="56.88671875" style="95" customWidth="1"/>
    <col min="8731" max="8731" width="9.109375" style="95" bestFit="1" customWidth="1"/>
    <col min="8732" max="8732" width="26.6640625" style="95" customWidth="1"/>
    <col min="8733" max="8733" width="22.88671875" style="95" customWidth="1"/>
    <col min="8734" max="8734" width="14.6640625" style="95" customWidth="1"/>
    <col min="8735" max="8735" width="5" style="95" customWidth="1"/>
    <col min="8736" max="8737" width="11.44140625" style="95" hidden="1" customWidth="1"/>
    <col min="8738" max="8738" width="5" style="95" customWidth="1"/>
    <col min="8739" max="8740" width="11.44140625" style="95" hidden="1" customWidth="1"/>
    <col min="8741" max="8741" width="5" style="95" customWidth="1"/>
    <col min="8742" max="8743" width="11.44140625" style="95" hidden="1" customWidth="1"/>
    <col min="8744" max="8744" width="5" style="95" customWidth="1"/>
    <col min="8745" max="8746" width="11.44140625" style="95" hidden="1" customWidth="1"/>
    <col min="8747" max="8747" width="5" style="95" customWidth="1"/>
    <col min="8748" max="8749" width="11.44140625" style="95" hidden="1" customWidth="1"/>
    <col min="8750" max="8750" width="5" style="95" customWidth="1"/>
    <col min="8751" max="8752" width="11.44140625" style="95" hidden="1" customWidth="1"/>
    <col min="8753" max="8753" width="6.44140625" style="95" customWidth="1"/>
    <col min="8754" max="8761" width="11.44140625" style="95" hidden="1" customWidth="1"/>
    <col min="8762" max="8762" width="6.88671875" style="95" customWidth="1"/>
    <col min="8763" max="8764" width="11.44140625" style="95" hidden="1" customWidth="1"/>
    <col min="8765" max="8765" width="6.44140625" style="95" customWidth="1"/>
    <col min="8766" max="8767" width="11.44140625" style="95" hidden="1" customWidth="1"/>
    <col min="8768" max="8768" width="5.44140625" style="95" customWidth="1"/>
    <col min="8769" max="8770" width="11.44140625" style="95" hidden="1" customWidth="1"/>
    <col min="8771" max="8771" width="4.88671875" style="95" customWidth="1"/>
    <col min="8772" max="8776" width="11.44140625" style="95" hidden="1" customWidth="1"/>
    <col min="8777" max="8777" width="8.44140625" style="95" customWidth="1"/>
    <col min="8778" max="8779" width="11.44140625" style="95" hidden="1" customWidth="1"/>
    <col min="8780" max="8780" width="5.44140625" style="95" customWidth="1"/>
    <col min="8781" max="8782" width="11.44140625" style="95" hidden="1" customWidth="1"/>
    <col min="8783" max="8783" width="8.44140625" style="95" customWidth="1"/>
    <col min="8784" max="8785" width="11.44140625" style="95" hidden="1" customWidth="1"/>
    <col min="8786" max="8786" width="5.88671875" style="95" customWidth="1"/>
    <col min="8787" max="8788" width="11.44140625" style="95" hidden="1" customWidth="1"/>
    <col min="8789" max="8789" width="5.44140625" style="95" customWidth="1"/>
    <col min="8790" max="8791" width="11.44140625" style="95" hidden="1" customWidth="1"/>
    <col min="8792" max="8792" width="5.44140625" style="95" customWidth="1"/>
    <col min="8793" max="8794" width="11.44140625" style="95" hidden="1" customWidth="1"/>
    <col min="8795" max="8795" width="6" style="95" customWidth="1"/>
    <col min="8796" max="8800" width="11.44140625" style="95" hidden="1" customWidth="1"/>
    <col min="8801" max="8801" width="5" style="95" customWidth="1"/>
    <col min="8802" max="8809" width="11.44140625" style="95" hidden="1" customWidth="1"/>
    <col min="8810" max="8810" width="5" style="95" customWidth="1"/>
    <col min="8811" max="8811" width="11.44140625" style="95" hidden="1" customWidth="1"/>
    <col min="8812" max="8812" width="5" style="95" customWidth="1"/>
    <col min="8813" max="8813" width="9.44140625" style="95" customWidth="1"/>
    <col min="8814" max="8814" width="11.44140625" style="95" hidden="1" customWidth="1"/>
    <col min="8815" max="8815" width="5" style="95" customWidth="1"/>
    <col min="8816" max="8817" width="11.44140625" style="95" hidden="1" customWidth="1"/>
    <col min="8818" max="8818" width="5" style="95" customWidth="1"/>
    <col min="8819" max="8820" width="11.44140625" style="95" hidden="1" customWidth="1"/>
    <col min="8821" max="8821" width="5" style="95" customWidth="1"/>
    <col min="8822" max="8823" width="11.44140625" style="95" hidden="1" customWidth="1"/>
    <col min="8824" max="8824" width="5" style="95" customWidth="1"/>
    <col min="8825" max="8826" width="11.44140625" style="95" hidden="1" customWidth="1"/>
    <col min="8827" max="8827" width="5" style="95" customWidth="1"/>
    <col min="8828" max="8829" width="11.44140625" style="95" hidden="1" customWidth="1"/>
    <col min="8830" max="8830" width="5" style="95" customWidth="1"/>
    <col min="8831" max="8831" width="11.44140625" style="95" hidden="1" customWidth="1"/>
    <col min="8832" max="8832" width="6.44140625" style="95" customWidth="1"/>
    <col min="8833" max="8833" width="11.44140625" style="95" hidden="1" customWidth="1"/>
    <col min="8834" max="8834" width="7.109375" style="95" customWidth="1"/>
    <col min="8835" max="8836" width="11.44140625" style="95" hidden="1" customWidth="1"/>
    <col min="8837" max="8837" width="7.109375" style="95" customWidth="1"/>
    <col min="8838" max="8839" width="11.44140625" style="95" hidden="1" customWidth="1"/>
    <col min="8840" max="8840" width="7.109375" style="95" customWidth="1"/>
    <col min="8841" max="8842" width="11.44140625" style="95" hidden="1" customWidth="1"/>
    <col min="8843" max="8843" width="7.109375" style="95" customWidth="1"/>
    <col min="8844" max="8845" width="11.44140625" style="95" hidden="1" customWidth="1"/>
    <col min="8846" max="8846" width="7.109375" style="95" customWidth="1"/>
    <col min="8847" max="8848" width="11.44140625" style="95" hidden="1" customWidth="1"/>
    <col min="8849" max="8849" width="7.109375" style="95" customWidth="1"/>
    <col min="8850" max="8851" width="11.44140625" style="95" hidden="1" customWidth="1"/>
    <col min="8852" max="8852" width="7.109375" style="95" customWidth="1"/>
    <col min="8853" max="8854" width="11.44140625" style="95" hidden="1" customWidth="1"/>
    <col min="8855" max="8855" width="7.109375" style="95" customWidth="1"/>
    <col min="8856" max="8856" width="11.44140625" style="95" hidden="1" customWidth="1"/>
    <col min="8857" max="8857" width="6.44140625" style="95" customWidth="1"/>
    <col min="8858" max="8859" width="11.44140625" style="95" hidden="1" customWidth="1"/>
    <col min="8860" max="8860" width="6.88671875" style="95" customWidth="1"/>
    <col min="8861" max="8862" width="11.44140625" style="95" hidden="1" customWidth="1"/>
    <col min="8863" max="8863" width="6.88671875" style="95" customWidth="1"/>
    <col min="8864" max="8865" width="11.44140625" style="95" hidden="1" customWidth="1"/>
    <col min="8866" max="8866" width="6.44140625" style="95" customWidth="1"/>
    <col min="8867" max="8871" width="11.44140625" style="95" hidden="1" customWidth="1"/>
    <col min="8872" max="8872" width="6.44140625" style="95" customWidth="1"/>
    <col min="8873" max="8874" width="11.44140625" style="95" hidden="1" customWidth="1"/>
    <col min="8875" max="8875" width="7.5546875" style="95" customWidth="1"/>
    <col min="8876" max="8876" width="11.44140625" style="95" hidden="1" customWidth="1"/>
    <col min="8877" max="8877" width="9.44140625" style="95" customWidth="1"/>
    <col min="8878" max="8878" width="11.44140625" style="95" hidden="1" customWidth="1"/>
    <col min="8879" max="8879" width="9" style="95" customWidth="1"/>
    <col min="8880" max="8881" width="11.44140625" style="95" hidden="1" customWidth="1"/>
    <col min="8882" max="8882" width="8.5546875" style="95" customWidth="1"/>
    <col min="8883" max="8884" width="11.44140625" style="95" hidden="1" customWidth="1"/>
    <col min="8885" max="8885" width="6.44140625" style="95" customWidth="1"/>
    <col min="8886" max="8887" width="11.44140625" style="95" hidden="1" customWidth="1"/>
    <col min="8888" max="8888" width="7" style="95" customWidth="1"/>
    <col min="8889" max="8890" width="11.44140625" style="95" hidden="1" customWidth="1"/>
    <col min="8891" max="8893" width="7" style="95" customWidth="1"/>
    <col min="8894" max="8895" width="11.44140625" style="95" hidden="1" customWidth="1"/>
    <col min="8896" max="8896" width="7.5546875" style="95" customWidth="1"/>
    <col min="8897" max="8898" width="11.44140625" style="95" hidden="1" customWidth="1"/>
    <col min="8899" max="8899" width="7" style="95" customWidth="1"/>
    <col min="8900" max="8901" width="11.44140625" style="95" hidden="1" customWidth="1"/>
    <col min="8902" max="8902" width="7" style="95" customWidth="1"/>
    <col min="8903" max="8904" width="11.44140625" style="95" hidden="1" customWidth="1"/>
    <col min="8905" max="8905" width="7" style="95" customWidth="1"/>
    <col min="8906" max="8906" width="11.44140625" style="95" hidden="1" customWidth="1"/>
    <col min="8907" max="8907" width="6.44140625" style="95" customWidth="1"/>
    <col min="8908" max="8917" width="11.44140625" style="95" hidden="1" customWidth="1"/>
    <col min="8918" max="8952" width="11.44140625" style="95" hidden="1"/>
    <col min="8953" max="8953" width="41.44140625" style="95" customWidth="1"/>
    <col min="8954" max="8954" width="6.44140625" style="95" customWidth="1"/>
    <col min="8955" max="8955" width="14.6640625" style="95" customWidth="1"/>
    <col min="8956" max="8956" width="11.44140625" style="95" customWidth="1"/>
    <col min="8957" max="8957" width="13" style="95" customWidth="1"/>
    <col min="8958" max="8958" width="25.44140625" style="95" customWidth="1"/>
    <col min="8959" max="8968" width="9.44140625" style="95" customWidth="1"/>
    <col min="8969" max="8969" width="8.88671875" style="95" customWidth="1"/>
    <col min="8970" max="8970" width="9.44140625" style="95" customWidth="1"/>
    <col min="8971" max="8976" width="10.109375" style="95" customWidth="1"/>
    <col min="8977" max="8977" width="6.44140625" style="95" customWidth="1"/>
    <col min="8978" max="8978" width="6.88671875" style="95" customWidth="1"/>
    <col min="8979" max="8980" width="6.5546875" style="95" customWidth="1"/>
    <col min="8981" max="8981" width="6.33203125" style="95" customWidth="1"/>
    <col min="8982" max="8982" width="7.5546875" style="95" customWidth="1"/>
    <col min="8983" max="8983" width="14.5546875" style="95" customWidth="1"/>
    <col min="8984" max="8985" width="11.44140625" style="95" customWidth="1"/>
    <col min="8986" max="8986" width="56.88671875" style="95" customWidth="1"/>
    <col min="8987" max="8987" width="9.109375" style="95" bestFit="1" customWidth="1"/>
    <col min="8988" max="8988" width="26.6640625" style="95" customWidth="1"/>
    <col min="8989" max="8989" width="22.88671875" style="95" customWidth="1"/>
    <col min="8990" max="8990" width="14.6640625" style="95" customWidth="1"/>
    <col min="8991" max="8991" width="5" style="95" customWidth="1"/>
    <col min="8992" max="8993" width="11.44140625" style="95" hidden="1" customWidth="1"/>
    <col min="8994" max="8994" width="5" style="95" customWidth="1"/>
    <col min="8995" max="8996" width="11.44140625" style="95" hidden="1" customWidth="1"/>
    <col min="8997" max="8997" width="5" style="95" customWidth="1"/>
    <col min="8998" max="8999" width="11.44140625" style="95" hidden="1" customWidth="1"/>
    <col min="9000" max="9000" width="5" style="95" customWidth="1"/>
    <col min="9001" max="9002" width="11.44140625" style="95" hidden="1" customWidth="1"/>
    <col min="9003" max="9003" width="5" style="95" customWidth="1"/>
    <col min="9004" max="9005" width="11.44140625" style="95" hidden="1" customWidth="1"/>
    <col min="9006" max="9006" width="5" style="95" customWidth="1"/>
    <col min="9007" max="9008" width="11.44140625" style="95" hidden="1" customWidth="1"/>
    <col min="9009" max="9009" width="6.44140625" style="95" customWidth="1"/>
    <col min="9010" max="9017" width="11.44140625" style="95" hidden="1" customWidth="1"/>
    <col min="9018" max="9018" width="6.88671875" style="95" customWidth="1"/>
    <col min="9019" max="9020" width="11.44140625" style="95" hidden="1" customWidth="1"/>
    <col min="9021" max="9021" width="6.44140625" style="95" customWidth="1"/>
    <col min="9022" max="9023" width="11.44140625" style="95" hidden="1" customWidth="1"/>
    <col min="9024" max="9024" width="5.44140625" style="95" customWidth="1"/>
    <col min="9025" max="9026" width="11.44140625" style="95" hidden="1" customWidth="1"/>
    <col min="9027" max="9027" width="4.88671875" style="95" customWidth="1"/>
    <col min="9028" max="9032" width="11.44140625" style="95" hidden="1" customWidth="1"/>
    <col min="9033" max="9033" width="8.44140625" style="95" customWidth="1"/>
    <col min="9034" max="9035" width="11.44140625" style="95" hidden="1" customWidth="1"/>
    <col min="9036" max="9036" width="5.44140625" style="95" customWidth="1"/>
    <col min="9037" max="9038" width="11.44140625" style="95" hidden="1" customWidth="1"/>
    <col min="9039" max="9039" width="8.44140625" style="95" customWidth="1"/>
    <col min="9040" max="9041" width="11.44140625" style="95" hidden="1" customWidth="1"/>
    <col min="9042" max="9042" width="5.88671875" style="95" customWidth="1"/>
    <col min="9043" max="9044" width="11.44140625" style="95" hidden="1" customWidth="1"/>
    <col min="9045" max="9045" width="5.44140625" style="95" customWidth="1"/>
    <col min="9046" max="9047" width="11.44140625" style="95" hidden="1" customWidth="1"/>
    <col min="9048" max="9048" width="5.44140625" style="95" customWidth="1"/>
    <col min="9049" max="9050" width="11.44140625" style="95" hidden="1" customWidth="1"/>
    <col min="9051" max="9051" width="6" style="95" customWidth="1"/>
    <col min="9052" max="9056" width="11.44140625" style="95" hidden="1" customWidth="1"/>
    <col min="9057" max="9057" width="5" style="95" customWidth="1"/>
    <col min="9058" max="9065" width="11.44140625" style="95" hidden="1" customWidth="1"/>
    <col min="9066" max="9066" width="5" style="95" customWidth="1"/>
    <col min="9067" max="9067" width="11.44140625" style="95" hidden="1" customWidth="1"/>
    <col min="9068" max="9068" width="5" style="95" customWidth="1"/>
    <col min="9069" max="9069" width="9.44140625" style="95" customWidth="1"/>
    <col min="9070" max="9070" width="11.44140625" style="95" hidden="1" customWidth="1"/>
    <col min="9071" max="9071" width="5" style="95" customWidth="1"/>
    <col min="9072" max="9073" width="11.44140625" style="95" hidden="1" customWidth="1"/>
    <col min="9074" max="9074" width="5" style="95" customWidth="1"/>
    <col min="9075" max="9076" width="11.44140625" style="95" hidden="1" customWidth="1"/>
    <col min="9077" max="9077" width="5" style="95" customWidth="1"/>
    <col min="9078" max="9079" width="11.44140625" style="95" hidden="1" customWidth="1"/>
    <col min="9080" max="9080" width="5" style="95" customWidth="1"/>
    <col min="9081" max="9082" width="11.44140625" style="95" hidden="1" customWidth="1"/>
    <col min="9083" max="9083" width="5" style="95" customWidth="1"/>
    <col min="9084" max="9085" width="11.44140625" style="95" hidden="1" customWidth="1"/>
    <col min="9086" max="9086" width="5" style="95" customWidth="1"/>
    <col min="9087" max="9087" width="11.44140625" style="95" hidden="1" customWidth="1"/>
    <col min="9088" max="9088" width="6.44140625" style="95" customWidth="1"/>
    <col min="9089" max="9089" width="11.44140625" style="95" hidden="1" customWidth="1"/>
    <col min="9090" max="9090" width="7.109375" style="95" customWidth="1"/>
    <col min="9091" max="9092" width="11.44140625" style="95" hidden="1" customWidth="1"/>
    <col min="9093" max="9093" width="7.109375" style="95" customWidth="1"/>
    <col min="9094" max="9095" width="11.44140625" style="95" hidden="1" customWidth="1"/>
    <col min="9096" max="9096" width="7.109375" style="95" customWidth="1"/>
    <col min="9097" max="9098" width="11.44140625" style="95" hidden="1" customWidth="1"/>
    <col min="9099" max="9099" width="7.109375" style="95" customWidth="1"/>
    <col min="9100" max="9101" width="11.44140625" style="95" hidden="1" customWidth="1"/>
    <col min="9102" max="9102" width="7.109375" style="95" customWidth="1"/>
    <col min="9103" max="9104" width="11.44140625" style="95" hidden="1" customWidth="1"/>
    <col min="9105" max="9105" width="7.109375" style="95" customWidth="1"/>
    <col min="9106" max="9107" width="11.44140625" style="95" hidden="1" customWidth="1"/>
    <col min="9108" max="9108" width="7.109375" style="95" customWidth="1"/>
    <col min="9109" max="9110" width="11.44140625" style="95" hidden="1" customWidth="1"/>
    <col min="9111" max="9111" width="7.109375" style="95" customWidth="1"/>
    <col min="9112" max="9112" width="11.44140625" style="95" hidden="1" customWidth="1"/>
    <col min="9113" max="9113" width="6.44140625" style="95" customWidth="1"/>
    <col min="9114" max="9115" width="11.44140625" style="95" hidden="1" customWidth="1"/>
    <col min="9116" max="9116" width="6.88671875" style="95" customWidth="1"/>
    <col min="9117" max="9118" width="11.44140625" style="95" hidden="1" customWidth="1"/>
    <col min="9119" max="9119" width="6.88671875" style="95" customWidth="1"/>
    <col min="9120" max="9121" width="11.44140625" style="95" hidden="1" customWidth="1"/>
    <col min="9122" max="9122" width="6.44140625" style="95" customWidth="1"/>
    <col min="9123" max="9127" width="11.44140625" style="95" hidden="1" customWidth="1"/>
    <col min="9128" max="9128" width="6.44140625" style="95" customWidth="1"/>
    <col min="9129" max="9130" width="11.44140625" style="95" hidden="1" customWidth="1"/>
    <col min="9131" max="9131" width="7.5546875" style="95" customWidth="1"/>
    <col min="9132" max="9132" width="11.44140625" style="95" hidden="1" customWidth="1"/>
    <col min="9133" max="9133" width="9.44140625" style="95" customWidth="1"/>
    <col min="9134" max="9134" width="11.44140625" style="95" hidden="1" customWidth="1"/>
    <col min="9135" max="9135" width="9" style="95" customWidth="1"/>
    <col min="9136" max="9137" width="11.44140625" style="95" hidden="1" customWidth="1"/>
    <col min="9138" max="9138" width="8.5546875" style="95" customWidth="1"/>
    <col min="9139" max="9140" width="11.44140625" style="95" hidden="1" customWidth="1"/>
    <col min="9141" max="9141" width="6.44140625" style="95" customWidth="1"/>
    <col min="9142" max="9143" width="11.44140625" style="95" hidden="1" customWidth="1"/>
    <col min="9144" max="9144" width="7" style="95" customWidth="1"/>
    <col min="9145" max="9146" width="11.44140625" style="95" hidden="1" customWidth="1"/>
    <col min="9147" max="9149" width="7" style="95" customWidth="1"/>
    <col min="9150" max="9151" width="11.44140625" style="95" hidden="1" customWidth="1"/>
    <col min="9152" max="9152" width="7.5546875" style="95" customWidth="1"/>
    <col min="9153" max="9154" width="11.44140625" style="95" hidden="1" customWidth="1"/>
    <col min="9155" max="9155" width="7" style="95" customWidth="1"/>
    <col min="9156" max="9157" width="11.44140625" style="95" hidden="1" customWidth="1"/>
    <col min="9158" max="9158" width="7" style="95" customWidth="1"/>
    <col min="9159" max="9160" width="11.44140625" style="95" hidden="1" customWidth="1"/>
    <col min="9161" max="9161" width="7" style="95" customWidth="1"/>
    <col min="9162" max="9162" width="11.44140625" style="95" hidden="1" customWidth="1"/>
    <col min="9163" max="9163" width="6.44140625" style="95" customWidth="1"/>
    <col min="9164" max="9173" width="11.44140625" style="95" hidden="1" customWidth="1"/>
    <col min="9174" max="9208" width="11.44140625" style="95" hidden="1"/>
    <col min="9209" max="9209" width="41.44140625" style="95" customWidth="1"/>
    <col min="9210" max="9210" width="6.44140625" style="95" customWidth="1"/>
    <col min="9211" max="9211" width="14.6640625" style="95" customWidth="1"/>
    <col min="9212" max="9212" width="11.44140625" style="95" customWidth="1"/>
    <col min="9213" max="9213" width="13" style="95" customWidth="1"/>
    <col min="9214" max="9214" width="25.44140625" style="95" customWidth="1"/>
    <col min="9215" max="9224" width="9.44140625" style="95" customWidth="1"/>
    <col min="9225" max="9225" width="8.88671875" style="95" customWidth="1"/>
    <col min="9226" max="9226" width="9.44140625" style="95" customWidth="1"/>
    <col min="9227" max="9232" width="10.109375" style="95" customWidth="1"/>
    <col min="9233" max="9233" width="6.44140625" style="95" customWidth="1"/>
    <col min="9234" max="9234" width="6.88671875" style="95" customWidth="1"/>
    <col min="9235" max="9236" width="6.5546875" style="95" customWidth="1"/>
    <col min="9237" max="9237" width="6.33203125" style="95" customWidth="1"/>
    <col min="9238" max="9238" width="7.5546875" style="95" customWidth="1"/>
    <col min="9239" max="9239" width="14.5546875" style="95" customWidth="1"/>
    <col min="9240" max="9241" width="11.44140625" style="95" customWidth="1"/>
    <col min="9242" max="9242" width="56.88671875" style="95" customWidth="1"/>
    <col min="9243" max="9243" width="9.109375" style="95" bestFit="1" customWidth="1"/>
    <col min="9244" max="9244" width="26.6640625" style="95" customWidth="1"/>
    <col min="9245" max="9245" width="22.88671875" style="95" customWidth="1"/>
    <col min="9246" max="9246" width="14.6640625" style="95" customWidth="1"/>
    <col min="9247" max="9247" width="5" style="95" customWidth="1"/>
    <col min="9248" max="9249" width="11.44140625" style="95" hidden="1" customWidth="1"/>
    <col min="9250" max="9250" width="5" style="95" customWidth="1"/>
    <col min="9251" max="9252" width="11.44140625" style="95" hidden="1" customWidth="1"/>
    <col min="9253" max="9253" width="5" style="95" customWidth="1"/>
    <col min="9254" max="9255" width="11.44140625" style="95" hidden="1" customWidth="1"/>
    <col min="9256" max="9256" width="5" style="95" customWidth="1"/>
    <col min="9257" max="9258" width="11.44140625" style="95" hidden="1" customWidth="1"/>
    <col min="9259" max="9259" width="5" style="95" customWidth="1"/>
    <col min="9260" max="9261" width="11.44140625" style="95" hidden="1" customWidth="1"/>
    <col min="9262" max="9262" width="5" style="95" customWidth="1"/>
    <col min="9263" max="9264" width="11.44140625" style="95" hidden="1" customWidth="1"/>
    <col min="9265" max="9265" width="6.44140625" style="95" customWidth="1"/>
    <col min="9266" max="9273" width="11.44140625" style="95" hidden="1" customWidth="1"/>
    <col min="9274" max="9274" width="6.88671875" style="95" customWidth="1"/>
    <col min="9275" max="9276" width="11.44140625" style="95" hidden="1" customWidth="1"/>
    <col min="9277" max="9277" width="6.44140625" style="95" customWidth="1"/>
    <col min="9278" max="9279" width="11.44140625" style="95" hidden="1" customWidth="1"/>
    <col min="9280" max="9280" width="5.44140625" style="95" customWidth="1"/>
    <col min="9281" max="9282" width="11.44140625" style="95" hidden="1" customWidth="1"/>
    <col min="9283" max="9283" width="4.88671875" style="95" customWidth="1"/>
    <col min="9284" max="9288" width="11.44140625" style="95" hidden="1" customWidth="1"/>
    <col min="9289" max="9289" width="8.44140625" style="95" customWidth="1"/>
    <col min="9290" max="9291" width="11.44140625" style="95" hidden="1" customWidth="1"/>
    <col min="9292" max="9292" width="5.44140625" style="95" customWidth="1"/>
    <col min="9293" max="9294" width="11.44140625" style="95" hidden="1" customWidth="1"/>
    <col min="9295" max="9295" width="8.44140625" style="95" customWidth="1"/>
    <col min="9296" max="9297" width="11.44140625" style="95" hidden="1" customWidth="1"/>
    <col min="9298" max="9298" width="5.88671875" style="95" customWidth="1"/>
    <col min="9299" max="9300" width="11.44140625" style="95" hidden="1" customWidth="1"/>
    <col min="9301" max="9301" width="5.44140625" style="95" customWidth="1"/>
    <col min="9302" max="9303" width="11.44140625" style="95" hidden="1" customWidth="1"/>
    <col min="9304" max="9304" width="5.44140625" style="95" customWidth="1"/>
    <col min="9305" max="9306" width="11.44140625" style="95" hidden="1" customWidth="1"/>
    <col min="9307" max="9307" width="6" style="95" customWidth="1"/>
    <col min="9308" max="9312" width="11.44140625" style="95" hidden="1" customWidth="1"/>
    <col min="9313" max="9313" width="5" style="95" customWidth="1"/>
    <col min="9314" max="9321" width="11.44140625" style="95" hidden="1" customWidth="1"/>
    <col min="9322" max="9322" width="5" style="95" customWidth="1"/>
    <col min="9323" max="9323" width="11.44140625" style="95" hidden="1" customWidth="1"/>
    <col min="9324" max="9324" width="5" style="95" customWidth="1"/>
    <col min="9325" max="9325" width="9.44140625" style="95" customWidth="1"/>
    <col min="9326" max="9326" width="11.44140625" style="95" hidden="1" customWidth="1"/>
    <col min="9327" max="9327" width="5" style="95" customWidth="1"/>
    <col min="9328" max="9329" width="11.44140625" style="95" hidden="1" customWidth="1"/>
    <col min="9330" max="9330" width="5" style="95" customWidth="1"/>
    <col min="9331" max="9332" width="11.44140625" style="95" hidden="1" customWidth="1"/>
    <col min="9333" max="9333" width="5" style="95" customWidth="1"/>
    <col min="9334" max="9335" width="11.44140625" style="95" hidden="1" customWidth="1"/>
    <col min="9336" max="9336" width="5" style="95" customWidth="1"/>
    <col min="9337" max="9338" width="11.44140625" style="95" hidden="1" customWidth="1"/>
    <col min="9339" max="9339" width="5" style="95" customWidth="1"/>
    <col min="9340" max="9341" width="11.44140625" style="95" hidden="1" customWidth="1"/>
    <col min="9342" max="9342" width="5" style="95" customWidth="1"/>
    <col min="9343" max="9343" width="11.44140625" style="95" hidden="1" customWidth="1"/>
    <col min="9344" max="9344" width="6.44140625" style="95" customWidth="1"/>
    <col min="9345" max="9345" width="11.44140625" style="95" hidden="1" customWidth="1"/>
    <col min="9346" max="9346" width="7.109375" style="95" customWidth="1"/>
    <col min="9347" max="9348" width="11.44140625" style="95" hidden="1" customWidth="1"/>
    <col min="9349" max="9349" width="7.109375" style="95" customWidth="1"/>
    <col min="9350" max="9351" width="11.44140625" style="95" hidden="1" customWidth="1"/>
    <col min="9352" max="9352" width="7.109375" style="95" customWidth="1"/>
    <col min="9353" max="9354" width="11.44140625" style="95" hidden="1" customWidth="1"/>
    <col min="9355" max="9355" width="7.109375" style="95" customWidth="1"/>
    <col min="9356" max="9357" width="11.44140625" style="95" hidden="1" customWidth="1"/>
    <col min="9358" max="9358" width="7.109375" style="95" customWidth="1"/>
    <col min="9359" max="9360" width="11.44140625" style="95" hidden="1" customWidth="1"/>
    <col min="9361" max="9361" width="7.109375" style="95" customWidth="1"/>
    <col min="9362" max="9363" width="11.44140625" style="95" hidden="1" customWidth="1"/>
    <col min="9364" max="9364" width="7.109375" style="95" customWidth="1"/>
    <col min="9365" max="9366" width="11.44140625" style="95" hidden="1" customWidth="1"/>
    <col min="9367" max="9367" width="7.109375" style="95" customWidth="1"/>
    <col min="9368" max="9368" width="11.44140625" style="95" hidden="1" customWidth="1"/>
    <col min="9369" max="9369" width="6.44140625" style="95" customWidth="1"/>
    <col min="9370" max="9371" width="11.44140625" style="95" hidden="1" customWidth="1"/>
    <col min="9372" max="9372" width="6.88671875" style="95" customWidth="1"/>
    <col min="9373" max="9374" width="11.44140625" style="95" hidden="1" customWidth="1"/>
    <col min="9375" max="9375" width="6.88671875" style="95" customWidth="1"/>
    <col min="9376" max="9377" width="11.44140625" style="95" hidden="1" customWidth="1"/>
    <col min="9378" max="9378" width="6.44140625" style="95" customWidth="1"/>
    <col min="9379" max="9383" width="11.44140625" style="95" hidden="1" customWidth="1"/>
    <col min="9384" max="9384" width="6.44140625" style="95" customWidth="1"/>
    <col min="9385" max="9386" width="11.44140625" style="95" hidden="1" customWidth="1"/>
    <col min="9387" max="9387" width="7.5546875" style="95" customWidth="1"/>
    <col min="9388" max="9388" width="11.44140625" style="95" hidden="1" customWidth="1"/>
    <col min="9389" max="9389" width="9.44140625" style="95" customWidth="1"/>
    <col min="9390" max="9390" width="11.44140625" style="95" hidden="1" customWidth="1"/>
    <col min="9391" max="9391" width="9" style="95" customWidth="1"/>
    <col min="9392" max="9393" width="11.44140625" style="95" hidden="1" customWidth="1"/>
    <col min="9394" max="9394" width="8.5546875" style="95" customWidth="1"/>
    <col min="9395" max="9396" width="11.44140625" style="95" hidden="1" customWidth="1"/>
    <col min="9397" max="9397" width="6.44140625" style="95" customWidth="1"/>
    <col min="9398" max="9399" width="11.44140625" style="95" hidden="1" customWidth="1"/>
    <col min="9400" max="9400" width="7" style="95" customWidth="1"/>
    <col min="9401" max="9402" width="11.44140625" style="95" hidden="1" customWidth="1"/>
    <col min="9403" max="9405" width="7" style="95" customWidth="1"/>
    <col min="9406" max="9407" width="11.44140625" style="95" hidden="1" customWidth="1"/>
    <col min="9408" max="9408" width="7.5546875" style="95" customWidth="1"/>
    <col min="9409" max="9410" width="11.44140625" style="95" hidden="1" customWidth="1"/>
    <col min="9411" max="9411" width="7" style="95" customWidth="1"/>
    <col min="9412" max="9413" width="11.44140625" style="95" hidden="1" customWidth="1"/>
    <col min="9414" max="9414" width="7" style="95" customWidth="1"/>
    <col min="9415" max="9416" width="11.44140625" style="95" hidden="1" customWidth="1"/>
    <col min="9417" max="9417" width="7" style="95" customWidth="1"/>
    <col min="9418" max="9418" width="11.44140625" style="95" hidden="1" customWidth="1"/>
    <col min="9419" max="9419" width="6.44140625" style="95" customWidth="1"/>
    <col min="9420" max="9429" width="11.44140625" style="95" hidden="1" customWidth="1"/>
    <col min="9430" max="9464" width="11.44140625" style="95" hidden="1"/>
    <col min="9465" max="9465" width="41.44140625" style="95" customWidth="1"/>
    <col min="9466" max="9466" width="6.44140625" style="95" customWidth="1"/>
    <col min="9467" max="9467" width="14.6640625" style="95" customWidth="1"/>
    <col min="9468" max="9468" width="11.44140625" style="95" customWidth="1"/>
    <col min="9469" max="9469" width="13" style="95" customWidth="1"/>
    <col min="9470" max="9470" width="25.44140625" style="95" customWidth="1"/>
    <col min="9471" max="9480" width="9.44140625" style="95" customWidth="1"/>
    <col min="9481" max="9481" width="8.88671875" style="95" customWidth="1"/>
    <col min="9482" max="9482" width="9.44140625" style="95" customWidth="1"/>
    <col min="9483" max="9488" width="10.109375" style="95" customWidth="1"/>
    <col min="9489" max="9489" width="6.44140625" style="95" customWidth="1"/>
    <col min="9490" max="9490" width="6.88671875" style="95" customWidth="1"/>
    <col min="9491" max="9492" width="6.5546875" style="95" customWidth="1"/>
    <col min="9493" max="9493" width="6.33203125" style="95" customWidth="1"/>
    <col min="9494" max="9494" width="7.5546875" style="95" customWidth="1"/>
    <col min="9495" max="9495" width="14.5546875" style="95" customWidth="1"/>
    <col min="9496" max="9497" width="11.44140625" style="95" customWidth="1"/>
    <col min="9498" max="9498" width="56.88671875" style="95" customWidth="1"/>
    <col min="9499" max="9499" width="9.109375" style="95" bestFit="1" customWidth="1"/>
    <col min="9500" max="9500" width="26.6640625" style="95" customWidth="1"/>
    <col min="9501" max="9501" width="22.88671875" style="95" customWidth="1"/>
    <col min="9502" max="9502" width="14.6640625" style="95" customWidth="1"/>
    <col min="9503" max="9503" width="5" style="95" customWidth="1"/>
    <col min="9504" max="9505" width="11.44140625" style="95" hidden="1" customWidth="1"/>
    <col min="9506" max="9506" width="5" style="95" customWidth="1"/>
    <col min="9507" max="9508" width="11.44140625" style="95" hidden="1" customWidth="1"/>
    <col min="9509" max="9509" width="5" style="95" customWidth="1"/>
    <col min="9510" max="9511" width="11.44140625" style="95" hidden="1" customWidth="1"/>
    <col min="9512" max="9512" width="5" style="95" customWidth="1"/>
    <col min="9513" max="9514" width="11.44140625" style="95" hidden="1" customWidth="1"/>
    <col min="9515" max="9515" width="5" style="95" customWidth="1"/>
    <col min="9516" max="9517" width="11.44140625" style="95" hidden="1" customWidth="1"/>
    <col min="9518" max="9518" width="5" style="95" customWidth="1"/>
    <col min="9519" max="9520" width="11.44140625" style="95" hidden="1" customWidth="1"/>
    <col min="9521" max="9521" width="6.44140625" style="95" customWidth="1"/>
    <col min="9522" max="9529" width="11.44140625" style="95" hidden="1" customWidth="1"/>
    <col min="9530" max="9530" width="6.88671875" style="95" customWidth="1"/>
    <col min="9531" max="9532" width="11.44140625" style="95" hidden="1" customWidth="1"/>
    <col min="9533" max="9533" width="6.44140625" style="95" customWidth="1"/>
    <col min="9534" max="9535" width="11.44140625" style="95" hidden="1" customWidth="1"/>
    <col min="9536" max="9536" width="5.44140625" style="95" customWidth="1"/>
    <col min="9537" max="9538" width="11.44140625" style="95" hidden="1" customWidth="1"/>
    <col min="9539" max="9539" width="4.88671875" style="95" customWidth="1"/>
    <col min="9540" max="9544" width="11.44140625" style="95" hidden="1" customWidth="1"/>
    <col min="9545" max="9545" width="8.44140625" style="95" customWidth="1"/>
    <col min="9546" max="9547" width="11.44140625" style="95" hidden="1" customWidth="1"/>
    <col min="9548" max="9548" width="5.44140625" style="95" customWidth="1"/>
    <col min="9549" max="9550" width="11.44140625" style="95" hidden="1" customWidth="1"/>
    <col min="9551" max="9551" width="8.44140625" style="95" customWidth="1"/>
    <col min="9552" max="9553" width="11.44140625" style="95" hidden="1" customWidth="1"/>
    <col min="9554" max="9554" width="5.88671875" style="95" customWidth="1"/>
    <col min="9555" max="9556" width="11.44140625" style="95" hidden="1" customWidth="1"/>
    <col min="9557" max="9557" width="5.44140625" style="95" customWidth="1"/>
    <col min="9558" max="9559" width="11.44140625" style="95" hidden="1" customWidth="1"/>
    <col min="9560" max="9560" width="5.44140625" style="95" customWidth="1"/>
    <col min="9561" max="9562" width="11.44140625" style="95" hidden="1" customWidth="1"/>
    <col min="9563" max="9563" width="6" style="95" customWidth="1"/>
    <col min="9564" max="9568" width="11.44140625" style="95" hidden="1" customWidth="1"/>
    <col min="9569" max="9569" width="5" style="95" customWidth="1"/>
    <col min="9570" max="9577" width="11.44140625" style="95" hidden="1" customWidth="1"/>
    <col min="9578" max="9578" width="5" style="95" customWidth="1"/>
    <col min="9579" max="9579" width="11.44140625" style="95" hidden="1" customWidth="1"/>
    <col min="9580" max="9580" width="5" style="95" customWidth="1"/>
    <col min="9581" max="9581" width="9.44140625" style="95" customWidth="1"/>
    <col min="9582" max="9582" width="11.44140625" style="95" hidden="1" customWidth="1"/>
    <col min="9583" max="9583" width="5" style="95" customWidth="1"/>
    <col min="9584" max="9585" width="11.44140625" style="95" hidden="1" customWidth="1"/>
    <col min="9586" max="9586" width="5" style="95" customWidth="1"/>
    <col min="9587" max="9588" width="11.44140625" style="95" hidden="1" customWidth="1"/>
    <col min="9589" max="9589" width="5" style="95" customWidth="1"/>
    <col min="9590" max="9591" width="11.44140625" style="95" hidden="1" customWidth="1"/>
    <col min="9592" max="9592" width="5" style="95" customWidth="1"/>
    <col min="9593" max="9594" width="11.44140625" style="95" hidden="1" customWidth="1"/>
    <col min="9595" max="9595" width="5" style="95" customWidth="1"/>
    <col min="9596" max="9597" width="11.44140625" style="95" hidden="1" customWidth="1"/>
    <col min="9598" max="9598" width="5" style="95" customWidth="1"/>
    <col min="9599" max="9599" width="11.44140625" style="95" hidden="1" customWidth="1"/>
    <col min="9600" max="9600" width="6.44140625" style="95" customWidth="1"/>
    <col min="9601" max="9601" width="11.44140625" style="95" hidden="1" customWidth="1"/>
    <col min="9602" max="9602" width="7.109375" style="95" customWidth="1"/>
    <col min="9603" max="9604" width="11.44140625" style="95" hidden="1" customWidth="1"/>
    <col min="9605" max="9605" width="7.109375" style="95" customWidth="1"/>
    <col min="9606" max="9607" width="11.44140625" style="95" hidden="1" customWidth="1"/>
    <col min="9608" max="9608" width="7.109375" style="95" customWidth="1"/>
    <col min="9609" max="9610" width="11.44140625" style="95" hidden="1" customWidth="1"/>
    <col min="9611" max="9611" width="7.109375" style="95" customWidth="1"/>
    <col min="9612" max="9613" width="11.44140625" style="95" hidden="1" customWidth="1"/>
    <col min="9614" max="9614" width="7.109375" style="95" customWidth="1"/>
    <col min="9615" max="9616" width="11.44140625" style="95" hidden="1" customWidth="1"/>
    <col min="9617" max="9617" width="7.109375" style="95" customWidth="1"/>
    <col min="9618" max="9619" width="11.44140625" style="95" hidden="1" customWidth="1"/>
    <col min="9620" max="9620" width="7.109375" style="95" customWidth="1"/>
    <col min="9621" max="9622" width="11.44140625" style="95" hidden="1" customWidth="1"/>
    <col min="9623" max="9623" width="7.109375" style="95" customWidth="1"/>
    <col min="9624" max="9624" width="11.44140625" style="95" hidden="1" customWidth="1"/>
    <col min="9625" max="9625" width="6.44140625" style="95" customWidth="1"/>
    <col min="9626" max="9627" width="11.44140625" style="95" hidden="1" customWidth="1"/>
    <col min="9628" max="9628" width="6.88671875" style="95" customWidth="1"/>
    <col min="9629" max="9630" width="11.44140625" style="95" hidden="1" customWidth="1"/>
    <col min="9631" max="9631" width="6.88671875" style="95" customWidth="1"/>
    <col min="9632" max="9633" width="11.44140625" style="95" hidden="1" customWidth="1"/>
    <col min="9634" max="9634" width="6.44140625" style="95" customWidth="1"/>
    <col min="9635" max="9639" width="11.44140625" style="95" hidden="1" customWidth="1"/>
    <col min="9640" max="9640" width="6.44140625" style="95" customWidth="1"/>
    <col min="9641" max="9642" width="11.44140625" style="95" hidden="1" customWidth="1"/>
    <col min="9643" max="9643" width="7.5546875" style="95" customWidth="1"/>
    <col min="9644" max="9644" width="11.44140625" style="95" hidden="1" customWidth="1"/>
    <col min="9645" max="9645" width="9.44140625" style="95" customWidth="1"/>
    <col min="9646" max="9646" width="11.44140625" style="95" hidden="1" customWidth="1"/>
    <col min="9647" max="9647" width="9" style="95" customWidth="1"/>
    <col min="9648" max="9649" width="11.44140625" style="95" hidden="1" customWidth="1"/>
    <col min="9650" max="9650" width="8.5546875" style="95" customWidth="1"/>
    <col min="9651" max="9652" width="11.44140625" style="95" hidden="1" customWidth="1"/>
    <col min="9653" max="9653" width="6.44140625" style="95" customWidth="1"/>
    <col min="9654" max="9655" width="11.44140625" style="95" hidden="1" customWidth="1"/>
    <col min="9656" max="9656" width="7" style="95" customWidth="1"/>
    <col min="9657" max="9658" width="11.44140625" style="95" hidden="1" customWidth="1"/>
    <col min="9659" max="9661" width="7" style="95" customWidth="1"/>
    <col min="9662" max="9663" width="11.44140625" style="95" hidden="1" customWidth="1"/>
    <col min="9664" max="9664" width="7.5546875" style="95" customWidth="1"/>
    <col min="9665" max="9666" width="11.44140625" style="95" hidden="1" customWidth="1"/>
    <col min="9667" max="9667" width="7" style="95" customWidth="1"/>
    <col min="9668" max="9669" width="11.44140625" style="95" hidden="1" customWidth="1"/>
    <col min="9670" max="9670" width="7" style="95" customWidth="1"/>
    <col min="9671" max="9672" width="11.44140625" style="95" hidden="1" customWidth="1"/>
    <col min="9673" max="9673" width="7" style="95" customWidth="1"/>
    <col min="9674" max="9674" width="11.44140625" style="95" hidden="1" customWidth="1"/>
    <col min="9675" max="9675" width="6.44140625" style="95" customWidth="1"/>
    <col min="9676" max="9685" width="11.44140625" style="95" hidden="1" customWidth="1"/>
    <col min="9686" max="9720" width="11.44140625" style="95" hidden="1"/>
    <col min="9721" max="9721" width="41.44140625" style="95" customWidth="1"/>
    <col min="9722" max="9722" width="6.44140625" style="95" customWidth="1"/>
    <col min="9723" max="9723" width="14.6640625" style="95" customWidth="1"/>
    <col min="9724" max="9724" width="11.44140625" style="95" customWidth="1"/>
    <col min="9725" max="9725" width="13" style="95" customWidth="1"/>
    <col min="9726" max="9726" width="25.44140625" style="95" customWidth="1"/>
    <col min="9727" max="9736" width="9.44140625" style="95" customWidth="1"/>
    <col min="9737" max="9737" width="8.88671875" style="95" customWidth="1"/>
    <col min="9738" max="9738" width="9.44140625" style="95" customWidth="1"/>
    <col min="9739" max="9744" width="10.109375" style="95" customWidth="1"/>
    <col min="9745" max="9745" width="6.44140625" style="95" customWidth="1"/>
    <col min="9746" max="9746" width="6.88671875" style="95" customWidth="1"/>
    <col min="9747" max="9748" width="6.5546875" style="95" customWidth="1"/>
    <col min="9749" max="9749" width="6.33203125" style="95" customWidth="1"/>
    <col min="9750" max="9750" width="7.5546875" style="95" customWidth="1"/>
    <col min="9751" max="9751" width="14.5546875" style="95" customWidth="1"/>
    <col min="9752" max="9753" width="11.44140625" style="95" customWidth="1"/>
    <col min="9754" max="9754" width="56.88671875" style="95" customWidth="1"/>
    <col min="9755" max="9755" width="9.109375" style="95" bestFit="1" customWidth="1"/>
    <col min="9756" max="9756" width="26.6640625" style="95" customWidth="1"/>
    <col min="9757" max="9757" width="22.88671875" style="95" customWidth="1"/>
    <col min="9758" max="9758" width="14.6640625" style="95" customWidth="1"/>
    <col min="9759" max="9759" width="5" style="95" customWidth="1"/>
    <col min="9760" max="9761" width="11.44140625" style="95" hidden="1" customWidth="1"/>
    <col min="9762" max="9762" width="5" style="95" customWidth="1"/>
    <col min="9763" max="9764" width="11.44140625" style="95" hidden="1" customWidth="1"/>
    <col min="9765" max="9765" width="5" style="95" customWidth="1"/>
    <col min="9766" max="9767" width="11.44140625" style="95" hidden="1" customWidth="1"/>
    <col min="9768" max="9768" width="5" style="95" customWidth="1"/>
    <col min="9769" max="9770" width="11.44140625" style="95" hidden="1" customWidth="1"/>
    <col min="9771" max="9771" width="5" style="95" customWidth="1"/>
    <col min="9772" max="9773" width="11.44140625" style="95" hidden="1" customWidth="1"/>
    <col min="9774" max="9774" width="5" style="95" customWidth="1"/>
    <col min="9775" max="9776" width="11.44140625" style="95" hidden="1" customWidth="1"/>
    <col min="9777" max="9777" width="6.44140625" style="95" customWidth="1"/>
    <col min="9778" max="9785" width="11.44140625" style="95" hidden="1" customWidth="1"/>
    <col min="9786" max="9786" width="6.88671875" style="95" customWidth="1"/>
    <col min="9787" max="9788" width="11.44140625" style="95" hidden="1" customWidth="1"/>
    <col min="9789" max="9789" width="6.44140625" style="95" customWidth="1"/>
    <col min="9790" max="9791" width="11.44140625" style="95" hidden="1" customWidth="1"/>
    <col min="9792" max="9792" width="5.44140625" style="95" customWidth="1"/>
    <col min="9793" max="9794" width="11.44140625" style="95" hidden="1" customWidth="1"/>
    <col min="9795" max="9795" width="4.88671875" style="95" customWidth="1"/>
    <col min="9796" max="9800" width="11.44140625" style="95" hidden="1" customWidth="1"/>
    <col min="9801" max="9801" width="8.44140625" style="95" customWidth="1"/>
    <col min="9802" max="9803" width="11.44140625" style="95" hidden="1" customWidth="1"/>
    <col min="9804" max="9804" width="5.44140625" style="95" customWidth="1"/>
    <col min="9805" max="9806" width="11.44140625" style="95" hidden="1" customWidth="1"/>
    <col min="9807" max="9807" width="8.44140625" style="95" customWidth="1"/>
    <col min="9808" max="9809" width="11.44140625" style="95" hidden="1" customWidth="1"/>
    <col min="9810" max="9810" width="5.88671875" style="95" customWidth="1"/>
    <col min="9811" max="9812" width="11.44140625" style="95" hidden="1" customWidth="1"/>
    <col min="9813" max="9813" width="5.44140625" style="95" customWidth="1"/>
    <col min="9814" max="9815" width="11.44140625" style="95" hidden="1" customWidth="1"/>
    <col min="9816" max="9816" width="5.44140625" style="95" customWidth="1"/>
    <col min="9817" max="9818" width="11.44140625" style="95" hidden="1" customWidth="1"/>
    <col min="9819" max="9819" width="6" style="95" customWidth="1"/>
    <col min="9820" max="9824" width="11.44140625" style="95" hidden="1" customWidth="1"/>
    <col min="9825" max="9825" width="5" style="95" customWidth="1"/>
    <col min="9826" max="9833" width="11.44140625" style="95" hidden="1" customWidth="1"/>
    <col min="9834" max="9834" width="5" style="95" customWidth="1"/>
    <col min="9835" max="9835" width="11.44140625" style="95" hidden="1" customWidth="1"/>
    <col min="9836" max="9836" width="5" style="95" customWidth="1"/>
    <col min="9837" max="9837" width="9.44140625" style="95" customWidth="1"/>
    <col min="9838" max="9838" width="11.44140625" style="95" hidden="1" customWidth="1"/>
    <col min="9839" max="9839" width="5" style="95" customWidth="1"/>
    <col min="9840" max="9841" width="11.44140625" style="95" hidden="1" customWidth="1"/>
    <col min="9842" max="9842" width="5" style="95" customWidth="1"/>
    <col min="9843" max="9844" width="11.44140625" style="95" hidden="1" customWidth="1"/>
    <col min="9845" max="9845" width="5" style="95" customWidth="1"/>
    <col min="9846" max="9847" width="11.44140625" style="95" hidden="1" customWidth="1"/>
    <col min="9848" max="9848" width="5" style="95" customWidth="1"/>
    <col min="9849" max="9850" width="11.44140625" style="95" hidden="1" customWidth="1"/>
    <col min="9851" max="9851" width="5" style="95" customWidth="1"/>
    <col min="9852" max="9853" width="11.44140625" style="95" hidden="1" customWidth="1"/>
    <col min="9854" max="9854" width="5" style="95" customWidth="1"/>
    <col min="9855" max="9855" width="11.44140625" style="95" hidden="1" customWidth="1"/>
    <col min="9856" max="9856" width="6.44140625" style="95" customWidth="1"/>
    <col min="9857" max="9857" width="11.44140625" style="95" hidden="1" customWidth="1"/>
    <col min="9858" max="9858" width="7.109375" style="95" customWidth="1"/>
    <col min="9859" max="9860" width="11.44140625" style="95" hidden="1" customWidth="1"/>
    <col min="9861" max="9861" width="7.109375" style="95" customWidth="1"/>
    <col min="9862" max="9863" width="11.44140625" style="95" hidden="1" customWidth="1"/>
    <col min="9864" max="9864" width="7.109375" style="95" customWidth="1"/>
    <col min="9865" max="9866" width="11.44140625" style="95" hidden="1" customWidth="1"/>
    <col min="9867" max="9867" width="7.109375" style="95" customWidth="1"/>
    <col min="9868" max="9869" width="11.44140625" style="95" hidden="1" customWidth="1"/>
    <col min="9870" max="9870" width="7.109375" style="95" customWidth="1"/>
    <col min="9871" max="9872" width="11.44140625" style="95" hidden="1" customWidth="1"/>
    <col min="9873" max="9873" width="7.109375" style="95" customWidth="1"/>
    <col min="9874" max="9875" width="11.44140625" style="95" hidden="1" customWidth="1"/>
    <col min="9876" max="9876" width="7.109375" style="95" customWidth="1"/>
    <col min="9877" max="9878" width="11.44140625" style="95" hidden="1" customWidth="1"/>
    <col min="9879" max="9879" width="7.109375" style="95" customWidth="1"/>
    <col min="9880" max="9880" width="11.44140625" style="95" hidden="1" customWidth="1"/>
    <col min="9881" max="9881" width="6.44140625" style="95" customWidth="1"/>
    <col min="9882" max="9883" width="11.44140625" style="95" hidden="1" customWidth="1"/>
    <col min="9884" max="9884" width="6.88671875" style="95" customWidth="1"/>
    <col min="9885" max="9886" width="11.44140625" style="95" hidden="1" customWidth="1"/>
    <col min="9887" max="9887" width="6.88671875" style="95" customWidth="1"/>
    <col min="9888" max="9889" width="11.44140625" style="95" hidden="1" customWidth="1"/>
    <col min="9890" max="9890" width="6.44140625" style="95" customWidth="1"/>
    <col min="9891" max="9895" width="11.44140625" style="95" hidden="1" customWidth="1"/>
    <col min="9896" max="9896" width="6.44140625" style="95" customWidth="1"/>
    <col min="9897" max="9898" width="11.44140625" style="95" hidden="1" customWidth="1"/>
    <col min="9899" max="9899" width="7.5546875" style="95" customWidth="1"/>
    <col min="9900" max="9900" width="11.44140625" style="95" hidden="1" customWidth="1"/>
    <col min="9901" max="9901" width="9.44140625" style="95" customWidth="1"/>
    <col min="9902" max="9902" width="11.44140625" style="95" hidden="1" customWidth="1"/>
    <col min="9903" max="9903" width="9" style="95" customWidth="1"/>
    <col min="9904" max="9905" width="11.44140625" style="95" hidden="1" customWidth="1"/>
    <col min="9906" max="9906" width="8.5546875" style="95" customWidth="1"/>
    <col min="9907" max="9908" width="11.44140625" style="95" hidden="1" customWidth="1"/>
    <col min="9909" max="9909" width="6.44140625" style="95" customWidth="1"/>
    <col min="9910" max="9911" width="11.44140625" style="95" hidden="1" customWidth="1"/>
    <col min="9912" max="9912" width="7" style="95" customWidth="1"/>
    <col min="9913" max="9914" width="11.44140625" style="95" hidden="1" customWidth="1"/>
    <col min="9915" max="9917" width="7" style="95" customWidth="1"/>
    <col min="9918" max="9919" width="11.44140625" style="95" hidden="1" customWidth="1"/>
    <col min="9920" max="9920" width="7.5546875" style="95" customWidth="1"/>
    <col min="9921" max="9922" width="11.44140625" style="95" hidden="1" customWidth="1"/>
    <col min="9923" max="9923" width="7" style="95" customWidth="1"/>
    <col min="9924" max="9925" width="11.44140625" style="95" hidden="1" customWidth="1"/>
    <col min="9926" max="9926" width="7" style="95" customWidth="1"/>
    <col min="9927" max="9928" width="11.44140625" style="95" hidden="1" customWidth="1"/>
    <col min="9929" max="9929" width="7" style="95" customWidth="1"/>
    <col min="9930" max="9930" width="11.44140625" style="95" hidden="1" customWidth="1"/>
    <col min="9931" max="9931" width="6.44140625" style="95" customWidth="1"/>
    <col min="9932" max="9941" width="11.44140625" style="95" hidden="1" customWidth="1"/>
    <col min="9942" max="9976" width="11.44140625" style="95" hidden="1"/>
    <col min="9977" max="9977" width="41.44140625" style="95" customWidth="1"/>
    <col min="9978" max="9978" width="6.44140625" style="95" customWidth="1"/>
    <col min="9979" max="9979" width="14.6640625" style="95" customWidth="1"/>
    <col min="9980" max="9980" width="11.44140625" style="95" customWidth="1"/>
    <col min="9981" max="9981" width="13" style="95" customWidth="1"/>
    <col min="9982" max="9982" width="25.44140625" style="95" customWidth="1"/>
    <col min="9983" max="9992" width="9.44140625" style="95" customWidth="1"/>
    <col min="9993" max="9993" width="8.88671875" style="95" customWidth="1"/>
    <col min="9994" max="9994" width="9.44140625" style="95" customWidth="1"/>
    <col min="9995" max="10000" width="10.109375" style="95" customWidth="1"/>
    <col min="10001" max="10001" width="6.44140625" style="95" customWidth="1"/>
    <col min="10002" max="10002" width="6.88671875" style="95" customWidth="1"/>
    <col min="10003" max="10004" width="6.5546875" style="95" customWidth="1"/>
    <col min="10005" max="10005" width="6.33203125" style="95" customWidth="1"/>
    <col min="10006" max="10006" width="7.5546875" style="95" customWidth="1"/>
    <col min="10007" max="10007" width="14.5546875" style="95" customWidth="1"/>
    <col min="10008" max="10009" width="11.44140625" style="95" customWidth="1"/>
    <col min="10010" max="10010" width="56.88671875" style="95" customWidth="1"/>
    <col min="10011" max="10011" width="9.109375" style="95" bestFit="1" customWidth="1"/>
    <col min="10012" max="10012" width="26.6640625" style="95" customWidth="1"/>
    <col min="10013" max="10013" width="22.88671875" style="95" customWidth="1"/>
    <col min="10014" max="10014" width="14.6640625" style="95" customWidth="1"/>
    <col min="10015" max="10015" width="5" style="95" customWidth="1"/>
    <col min="10016" max="10017" width="11.44140625" style="95" hidden="1" customWidth="1"/>
    <col min="10018" max="10018" width="5" style="95" customWidth="1"/>
    <col min="10019" max="10020" width="11.44140625" style="95" hidden="1" customWidth="1"/>
    <col min="10021" max="10021" width="5" style="95" customWidth="1"/>
    <col min="10022" max="10023" width="11.44140625" style="95" hidden="1" customWidth="1"/>
    <col min="10024" max="10024" width="5" style="95" customWidth="1"/>
    <col min="10025" max="10026" width="11.44140625" style="95" hidden="1" customWidth="1"/>
    <col min="10027" max="10027" width="5" style="95" customWidth="1"/>
    <col min="10028" max="10029" width="11.44140625" style="95" hidden="1" customWidth="1"/>
    <col min="10030" max="10030" width="5" style="95" customWidth="1"/>
    <col min="10031" max="10032" width="11.44140625" style="95" hidden="1" customWidth="1"/>
    <col min="10033" max="10033" width="6.44140625" style="95" customWidth="1"/>
    <col min="10034" max="10041" width="11.44140625" style="95" hidden="1" customWidth="1"/>
    <col min="10042" max="10042" width="6.88671875" style="95" customWidth="1"/>
    <col min="10043" max="10044" width="11.44140625" style="95" hidden="1" customWidth="1"/>
    <col min="10045" max="10045" width="6.44140625" style="95" customWidth="1"/>
    <col min="10046" max="10047" width="11.44140625" style="95" hidden="1" customWidth="1"/>
    <col min="10048" max="10048" width="5.44140625" style="95" customWidth="1"/>
    <col min="10049" max="10050" width="11.44140625" style="95" hidden="1" customWidth="1"/>
    <col min="10051" max="10051" width="4.88671875" style="95" customWidth="1"/>
    <col min="10052" max="10056" width="11.44140625" style="95" hidden="1" customWidth="1"/>
    <col min="10057" max="10057" width="8.44140625" style="95" customWidth="1"/>
    <col min="10058" max="10059" width="11.44140625" style="95" hidden="1" customWidth="1"/>
    <col min="10060" max="10060" width="5.44140625" style="95" customWidth="1"/>
    <col min="10061" max="10062" width="11.44140625" style="95" hidden="1" customWidth="1"/>
    <col min="10063" max="10063" width="8.44140625" style="95" customWidth="1"/>
    <col min="10064" max="10065" width="11.44140625" style="95" hidden="1" customWidth="1"/>
    <col min="10066" max="10066" width="5.88671875" style="95" customWidth="1"/>
    <col min="10067" max="10068" width="11.44140625" style="95" hidden="1" customWidth="1"/>
    <col min="10069" max="10069" width="5.44140625" style="95" customWidth="1"/>
    <col min="10070" max="10071" width="11.44140625" style="95" hidden="1" customWidth="1"/>
    <col min="10072" max="10072" width="5.44140625" style="95" customWidth="1"/>
    <col min="10073" max="10074" width="11.44140625" style="95" hidden="1" customWidth="1"/>
    <col min="10075" max="10075" width="6" style="95" customWidth="1"/>
    <col min="10076" max="10080" width="11.44140625" style="95" hidden="1" customWidth="1"/>
    <col min="10081" max="10081" width="5" style="95" customWidth="1"/>
    <col min="10082" max="10089" width="11.44140625" style="95" hidden="1" customWidth="1"/>
    <col min="10090" max="10090" width="5" style="95" customWidth="1"/>
    <col min="10091" max="10091" width="11.44140625" style="95" hidden="1" customWidth="1"/>
    <col min="10092" max="10092" width="5" style="95" customWidth="1"/>
    <col min="10093" max="10093" width="9.44140625" style="95" customWidth="1"/>
    <col min="10094" max="10094" width="11.44140625" style="95" hidden="1" customWidth="1"/>
    <col min="10095" max="10095" width="5" style="95" customWidth="1"/>
    <col min="10096" max="10097" width="11.44140625" style="95" hidden="1" customWidth="1"/>
    <col min="10098" max="10098" width="5" style="95" customWidth="1"/>
    <col min="10099" max="10100" width="11.44140625" style="95" hidden="1" customWidth="1"/>
    <col min="10101" max="10101" width="5" style="95" customWidth="1"/>
    <col min="10102" max="10103" width="11.44140625" style="95" hidden="1" customWidth="1"/>
    <col min="10104" max="10104" width="5" style="95" customWidth="1"/>
    <col min="10105" max="10106" width="11.44140625" style="95" hidden="1" customWidth="1"/>
    <col min="10107" max="10107" width="5" style="95" customWidth="1"/>
    <col min="10108" max="10109" width="11.44140625" style="95" hidden="1" customWidth="1"/>
    <col min="10110" max="10110" width="5" style="95" customWidth="1"/>
    <col min="10111" max="10111" width="11.44140625" style="95" hidden="1" customWidth="1"/>
    <col min="10112" max="10112" width="6.44140625" style="95" customWidth="1"/>
    <col min="10113" max="10113" width="11.44140625" style="95" hidden="1" customWidth="1"/>
    <col min="10114" max="10114" width="7.109375" style="95" customWidth="1"/>
    <col min="10115" max="10116" width="11.44140625" style="95" hidden="1" customWidth="1"/>
    <col min="10117" max="10117" width="7.109375" style="95" customWidth="1"/>
    <col min="10118" max="10119" width="11.44140625" style="95" hidden="1" customWidth="1"/>
    <col min="10120" max="10120" width="7.109375" style="95" customWidth="1"/>
    <col min="10121" max="10122" width="11.44140625" style="95" hidden="1" customWidth="1"/>
    <col min="10123" max="10123" width="7.109375" style="95" customWidth="1"/>
    <col min="10124" max="10125" width="11.44140625" style="95" hidden="1" customWidth="1"/>
    <col min="10126" max="10126" width="7.109375" style="95" customWidth="1"/>
    <col min="10127" max="10128" width="11.44140625" style="95" hidden="1" customWidth="1"/>
    <col min="10129" max="10129" width="7.109375" style="95" customWidth="1"/>
    <col min="10130" max="10131" width="11.44140625" style="95" hidden="1" customWidth="1"/>
    <col min="10132" max="10132" width="7.109375" style="95" customWidth="1"/>
    <col min="10133" max="10134" width="11.44140625" style="95" hidden="1" customWidth="1"/>
    <col min="10135" max="10135" width="7.109375" style="95" customWidth="1"/>
    <col min="10136" max="10136" width="11.44140625" style="95" hidden="1" customWidth="1"/>
    <col min="10137" max="10137" width="6.44140625" style="95" customWidth="1"/>
    <col min="10138" max="10139" width="11.44140625" style="95" hidden="1" customWidth="1"/>
    <col min="10140" max="10140" width="6.88671875" style="95" customWidth="1"/>
    <col min="10141" max="10142" width="11.44140625" style="95" hidden="1" customWidth="1"/>
    <col min="10143" max="10143" width="6.88671875" style="95" customWidth="1"/>
    <col min="10144" max="10145" width="11.44140625" style="95" hidden="1" customWidth="1"/>
    <col min="10146" max="10146" width="6.44140625" style="95" customWidth="1"/>
    <col min="10147" max="10151" width="11.44140625" style="95" hidden="1" customWidth="1"/>
    <col min="10152" max="10152" width="6.44140625" style="95" customWidth="1"/>
    <col min="10153" max="10154" width="11.44140625" style="95" hidden="1" customWidth="1"/>
    <col min="10155" max="10155" width="7.5546875" style="95" customWidth="1"/>
    <col min="10156" max="10156" width="11.44140625" style="95" hidden="1" customWidth="1"/>
    <col min="10157" max="10157" width="9.44140625" style="95" customWidth="1"/>
    <col min="10158" max="10158" width="11.44140625" style="95" hidden="1" customWidth="1"/>
    <col min="10159" max="10159" width="9" style="95" customWidth="1"/>
    <col min="10160" max="10161" width="11.44140625" style="95" hidden="1" customWidth="1"/>
    <col min="10162" max="10162" width="8.5546875" style="95" customWidth="1"/>
    <col min="10163" max="10164" width="11.44140625" style="95" hidden="1" customWidth="1"/>
    <col min="10165" max="10165" width="6.44140625" style="95" customWidth="1"/>
    <col min="10166" max="10167" width="11.44140625" style="95" hidden="1" customWidth="1"/>
    <col min="10168" max="10168" width="7" style="95" customWidth="1"/>
    <col min="10169" max="10170" width="11.44140625" style="95" hidden="1" customWidth="1"/>
    <col min="10171" max="10173" width="7" style="95" customWidth="1"/>
    <col min="10174" max="10175" width="11.44140625" style="95" hidden="1" customWidth="1"/>
    <col min="10176" max="10176" width="7.5546875" style="95" customWidth="1"/>
    <col min="10177" max="10178" width="11.44140625" style="95" hidden="1" customWidth="1"/>
    <col min="10179" max="10179" width="7" style="95" customWidth="1"/>
    <col min="10180" max="10181" width="11.44140625" style="95" hidden="1" customWidth="1"/>
    <col min="10182" max="10182" width="7" style="95" customWidth="1"/>
    <col min="10183" max="10184" width="11.44140625" style="95" hidden="1" customWidth="1"/>
    <col min="10185" max="10185" width="7" style="95" customWidth="1"/>
    <col min="10186" max="10186" width="11.44140625" style="95" hidden="1" customWidth="1"/>
    <col min="10187" max="10187" width="6.44140625" style="95" customWidth="1"/>
    <col min="10188" max="10197" width="11.44140625" style="95" hidden="1" customWidth="1"/>
    <col min="10198" max="10232" width="11.44140625" style="95" hidden="1"/>
    <col min="10233" max="10233" width="41.44140625" style="95" customWidth="1"/>
    <col min="10234" max="10234" width="6.44140625" style="95" customWidth="1"/>
    <col min="10235" max="10235" width="14.6640625" style="95" customWidth="1"/>
    <col min="10236" max="10236" width="11.44140625" style="95" customWidth="1"/>
    <col min="10237" max="10237" width="13" style="95" customWidth="1"/>
    <col min="10238" max="10238" width="25.44140625" style="95" customWidth="1"/>
    <col min="10239" max="10248" width="9.44140625" style="95" customWidth="1"/>
    <col min="10249" max="10249" width="8.88671875" style="95" customWidth="1"/>
    <col min="10250" max="10250" width="9.44140625" style="95" customWidth="1"/>
    <col min="10251" max="10256" width="10.109375" style="95" customWidth="1"/>
    <col min="10257" max="10257" width="6.44140625" style="95" customWidth="1"/>
    <col min="10258" max="10258" width="6.88671875" style="95" customWidth="1"/>
    <col min="10259" max="10260" width="6.5546875" style="95" customWidth="1"/>
    <col min="10261" max="10261" width="6.33203125" style="95" customWidth="1"/>
    <col min="10262" max="10262" width="7.5546875" style="95" customWidth="1"/>
    <col min="10263" max="10263" width="14.5546875" style="95" customWidth="1"/>
    <col min="10264" max="10265" width="11.44140625" style="95" customWidth="1"/>
    <col min="10266" max="10266" width="56.88671875" style="95" customWidth="1"/>
    <col min="10267" max="10267" width="9.109375" style="95" bestFit="1" customWidth="1"/>
    <col min="10268" max="10268" width="26.6640625" style="95" customWidth="1"/>
    <col min="10269" max="10269" width="22.88671875" style="95" customWidth="1"/>
    <col min="10270" max="10270" width="14.6640625" style="95" customWidth="1"/>
    <col min="10271" max="10271" width="5" style="95" customWidth="1"/>
    <col min="10272" max="10273" width="11.44140625" style="95" hidden="1" customWidth="1"/>
    <col min="10274" max="10274" width="5" style="95" customWidth="1"/>
    <col min="10275" max="10276" width="11.44140625" style="95" hidden="1" customWidth="1"/>
    <col min="10277" max="10277" width="5" style="95" customWidth="1"/>
    <col min="10278" max="10279" width="11.44140625" style="95" hidden="1" customWidth="1"/>
    <col min="10280" max="10280" width="5" style="95" customWidth="1"/>
    <col min="10281" max="10282" width="11.44140625" style="95" hidden="1" customWidth="1"/>
    <col min="10283" max="10283" width="5" style="95" customWidth="1"/>
    <col min="10284" max="10285" width="11.44140625" style="95" hidden="1" customWidth="1"/>
    <col min="10286" max="10286" width="5" style="95" customWidth="1"/>
    <col min="10287" max="10288" width="11.44140625" style="95" hidden="1" customWidth="1"/>
    <col min="10289" max="10289" width="6.44140625" style="95" customWidth="1"/>
    <col min="10290" max="10297" width="11.44140625" style="95" hidden="1" customWidth="1"/>
    <col min="10298" max="10298" width="6.88671875" style="95" customWidth="1"/>
    <col min="10299" max="10300" width="11.44140625" style="95" hidden="1" customWidth="1"/>
    <col min="10301" max="10301" width="6.44140625" style="95" customWidth="1"/>
    <col min="10302" max="10303" width="11.44140625" style="95" hidden="1" customWidth="1"/>
    <col min="10304" max="10304" width="5.44140625" style="95" customWidth="1"/>
    <col min="10305" max="10306" width="11.44140625" style="95" hidden="1" customWidth="1"/>
    <col min="10307" max="10307" width="4.88671875" style="95" customWidth="1"/>
    <col min="10308" max="10312" width="11.44140625" style="95" hidden="1" customWidth="1"/>
    <col min="10313" max="10313" width="8.44140625" style="95" customWidth="1"/>
    <col min="10314" max="10315" width="11.44140625" style="95" hidden="1" customWidth="1"/>
    <col min="10316" max="10316" width="5.44140625" style="95" customWidth="1"/>
    <col min="10317" max="10318" width="11.44140625" style="95" hidden="1" customWidth="1"/>
    <col min="10319" max="10319" width="8.44140625" style="95" customWidth="1"/>
    <col min="10320" max="10321" width="11.44140625" style="95" hidden="1" customWidth="1"/>
    <col min="10322" max="10322" width="5.88671875" style="95" customWidth="1"/>
    <col min="10323" max="10324" width="11.44140625" style="95" hidden="1" customWidth="1"/>
    <col min="10325" max="10325" width="5.44140625" style="95" customWidth="1"/>
    <col min="10326" max="10327" width="11.44140625" style="95" hidden="1" customWidth="1"/>
    <col min="10328" max="10328" width="5.44140625" style="95" customWidth="1"/>
    <col min="10329" max="10330" width="11.44140625" style="95" hidden="1" customWidth="1"/>
    <col min="10331" max="10331" width="6" style="95" customWidth="1"/>
    <col min="10332" max="10336" width="11.44140625" style="95" hidden="1" customWidth="1"/>
    <col min="10337" max="10337" width="5" style="95" customWidth="1"/>
    <col min="10338" max="10345" width="11.44140625" style="95" hidden="1" customWidth="1"/>
    <col min="10346" max="10346" width="5" style="95" customWidth="1"/>
    <col min="10347" max="10347" width="11.44140625" style="95" hidden="1" customWidth="1"/>
    <col min="10348" max="10348" width="5" style="95" customWidth="1"/>
    <col min="10349" max="10349" width="9.44140625" style="95" customWidth="1"/>
    <col min="10350" max="10350" width="11.44140625" style="95" hidden="1" customWidth="1"/>
    <col min="10351" max="10351" width="5" style="95" customWidth="1"/>
    <col min="10352" max="10353" width="11.44140625" style="95" hidden="1" customWidth="1"/>
    <col min="10354" max="10354" width="5" style="95" customWidth="1"/>
    <col min="10355" max="10356" width="11.44140625" style="95" hidden="1" customWidth="1"/>
    <col min="10357" max="10357" width="5" style="95" customWidth="1"/>
    <col min="10358" max="10359" width="11.44140625" style="95" hidden="1" customWidth="1"/>
    <col min="10360" max="10360" width="5" style="95" customWidth="1"/>
    <col min="10361" max="10362" width="11.44140625" style="95" hidden="1" customWidth="1"/>
    <col min="10363" max="10363" width="5" style="95" customWidth="1"/>
    <col min="10364" max="10365" width="11.44140625" style="95" hidden="1" customWidth="1"/>
    <col min="10366" max="10366" width="5" style="95" customWidth="1"/>
    <col min="10367" max="10367" width="11.44140625" style="95" hidden="1" customWidth="1"/>
    <col min="10368" max="10368" width="6.44140625" style="95" customWidth="1"/>
    <col min="10369" max="10369" width="11.44140625" style="95" hidden="1" customWidth="1"/>
    <col min="10370" max="10370" width="7.109375" style="95" customWidth="1"/>
    <col min="10371" max="10372" width="11.44140625" style="95" hidden="1" customWidth="1"/>
    <col min="10373" max="10373" width="7.109375" style="95" customWidth="1"/>
    <col min="10374" max="10375" width="11.44140625" style="95" hidden="1" customWidth="1"/>
    <col min="10376" max="10376" width="7.109375" style="95" customWidth="1"/>
    <col min="10377" max="10378" width="11.44140625" style="95" hidden="1" customWidth="1"/>
    <col min="10379" max="10379" width="7.109375" style="95" customWidth="1"/>
    <col min="10380" max="10381" width="11.44140625" style="95" hidden="1" customWidth="1"/>
    <col min="10382" max="10382" width="7.109375" style="95" customWidth="1"/>
    <col min="10383" max="10384" width="11.44140625" style="95" hidden="1" customWidth="1"/>
    <col min="10385" max="10385" width="7.109375" style="95" customWidth="1"/>
    <col min="10386" max="10387" width="11.44140625" style="95" hidden="1" customWidth="1"/>
    <col min="10388" max="10388" width="7.109375" style="95" customWidth="1"/>
    <col min="10389" max="10390" width="11.44140625" style="95" hidden="1" customWidth="1"/>
    <col min="10391" max="10391" width="7.109375" style="95" customWidth="1"/>
    <col min="10392" max="10392" width="11.44140625" style="95" hidden="1" customWidth="1"/>
    <col min="10393" max="10393" width="6.44140625" style="95" customWidth="1"/>
    <col min="10394" max="10395" width="11.44140625" style="95" hidden="1" customWidth="1"/>
    <col min="10396" max="10396" width="6.88671875" style="95" customWidth="1"/>
    <col min="10397" max="10398" width="11.44140625" style="95" hidden="1" customWidth="1"/>
    <col min="10399" max="10399" width="6.88671875" style="95" customWidth="1"/>
    <col min="10400" max="10401" width="11.44140625" style="95" hidden="1" customWidth="1"/>
    <col min="10402" max="10402" width="6.44140625" style="95" customWidth="1"/>
    <col min="10403" max="10407" width="11.44140625" style="95" hidden="1" customWidth="1"/>
    <col min="10408" max="10408" width="6.44140625" style="95" customWidth="1"/>
    <col min="10409" max="10410" width="11.44140625" style="95" hidden="1" customWidth="1"/>
    <col min="10411" max="10411" width="7.5546875" style="95" customWidth="1"/>
    <col min="10412" max="10412" width="11.44140625" style="95" hidden="1" customWidth="1"/>
    <col min="10413" max="10413" width="9.44140625" style="95" customWidth="1"/>
    <col min="10414" max="10414" width="11.44140625" style="95" hidden="1" customWidth="1"/>
    <col min="10415" max="10415" width="9" style="95" customWidth="1"/>
    <col min="10416" max="10417" width="11.44140625" style="95" hidden="1" customWidth="1"/>
    <col min="10418" max="10418" width="8.5546875" style="95" customWidth="1"/>
    <col min="10419" max="10420" width="11.44140625" style="95" hidden="1" customWidth="1"/>
    <col min="10421" max="10421" width="6.44140625" style="95" customWidth="1"/>
    <col min="10422" max="10423" width="11.44140625" style="95" hidden="1" customWidth="1"/>
    <col min="10424" max="10424" width="7" style="95" customWidth="1"/>
    <col min="10425" max="10426" width="11.44140625" style="95" hidden="1" customWidth="1"/>
    <col min="10427" max="10429" width="7" style="95" customWidth="1"/>
    <col min="10430" max="10431" width="11.44140625" style="95" hidden="1" customWidth="1"/>
    <col min="10432" max="10432" width="7.5546875" style="95" customWidth="1"/>
    <col min="10433" max="10434" width="11.44140625" style="95" hidden="1" customWidth="1"/>
    <col min="10435" max="10435" width="7" style="95" customWidth="1"/>
    <col min="10436" max="10437" width="11.44140625" style="95" hidden="1" customWidth="1"/>
    <col min="10438" max="10438" width="7" style="95" customWidth="1"/>
    <col min="10439" max="10440" width="11.44140625" style="95" hidden="1" customWidth="1"/>
    <col min="10441" max="10441" width="7" style="95" customWidth="1"/>
    <col min="10442" max="10442" width="11.44140625" style="95" hidden="1" customWidth="1"/>
    <col min="10443" max="10443" width="6.44140625" style="95" customWidth="1"/>
    <col min="10444" max="10453" width="11.44140625" style="95" hidden="1" customWidth="1"/>
    <col min="10454" max="10488" width="11.44140625" style="95" hidden="1"/>
    <col min="10489" max="10489" width="41.44140625" style="95" customWidth="1"/>
    <col min="10490" max="10490" width="6.44140625" style="95" customWidth="1"/>
    <col min="10491" max="10491" width="14.6640625" style="95" customWidth="1"/>
    <col min="10492" max="10492" width="11.44140625" style="95" customWidth="1"/>
    <col min="10493" max="10493" width="13" style="95" customWidth="1"/>
    <col min="10494" max="10494" width="25.44140625" style="95" customWidth="1"/>
    <col min="10495" max="10504" width="9.44140625" style="95" customWidth="1"/>
    <col min="10505" max="10505" width="8.88671875" style="95" customWidth="1"/>
    <col min="10506" max="10506" width="9.44140625" style="95" customWidth="1"/>
    <col min="10507" max="10512" width="10.109375" style="95" customWidth="1"/>
    <col min="10513" max="10513" width="6.44140625" style="95" customWidth="1"/>
    <col min="10514" max="10514" width="6.88671875" style="95" customWidth="1"/>
    <col min="10515" max="10516" width="6.5546875" style="95" customWidth="1"/>
    <col min="10517" max="10517" width="6.33203125" style="95" customWidth="1"/>
    <col min="10518" max="10518" width="7.5546875" style="95" customWidth="1"/>
    <col min="10519" max="10519" width="14.5546875" style="95" customWidth="1"/>
    <col min="10520" max="10521" width="11.44140625" style="95" customWidth="1"/>
    <col min="10522" max="10522" width="56.88671875" style="95" customWidth="1"/>
    <col min="10523" max="10523" width="9.109375" style="95" bestFit="1" customWidth="1"/>
    <col min="10524" max="10524" width="26.6640625" style="95" customWidth="1"/>
    <col min="10525" max="10525" width="22.88671875" style="95" customWidth="1"/>
    <col min="10526" max="10526" width="14.6640625" style="95" customWidth="1"/>
    <col min="10527" max="10527" width="5" style="95" customWidth="1"/>
    <col min="10528" max="10529" width="11.44140625" style="95" hidden="1" customWidth="1"/>
    <col min="10530" max="10530" width="5" style="95" customWidth="1"/>
    <col min="10531" max="10532" width="11.44140625" style="95" hidden="1" customWidth="1"/>
    <col min="10533" max="10533" width="5" style="95" customWidth="1"/>
    <col min="10534" max="10535" width="11.44140625" style="95" hidden="1" customWidth="1"/>
    <col min="10536" max="10536" width="5" style="95" customWidth="1"/>
    <col min="10537" max="10538" width="11.44140625" style="95" hidden="1" customWidth="1"/>
    <col min="10539" max="10539" width="5" style="95" customWidth="1"/>
    <col min="10540" max="10541" width="11.44140625" style="95" hidden="1" customWidth="1"/>
    <col min="10542" max="10542" width="5" style="95" customWidth="1"/>
    <col min="10543" max="10544" width="11.44140625" style="95" hidden="1" customWidth="1"/>
    <col min="10545" max="10545" width="6.44140625" style="95" customWidth="1"/>
    <col min="10546" max="10553" width="11.44140625" style="95" hidden="1" customWidth="1"/>
    <col min="10554" max="10554" width="6.88671875" style="95" customWidth="1"/>
    <col min="10555" max="10556" width="11.44140625" style="95" hidden="1" customWidth="1"/>
    <col min="10557" max="10557" width="6.44140625" style="95" customWidth="1"/>
    <col min="10558" max="10559" width="11.44140625" style="95" hidden="1" customWidth="1"/>
    <col min="10560" max="10560" width="5.44140625" style="95" customWidth="1"/>
    <col min="10561" max="10562" width="11.44140625" style="95" hidden="1" customWidth="1"/>
    <col min="10563" max="10563" width="4.88671875" style="95" customWidth="1"/>
    <col min="10564" max="10568" width="11.44140625" style="95" hidden="1" customWidth="1"/>
    <col min="10569" max="10569" width="8.44140625" style="95" customWidth="1"/>
    <col min="10570" max="10571" width="11.44140625" style="95" hidden="1" customWidth="1"/>
    <col min="10572" max="10572" width="5.44140625" style="95" customWidth="1"/>
    <col min="10573" max="10574" width="11.44140625" style="95" hidden="1" customWidth="1"/>
    <col min="10575" max="10575" width="8.44140625" style="95" customWidth="1"/>
    <col min="10576" max="10577" width="11.44140625" style="95" hidden="1" customWidth="1"/>
    <col min="10578" max="10578" width="5.88671875" style="95" customWidth="1"/>
    <col min="10579" max="10580" width="11.44140625" style="95" hidden="1" customWidth="1"/>
    <col min="10581" max="10581" width="5.44140625" style="95" customWidth="1"/>
    <col min="10582" max="10583" width="11.44140625" style="95" hidden="1" customWidth="1"/>
    <col min="10584" max="10584" width="5.44140625" style="95" customWidth="1"/>
    <col min="10585" max="10586" width="11.44140625" style="95" hidden="1" customWidth="1"/>
    <col min="10587" max="10587" width="6" style="95" customWidth="1"/>
    <col min="10588" max="10592" width="11.44140625" style="95" hidden="1" customWidth="1"/>
    <col min="10593" max="10593" width="5" style="95" customWidth="1"/>
    <col min="10594" max="10601" width="11.44140625" style="95" hidden="1" customWidth="1"/>
    <col min="10602" max="10602" width="5" style="95" customWidth="1"/>
    <col min="10603" max="10603" width="11.44140625" style="95" hidden="1" customWidth="1"/>
    <col min="10604" max="10604" width="5" style="95" customWidth="1"/>
    <col min="10605" max="10605" width="9.44140625" style="95" customWidth="1"/>
    <col min="10606" max="10606" width="11.44140625" style="95" hidden="1" customWidth="1"/>
    <col min="10607" max="10607" width="5" style="95" customWidth="1"/>
    <col min="10608" max="10609" width="11.44140625" style="95" hidden="1" customWidth="1"/>
    <col min="10610" max="10610" width="5" style="95" customWidth="1"/>
    <col min="10611" max="10612" width="11.44140625" style="95" hidden="1" customWidth="1"/>
    <col min="10613" max="10613" width="5" style="95" customWidth="1"/>
    <col min="10614" max="10615" width="11.44140625" style="95" hidden="1" customWidth="1"/>
    <col min="10616" max="10616" width="5" style="95" customWidth="1"/>
    <col min="10617" max="10618" width="11.44140625" style="95" hidden="1" customWidth="1"/>
    <col min="10619" max="10619" width="5" style="95" customWidth="1"/>
    <col min="10620" max="10621" width="11.44140625" style="95" hidden="1" customWidth="1"/>
    <col min="10622" max="10622" width="5" style="95" customWidth="1"/>
    <col min="10623" max="10623" width="11.44140625" style="95" hidden="1" customWidth="1"/>
    <col min="10624" max="10624" width="6.44140625" style="95" customWidth="1"/>
    <col min="10625" max="10625" width="11.44140625" style="95" hidden="1" customWidth="1"/>
    <col min="10626" max="10626" width="7.109375" style="95" customWidth="1"/>
    <col min="10627" max="10628" width="11.44140625" style="95" hidden="1" customWidth="1"/>
    <col min="10629" max="10629" width="7.109375" style="95" customWidth="1"/>
    <col min="10630" max="10631" width="11.44140625" style="95" hidden="1" customWidth="1"/>
    <col min="10632" max="10632" width="7.109375" style="95" customWidth="1"/>
    <col min="10633" max="10634" width="11.44140625" style="95" hidden="1" customWidth="1"/>
    <col min="10635" max="10635" width="7.109375" style="95" customWidth="1"/>
    <col min="10636" max="10637" width="11.44140625" style="95" hidden="1" customWidth="1"/>
    <col min="10638" max="10638" width="7.109375" style="95" customWidth="1"/>
    <col min="10639" max="10640" width="11.44140625" style="95" hidden="1" customWidth="1"/>
    <col min="10641" max="10641" width="7.109375" style="95" customWidth="1"/>
    <col min="10642" max="10643" width="11.44140625" style="95" hidden="1" customWidth="1"/>
    <col min="10644" max="10644" width="7.109375" style="95" customWidth="1"/>
    <col min="10645" max="10646" width="11.44140625" style="95" hidden="1" customWidth="1"/>
    <col min="10647" max="10647" width="7.109375" style="95" customWidth="1"/>
    <col min="10648" max="10648" width="11.44140625" style="95" hidden="1" customWidth="1"/>
    <col min="10649" max="10649" width="6.44140625" style="95" customWidth="1"/>
    <col min="10650" max="10651" width="11.44140625" style="95" hidden="1" customWidth="1"/>
    <col min="10652" max="10652" width="6.88671875" style="95" customWidth="1"/>
    <col min="10653" max="10654" width="11.44140625" style="95" hidden="1" customWidth="1"/>
    <col min="10655" max="10655" width="6.88671875" style="95" customWidth="1"/>
    <col min="10656" max="10657" width="11.44140625" style="95" hidden="1" customWidth="1"/>
    <col min="10658" max="10658" width="6.44140625" style="95" customWidth="1"/>
    <col min="10659" max="10663" width="11.44140625" style="95" hidden="1" customWidth="1"/>
    <col min="10664" max="10664" width="6.44140625" style="95" customWidth="1"/>
    <col min="10665" max="10666" width="11.44140625" style="95" hidden="1" customWidth="1"/>
    <col min="10667" max="10667" width="7.5546875" style="95" customWidth="1"/>
    <col min="10668" max="10668" width="11.44140625" style="95" hidden="1" customWidth="1"/>
    <col min="10669" max="10669" width="9.44140625" style="95" customWidth="1"/>
    <col min="10670" max="10670" width="11.44140625" style="95" hidden="1" customWidth="1"/>
    <col min="10671" max="10671" width="9" style="95" customWidth="1"/>
    <col min="10672" max="10673" width="11.44140625" style="95" hidden="1" customWidth="1"/>
    <col min="10674" max="10674" width="8.5546875" style="95" customWidth="1"/>
    <col min="10675" max="10676" width="11.44140625" style="95" hidden="1" customWidth="1"/>
    <col min="10677" max="10677" width="6.44140625" style="95" customWidth="1"/>
    <col min="10678" max="10679" width="11.44140625" style="95" hidden="1" customWidth="1"/>
    <col min="10680" max="10680" width="7" style="95" customWidth="1"/>
    <col min="10681" max="10682" width="11.44140625" style="95" hidden="1" customWidth="1"/>
    <col min="10683" max="10685" width="7" style="95" customWidth="1"/>
    <col min="10686" max="10687" width="11.44140625" style="95" hidden="1" customWidth="1"/>
    <col min="10688" max="10688" width="7.5546875" style="95" customWidth="1"/>
    <col min="10689" max="10690" width="11.44140625" style="95" hidden="1" customWidth="1"/>
    <col min="10691" max="10691" width="7" style="95" customWidth="1"/>
    <col min="10692" max="10693" width="11.44140625" style="95" hidden="1" customWidth="1"/>
    <col min="10694" max="10694" width="7" style="95" customWidth="1"/>
    <col min="10695" max="10696" width="11.44140625" style="95" hidden="1" customWidth="1"/>
    <col min="10697" max="10697" width="7" style="95" customWidth="1"/>
    <col min="10698" max="10698" width="11.44140625" style="95" hidden="1" customWidth="1"/>
    <col min="10699" max="10699" width="6.44140625" style="95" customWidth="1"/>
    <col min="10700" max="10709" width="11.44140625" style="95" hidden="1" customWidth="1"/>
    <col min="10710" max="10744" width="11.44140625" style="95" hidden="1"/>
    <col min="10745" max="10745" width="41.44140625" style="95" customWidth="1"/>
    <col min="10746" max="10746" width="6.44140625" style="95" customWidth="1"/>
    <col min="10747" max="10747" width="14.6640625" style="95" customWidth="1"/>
    <col min="10748" max="10748" width="11.44140625" style="95" customWidth="1"/>
    <col min="10749" max="10749" width="13" style="95" customWidth="1"/>
    <col min="10750" max="10750" width="25.44140625" style="95" customWidth="1"/>
    <col min="10751" max="10760" width="9.44140625" style="95" customWidth="1"/>
    <col min="10761" max="10761" width="8.88671875" style="95" customWidth="1"/>
    <col min="10762" max="10762" width="9.44140625" style="95" customWidth="1"/>
    <col min="10763" max="10768" width="10.109375" style="95" customWidth="1"/>
    <col min="10769" max="10769" width="6.44140625" style="95" customWidth="1"/>
    <col min="10770" max="10770" width="6.88671875" style="95" customWidth="1"/>
    <col min="10771" max="10772" width="6.5546875" style="95" customWidth="1"/>
    <col min="10773" max="10773" width="6.33203125" style="95" customWidth="1"/>
    <col min="10774" max="10774" width="7.5546875" style="95" customWidth="1"/>
    <col min="10775" max="10775" width="14.5546875" style="95" customWidth="1"/>
    <col min="10776" max="10777" width="11.44140625" style="95" customWidth="1"/>
    <col min="10778" max="10778" width="56.88671875" style="95" customWidth="1"/>
    <col min="10779" max="10779" width="9.109375" style="95" bestFit="1" customWidth="1"/>
    <col min="10780" max="10780" width="26.6640625" style="95" customWidth="1"/>
    <col min="10781" max="10781" width="22.88671875" style="95" customWidth="1"/>
    <col min="10782" max="10782" width="14.6640625" style="95" customWidth="1"/>
    <col min="10783" max="10783" width="5" style="95" customWidth="1"/>
    <col min="10784" max="10785" width="11.44140625" style="95" hidden="1" customWidth="1"/>
    <col min="10786" max="10786" width="5" style="95" customWidth="1"/>
    <col min="10787" max="10788" width="11.44140625" style="95" hidden="1" customWidth="1"/>
    <col min="10789" max="10789" width="5" style="95" customWidth="1"/>
    <col min="10790" max="10791" width="11.44140625" style="95" hidden="1" customWidth="1"/>
    <col min="10792" max="10792" width="5" style="95" customWidth="1"/>
    <col min="10793" max="10794" width="11.44140625" style="95" hidden="1" customWidth="1"/>
    <col min="10795" max="10795" width="5" style="95" customWidth="1"/>
    <col min="10796" max="10797" width="11.44140625" style="95" hidden="1" customWidth="1"/>
    <col min="10798" max="10798" width="5" style="95" customWidth="1"/>
    <col min="10799" max="10800" width="11.44140625" style="95" hidden="1" customWidth="1"/>
    <col min="10801" max="10801" width="6.44140625" style="95" customWidth="1"/>
    <col min="10802" max="10809" width="11.44140625" style="95" hidden="1" customWidth="1"/>
    <col min="10810" max="10810" width="6.88671875" style="95" customWidth="1"/>
    <col min="10811" max="10812" width="11.44140625" style="95" hidden="1" customWidth="1"/>
    <col min="10813" max="10813" width="6.44140625" style="95" customWidth="1"/>
    <col min="10814" max="10815" width="11.44140625" style="95" hidden="1" customWidth="1"/>
    <col min="10816" max="10816" width="5.44140625" style="95" customWidth="1"/>
    <col min="10817" max="10818" width="11.44140625" style="95" hidden="1" customWidth="1"/>
    <col min="10819" max="10819" width="4.88671875" style="95" customWidth="1"/>
    <col min="10820" max="10824" width="11.44140625" style="95" hidden="1" customWidth="1"/>
    <col min="10825" max="10825" width="8.44140625" style="95" customWidth="1"/>
    <col min="10826" max="10827" width="11.44140625" style="95" hidden="1" customWidth="1"/>
    <col min="10828" max="10828" width="5.44140625" style="95" customWidth="1"/>
    <col min="10829" max="10830" width="11.44140625" style="95" hidden="1" customWidth="1"/>
    <col min="10831" max="10831" width="8.44140625" style="95" customWidth="1"/>
    <col min="10832" max="10833" width="11.44140625" style="95" hidden="1" customWidth="1"/>
    <col min="10834" max="10834" width="5.88671875" style="95" customWidth="1"/>
    <col min="10835" max="10836" width="11.44140625" style="95" hidden="1" customWidth="1"/>
    <col min="10837" max="10837" width="5.44140625" style="95" customWidth="1"/>
    <col min="10838" max="10839" width="11.44140625" style="95" hidden="1" customWidth="1"/>
    <col min="10840" max="10840" width="5.44140625" style="95" customWidth="1"/>
    <col min="10841" max="10842" width="11.44140625" style="95" hidden="1" customWidth="1"/>
    <col min="10843" max="10843" width="6" style="95" customWidth="1"/>
    <col min="10844" max="10848" width="11.44140625" style="95" hidden="1" customWidth="1"/>
    <col min="10849" max="10849" width="5" style="95" customWidth="1"/>
    <col min="10850" max="10857" width="11.44140625" style="95" hidden="1" customWidth="1"/>
    <col min="10858" max="10858" width="5" style="95" customWidth="1"/>
    <col min="10859" max="10859" width="11.44140625" style="95" hidden="1" customWidth="1"/>
    <col min="10860" max="10860" width="5" style="95" customWidth="1"/>
    <col min="10861" max="10861" width="9.44140625" style="95" customWidth="1"/>
    <col min="10862" max="10862" width="11.44140625" style="95" hidden="1" customWidth="1"/>
    <col min="10863" max="10863" width="5" style="95" customWidth="1"/>
    <col min="10864" max="10865" width="11.44140625" style="95" hidden="1" customWidth="1"/>
    <col min="10866" max="10866" width="5" style="95" customWidth="1"/>
    <col min="10867" max="10868" width="11.44140625" style="95" hidden="1" customWidth="1"/>
    <col min="10869" max="10869" width="5" style="95" customWidth="1"/>
    <col min="10870" max="10871" width="11.44140625" style="95" hidden="1" customWidth="1"/>
    <col min="10872" max="10872" width="5" style="95" customWidth="1"/>
    <col min="10873" max="10874" width="11.44140625" style="95" hidden="1" customWidth="1"/>
    <col min="10875" max="10875" width="5" style="95" customWidth="1"/>
    <col min="10876" max="10877" width="11.44140625" style="95" hidden="1" customWidth="1"/>
    <col min="10878" max="10878" width="5" style="95" customWidth="1"/>
    <col min="10879" max="10879" width="11.44140625" style="95" hidden="1" customWidth="1"/>
    <col min="10880" max="10880" width="6.44140625" style="95" customWidth="1"/>
    <col min="10881" max="10881" width="11.44140625" style="95" hidden="1" customWidth="1"/>
    <col min="10882" max="10882" width="7.109375" style="95" customWidth="1"/>
    <col min="10883" max="10884" width="11.44140625" style="95" hidden="1" customWidth="1"/>
    <col min="10885" max="10885" width="7.109375" style="95" customWidth="1"/>
    <col min="10886" max="10887" width="11.44140625" style="95" hidden="1" customWidth="1"/>
    <col min="10888" max="10888" width="7.109375" style="95" customWidth="1"/>
    <col min="10889" max="10890" width="11.44140625" style="95" hidden="1" customWidth="1"/>
    <col min="10891" max="10891" width="7.109375" style="95" customWidth="1"/>
    <col min="10892" max="10893" width="11.44140625" style="95" hidden="1" customWidth="1"/>
    <col min="10894" max="10894" width="7.109375" style="95" customWidth="1"/>
    <col min="10895" max="10896" width="11.44140625" style="95" hidden="1" customWidth="1"/>
    <col min="10897" max="10897" width="7.109375" style="95" customWidth="1"/>
    <col min="10898" max="10899" width="11.44140625" style="95" hidden="1" customWidth="1"/>
    <col min="10900" max="10900" width="7.109375" style="95" customWidth="1"/>
    <col min="10901" max="10902" width="11.44140625" style="95" hidden="1" customWidth="1"/>
    <col min="10903" max="10903" width="7.109375" style="95" customWidth="1"/>
    <col min="10904" max="10904" width="11.44140625" style="95" hidden="1" customWidth="1"/>
    <col min="10905" max="10905" width="6.44140625" style="95" customWidth="1"/>
    <col min="10906" max="10907" width="11.44140625" style="95" hidden="1" customWidth="1"/>
    <col min="10908" max="10908" width="6.88671875" style="95" customWidth="1"/>
    <col min="10909" max="10910" width="11.44140625" style="95" hidden="1" customWidth="1"/>
    <col min="10911" max="10911" width="6.88671875" style="95" customWidth="1"/>
    <col min="10912" max="10913" width="11.44140625" style="95" hidden="1" customWidth="1"/>
    <col min="10914" max="10914" width="6.44140625" style="95" customWidth="1"/>
    <col min="10915" max="10919" width="11.44140625" style="95" hidden="1" customWidth="1"/>
    <col min="10920" max="10920" width="6.44140625" style="95" customWidth="1"/>
    <col min="10921" max="10922" width="11.44140625" style="95" hidden="1" customWidth="1"/>
    <col min="10923" max="10923" width="7.5546875" style="95" customWidth="1"/>
    <col min="10924" max="10924" width="11.44140625" style="95" hidden="1" customWidth="1"/>
    <col min="10925" max="10925" width="9.44140625" style="95" customWidth="1"/>
    <col min="10926" max="10926" width="11.44140625" style="95" hidden="1" customWidth="1"/>
    <col min="10927" max="10927" width="9" style="95" customWidth="1"/>
    <col min="10928" max="10929" width="11.44140625" style="95" hidden="1" customWidth="1"/>
    <col min="10930" max="10930" width="8.5546875" style="95" customWidth="1"/>
    <col min="10931" max="10932" width="11.44140625" style="95" hidden="1" customWidth="1"/>
    <col min="10933" max="10933" width="6.44140625" style="95" customWidth="1"/>
    <col min="10934" max="10935" width="11.44140625" style="95" hidden="1" customWidth="1"/>
    <col min="10936" max="10936" width="7" style="95" customWidth="1"/>
    <col min="10937" max="10938" width="11.44140625" style="95" hidden="1" customWidth="1"/>
    <col min="10939" max="10941" width="7" style="95" customWidth="1"/>
    <col min="10942" max="10943" width="11.44140625" style="95" hidden="1" customWidth="1"/>
    <col min="10944" max="10944" width="7.5546875" style="95" customWidth="1"/>
    <col min="10945" max="10946" width="11.44140625" style="95" hidden="1" customWidth="1"/>
    <col min="10947" max="10947" width="7" style="95" customWidth="1"/>
    <col min="10948" max="10949" width="11.44140625" style="95" hidden="1" customWidth="1"/>
    <col min="10950" max="10950" width="7" style="95" customWidth="1"/>
    <col min="10951" max="10952" width="11.44140625" style="95" hidden="1" customWidth="1"/>
    <col min="10953" max="10953" width="7" style="95" customWidth="1"/>
    <col min="10954" max="10954" width="11.44140625" style="95" hidden="1" customWidth="1"/>
    <col min="10955" max="10955" width="6.44140625" style="95" customWidth="1"/>
    <col min="10956" max="10965" width="11.44140625" style="95" hidden="1" customWidth="1"/>
    <col min="10966" max="11000" width="11.44140625" style="95" hidden="1"/>
    <col min="11001" max="11001" width="41.44140625" style="95" customWidth="1"/>
    <col min="11002" max="11002" width="6.44140625" style="95" customWidth="1"/>
    <col min="11003" max="11003" width="14.6640625" style="95" customWidth="1"/>
    <col min="11004" max="11004" width="11.44140625" style="95" customWidth="1"/>
    <col min="11005" max="11005" width="13" style="95" customWidth="1"/>
    <col min="11006" max="11006" width="25.44140625" style="95" customWidth="1"/>
    <col min="11007" max="11016" width="9.44140625" style="95" customWidth="1"/>
    <col min="11017" max="11017" width="8.88671875" style="95" customWidth="1"/>
    <col min="11018" max="11018" width="9.44140625" style="95" customWidth="1"/>
    <col min="11019" max="11024" width="10.109375" style="95" customWidth="1"/>
    <col min="11025" max="11025" width="6.44140625" style="95" customWidth="1"/>
    <col min="11026" max="11026" width="6.88671875" style="95" customWidth="1"/>
    <col min="11027" max="11028" width="6.5546875" style="95" customWidth="1"/>
    <col min="11029" max="11029" width="6.33203125" style="95" customWidth="1"/>
    <col min="11030" max="11030" width="7.5546875" style="95" customWidth="1"/>
    <col min="11031" max="11031" width="14.5546875" style="95" customWidth="1"/>
    <col min="11032" max="11033" width="11.44140625" style="95" customWidth="1"/>
    <col min="11034" max="11034" width="56.88671875" style="95" customWidth="1"/>
    <col min="11035" max="11035" width="9.109375" style="95" bestFit="1" customWidth="1"/>
    <col min="11036" max="11036" width="26.6640625" style="95" customWidth="1"/>
    <col min="11037" max="11037" width="22.88671875" style="95" customWidth="1"/>
    <col min="11038" max="11038" width="14.6640625" style="95" customWidth="1"/>
    <col min="11039" max="11039" width="5" style="95" customWidth="1"/>
    <col min="11040" max="11041" width="11.44140625" style="95" hidden="1" customWidth="1"/>
    <col min="11042" max="11042" width="5" style="95" customWidth="1"/>
    <col min="11043" max="11044" width="11.44140625" style="95" hidden="1" customWidth="1"/>
    <col min="11045" max="11045" width="5" style="95" customWidth="1"/>
    <col min="11046" max="11047" width="11.44140625" style="95" hidden="1" customWidth="1"/>
    <col min="11048" max="11048" width="5" style="95" customWidth="1"/>
    <col min="11049" max="11050" width="11.44140625" style="95" hidden="1" customWidth="1"/>
    <col min="11051" max="11051" width="5" style="95" customWidth="1"/>
    <col min="11052" max="11053" width="11.44140625" style="95" hidden="1" customWidth="1"/>
    <col min="11054" max="11054" width="5" style="95" customWidth="1"/>
    <col min="11055" max="11056" width="11.44140625" style="95" hidden="1" customWidth="1"/>
    <col min="11057" max="11057" width="6.44140625" style="95" customWidth="1"/>
    <col min="11058" max="11065" width="11.44140625" style="95" hidden="1" customWidth="1"/>
    <col min="11066" max="11066" width="6.88671875" style="95" customWidth="1"/>
    <col min="11067" max="11068" width="11.44140625" style="95" hidden="1" customWidth="1"/>
    <col min="11069" max="11069" width="6.44140625" style="95" customWidth="1"/>
    <col min="11070" max="11071" width="11.44140625" style="95" hidden="1" customWidth="1"/>
    <col min="11072" max="11072" width="5.44140625" style="95" customWidth="1"/>
    <col min="11073" max="11074" width="11.44140625" style="95" hidden="1" customWidth="1"/>
    <col min="11075" max="11075" width="4.88671875" style="95" customWidth="1"/>
    <col min="11076" max="11080" width="11.44140625" style="95" hidden="1" customWidth="1"/>
    <col min="11081" max="11081" width="8.44140625" style="95" customWidth="1"/>
    <col min="11082" max="11083" width="11.44140625" style="95" hidden="1" customWidth="1"/>
    <col min="11084" max="11084" width="5.44140625" style="95" customWidth="1"/>
    <col min="11085" max="11086" width="11.44140625" style="95" hidden="1" customWidth="1"/>
    <col min="11087" max="11087" width="8.44140625" style="95" customWidth="1"/>
    <col min="11088" max="11089" width="11.44140625" style="95" hidden="1" customWidth="1"/>
    <col min="11090" max="11090" width="5.88671875" style="95" customWidth="1"/>
    <col min="11091" max="11092" width="11.44140625" style="95" hidden="1" customWidth="1"/>
    <col min="11093" max="11093" width="5.44140625" style="95" customWidth="1"/>
    <col min="11094" max="11095" width="11.44140625" style="95" hidden="1" customWidth="1"/>
    <col min="11096" max="11096" width="5.44140625" style="95" customWidth="1"/>
    <col min="11097" max="11098" width="11.44140625" style="95" hidden="1" customWidth="1"/>
    <col min="11099" max="11099" width="6" style="95" customWidth="1"/>
    <col min="11100" max="11104" width="11.44140625" style="95" hidden="1" customWidth="1"/>
    <col min="11105" max="11105" width="5" style="95" customWidth="1"/>
    <col min="11106" max="11113" width="11.44140625" style="95" hidden="1" customWidth="1"/>
    <col min="11114" max="11114" width="5" style="95" customWidth="1"/>
    <col min="11115" max="11115" width="11.44140625" style="95" hidden="1" customWidth="1"/>
    <col min="11116" max="11116" width="5" style="95" customWidth="1"/>
    <col min="11117" max="11117" width="9.44140625" style="95" customWidth="1"/>
    <col min="11118" max="11118" width="11.44140625" style="95" hidden="1" customWidth="1"/>
    <col min="11119" max="11119" width="5" style="95" customWidth="1"/>
    <col min="11120" max="11121" width="11.44140625" style="95" hidden="1" customWidth="1"/>
    <col min="11122" max="11122" width="5" style="95" customWidth="1"/>
    <col min="11123" max="11124" width="11.44140625" style="95" hidden="1" customWidth="1"/>
    <col min="11125" max="11125" width="5" style="95" customWidth="1"/>
    <col min="11126" max="11127" width="11.44140625" style="95" hidden="1" customWidth="1"/>
    <col min="11128" max="11128" width="5" style="95" customWidth="1"/>
    <col min="11129" max="11130" width="11.44140625" style="95" hidden="1" customWidth="1"/>
    <col min="11131" max="11131" width="5" style="95" customWidth="1"/>
    <col min="11132" max="11133" width="11.44140625" style="95" hidden="1" customWidth="1"/>
    <col min="11134" max="11134" width="5" style="95" customWidth="1"/>
    <col min="11135" max="11135" width="11.44140625" style="95" hidden="1" customWidth="1"/>
    <col min="11136" max="11136" width="6.44140625" style="95" customWidth="1"/>
    <col min="11137" max="11137" width="11.44140625" style="95" hidden="1" customWidth="1"/>
    <col min="11138" max="11138" width="7.109375" style="95" customWidth="1"/>
    <col min="11139" max="11140" width="11.44140625" style="95" hidden="1" customWidth="1"/>
    <col min="11141" max="11141" width="7.109375" style="95" customWidth="1"/>
    <col min="11142" max="11143" width="11.44140625" style="95" hidden="1" customWidth="1"/>
    <col min="11144" max="11144" width="7.109375" style="95" customWidth="1"/>
    <col min="11145" max="11146" width="11.44140625" style="95" hidden="1" customWidth="1"/>
    <col min="11147" max="11147" width="7.109375" style="95" customWidth="1"/>
    <col min="11148" max="11149" width="11.44140625" style="95" hidden="1" customWidth="1"/>
    <col min="11150" max="11150" width="7.109375" style="95" customWidth="1"/>
    <col min="11151" max="11152" width="11.44140625" style="95" hidden="1" customWidth="1"/>
    <col min="11153" max="11153" width="7.109375" style="95" customWidth="1"/>
    <col min="11154" max="11155" width="11.44140625" style="95" hidden="1" customWidth="1"/>
    <col min="11156" max="11156" width="7.109375" style="95" customWidth="1"/>
    <col min="11157" max="11158" width="11.44140625" style="95" hidden="1" customWidth="1"/>
    <col min="11159" max="11159" width="7.109375" style="95" customWidth="1"/>
    <col min="11160" max="11160" width="11.44140625" style="95" hidden="1" customWidth="1"/>
    <col min="11161" max="11161" width="6.44140625" style="95" customWidth="1"/>
    <col min="11162" max="11163" width="11.44140625" style="95" hidden="1" customWidth="1"/>
    <col min="11164" max="11164" width="6.88671875" style="95" customWidth="1"/>
    <col min="11165" max="11166" width="11.44140625" style="95" hidden="1" customWidth="1"/>
    <col min="11167" max="11167" width="6.88671875" style="95" customWidth="1"/>
    <col min="11168" max="11169" width="11.44140625" style="95" hidden="1" customWidth="1"/>
    <col min="11170" max="11170" width="6.44140625" style="95" customWidth="1"/>
    <col min="11171" max="11175" width="11.44140625" style="95" hidden="1" customWidth="1"/>
    <col min="11176" max="11176" width="6.44140625" style="95" customWidth="1"/>
    <col min="11177" max="11178" width="11.44140625" style="95" hidden="1" customWidth="1"/>
    <col min="11179" max="11179" width="7.5546875" style="95" customWidth="1"/>
    <col min="11180" max="11180" width="11.44140625" style="95" hidden="1" customWidth="1"/>
    <col min="11181" max="11181" width="9.44140625" style="95" customWidth="1"/>
    <col min="11182" max="11182" width="11.44140625" style="95" hidden="1" customWidth="1"/>
    <col min="11183" max="11183" width="9" style="95" customWidth="1"/>
    <col min="11184" max="11185" width="11.44140625" style="95" hidden="1" customWidth="1"/>
    <col min="11186" max="11186" width="8.5546875" style="95" customWidth="1"/>
    <col min="11187" max="11188" width="11.44140625" style="95" hidden="1" customWidth="1"/>
    <col min="11189" max="11189" width="6.44140625" style="95" customWidth="1"/>
    <col min="11190" max="11191" width="11.44140625" style="95" hidden="1" customWidth="1"/>
    <col min="11192" max="11192" width="7" style="95" customWidth="1"/>
    <col min="11193" max="11194" width="11.44140625" style="95" hidden="1" customWidth="1"/>
    <col min="11195" max="11197" width="7" style="95" customWidth="1"/>
    <col min="11198" max="11199" width="11.44140625" style="95" hidden="1" customWidth="1"/>
    <col min="11200" max="11200" width="7.5546875" style="95" customWidth="1"/>
    <col min="11201" max="11202" width="11.44140625" style="95" hidden="1" customWidth="1"/>
    <col min="11203" max="11203" width="7" style="95" customWidth="1"/>
    <col min="11204" max="11205" width="11.44140625" style="95" hidden="1" customWidth="1"/>
    <col min="11206" max="11206" width="7" style="95" customWidth="1"/>
    <col min="11207" max="11208" width="11.44140625" style="95" hidden="1" customWidth="1"/>
    <col min="11209" max="11209" width="7" style="95" customWidth="1"/>
    <col min="11210" max="11210" width="11.44140625" style="95" hidden="1" customWidth="1"/>
    <col min="11211" max="11211" width="6.44140625" style="95" customWidth="1"/>
    <col min="11212" max="11221" width="11.44140625" style="95" hidden="1" customWidth="1"/>
    <col min="11222" max="11256" width="11.44140625" style="95" hidden="1"/>
    <col min="11257" max="11257" width="41.44140625" style="95" customWidth="1"/>
    <col min="11258" max="11258" width="6.44140625" style="95" customWidth="1"/>
    <col min="11259" max="11259" width="14.6640625" style="95" customWidth="1"/>
    <col min="11260" max="11260" width="11.44140625" style="95" customWidth="1"/>
    <col min="11261" max="11261" width="13" style="95" customWidth="1"/>
    <col min="11262" max="11262" width="25.44140625" style="95" customWidth="1"/>
    <col min="11263" max="11272" width="9.44140625" style="95" customWidth="1"/>
    <col min="11273" max="11273" width="8.88671875" style="95" customWidth="1"/>
    <col min="11274" max="11274" width="9.44140625" style="95" customWidth="1"/>
    <col min="11275" max="11280" width="10.109375" style="95" customWidth="1"/>
    <col min="11281" max="11281" width="6.44140625" style="95" customWidth="1"/>
    <col min="11282" max="11282" width="6.88671875" style="95" customWidth="1"/>
    <col min="11283" max="11284" width="6.5546875" style="95" customWidth="1"/>
    <col min="11285" max="11285" width="6.33203125" style="95" customWidth="1"/>
    <col min="11286" max="11286" width="7.5546875" style="95" customWidth="1"/>
    <col min="11287" max="11287" width="14.5546875" style="95" customWidth="1"/>
    <col min="11288" max="11289" width="11.44140625" style="95" customWidth="1"/>
    <col min="11290" max="11290" width="56.88671875" style="95" customWidth="1"/>
    <col min="11291" max="11291" width="9.109375" style="95" bestFit="1" customWidth="1"/>
    <col min="11292" max="11292" width="26.6640625" style="95" customWidth="1"/>
    <col min="11293" max="11293" width="22.88671875" style="95" customWidth="1"/>
    <col min="11294" max="11294" width="14.6640625" style="95" customWidth="1"/>
    <col min="11295" max="11295" width="5" style="95" customWidth="1"/>
    <col min="11296" max="11297" width="11.44140625" style="95" hidden="1" customWidth="1"/>
    <col min="11298" max="11298" width="5" style="95" customWidth="1"/>
    <col min="11299" max="11300" width="11.44140625" style="95" hidden="1" customWidth="1"/>
    <col min="11301" max="11301" width="5" style="95" customWidth="1"/>
    <col min="11302" max="11303" width="11.44140625" style="95" hidden="1" customWidth="1"/>
    <col min="11304" max="11304" width="5" style="95" customWidth="1"/>
    <col min="11305" max="11306" width="11.44140625" style="95" hidden="1" customWidth="1"/>
    <col min="11307" max="11307" width="5" style="95" customWidth="1"/>
    <col min="11308" max="11309" width="11.44140625" style="95" hidden="1" customWidth="1"/>
    <col min="11310" max="11310" width="5" style="95" customWidth="1"/>
    <col min="11311" max="11312" width="11.44140625" style="95" hidden="1" customWidth="1"/>
    <col min="11313" max="11313" width="6.44140625" style="95" customWidth="1"/>
    <col min="11314" max="11321" width="11.44140625" style="95" hidden="1" customWidth="1"/>
    <col min="11322" max="11322" width="6.88671875" style="95" customWidth="1"/>
    <col min="11323" max="11324" width="11.44140625" style="95" hidden="1" customWidth="1"/>
    <col min="11325" max="11325" width="6.44140625" style="95" customWidth="1"/>
    <col min="11326" max="11327" width="11.44140625" style="95" hidden="1" customWidth="1"/>
    <col min="11328" max="11328" width="5.44140625" style="95" customWidth="1"/>
    <col min="11329" max="11330" width="11.44140625" style="95" hidden="1" customWidth="1"/>
    <col min="11331" max="11331" width="4.88671875" style="95" customWidth="1"/>
    <col min="11332" max="11336" width="11.44140625" style="95" hidden="1" customWidth="1"/>
    <col min="11337" max="11337" width="8.44140625" style="95" customWidth="1"/>
    <col min="11338" max="11339" width="11.44140625" style="95" hidden="1" customWidth="1"/>
    <col min="11340" max="11340" width="5.44140625" style="95" customWidth="1"/>
    <col min="11341" max="11342" width="11.44140625" style="95" hidden="1" customWidth="1"/>
    <col min="11343" max="11343" width="8.44140625" style="95" customWidth="1"/>
    <col min="11344" max="11345" width="11.44140625" style="95" hidden="1" customWidth="1"/>
    <col min="11346" max="11346" width="5.88671875" style="95" customWidth="1"/>
    <col min="11347" max="11348" width="11.44140625" style="95" hidden="1" customWidth="1"/>
    <col min="11349" max="11349" width="5.44140625" style="95" customWidth="1"/>
    <col min="11350" max="11351" width="11.44140625" style="95" hidden="1" customWidth="1"/>
    <col min="11352" max="11352" width="5.44140625" style="95" customWidth="1"/>
    <col min="11353" max="11354" width="11.44140625" style="95" hidden="1" customWidth="1"/>
    <col min="11355" max="11355" width="6" style="95" customWidth="1"/>
    <col min="11356" max="11360" width="11.44140625" style="95" hidden="1" customWidth="1"/>
    <col min="11361" max="11361" width="5" style="95" customWidth="1"/>
    <col min="11362" max="11369" width="11.44140625" style="95" hidden="1" customWidth="1"/>
    <col min="11370" max="11370" width="5" style="95" customWidth="1"/>
    <col min="11371" max="11371" width="11.44140625" style="95" hidden="1" customWidth="1"/>
    <col min="11372" max="11372" width="5" style="95" customWidth="1"/>
    <col min="11373" max="11373" width="9.44140625" style="95" customWidth="1"/>
    <col min="11374" max="11374" width="11.44140625" style="95" hidden="1" customWidth="1"/>
    <col min="11375" max="11375" width="5" style="95" customWidth="1"/>
    <col min="11376" max="11377" width="11.44140625" style="95" hidden="1" customWidth="1"/>
    <col min="11378" max="11378" width="5" style="95" customWidth="1"/>
    <col min="11379" max="11380" width="11.44140625" style="95" hidden="1" customWidth="1"/>
    <col min="11381" max="11381" width="5" style="95" customWidth="1"/>
    <col min="11382" max="11383" width="11.44140625" style="95" hidden="1" customWidth="1"/>
    <col min="11384" max="11384" width="5" style="95" customWidth="1"/>
    <col min="11385" max="11386" width="11.44140625" style="95" hidden="1" customWidth="1"/>
    <col min="11387" max="11387" width="5" style="95" customWidth="1"/>
    <col min="11388" max="11389" width="11.44140625" style="95" hidden="1" customWidth="1"/>
    <col min="11390" max="11390" width="5" style="95" customWidth="1"/>
    <col min="11391" max="11391" width="11.44140625" style="95" hidden="1" customWidth="1"/>
    <col min="11392" max="11392" width="6.44140625" style="95" customWidth="1"/>
    <col min="11393" max="11393" width="11.44140625" style="95" hidden="1" customWidth="1"/>
    <col min="11394" max="11394" width="7.109375" style="95" customWidth="1"/>
    <col min="11395" max="11396" width="11.44140625" style="95" hidden="1" customWidth="1"/>
    <col min="11397" max="11397" width="7.109375" style="95" customWidth="1"/>
    <col min="11398" max="11399" width="11.44140625" style="95" hidden="1" customWidth="1"/>
    <col min="11400" max="11400" width="7.109375" style="95" customWidth="1"/>
    <col min="11401" max="11402" width="11.44140625" style="95" hidden="1" customWidth="1"/>
    <col min="11403" max="11403" width="7.109375" style="95" customWidth="1"/>
    <col min="11404" max="11405" width="11.44140625" style="95" hidden="1" customWidth="1"/>
    <col min="11406" max="11406" width="7.109375" style="95" customWidth="1"/>
    <col min="11407" max="11408" width="11.44140625" style="95" hidden="1" customWidth="1"/>
    <col min="11409" max="11409" width="7.109375" style="95" customWidth="1"/>
    <col min="11410" max="11411" width="11.44140625" style="95" hidden="1" customWidth="1"/>
    <col min="11412" max="11412" width="7.109375" style="95" customWidth="1"/>
    <col min="11413" max="11414" width="11.44140625" style="95" hidden="1" customWidth="1"/>
    <col min="11415" max="11415" width="7.109375" style="95" customWidth="1"/>
    <col min="11416" max="11416" width="11.44140625" style="95" hidden="1" customWidth="1"/>
    <col min="11417" max="11417" width="6.44140625" style="95" customWidth="1"/>
    <col min="11418" max="11419" width="11.44140625" style="95" hidden="1" customWidth="1"/>
    <col min="11420" max="11420" width="6.88671875" style="95" customWidth="1"/>
    <col min="11421" max="11422" width="11.44140625" style="95" hidden="1" customWidth="1"/>
    <col min="11423" max="11423" width="6.88671875" style="95" customWidth="1"/>
    <col min="11424" max="11425" width="11.44140625" style="95" hidden="1" customWidth="1"/>
    <col min="11426" max="11426" width="6.44140625" style="95" customWidth="1"/>
    <col min="11427" max="11431" width="11.44140625" style="95" hidden="1" customWidth="1"/>
    <col min="11432" max="11432" width="6.44140625" style="95" customWidth="1"/>
    <col min="11433" max="11434" width="11.44140625" style="95" hidden="1" customWidth="1"/>
    <col min="11435" max="11435" width="7.5546875" style="95" customWidth="1"/>
    <col min="11436" max="11436" width="11.44140625" style="95" hidden="1" customWidth="1"/>
    <col min="11437" max="11437" width="9.44140625" style="95" customWidth="1"/>
    <col min="11438" max="11438" width="11.44140625" style="95" hidden="1" customWidth="1"/>
    <col min="11439" max="11439" width="9" style="95" customWidth="1"/>
    <col min="11440" max="11441" width="11.44140625" style="95" hidden="1" customWidth="1"/>
    <col min="11442" max="11442" width="8.5546875" style="95" customWidth="1"/>
    <col min="11443" max="11444" width="11.44140625" style="95" hidden="1" customWidth="1"/>
    <col min="11445" max="11445" width="6.44140625" style="95" customWidth="1"/>
    <col min="11446" max="11447" width="11.44140625" style="95" hidden="1" customWidth="1"/>
    <col min="11448" max="11448" width="7" style="95" customWidth="1"/>
    <col min="11449" max="11450" width="11.44140625" style="95" hidden="1" customWidth="1"/>
    <col min="11451" max="11453" width="7" style="95" customWidth="1"/>
    <col min="11454" max="11455" width="11.44140625" style="95" hidden="1" customWidth="1"/>
    <col min="11456" max="11456" width="7.5546875" style="95" customWidth="1"/>
    <col min="11457" max="11458" width="11.44140625" style="95" hidden="1" customWidth="1"/>
    <col min="11459" max="11459" width="7" style="95" customWidth="1"/>
    <col min="11460" max="11461" width="11.44140625" style="95" hidden="1" customWidth="1"/>
    <col min="11462" max="11462" width="7" style="95" customWidth="1"/>
    <col min="11463" max="11464" width="11.44140625" style="95" hidden="1" customWidth="1"/>
    <col min="11465" max="11465" width="7" style="95" customWidth="1"/>
    <col min="11466" max="11466" width="11.44140625" style="95" hidden="1" customWidth="1"/>
    <col min="11467" max="11467" width="6.44140625" style="95" customWidth="1"/>
    <col min="11468" max="11477" width="11.44140625" style="95" hidden="1" customWidth="1"/>
    <col min="11478" max="11512" width="11.44140625" style="95" hidden="1"/>
    <col min="11513" max="11513" width="41.44140625" style="95" customWidth="1"/>
    <col min="11514" max="11514" width="6.44140625" style="95" customWidth="1"/>
    <col min="11515" max="11515" width="14.6640625" style="95" customWidth="1"/>
    <col min="11516" max="11516" width="11.44140625" style="95" customWidth="1"/>
    <col min="11517" max="11517" width="13" style="95" customWidth="1"/>
    <col min="11518" max="11518" width="25.44140625" style="95" customWidth="1"/>
    <col min="11519" max="11528" width="9.44140625" style="95" customWidth="1"/>
    <col min="11529" max="11529" width="8.88671875" style="95" customWidth="1"/>
    <col min="11530" max="11530" width="9.44140625" style="95" customWidth="1"/>
    <col min="11531" max="11536" width="10.109375" style="95" customWidth="1"/>
    <col min="11537" max="11537" width="6.44140625" style="95" customWidth="1"/>
    <col min="11538" max="11538" width="6.88671875" style="95" customWidth="1"/>
    <col min="11539" max="11540" width="6.5546875" style="95" customWidth="1"/>
    <col min="11541" max="11541" width="6.33203125" style="95" customWidth="1"/>
    <col min="11542" max="11542" width="7.5546875" style="95" customWidth="1"/>
    <col min="11543" max="11543" width="14.5546875" style="95" customWidth="1"/>
    <col min="11544" max="11545" width="11.44140625" style="95" customWidth="1"/>
    <col min="11546" max="11546" width="56.88671875" style="95" customWidth="1"/>
    <col min="11547" max="11547" width="9.109375" style="95" bestFit="1" customWidth="1"/>
    <col min="11548" max="11548" width="26.6640625" style="95" customWidth="1"/>
    <col min="11549" max="11549" width="22.88671875" style="95" customWidth="1"/>
    <col min="11550" max="11550" width="14.6640625" style="95" customWidth="1"/>
    <col min="11551" max="11551" width="5" style="95" customWidth="1"/>
    <col min="11552" max="11553" width="11.44140625" style="95" hidden="1" customWidth="1"/>
    <col min="11554" max="11554" width="5" style="95" customWidth="1"/>
    <col min="11555" max="11556" width="11.44140625" style="95" hidden="1" customWidth="1"/>
    <col min="11557" max="11557" width="5" style="95" customWidth="1"/>
    <col min="11558" max="11559" width="11.44140625" style="95" hidden="1" customWidth="1"/>
    <col min="11560" max="11560" width="5" style="95" customWidth="1"/>
    <col min="11561" max="11562" width="11.44140625" style="95" hidden="1" customWidth="1"/>
    <col min="11563" max="11563" width="5" style="95" customWidth="1"/>
    <col min="11564" max="11565" width="11.44140625" style="95" hidden="1" customWidth="1"/>
    <col min="11566" max="11566" width="5" style="95" customWidth="1"/>
    <col min="11567" max="11568" width="11.44140625" style="95" hidden="1" customWidth="1"/>
    <col min="11569" max="11569" width="6.44140625" style="95" customWidth="1"/>
    <col min="11570" max="11577" width="11.44140625" style="95" hidden="1" customWidth="1"/>
    <col min="11578" max="11578" width="6.88671875" style="95" customWidth="1"/>
    <col min="11579" max="11580" width="11.44140625" style="95" hidden="1" customWidth="1"/>
    <col min="11581" max="11581" width="6.44140625" style="95" customWidth="1"/>
    <col min="11582" max="11583" width="11.44140625" style="95" hidden="1" customWidth="1"/>
    <col min="11584" max="11584" width="5.44140625" style="95" customWidth="1"/>
    <col min="11585" max="11586" width="11.44140625" style="95" hidden="1" customWidth="1"/>
    <col min="11587" max="11587" width="4.88671875" style="95" customWidth="1"/>
    <col min="11588" max="11592" width="11.44140625" style="95" hidden="1" customWidth="1"/>
    <col min="11593" max="11593" width="8.44140625" style="95" customWidth="1"/>
    <col min="11594" max="11595" width="11.44140625" style="95" hidden="1" customWidth="1"/>
    <col min="11596" max="11596" width="5.44140625" style="95" customWidth="1"/>
    <col min="11597" max="11598" width="11.44140625" style="95" hidden="1" customWidth="1"/>
    <col min="11599" max="11599" width="8.44140625" style="95" customWidth="1"/>
    <col min="11600" max="11601" width="11.44140625" style="95" hidden="1" customWidth="1"/>
    <col min="11602" max="11602" width="5.88671875" style="95" customWidth="1"/>
    <col min="11603" max="11604" width="11.44140625" style="95" hidden="1" customWidth="1"/>
    <col min="11605" max="11605" width="5.44140625" style="95" customWidth="1"/>
    <col min="11606" max="11607" width="11.44140625" style="95" hidden="1" customWidth="1"/>
    <col min="11608" max="11608" width="5.44140625" style="95" customWidth="1"/>
    <col min="11609" max="11610" width="11.44140625" style="95" hidden="1" customWidth="1"/>
    <col min="11611" max="11611" width="6" style="95" customWidth="1"/>
    <col min="11612" max="11616" width="11.44140625" style="95" hidden="1" customWidth="1"/>
    <col min="11617" max="11617" width="5" style="95" customWidth="1"/>
    <col min="11618" max="11625" width="11.44140625" style="95" hidden="1" customWidth="1"/>
    <col min="11626" max="11626" width="5" style="95" customWidth="1"/>
    <col min="11627" max="11627" width="11.44140625" style="95" hidden="1" customWidth="1"/>
    <col min="11628" max="11628" width="5" style="95" customWidth="1"/>
    <col min="11629" max="11629" width="9.44140625" style="95" customWidth="1"/>
    <col min="11630" max="11630" width="11.44140625" style="95" hidden="1" customWidth="1"/>
    <col min="11631" max="11631" width="5" style="95" customWidth="1"/>
    <col min="11632" max="11633" width="11.44140625" style="95" hidden="1" customWidth="1"/>
    <col min="11634" max="11634" width="5" style="95" customWidth="1"/>
    <col min="11635" max="11636" width="11.44140625" style="95" hidden="1" customWidth="1"/>
    <col min="11637" max="11637" width="5" style="95" customWidth="1"/>
    <col min="11638" max="11639" width="11.44140625" style="95" hidden="1" customWidth="1"/>
    <col min="11640" max="11640" width="5" style="95" customWidth="1"/>
    <col min="11641" max="11642" width="11.44140625" style="95" hidden="1" customWidth="1"/>
    <col min="11643" max="11643" width="5" style="95" customWidth="1"/>
    <col min="11644" max="11645" width="11.44140625" style="95" hidden="1" customWidth="1"/>
    <col min="11646" max="11646" width="5" style="95" customWidth="1"/>
    <col min="11647" max="11647" width="11.44140625" style="95" hidden="1" customWidth="1"/>
    <col min="11648" max="11648" width="6.44140625" style="95" customWidth="1"/>
    <col min="11649" max="11649" width="11.44140625" style="95" hidden="1" customWidth="1"/>
    <col min="11650" max="11650" width="7.109375" style="95" customWidth="1"/>
    <col min="11651" max="11652" width="11.44140625" style="95" hidden="1" customWidth="1"/>
    <col min="11653" max="11653" width="7.109375" style="95" customWidth="1"/>
    <col min="11654" max="11655" width="11.44140625" style="95" hidden="1" customWidth="1"/>
    <col min="11656" max="11656" width="7.109375" style="95" customWidth="1"/>
    <col min="11657" max="11658" width="11.44140625" style="95" hidden="1" customWidth="1"/>
    <col min="11659" max="11659" width="7.109375" style="95" customWidth="1"/>
    <col min="11660" max="11661" width="11.44140625" style="95" hidden="1" customWidth="1"/>
    <col min="11662" max="11662" width="7.109375" style="95" customWidth="1"/>
    <col min="11663" max="11664" width="11.44140625" style="95" hidden="1" customWidth="1"/>
    <col min="11665" max="11665" width="7.109375" style="95" customWidth="1"/>
    <col min="11666" max="11667" width="11.44140625" style="95" hidden="1" customWidth="1"/>
    <col min="11668" max="11668" width="7.109375" style="95" customWidth="1"/>
    <col min="11669" max="11670" width="11.44140625" style="95" hidden="1" customWidth="1"/>
    <col min="11671" max="11671" width="7.109375" style="95" customWidth="1"/>
    <col min="11672" max="11672" width="11.44140625" style="95" hidden="1" customWidth="1"/>
    <col min="11673" max="11673" width="6.44140625" style="95" customWidth="1"/>
    <col min="11674" max="11675" width="11.44140625" style="95" hidden="1" customWidth="1"/>
    <col min="11676" max="11676" width="6.88671875" style="95" customWidth="1"/>
    <col min="11677" max="11678" width="11.44140625" style="95" hidden="1" customWidth="1"/>
    <col min="11679" max="11679" width="6.88671875" style="95" customWidth="1"/>
    <col min="11680" max="11681" width="11.44140625" style="95" hidden="1" customWidth="1"/>
    <col min="11682" max="11682" width="6.44140625" style="95" customWidth="1"/>
    <col min="11683" max="11687" width="11.44140625" style="95" hidden="1" customWidth="1"/>
    <col min="11688" max="11688" width="6.44140625" style="95" customWidth="1"/>
    <col min="11689" max="11690" width="11.44140625" style="95" hidden="1" customWidth="1"/>
    <col min="11691" max="11691" width="7.5546875" style="95" customWidth="1"/>
    <col min="11692" max="11692" width="11.44140625" style="95" hidden="1" customWidth="1"/>
    <col min="11693" max="11693" width="9.44140625" style="95" customWidth="1"/>
    <col min="11694" max="11694" width="11.44140625" style="95" hidden="1" customWidth="1"/>
    <col min="11695" max="11695" width="9" style="95" customWidth="1"/>
    <col min="11696" max="11697" width="11.44140625" style="95" hidden="1" customWidth="1"/>
    <col min="11698" max="11698" width="8.5546875" style="95" customWidth="1"/>
    <col min="11699" max="11700" width="11.44140625" style="95" hidden="1" customWidth="1"/>
    <col min="11701" max="11701" width="6.44140625" style="95" customWidth="1"/>
    <col min="11702" max="11703" width="11.44140625" style="95" hidden="1" customWidth="1"/>
    <col min="11704" max="11704" width="7" style="95" customWidth="1"/>
    <col min="11705" max="11706" width="11.44140625" style="95" hidden="1" customWidth="1"/>
    <col min="11707" max="11709" width="7" style="95" customWidth="1"/>
    <col min="11710" max="11711" width="11.44140625" style="95" hidden="1" customWidth="1"/>
    <col min="11712" max="11712" width="7.5546875" style="95" customWidth="1"/>
    <col min="11713" max="11714" width="11.44140625" style="95" hidden="1" customWidth="1"/>
    <col min="11715" max="11715" width="7" style="95" customWidth="1"/>
    <col min="11716" max="11717" width="11.44140625" style="95" hidden="1" customWidth="1"/>
    <col min="11718" max="11718" width="7" style="95" customWidth="1"/>
    <col min="11719" max="11720" width="11.44140625" style="95" hidden="1" customWidth="1"/>
    <col min="11721" max="11721" width="7" style="95" customWidth="1"/>
    <col min="11722" max="11722" width="11.44140625" style="95" hidden="1" customWidth="1"/>
    <col min="11723" max="11723" width="6.44140625" style="95" customWidth="1"/>
    <col min="11724" max="11733" width="11.44140625" style="95" hidden="1" customWidth="1"/>
    <col min="11734" max="11768" width="11.44140625" style="95" hidden="1"/>
    <col min="11769" max="11769" width="41.44140625" style="95" customWidth="1"/>
    <col min="11770" max="11770" width="6.44140625" style="95" customWidth="1"/>
    <col min="11771" max="11771" width="14.6640625" style="95" customWidth="1"/>
    <col min="11772" max="11772" width="11.44140625" style="95" customWidth="1"/>
    <col min="11773" max="11773" width="13" style="95" customWidth="1"/>
    <col min="11774" max="11774" width="25.44140625" style="95" customWidth="1"/>
    <col min="11775" max="11784" width="9.44140625" style="95" customWidth="1"/>
    <col min="11785" max="11785" width="8.88671875" style="95" customWidth="1"/>
    <col min="11786" max="11786" width="9.44140625" style="95" customWidth="1"/>
    <col min="11787" max="11792" width="10.109375" style="95" customWidth="1"/>
    <col min="11793" max="11793" width="6.44140625" style="95" customWidth="1"/>
    <col min="11794" max="11794" width="6.88671875" style="95" customWidth="1"/>
    <col min="11795" max="11796" width="6.5546875" style="95" customWidth="1"/>
    <col min="11797" max="11797" width="6.33203125" style="95" customWidth="1"/>
    <col min="11798" max="11798" width="7.5546875" style="95" customWidth="1"/>
    <col min="11799" max="11799" width="14.5546875" style="95" customWidth="1"/>
    <col min="11800" max="11801" width="11.44140625" style="95" customWidth="1"/>
    <col min="11802" max="11802" width="56.88671875" style="95" customWidth="1"/>
    <col min="11803" max="11803" width="9.109375" style="95" bestFit="1" customWidth="1"/>
    <col min="11804" max="11804" width="26.6640625" style="95" customWidth="1"/>
    <col min="11805" max="11805" width="22.88671875" style="95" customWidth="1"/>
    <col min="11806" max="11806" width="14.6640625" style="95" customWidth="1"/>
    <col min="11807" max="11807" width="5" style="95" customWidth="1"/>
    <col min="11808" max="11809" width="11.44140625" style="95" hidden="1" customWidth="1"/>
    <col min="11810" max="11810" width="5" style="95" customWidth="1"/>
    <col min="11811" max="11812" width="11.44140625" style="95" hidden="1" customWidth="1"/>
    <col min="11813" max="11813" width="5" style="95" customWidth="1"/>
    <col min="11814" max="11815" width="11.44140625" style="95" hidden="1" customWidth="1"/>
    <col min="11816" max="11816" width="5" style="95" customWidth="1"/>
    <col min="11817" max="11818" width="11.44140625" style="95" hidden="1" customWidth="1"/>
    <col min="11819" max="11819" width="5" style="95" customWidth="1"/>
    <col min="11820" max="11821" width="11.44140625" style="95" hidden="1" customWidth="1"/>
    <col min="11822" max="11822" width="5" style="95" customWidth="1"/>
    <col min="11823" max="11824" width="11.44140625" style="95" hidden="1" customWidth="1"/>
    <col min="11825" max="11825" width="6.44140625" style="95" customWidth="1"/>
    <col min="11826" max="11833" width="11.44140625" style="95" hidden="1" customWidth="1"/>
    <col min="11834" max="11834" width="6.88671875" style="95" customWidth="1"/>
    <col min="11835" max="11836" width="11.44140625" style="95" hidden="1" customWidth="1"/>
    <col min="11837" max="11837" width="6.44140625" style="95" customWidth="1"/>
    <col min="11838" max="11839" width="11.44140625" style="95" hidden="1" customWidth="1"/>
    <col min="11840" max="11840" width="5.44140625" style="95" customWidth="1"/>
    <col min="11841" max="11842" width="11.44140625" style="95" hidden="1" customWidth="1"/>
    <col min="11843" max="11843" width="4.88671875" style="95" customWidth="1"/>
    <col min="11844" max="11848" width="11.44140625" style="95" hidden="1" customWidth="1"/>
    <col min="11849" max="11849" width="8.44140625" style="95" customWidth="1"/>
    <col min="11850" max="11851" width="11.44140625" style="95" hidden="1" customWidth="1"/>
    <col min="11852" max="11852" width="5.44140625" style="95" customWidth="1"/>
    <col min="11853" max="11854" width="11.44140625" style="95" hidden="1" customWidth="1"/>
    <col min="11855" max="11855" width="8.44140625" style="95" customWidth="1"/>
    <col min="11856" max="11857" width="11.44140625" style="95" hidden="1" customWidth="1"/>
    <col min="11858" max="11858" width="5.88671875" style="95" customWidth="1"/>
    <col min="11859" max="11860" width="11.44140625" style="95" hidden="1" customWidth="1"/>
    <col min="11861" max="11861" width="5.44140625" style="95" customWidth="1"/>
    <col min="11862" max="11863" width="11.44140625" style="95" hidden="1" customWidth="1"/>
    <col min="11864" max="11864" width="5.44140625" style="95" customWidth="1"/>
    <col min="11865" max="11866" width="11.44140625" style="95" hidden="1" customWidth="1"/>
    <col min="11867" max="11867" width="6" style="95" customWidth="1"/>
    <col min="11868" max="11872" width="11.44140625" style="95" hidden="1" customWidth="1"/>
    <col min="11873" max="11873" width="5" style="95" customWidth="1"/>
    <col min="11874" max="11881" width="11.44140625" style="95" hidden="1" customWidth="1"/>
    <col min="11882" max="11882" width="5" style="95" customWidth="1"/>
    <col min="11883" max="11883" width="11.44140625" style="95" hidden="1" customWidth="1"/>
    <col min="11884" max="11884" width="5" style="95" customWidth="1"/>
    <col min="11885" max="11885" width="9.44140625" style="95" customWidth="1"/>
    <col min="11886" max="11886" width="11.44140625" style="95" hidden="1" customWidth="1"/>
    <col min="11887" max="11887" width="5" style="95" customWidth="1"/>
    <col min="11888" max="11889" width="11.44140625" style="95" hidden="1" customWidth="1"/>
    <col min="11890" max="11890" width="5" style="95" customWidth="1"/>
    <col min="11891" max="11892" width="11.44140625" style="95" hidden="1" customWidth="1"/>
    <col min="11893" max="11893" width="5" style="95" customWidth="1"/>
    <col min="11894" max="11895" width="11.44140625" style="95" hidden="1" customWidth="1"/>
    <col min="11896" max="11896" width="5" style="95" customWidth="1"/>
    <col min="11897" max="11898" width="11.44140625" style="95" hidden="1" customWidth="1"/>
    <col min="11899" max="11899" width="5" style="95" customWidth="1"/>
    <col min="11900" max="11901" width="11.44140625" style="95" hidden="1" customWidth="1"/>
    <col min="11902" max="11902" width="5" style="95" customWidth="1"/>
    <col min="11903" max="11903" width="11.44140625" style="95" hidden="1" customWidth="1"/>
    <col min="11904" max="11904" width="6.44140625" style="95" customWidth="1"/>
    <col min="11905" max="11905" width="11.44140625" style="95" hidden="1" customWidth="1"/>
    <col min="11906" max="11906" width="7.109375" style="95" customWidth="1"/>
    <col min="11907" max="11908" width="11.44140625" style="95" hidden="1" customWidth="1"/>
    <col min="11909" max="11909" width="7.109375" style="95" customWidth="1"/>
    <col min="11910" max="11911" width="11.44140625" style="95" hidden="1" customWidth="1"/>
    <col min="11912" max="11912" width="7.109375" style="95" customWidth="1"/>
    <col min="11913" max="11914" width="11.44140625" style="95" hidden="1" customWidth="1"/>
    <col min="11915" max="11915" width="7.109375" style="95" customWidth="1"/>
    <col min="11916" max="11917" width="11.44140625" style="95" hidden="1" customWidth="1"/>
    <col min="11918" max="11918" width="7.109375" style="95" customWidth="1"/>
    <col min="11919" max="11920" width="11.44140625" style="95" hidden="1" customWidth="1"/>
    <col min="11921" max="11921" width="7.109375" style="95" customWidth="1"/>
    <col min="11922" max="11923" width="11.44140625" style="95" hidden="1" customWidth="1"/>
    <col min="11924" max="11924" width="7.109375" style="95" customWidth="1"/>
    <col min="11925" max="11926" width="11.44140625" style="95" hidden="1" customWidth="1"/>
    <col min="11927" max="11927" width="7.109375" style="95" customWidth="1"/>
    <col min="11928" max="11928" width="11.44140625" style="95" hidden="1" customWidth="1"/>
    <col min="11929" max="11929" width="6.44140625" style="95" customWidth="1"/>
    <col min="11930" max="11931" width="11.44140625" style="95" hidden="1" customWidth="1"/>
    <col min="11932" max="11932" width="6.88671875" style="95" customWidth="1"/>
    <col min="11933" max="11934" width="11.44140625" style="95" hidden="1" customWidth="1"/>
    <col min="11935" max="11935" width="6.88671875" style="95" customWidth="1"/>
    <col min="11936" max="11937" width="11.44140625" style="95" hidden="1" customWidth="1"/>
    <col min="11938" max="11938" width="6.44140625" style="95" customWidth="1"/>
    <col min="11939" max="11943" width="11.44140625" style="95" hidden="1" customWidth="1"/>
    <col min="11944" max="11944" width="6.44140625" style="95" customWidth="1"/>
    <col min="11945" max="11946" width="11.44140625" style="95" hidden="1" customWidth="1"/>
    <col min="11947" max="11947" width="7.5546875" style="95" customWidth="1"/>
    <col min="11948" max="11948" width="11.44140625" style="95" hidden="1" customWidth="1"/>
    <col min="11949" max="11949" width="9.44140625" style="95" customWidth="1"/>
    <col min="11950" max="11950" width="11.44140625" style="95" hidden="1" customWidth="1"/>
    <col min="11951" max="11951" width="9" style="95" customWidth="1"/>
    <col min="11952" max="11953" width="11.44140625" style="95" hidden="1" customWidth="1"/>
    <col min="11954" max="11954" width="8.5546875" style="95" customWidth="1"/>
    <col min="11955" max="11956" width="11.44140625" style="95" hidden="1" customWidth="1"/>
    <col min="11957" max="11957" width="6.44140625" style="95" customWidth="1"/>
    <col min="11958" max="11959" width="11.44140625" style="95" hidden="1" customWidth="1"/>
    <col min="11960" max="11960" width="7" style="95" customWidth="1"/>
    <col min="11961" max="11962" width="11.44140625" style="95" hidden="1" customWidth="1"/>
    <col min="11963" max="11965" width="7" style="95" customWidth="1"/>
    <col min="11966" max="11967" width="11.44140625" style="95" hidden="1" customWidth="1"/>
    <col min="11968" max="11968" width="7.5546875" style="95" customWidth="1"/>
    <col min="11969" max="11970" width="11.44140625" style="95" hidden="1" customWidth="1"/>
    <col min="11971" max="11971" width="7" style="95" customWidth="1"/>
    <col min="11972" max="11973" width="11.44140625" style="95" hidden="1" customWidth="1"/>
    <col min="11974" max="11974" width="7" style="95" customWidth="1"/>
    <col min="11975" max="11976" width="11.44140625" style="95" hidden="1" customWidth="1"/>
    <col min="11977" max="11977" width="7" style="95" customWidth="1"/>
    <col min="11978" max="11978" width="11.44140625" style="95" hidden="1" customWidth="1"/>
    <col min="11979" max="11979" width="6.44140625" style="95" customWidth="1"/>
    <col min="11980" max="11989" width="11.44140625" style="95" hidden="1" customWidth="1"/>
    <col min="11990" max="12024" width="11.44140625" style="95" hidden="1"/>
    <col min="12025" max="12025" width="41.44140625" style="95" customWidth="1"/>
    <col min="12026" max="12026" width="6.44140625" style="95" customWidth="1"/>
    <col min="12027" max="12027" width="14.6640625" style="95" customWidth="1"/>
    <col min="12028" max="12028" width="11.44140625" style="95" customWidth="1"/>
    <col min="12029" max="12029" width="13" style="95" customWidth="1"/>
    <col min="12030" max="12030" width="25.44140625" style="95" customWidth="1"/>
    <col min="12031" max="12040" width="9.44140625" style="95" customWidth="1"/>
    <col min="12041" max="12041" width="8.88671875" style="95" customWidth="1"/>
    <col min="12042" max="12042" width="9.44140625" style="95" customWidth="1"/>
    <col min="12043" max="12048" width="10.109375" style="95" customWidth="1"/>
    <col min="12049" max="12049" width="6.44140625" style="95" customWidth="1"/>
    <col min="12050" max="12050" width="6.88671875" style="95" customWidth="1"/>
    <col min="12051" max="12052" width="6.5546875" style="95" customWidth="1"/>
    <col min="12053" max="12053" width="6.33203125" style="95" customWidth="1"/>
    <col min="12054" max="12054" width="7.5546875" style="95" customWidth="1"/>
    <col min="12055" max="12055" width="14.5546875" style="95" customWidth="1"/>
    <col min="12056" max="12057" width="11.44140625" style="95" customWidth="1"/>
    <col min="12058" max="12058" width="56.88671875" style="95" customWidth="1"/>
    <col min="12059" max="12059" width="9.109375" style="95" bestFit="1" customWidth="1"/>
    <col min="12060" max="12060" width="26.6640625" style="95" customWidth="1"/>
    <col min="12061" max="12061" width="22.88671875" style="95" customWidth="1"/>
    <col min="12062" max="12062" width="14.6640625" style="95" customWidth="1"/>
    <col min="12063" max="12063" width="5" style="95" customWidth="1"/>
    <col min="12064" max="12065" width="11.44140625" style="95" hidden="1" customWidth="1"/>
    <col min="12066" max="12066" width="5" style="95" customWidth="1"/>
    <col min="12067" max="12068" width="11.44140625" style="95" hidden="1" customWidth="1"/>
    <col min="12069" max="12069" width="5" style="95" customWidth="1"/>
    <col min="12070" max="12071" width="11.44140625" style="95" hidden="1" customWidth="1"/>
    <col min="12072" max="12072" width="5" style="95" customWidth="1"/>
    <col min="12073" max="12074" width="11.44140625" style="95" hidden="1" customWidth="1"/>
    <col min="12075" max="12075" width="5" style="95" customWidth="1"/>
    <col min="12076" max="12077" width="11.44140625" style="95" hidden="1" customWidth="1"/>
    <col min="12078" max="12078" width="5" style="95" customWidth="1"/>
    <col min="12079" max="12080" width="11.44140625" style="95" hidden="1" customWidth="1"/>
    <col min="12081" max="12081" width="6.44140625" style="95" customWidth="1"/>
    <col min="12082" max="12089" width="11.44140625" style="95" hidden="1" customWidth="1"/>
    <col min="12090" max="12090" width="6.88671875" style="95" customWidth="1"/>
    <col min="12091" max="12092" width="11.44140625" style="95" hidden="1" customWidth="1"/>
    <col min="12093" max="12093" width="6.44140625" style="95" customWidth="1"/>
    <col min="12094" max="12095" width="11.44140625" style="95" hidden="1" customWidth="1"/>
    <col min="12096" max="12096" width="5.44140625" style="95" customWidth="1"/>
    <col min="12097" max="12098" width="11.44140625" style="95" hidden="1" customWidth="1"/>
    <col min="12099" max="12099" width="4.88671875" style="95" customWidth="1"/>
    <col min="12100" max="12104" width="11.44140625" style="95" hidden="1" customWidth="1"/>
    <col min="12105" max="12105" width="8.44140625" style="95" customWidth="1"/>
    <col min="12106" max="12107" width="11.44140625" style="95" hidden="1" customWidth="1"/>
    <col min="12108" max="12108" width="5.44140625" style="95" customWidth="1"/>
    <col min="12109" max="12110" width="11.44140625" style="95" hidden="1" customWidth="1"/>
    <col min="12111" max="12111" width="8.44140625" style="95" customWidth="1"/>
    <col min="12112" max="12113" width="11.44140625" style="95" hidden="1" customWidth="1"/>
    <col min="12114" max="12114" width="5.88671875" style="95" customWidth="1"/>
    <col min="12115" max="12116" width="11.44140625" style="95" hidden="1" customWidth="1"/>
    <col min="12117" max="12117" width="5.44140625" style="95" customWidth="1"/>
    <col min="12118" max="12119" width="11.44140625" style="95" hidden="1" customWidth="1"/>
    <col min="12120" max="12120" width="5.44140625" style="95" customWidth="1"/>
    <col min="12121" max="12122" width="11.44140625" style="95" hidden="1" customWidth="1"/>
    <col min="12123" max="12123" width="6" style="95" customWidth="1"/>
    <col min="12124" max="12128" width="11.44140625" style="95" hidden="1" customWidth="1"/>
    <col min="12129" max="12129" width="5" style="95" customWidth="1"/>
    <col min="12130" max="12137" width="11.44140625" style="95" hidden="1" customWidth="1"/>
    <col min="12138" max="12138" width="5" style="95" customWidth="1"/>
    <col min="12139" max="12139" width="11.44140625" style="95" hidden="1" customWidth="1"/>
    <col min="12140" max="12140" width="5" style="95" customWidth="1"/>
    <col min="12141" max="12141" width="9.44140625" style="95" customWidth="1"/>
    <col min="12142" max="12142" width="11.44140625" style="95" hidden="1" customWidth="1"/>
    <col min="12143" max="12143" width="5" style="95" customWidth="1"/>
    <col min="12144" max="12145" width="11.44140625" style="95" hidden="1" customWidth="1"/>
    <col min="12146" max="12146" width="5" style="95" customWidth="1"/>
    <col min="12147" max="12148" width="11.44140625" style="95" hidden="1" customWidth="1"/>
    <col min="12149" max="12149" width="5" style="95" customWidth="1"/>
    <col min="12150" max="12151" width="11.44140625" style="95" hidden="1" customWidth="1"/>
    <col min="12152" max="12152" width="5" style="95" customWidth="1"/>
    <col min="12153" max="12154" width="11.44140625" style="95" hidden="1" customWidth="1"/>
    <col min="12155" max="12155" width="5" style="95" customWidth="1"/>
    <col min="12156" max="12157" width="11.44140625" style="95" hidden="1" customWidth="1"/>
    <col min="12158" max="12158" width="5" style="95" customWidth="1"/>
    <col min="12159" max="12159" width="11.44140625" style="95" hidden="1" customWidth="1"/>
    <col min="12160" max="12160" width="6.44140625" style="95" customWidth="1"/>
    <col min="12161" max="12161" width="11.44140625" style="95" hidden="1" customWidth="1"/>
    <col min="12162" max="12162" width="7.109375" style="95" customWidth="1"/>
    <col min="12163" max="12164" width="11.44140625" style="95" hidden="1" customWidth="1"/>
    <col min="12165" max="12165" width="7.109375" style="95" customWidth="1"/>
    <col min="12166" max="12167" width="11.44140625" style="95" hidden="1" customWidth="1"/>
    <col min="12168" max="12168" width="7.109375" style="95" customWidth="1"/>
    <col min="12169" max="12170" width="11.44140625" style="95" hidden="1" customWidth="1"/>
    <col min="12171" max="12171" width="7.109375" style="95" customWidth="1"/>
    <col min="12172" max="12173" width="11.44140625" style="95" hidden="1" customWidth="1"/>
    <col min="12174" max="12174" width="7.109375" style="95" customWidth="1"/>
    <col min="12175" max="12176" width="11.44140625" style="95" hidden="1" customWidth="1"/>
    <col min="12177" max="12177" width="7.109375" style="95" customWidth="1"/>
    <col min="12178" max="12179" width="11.44140625" style="95" hidden="1" customWidth="1"/>
    <col min="12180" max="12180" width="7.109375" style="95" customWidth="1"/>
    <col min="12181" max="12182" width="11.44140625" style="95" hidden="1" customWidth="1"/>
    <col min="12183" max="12183" width="7.109375" style="95" customWidth="1"/>
    <col min="12184" max="12184" width="11.44140625" style="95" hidden="1" customWidth="1"/>
    <col min="12185" max="12185" width="6.44140625" style="95" customWidth="1"/>
    <col min="12186" max="12187" width="11.44140625" style="95" hidden="1" customWidth="1"/>
    <col min="12188" max="12188" width="6.88671875" style="95" customWidth="1"/>
    <col min="12189" max="12190" width="11.44140625" style="95" hidden="1" customWidth="1"/>
    <col min="12191" max="12191" width="6.88671875" style="95" customWidth="1"/>
    <col min="12192" max="12193" width="11.44140625" style="95" hidden="1" customWidth="1"/>
    <col min="12194" max="12194" width="6.44140625" style="95" customWidth="1"/>
    <col min="12195" max="12199" width="11.44140625" style="95" hidden="1" customWidth="1"/>
    <col min="12200" max="12200" width="6.44140625" style="95" customWidth="1"/>
    <col min="12201" max="12202" width="11.44140625" style="95" hidden="1" customWidth="1"/>
    <col min="12203" max="12203" width="7.5546875" style="95" customWidth="1"/>
    <col min="12204" max="12204" width="11.44140625" style="95" hidden="1" customWidth="1"/>
    <col min="12205" max="12205" width="9.44140625" style="95" customWidth="1"/>
    <col min="12206" max="12206" width="11.44140625" style="95" hidden="1" customWidth="1"/>
    <col min="12207" max="12207" width="9" style="95" customWidth="1"/>
    <col min="12208" max="12209" width="11.44140625" style="95" hidden="1" customWidth="1"/>
    <col min="12210" max="12210" width="8.5546875" style="95" customWidth="1"/>
    <col min="12211" max="12212" width="11.44140625" style="95" hidden="1" customWidth="1"/>
    <col min="12213" max="12213" width="6.44140625" style="95" customWidth="1"/>
    <col min="12214" max="12215" width="11.44140625" style="95" hidden="1" customWidth="1"/>
    <col min="12216" max="12216" width="7" style="95" customWidth="1"/>
    <col min="12217" max="12218" width="11.44140625" style="95" hidden="1" customWidth="1"/>
    <col min="12219" max="12221" width="7" style="95" customWidth="1"/>
    <col min="12222" max="12223" width="11.44140625" style="95" hidden="1" customWidth="1"/>
    <col min="12224" max="12224" width="7.5546875" style="95" customWidth="1"/>
    <col min="12225" max="12226" width="11.44140625" style="95" hidden="1" customWidth="1"/>
    <col min="12227" max="12227" width="7" style="95" customWidth="1"/>
    <col min="12228" max="12229" width="11.44140625" style="95" hidden="1" customWidth="1"/>
    <col min="12230" max="12230" width="7" style="95" customWidth="1"/>
    <col min="12231" max="12232" width="11.44140625" style="95" hidden="1" customWidth="1"/>
    <col min="12233" max="12233" width="7" style="95" customWidth="1"/>
    <col min="12234" max="12234" width="11.44140625" style="95" hidden="1" customWidth="1"/>
    <col min="12235" max="12235" width="6.44140625" style="95" customWidth="1"/>
    <col min="12236" max="12245" width="11.44140625" style="95" hidden="1" customWidth="1"/>
    <col min="12246" max="12280" width="11.44140625" style="95" hidden="1"/>
    <col min="12281" max="12281" width="41.44140625" style="95" customWidth="1"/>
    <col min="12282" max="12282" width="6.44140625" style="95" customWidth="1"/>
    <col min="12283" max="12283" width="14.6640625" style="95" customWidth="1"/>
    <col min="12284" max="12284" width="11.44140625" style="95" customWidth="1"/>
    <col min="12285" max="12285" width="13" style="95" customWidth="1"/>
    <col min="12286" max="12286" width="25.44140625" style="95" customWidth="1"/>
    <col min="12287" max="12296" width="9.44140625" style="95" customWidth="1"/>
    <col min="12297" max="12297" width="8.88671875" style="95" customWidth="1"/>
    <col min="12298" max="12298" width="9.44140625" style="95" customWidth="1"/>
    <col min="12299" max="12304" width="10.109375" style="95" customWidth="1"/>
    <col min="12305" max="12305" width="6.44140625" style="95" customWidth="1"/>
    <col min="12306" max="12306" width="6.88671875" style="95" customWidth="1"/>
    <col min="12307" max="12308" width="6.5546875" style="95" customWidth="1"/>
    <col min="12309" max="12309" width="6.33203125" style="95" customWidth="1"/>
    <col min="12310" max="12310" width="7.5546875" style="95" customWidth="1"/>
    <col min="12311" max="12311" width="14.5546875" style="95" customWidth="1"/>
    <col min="12312" max="12313" width="11.44140625" style="95" customWidth="1"/>
    <col min="12314" max="12314" width="56.88671875" style="95" customWidth="1"/>
    <col min="12315" max="12315" width="9.109375" style="95" bestFit="1" customWidth="1"/>
    <col min="12316" max="12316" width="26.6640625" style="95" customWidth="1"/>
    <col min="12317" max="12317" width="22.88671875" style="95" customWidth="1"/>
    <col min="12318" max="12318" width="14.6640625" style="95" customWidth="1"/>
    <col min="12319" max="12319" width="5" style="95" customWidth="1"/>
    <col min="12320" max="12321" width="11.44140625" style="95" hidden="1" customWidth="1"/>
    <col min="12322" max="12322" width="5" style="95" customWidth="1"/>
    <col min="12323" max="12324" width="11.44140625" style="95" hidden="1" customWidth="1"/>
    <col min="12325" max="12325" width="5" style="95" customWidth="1"/>
    <col min="12326" max="12327" width="11.44140625" style="95" hidden="1" customWidth="1"/>
    <col min="12328" max="12328" width="5" style="95" customWidth="1"/>
    <col min="12329" max="12330" width="11.44140625" style="95" hidden="1" customWidth="1"/>
    <col min="12331" max="12331" width="5" style="95" customWidth="1"/>
    <col min="12332" max="12333" width="11.44140625" style="95" hidden="1" customWidth="1"/>
    <col min="12334" max="12334" width="5" style="95" customWidth="1"/>
    <col min="12335" max="12336" width="11.44140625" style="95" hidden="1" customWidth="1"/>
    <col min="12337" max="12337" width="6.44140625" style="95" customWidth="1"/>
    <col min="12338" max="12345" width="11.44140625" style="95" hidden="1" customWidth="1"/>
    <col min="12346" max="12346" width="6.88671875" style="95" customWidth="1"/>
    <col min="12347" max="12348" width="11.44140625" style="95" hidden="1" customWidth="1"/>
    <col min="12349" max="12349" width="6.44140625" style="95" customWidth="1"/>
    <col min="12350" max="12351" width="11.44140625" style="95" hidden="1" customWidth="1"/>
    <col min="12352" max="12352" width="5.44140625" style="95" customWidth="1"/>
    <col min="12353" max="12354" width="11.44140625" style="95" hidden="1" customWidth="1"/>
    <col min="12355" max="12355" width="4.88671875" style="95" customWidth="1"/>
    <col min="12356" max="12360" width="11.44140625" style="95" hidden="1" customWidth="1"/>
    <col min="12361" max="12361" width="8.44140625" style="95" customWidth="1"/>
    <col min="12362" max="12363" width="11.44140625" style="95" hidden="1" customWidth="1"/>
    <col min="12364" max="12364" width="5.44140625" style="95" customWidth="1"/>
    <col min="12365" max="12366" width="11.44140625" style="95" hidden="1" customWidth="1"/>
    <col min="12367" max="12367" width="8.44140625" style="95" customWidth="1"/>
    <col min="12368" max="12369" width="11.44140625" style="95" hidden="1" customWidth="1"/>
    <col min="12370" max="12370" width="5.88671875" style="95" customWidth="1"/>
    <col min="12371" max="12372" width="11.44140625" style="95" hidden="1" customWidth="1"/>
    <col min="12373" max="12373" width="5.44140625" style="95" customWidth="1"/>
    <col min="12374" max="12375" width="11.44140625" style="95" hidden="1" customWidth="1"/>
    <col min="12376" max="12376" width="5.44140625" style="95" customWidth="1"/>
    <col min="12377" max="12378" width="11.44140625" style="95" hidden="1" customWidth="1"/>
    <col min="12379" max="12379" width="6" style="95" customWidth="1"/>
    <col min="12380" max="12384" width="11.44140625" style="95" hidden="1" customWidth="1"/>
    <col min="12385" max="12385" width="5" style="95" customWidth="1"/>
    <col min="12386" max="12393" width="11.44140625" style="95" hidden="1" customWidth="1"/>
    <col min="12394" max="12394" width="5" style="95" customWidth="1"/>
    <col min="12395" max="12395" width="11.44140625" style="95" hidden="1" customWidth="1"/>
    <col min="12396" max="12396" width="5" style="95" customWidth="1"/>
    <col min="12397" max="12397" width="9.44140625" style="95" customWidth="1"/>
    <col min="12398" max="12398" width="11.44140625" style="95" hidden="1" customWidth="1"/>
    <col min="12399" max="12399" width="5" style="95" customWidth="1"/>
    <col min="12400" max="12401" width="11.44140625" style="95" hidden="1" customWidth="1"/>
    <col min="12402" max="12402" width="5" style="95" customWidth="1"/>
    <col min="12403" max="12404" width="11.44140625" style="95" hidden="1" customWidth="1"/>
    <col min="12405" max="12405" width="5" style="95" customWidth="1"/>
    <col min="12406" max="12407" width="11.44140625" style="95" hidden="1" customWidth="1"/>
    <col min="12408" max="12408" width="5" style="95" customWidth="1"/>
    <col min="12409" max="12410" width="11.44140625" style="95" hidden="1" customWidth="1"/>
    <col min="12411" max="12411" width="5" style="95" customWidth="1"/>
    <col min="12412" max="12413" width="11.44140625" style="95" hidden="1" customWidth="1"/>
    <col min="12414" max="12414" width="5" style="95" customWidth="1"/>
    <col min="12415" max="12415" width="11.44140625" style="95" hidden="1" customWidth="1"/>
    <col min="12416" max="12416" width="6.44140625" style="95" customWidth="1"/>
    <col min="12417" max="12417" width="11.44140625" style="95" hidden="1" customWidth="1"/>
    <col min="12418" max="12418" width="7.109375" style="95" customWidth="1"/>
    <col min="12419" max="12420" width="11.44140625" style="95" hidden="1" customWidth="1"/>
    <col min="12421" max="12421" width="7.109375" style="95" customWidth="1"/>
    <col min="12422" max="12423" width="11.44140625" style="95" hidden="1" customWidth="1"/>
    <col min="12424" max="12424" width="7.109375" style="95" customWidth="1"/>
    <col min="12425" max="12426" width="11.44140625" style="95" hidden="1" customWidth="1"/>
    <col min="12427" max="12427" width="7.109375" style="95" customWidth="1"/>
    <col min="12428" max="12429" width="11.44140625" style="95" hidden="1" customWidth="1"/>
    <col min="12430" max="12430" width="7.109375" style="95" customWidth="1"/>
    <col min="12431" max="12432" width="11.44140625" style="95" hidden="1" customWidth="1"/>
    <col min="12433" max="12433" width="7.109375" style="95" customWidth="1"/>
    <col min="12434" max="12435" width="11.44140625" style="95" hidden="1" customWidth="1"/>
    <col min="12436" max="12436" width="7.109375" style="95" customWidth="1"/>
    <col min="12437" max="12438" width="11.44140625" style="95" hidden="1" customWidth="1"/>
    <col min="12439" max="12439" width="7.109375" style="95" customWidth="1"/>
    <col min="12440" max="12440" width="11.44140625" style="95" hidden="1" customWidth="1"/>
    <col min="12441" max="12441" width="6.44140625" style="95" customWidth="1"/>
    <col min="12442" max="12443" width="11.44140625" style="95" hidden="1" customWidth="1"/>
    <col min="12444" max="12444" width="6.88671875" style="95" customWidth="1"/>
    <col min="12445" max="12446" width="11.44140625" style="95" hidden="1" customWidth="1"/>
    <col min="12447" max="12447" width="6.88671875" style="95" customWidth="1"/>
    <col min="12448" max="12449" width="11.44140625" style="95" hidden="1" customWidth="1"/>
    <col min="12450" max="12450" width="6.44140625" style="95" customWidth="1"/>
    <col min="12451" max="12455" width="11.44140625" style="95" hidden="1" customWidth="1"/>
    <col min="12456" max="12456" width="6.44140625" style="95" customWidth="1"/>
    <col min="12457" max="12458" width="11.44140625" style="95" hidden="1" customWidth="1"/>
    <col min="12459" max="12459" width="7.5546875" style="95" customWidth="1"/>
    <col min="12460" max="12460" width="11.44140625" style="95" hidden="1" customWidth="1"/>
    <col min="12461" max="12461" width="9.44140625" style="95" customWidth="1"/>
    <col min="12462" max="12462" width="11.44140625" style="95" hidden="1" customWidth="1"/>
    <col min="12463" max="12463" width="9" style="95" customWidth="1"/>
    <col min="12464" max="12465" width="11.44140625" style="95" hidden="1" customWidth="1"/>
    <col min="12466" max="12466" width="8.5546875" style="95" customWidth="1"/>
    <col min="12467" max="12468" width="11.44140625" style="95" hidden="1" customWidth="1"/>
    <col min="12469" max="12469" width="6.44140625" style="95" customWidth="1"/>
    <col min="12470" max="12471" width="11.44140625" style="95" hidden="1" customWidth="1"/>
    <col min="12472" max="12472" width="7" style="95" customWidth="1"/>
    <col min="12473" max="12474" width="11.44140625" style="95" hidden="1" customWidth="1"/>
    <col min="12475" max="12477" width="7" style="95" customWidth="1"/>
    <col min="12478" max="12479" width="11.44140625" style="95" hidden="1" customWidth="1"/>
    <col min="12480" max="12480" width="7.5546875" style="95" customWidth="1"/>
    <col min="12481" max="12482" width="11.44140625" style="95" hidden="1" customWidth="1"/>
    <col min="12483" max="12483" width="7" style="95" customWidth="1"/>
    <col min="12484" max="12485" width="11.44140625" style="95" hidden="1" customWidth="1"/>
    <col min="12486" max="12486" width="7" style="95" customWidth="1"/>
    <col min="12487" max="12488" width="11.44140625" style="95" hidden="1" customWidth="1"/>
    <col min="12489" max="12489" width="7" style="95" customWidth="1"/>
    <col min="12490" max="12490" width="11.44140625" style="95" hidden="1" customWidth="1"/>
    <col min="12491" max="12491" width="6.44140625" style="95" customWidth="1"/>
    <col min="12492" max="12501" width="11.44140625" style="95" hidden="1" customWidth="1"/>
    <col min="12502" max="12536" width="11.44140625" style="95" hidden="1"/>
    <col min="12537" max="12537" width="41.44140625" style="95" customWidth="1"/>
    <col min="12538" max="12538" width="6.44140625" style="95" customWidth="1"/>
    <col min="12539" max="12539" width="14.6640625" style="95" customWidth="1"/>
    <col min="12540" max="12540" width="11.44140625" style="95" customWidth="1"/>
    <col min="12541" max="12541" width="13" style="95" customWidth="1"/>
    <col min="12542" max="12542" width="25.44140625" style="95" customWidth="1"/>
    <col min="12543" max="12552" width="9.44140625" style="95" customWidth="1"/>
    <col min="12553" max="12553" width="8.88671875" style="95" customWidth="1"/>
    <col min="12554" max="12554" width="9.44140625" style="95" customWidth="1"/>
    <col min="12555" max="12560" width="10.109375" style="95" customWidth="1"/>
    <col min="12561" max="12561" width="6.44140625" style="95" customWidth="1"/>
    <col min="12562" max="12562" width="6.88671875" style="95" customWidth="1"/>
    <col min="12563" max="12564" width="6.5546875" style="95" customWidth="1"/>
    <col min="12565" max="12565" width="6.33203125" style="95" customWidth="1"/>
    <col min="12566" max="12566" width="7.5546875" style="95" customWidth="1"/>
    <col min="12567" max="12567" width="14.5546875" style="95" customWidth="1"/>
    <col min="12568" max="12569" width="11.44140625" style="95" customWidth="1"/>
    <col min="12570" max="12570" width="56.88671875" style="95" customWidth="1"/>
    <col min="12571" max="12571" width="9.109375" style="95" bestFit="1" customWidth="1"/>
    <col min="12572" max="12572" width="26.6640625" style="95" customWidth="1"/>
    <col min="12573" max="12573" width="22.88671875" style="95" customWidth="1"/>
    <col min="12574" max="12574" width="14.6640625" style="95" customWidth="1"/>
    <col min="12575" max="12575" width="5" style="95" customWidth="1"/>
    <col min="12576" max="12577" width="11.44140625" style="95" hidden="1" customWidth="1"/>
    <col min="12578" max="12578" width="5" style="95" customWidth="1"/>
    <col min="12579" max="12580" width="11.44140625" style="95" hidden="1" customWidth="1"/>
    <col min="12581" max="12581" width="5" style="95" customWidth="1"/>
    <col min="12582" max="12583" width="11.44140625" style="95" hidden="1" customWidth="1"/>
    <col min="12584" max="12584" width="5" style="95" customWidth="1"/>
    <col min="12585" max="12586" width="11.44140625" style="95" hidden="1" customWidth="1"/>
    <col min="12587" max="12587" width="5" style="95" customWidth="1"/>
    <col min="12588" max="12589" width="11.44140625" style="95" hidden="1" customWidth="1"/>
    <col min="12590" max="12590" width="5" style="95" customWidth="1"/>
    <col min="12591" max="12592" width="11.44140625" style="95" hidden="1" customWidth="1"/>
    <col min="12593" max="12593" width="6.44140625" style="95" customWidth="1"/>
    <col min="12594" max="12601" width="11.44140625" style="95" hidden="1" customWidth="1"/>
    <col min="12602" max="12602" width="6.88671875" style="95" customWidth="1"/>
    <col min="12603" max="12604" width="11.44140625" style="95" hidden="1" customWidth="1"/>
    <col min="12605" max="12605" width="6.44140625" style="95" customWidth="1"/>
    <col min="12606" max="12607" width="11.44140625" style="95" hidden="1" customWidth="1"/>
    <col min="12608" max="12608" width="5.44140625" style="95" customWidth="1"/>
    <col min="12609" max="12610" width="11.44140625" style="95" hidden="1" customWidth="1"/>
    <col min="12611" max="12611" width="4.88671875" style="95" customWidth="1"/>
    <col min="12612" max="12616" width="11.44140625" style="95" hidden="1" customWidth="1"/>
    <col min="12617" max="12617" width="8.44140625" style="95" customWidth="1"/>
    <col min="12618" max="12619" width="11.44140625" style="95" hidden="1" customWidth="1"/>
    <col min="12620" max="12620" width="5.44140625" style="95" customWidth="1"/>
    <col min="12621" max="12622" width="11.44140625" style="95" hidden="1" customWidth="1"/>
    <col min="12623" max="12623" width="8.44140625" style="95" customWidth="1"/>
    <col min="12624" max="12625" width="11.44140625" style="95" hidden="1" customWidth="1"/>
    <col min="12626" max="12626" width="5.88671875" style="95" customWidth="1"/>
    <col min="12627" max="12628" width="11.44140625" style="95" hidden="1" customWidth="1"/>
    <col min="12629" max="12629" width="5.44140625" style="95" customWidth="1"/>
    <col min="12630" max="12631" width="11.44140625" style="95" hidden="1" customWidth="1"/>
    <col min="12632" max="12632" width="5.44140625" style="95" customWidth="1"/>
    <col min="12633" max="12634" width="11.44140625" style="95" hidden="1" customWidth="1"/>
    <col min="12635" max="12635" width="6" style="95" customWidth="1"/>
    <col min="12636" max="12640" width="11.44140625" style="95" hidden="1" customWidth="1"/>
    <col min="12641" max="12641" width="5" style="95" customWidth="1"/>
    <col min="12642" max="12649" width="11.44140625" style="95" hidden="1" customWidth="1"/>
    <col min="12650" max="12650" width="5" style="95" customWidth="1"/>
    <col min="12651" max="12651" width="11.44140625" style="95" hidden="1" customWidth="1"/>
    <col min="12652" max="12652" width="5" style="95" customWidth="1"/>
    <col min="12653" max="12653" width="9.44140625" style="95" customWidth="1"/>
    <col min="12654" max="12654" width="11.44140625" style="95" hidden="1" customWidth="1"/>
    <col min="12655" max="12655" width="5" style="95" customWidth="1"/>
    <col min="12656" max="12657" width="11.44140625" style="95" hidden="1" customWidth="1"/>
    <col min="12658" max="12658" width="5" style="95" customWidth="1"/>
    <col min="12659" max="12660" width="11.44140625" style="95" hidden="1" customWidth="1"/>
    <col min="12661" max="12661" width="5" style="95" customWidth="1"/>
    <col min="12662" max="12663" width="11.44140625" style="95" hidden="1" customWidth="1"/>
    <col min="12664" max="12664" width="5" style="95" customWidth="1"/>
    <col min="12665" max="12666" width="11.44140625" style="95" hidden="1" customWidth="1"/>
    <col min="12667" max="12667" width="5" style="95" customWidth="1"/>
    <col min="12668" max="12669" width="11.44140625" style="95" hidden="1" customWidth="1"/>
    <col min="12670" max="12670" width="5" style="95" customWidth="1"/>
    <col min="12671" max="12671" width="11.44140625" style="95" hidden="1" customWidth="1"/>
    <col min="12672" max="12672" width="6.44140625" style="95" customWidth="1"/>
    <col min="12673" max="12673" width="11.44140625" style="95" hidden="1" customWidth="1"/>
    <col min="12674" max="12674" width="7.109375" style="95" customWidth="1"/>
    <col min="12675" max="12676" width="11.44140625" style="95" hidden="1" customWidth="1"/>
    <col min="12677" max="12677" width="7.109375" style="95" customWidth="1"/>
    <col min="12678" max="12679" width="11.44140625" style="95" hidden="1" customWidth="1"/>
    <col min="12680" max="12680" width="7.109375" style="95" customWidth="1"/>
    <col min="12681" max="12682" width="11.44140625" style="95" hidden="1" customWidth="1"/>
    <col min="12683" max="12683" width="7.109375" style="95" customWidth="1"/>
    <col min="12684" max="12685" width="11.44140625" style="95" hidden="1" customWidth="1"/>
    <col min="12686" max="12686" width="7.109375" style="95" customWidth="1"/>
    <col min="12687" max="12688" width="11.44140625" style="95" hidden="1" customWidth="1"/>
    <col min="12689" max="12689" width="7.109375" style="95" customWidth="1"/>
    <col min="12690" max="12691" width="11.44140625" style="95" hidden="1" customWidth="1"/>
    <col min="12692" max="12692" width="7.109375" style="95" customWidth="1"/>
    <col min="12693" max="12694" width="11.44140625" style="95" hidden="1" customWidth="1"/>
    <col min="12695" max="12695" width="7.109375" style="95" customWidth="1"/>
    <col min="12696" max="12696" width="11.44140625" style="95" hidden="1" customWidth="1"/>
    <col min="12697" max="12697" width="6.44140625" style="95" customWidth="1"/>
    <col min="12698" max="12699" width="11.44140625" style="95" hidden="1" customWidth="1"/>
    <col min="12700" max="12700" width="6.88671875" style="95" customWidth="1"/>
    <col min="12701" max="12702" width="11.44140625" style="95" hidden="1" customWidth="1"/>
    <col min="12703" max="12703" width="6.88671875" style="95" customWidth="1"/>
    <col min="12704" max="12705" width="11.44140625" style="95" hidden="1" customWidth="1"/>
    <col min="12706" max="12706" width="6.44140625" style="95" customWidth="1"/>
    <col min="12707" max="12711" width="11.44140625" style="95" hidden="1" customWidth="1"/>
    <col min="12712" max="12712" width="6.44140625" style="95" customWidth="1"/>
    <col min="12713" max="12714" width="11.44140625" style="95" hidden="1" customWidth="1"/>
    <col min="12715" max="12715" width="7.5546875" style="95" customWidth="1"/>
    <col min="12716" max="12716" width="11.44140625" style="95" hidden="1" customWidth="1"/>
    <col min="12717" max="12717" width="9.44140625" style="95" customWidth="1"/>
    <col min="12718" max="12718" width="11.44140625" style="95" hidden="1" customWidth="1"/>
    <col min="12719" max="12719" width="9" style="95" customWidth="1"/>
    <col min="12720" max="12721" width="11.44140625" style="95" hidden="1" customWidth="1"/>
    <col min="12722" max="12722" width="8.5546875" style="95" customWidth="1"/>
    <col min="12723" max="12724" width="11.44140625" style="95" hidden="1" customWidth="1"/>
    <col min="12725" max="12725" width="6.44140625" style="95" customWidth="1"/>
    <col min="12726" max="12727" width="11.44140625" style="95" hidden="1" customWidth="1"/>
    <col min="12728" max="12728" width="7" style="95" customWidth="1"/>
    <col min="12729" max="12730" width="11.44140625" style="95" hidden="1" customWidth="1"/>
    <col min="12731" max="12733" width="7" style="95" customWidth="1"/>
    <col min="12734" max="12735" width="11.44140625" style="95" hidden="1" customWidth="1"/>
    <col min="12736" max="12736" width="7.5546875" style="95" customWidth="1"/>
    <col min="12737" max="12738" width="11.44140625" style="95" hidden="1" customWidth="1"/>
    <col min="12739" max="12739" width="7" style="95" customWidth="1"/>
    <col min="12740" max="12741" width="11.44140625" style="95" hidden="1" customWidth="1"/>
    <col min="12742" max="12742" width="7" style="95" customWidth="1"/>
    <col min="12743" max="12744" width="11.44140625" style="95" hidden="1" customWidth="1"/>
    <col min="12745" max="12745" width="7" style="95" customWidth="1"/>
    <col min="12746" max="12746" width="11.44140625" style="95" hidden="1" customWidth="1"/>
    <col min="12747" max="12747" width="6.44140625" style="95" customWidth="1"/>
    <col min="12748" max="12757" width="11.44140625" style="95" hidden="1" customWidth="1"/>
    <col min="12758" max="12792" width="11.44140625" style="95" hidden="1"/>
    <col min="12793" max="12793" width="41.44140625" style="95" customWidth="1"/>
    <col min="12794" max="12794" width="6.44140625" style="95" customWidth="1"/>
    <col min="12795" max="12795" width="14.6640625" style="95" customWidth="1"/>
    <col min="12796" max="12796" width="11.44140625" style="95" customWidth="1"/>
    <col min="12797" max="12797" width="13" style="95" customWidth="1"/>
    <col min="12798" max="12798" width="25.44140625" style="95" customWidth="1"/>
    <col min="12799" max="12808" width="9.44140625" style="95" customWidth="1"/>
    <col min="12809" max="12809" width="8.88671875" style="95" customWidth="1"/>
    <col min="12810" max="12810" width="9.44140625" style="95" customWidth="1"/>
    <col min="12811" max="12816" width="10.109375" style="95" customWidth="1"/>
    <col min="12817" max="12817" width="6.44140625" style="95" customWidth="1"/>
    <col min="12818" max="12818" width="6.88671875" style="95" customWidth="1"/>
    <col min="12819" max="12820" width="6.5546875" style="95" customWidth="1"/>
    <col min="12821" max="12821" width="6.33203125" style="95" customWidth="1"/>
    <col min="12822" max="12822" width="7.5546875" style="95" customWidth="1"/>
    <col min="12823" max="12823" width="14.5546875" style="95" customWidth="1"/>
    <col min="12824" max="12825" width="11.44140625" style="95" customWidth="1"/>
    <col min="12826" max="12826" width="56.88671875" style="95" customWidth="1"/>
    <col min="12827" max="12827" width="9.109375" style="95" bestFit="1" customWidth="1"/>
    <col min="12828" max="12828" width="26.6640625" style="95" customWidth="1"/>
    <col min="12829" max="12829" width="22.88671875" style="95" customWidth="1"/>
    <col min="12830" max="12830" width="14.6640625" style="95" customWidth="1"/>
    <col min="12831" max="12831" width="5" style="95" customWidth="1"/>
    <col min="12832" max="12833" width="11.44140625" style="95" hidden="1" customWidth="1"/>
    <col min="12834" max="12834" width="5" style="95" customWidth="1"/>
    <col min="12835" max="12836" width="11.44140625" style="95" hidden="1" customWidth="1"/>
    <col min="12837" max="12837" width="5" style="95" customWidth="1"/>
    <col min="12838" max="12839" width="11.44140625" style="95" hidden="1" customWidth="1"/>
    <col min="12840" max="12840" width="5" style="95" customWidth="1"/>
    <col min="12841" max="12842" width="11.44140625" style="95" hidden="1" customWidth="1"/>
    <col min="12843" max="12843" width="5" style="95" customWidth="1"/>
    <col min="12844" max="12845" width="11.44140625" style="95" hidden="1" customWidth="1"/>
    <col min="12846" max="12846" width="5" style="95" customWidth="1"/>
    <col min="12847" max="12848" width="11.44140625" style="95" hidden="1" customWidth="1"/>
    <col min="12849" max="12849" width="6.44140625" style="95" customWidth="1"/>
    <col min="12850" max="12857" width="11.44140625" style="95" hidden="1" customWidth="1"/>
    <col min="12858" max="12858" width="6.88671875" style="95" customWidth="1"/>
    <col min="12859" max="12860" width="11.44140625" style="95" hidden="1" customWidth="1"/>
    <col min="12861" max="12861" width="6.44140625" style="95" customWidth="1"/>
    <col min="12862" max="12863" width="11.44140625" style="95" hidden="1" customWidth="1"/>
    <col min="12864" max="12864" width="5.44140625" style="95" customWidth="1"/>
    <col min="12865" max="12866" width="11.44140625" style="95" hidden="1" customWidth="1"/>
    <col min="12867" max="12867" width="4.88671875" style="95" customWidth="1"/>
    <col min="12868" max="12872" width="11.44140625" style="95" hidden="1" customWidth="1"/>
    <col min="12873" max="12873" width="8.44140625" style="95" customWidth="1"/>
    <col min="12874" max="12875" width="11.44140625" style="95" hidden="1" customWidth="1"/>
    <col min="12876" max="12876" width="5.44140625" style="95" customWidth="1"/>
    <col min="12877" max="12878" width="11.44140625" style="95" hidden="1" customWidth="1"/>
    <col min="12879" max="12879" width="8.44140625" style="95" customWidth="1"/>
    <col min="12880" max="12881" width="11.44140625" style="95" hidden="1" customWidth="1"/>
    <col min="12882" max="12882" width="5.88671875" style="95" customWidth="1"/>
    <col min="12883" max="12884" width="11.44140625" style="95" hidden="1" customWidth="1"/>
    <col min="12885" max="12885" width="5.44140625" style="95" customWidth="1"/>
    <col min="12886" max="12887" width="11.44140625" style="95" hidden="1" customWidth="1"/>
    <col min="12888" max="12888" width="5.44140625" style="95" customWidth="1"/>
    <col min="12889" max="12890" width="11.44140625" style="95" hidden="1" customWidth="1"/>
    <col min="12891" max="12891" width="6" style="95" customWidth="1"/>
    <col min="12892" max="12896" width="11.44140625" style="95" hidden="1" customWidth="1"/>
    <col min="12897" max="12897" width="5" style="95" customWidth="1"/>
    <col min="12898" max="12905" width="11.44140625" style="95" hidden="1" customWidth="1"/>
    <col min="12906" max="12906" width="5" style="95" customWidth="1"/>
    <col min="12907" max="12907" width="11.44140625" style="95" hidden="1" customWidth="1"/>
    <col min="12908" max="12908" width="5" style="95" customWidth="1"/>
    <col min="12909" max="12909" width="9.44140625" style="95" customWidth="1"/>
    <col min="12910" max="12910" width="11.44140625" style="95" hidden="1" customWidth="1"/>
    <col min="12911" max="12911" width="5" style="95" customWidth="1"/>
    <col min="12912" max="12913" width="11.44140625" style="95" hidden="1" customWidth="1"/>
    <col min="12914" max="12914" width="5" style="95" customWidth="1"/>
    <col min="12915" max="12916" width="11.44140625" style="95" hidden="1" customWidth="1"/>
    <col min="12917" max="12917" width="5" style="95" customWidth="1"/>
    <col min="12918" max="12919" width="11.44140625" style="95" hidden="1" customWidth="1"/>
    <col min="12920" max="12920" width="5" style="95" customWidth="1"/>
    <col min="12921" max="12922" width="11.44140625" style="95" hidden="1" customWidth="1"/>
    <col min="12923" max="12923" width="5" style="95" customWidth="1"/>
    <col min="12924" max="12925" width="11.44140625" style="95" hidden="1" customWidth="1"/>
    <col min="12926" max="12926" width="5" style="95" customWidth="1"/>
    <col min="12927" max="12927" width="11.44140625" style="95" hidden="1" customWidth="1"/>
    <col min="12928" max="12928" width="6.44140625" style="95" customWidth="1"/>
    <col min="12929" max="12929" width="11.44140625" style="95" hidden="1" customWidth="1"/>
    <col min="12930" max="12930" width="7.109375" style="95" customWidth="1"/>
    <col min="12931" max="12932" width="11.44140625" style="95" hidden="1" customWidth="1"/>
    <col min="12933" max="12933" width="7.109375" style="95" customWidth="1"/>
    <col min="12934" max="12935" width="11.44140625" style="95" hidden="1" customWidth="1"/>
    <col min="12936" max="12936" width="7.109375" style="95" customWidth="1"/>
    <col min="12937" max="12938" width="11.44140625" style="95" hidden="1" customWidth="1"/>
    <col min="12939" max="12939" width="7.109375" style="95" customWidth="1"/>
    <col min="12940" max="12941" width="11.44140625" style="95" hidden="1" customWidth="1"/>
    <col min="12942" max="12942" width="7.109375" style="95" customWidth="1"/>
    <col min="12943" max="12944" width="11.44140625" style="95" hidden="1" customWidth="1"/>
    <col min="12945" max="12945" width="7.109375" style="95" customWidth="1"/>
    <col min="12946" max="12947" width="11.44140625" style="95" hidden="1" customWidth="1"/>
    <col min="12948" max="12948" width="7.109375" style="95" customWidth="1"/>
    <col min="12949" max="12950" width="11.44140625" style="95" hidden="1" customWidth="1"/>
    <col min="12951" max="12951" width="7.109375" style="95" customWidth="1"/>
    <col min="12952" max="12952" width="11.44140625" style="95" hidden="1" customWidth="1"/>
    <col min="12953" max="12953" width="6.44140625" style="95" customWidth="1"/>
    <col min="12954" max="12955" width="11.44140625" style="95" hidden="1" customWidth="1"/>
    <col min="12956" max="12956" width="6.88671875" style="95" customWidth="1"/>
    <col min="12957" max="12958" width="11.44140625" style="95" hidden="1" customWidth="1"/>
    <col min="12959" max="12959" width="6.88671875" style="95" customWidth="1"/>
    <col min="12960" max="12961" width="11.44140625" style="95" hidden="1" customWidth="1"/>
    <col min="12962" max="12962" width="6.44140625" style="95" customWidth="1"/>
    <col min="12963" max="12967" width="11.44140625" style="95" hidden="1" customWidth="1"/>
    <col min="12968" max="12968" width="6.44140625" style="95" customWidth="1"/>
    <col min="12969" max="12970" width="11.44140625" style="95" hidden="1" customWidth="1"/>
    <col min="12971" max="12971" width="7.5546875" style="95" customWidth="1"/>
    <col min="12972" max="12972" width="11.44140625" style="95" hidden="1" customWidth="1"/>
    <col min="12973" max="12973" width="9.44140625" style="95" customWidth="1"/>
    <col min="12974" max="12974" width="11.44140625" style="95" hidden="1" customWidth="1"/>
    <col min="12975" max="12975" width="9" style="95" customWidth="1"/>
    <col min="12976" max="12977" width="11.44140625" style="95" hidden="1" customWidth="1"/>
    <col min="12978" max="12978" width="8.5546875" style="95" customWidth="1"/>
    <col min="12979" max="12980" width="11.44140625" style="95" hidden="1" customWidth="1"/>
    <col min="12981" max="12981" width="6.44140625" style="95" customWidth="1"/>
    <col min="12982" max="12983" width="11.44140625" style="95" hidden="1" customWidth="1"/>
    <col min="12984" max="12984" width="7" style="95" customWidth="1"/>
    <col min="12985" max="12986" width="11.44140625" style="95" hidden="1" customWidth="1"/>
    <col min="12987" max="12989" width="7" style="95" customWidth="1"/>
    <col min="12990" max="12991" width="11.44140625" style="95" hidden="1" customWidth="1"/>
    <col min="12992" max="12992" width="7.5546875" style="95" customWidth="1"/>
    <col min="12993" max="12994" width="11.44140625" style="95" hidden="1" customWidth="1"/>
    <col min="12995" max="12995" width="7" style="95" customWidth="1"/>
    <col min="12996" max="12997" width="11.44140625" style="95" hidden="1" customWidth="1"/>
    <col min="12998" max="12998" width="7" style="95" customWidth="1"/>
    <col min="12999" max="13000" width="11.44140625" style="95" hidden="1" customWidth="1"/>
    <col min="13001" max="13001" width="7" style="95" customWidth="1"/>
    <col min="13002" max="13002" width="11.44140625" style="95" hidden="1" customWidth="1"/>
    <col min="13003" max="13003" width="6.44140625" style="95" customWidth="1"/>
    <col min="13004" max="13013" width="11.44140625" style="95" hidden="1" customWidth="1"/>
    <col min="13014" max="13048" width="11.44140625" style="95" hidden="1"/>
    <col min="13049" max="13049" width="41.44140625" style="95" customWidth="1"/>
    <col min="13050" max="13050" width="6.44140625" style="95" customWidth="1"/>
    <col min="13051" max="13051" width="14.6640625" style="95" customWidth="1"/>
    <col min="13052" max="13052" width="11.44140625" style="95" customWidth="1"/>
    <col min="13053" max="13053" width="13" style="95" customWidth="1"/>
    <col min="13054" max="13054" width="25.44140625" style="95" customWidth="1"/>
    <col min="13055" max="13064" width="9.44140625" style="95" customWidth="1"/>
    <col min="13065" max="13065" width="8.88671875" style="95" customWidth="1"/>
    <col min="13066" max="13066" width="9.44140625" style="95" customWidth="1"/>
    <col min="13067" max="13072" width="10.109375" style="95" customWidth="1"/>
    <col min="13073" max="13073" width="6.44140625" style="95" customWidth="1"/>
    <col min="13074" max="13074" width="6.88671875" style="95" customWidth="1"/>
    <col min="13075" max="13076" width="6.5546875" style="95" customWidth="1"/>
    <col min="13077" max="13077" width="6.33203125" style="95" customWidth="1"/>
    <col min="13078" max="13078" width="7.5546875" style="95" customWidth="1"/>
    <col min="13079" max="13079" width="14.5546875" style="95" customWidth="1"/>
    <col min="13080" max="13081" width="11.44140625" style="95" customWidth="1"/>
    <col min="13082" max="13082" width="56.88671875" style="95" customWidth="1"/>
    <col min="13083" max="13083" width="9.109375" style="95" bestFit="1" customWidth="1"/>
    <col min="13084" max="13084" width="26.6640625" style="95" customWidth="1"/>
    <col min="13085" max="13085" width="22.88671875" style="95" customWidth="1"/>
    <col min="13086" max="13086" width="14.6640625" style="95" customWidth="1"/>
    <col min="13087" max="13087" width="5" style="95" customWidth="1"/>
    <col min="13088" max="13089" width="11.44140625" style="95" hidden="1" customWidth="1"/>
    <col min="13090" max="13090" width="5" style="95" customWidth="1"/>
    <col min="13091" max="13092" width="11.44140625" style="95" hidden="1" customWidth="1"/>
    <col min="13093" max="13093" width="5" style="95" customWidth="1"/>
    <col min="13094" max="13095" width="11.44140625" style="95" hidden="1" customWidth="1"/>
    <col min="13096" max="13096" width="5" style="95" customWidth="1"/>
    <col min="13097" max="13098" width="11.44140625" style="95" hidden="1" customWidth="1"/>
    <col min="13099" max="13099" width="5" style="95" customWidth="1"/>
    <col min="13100" max="13101" width="11.44140625" style="95" hidden="1" customWidth="1"/>
    <col min="13102" max="13102" width="5" style="95" customWidth="1"/>
    <col min="13103" max="13104" width="11.44140625" style="95" hidden="1" customWidth="1"/>
    <col min="13105" max="13105" width="6.44140625" style="95" customWidth="1"/>
    <col min="13106" max="13113" width="11.44140625" style="95" hidden="1" customWidth="1"/>
    <col min="13114" max="13114" width="6.88671875" style="95" customWidth="1"/>
    <col min="13115" max="13116" width="11.44140625" style="95" hidden="1" customWidth="1"/>
    <col min="13117" max="13117" width="6.44140625" style="95" customWidth="1"/>
    <col min="13118" max="13119" width="11.44140625" style="95" hidden="1" customWidth="1"/>
    <col min="13120" max="13120" width="5.44140625" style="95" customWidth="1"/>
    <col min="13121" max="13122" width="11.44140625" style="95" hidden="1" customWidth="1"/>
    <col min="13123" max="13123" width="4.88671875" style="95" customWidth="1"/>
    <col min="13124" max="13128" width="11.44140625" style="95" hidden="1" customWidth="1"/>
    <col min="13129" max="13129" width="8.44140625" style="95" customWidth="1"/>
    <col min="13130" max="13131" width="11.44140625" style="95" hidden="1" customWidth="1"/>
    <col min="13132" max="13132" width="5.44140625" style="95" customWidth="1"/>
    <col min="13133" max="13134" width="11.44140625" style="95" hidden="1" customWidth="1"/>
    <col min="13135" max="13135" width="8.44140625" style="95" customWidth="1"/>
    <col min="13136" max="13137" width="11.44140625" style="95" hidden="1" customWidth="1"/>
    <col min="13138" max="13138" width="5.88671875" style="95" customWidth="1"/>
    <col min="13139" max="13140" width="11.44140625" style="95" hidden="1" customWidth="1"/>
    <col min="13141" max="13141" width="5.44140625" style="95" customWidth="1"/>
    <col min="13142" max="13143" width="11.44140625" style="95" hidden="1" customWidth="1"/>
    <col min="13144" max="13144" width="5.44140625" style="95" customWidth="1"/>
    <col min="13145" max="13146" width="11.44140625" style="95" hidden="1" customWidth="1"/>
    <col min="13147" max="13147" width="6" style="95" customWidth="1"/>
    <col min="13148" max="13152" width="11.44140625" style="95" hidden="1" customWidth="1"/>
    <col min="13153" max="13153" width="5" style="95" customWidth="1"/>
    <col min="13154" max="13161" width="11.44140625" style="95" hidden="1" customWidth="1"/>
    <col min="13162" max="13162" width="5" style="95" customWidth="1"/>
    <col min="13163" max="13163" width="11.44140625" style="95" hidden="1" customWidth="1"/>
    <col min="13164" max="13164" width="5" style="95" customWidth="1"/>
    <col min="13165" max="13165" width="9.44140625" style="95" customWidth="1"/>
    <col min="13166" max="13166" width="11.44140625" style="95" hidden="1" customWidth="1"/>
    <col min="13167" max="13167" width="5" style="95" customWidth="1"/>
    <col min="13168" max="13169" width="11.44140625" style="95" hidden="1" customWidth="1"/>
    <col min="13170" max="13170" width="5" style="95" customWidth="1"/>
    <col min="13171" max="13172" width="11.44140625" style="95" hidden="1" customWidth="1"/>
    <col min="13173" max="13173" width="5" style="95" customWidth="1"/>
    <col min="13174" max="13175" width="11.44140625" style="95" hidden="1" customWidth="1"/>
    <col min="13176" max="13176" width="5" style="95" customWidth="1"/>
    <col min="13177" max="13178" width="11.44140625" style="95" hidden="1" customWidth="1"/>
    <col min="13179" max="13179" width="5" style="95" customWidth="1"/>
    <col min="13180" max="13181" width="11.44140625" style="95" hidden="1" customWidth="1"/>
    <col min="13182" max="13182" width="5" style="95" customWidth="1"/>
    <col min="13183" max="13183" width="11.44140625" style="95" hidden="1" customWidth="1"/>
    <col min="13184" max="13184" width="6.44140625" style="95" customWidth="1"/>
    <col min="13185" max="13185" width="11.44140625" style="95" hidden="1" customWidth="1"/>
    <col min="13186" max="13186" width="7.109375" style="95" customWidth="1"/>
    <col min="13187" max="13188" width="11.44140625" style="95" hidden="1" customWidth="1"/>
    <col min="13189" max="13189" width="7.109375" style="95" customWidth="1"/>
    <col min="13190" max="13191" width="11.44140625" style="95" hidden="1" customWidth="1"/>
    <col min="13192" max="13192" width="7.109375" style="95" customWidth="1"/>
    <col min="13193" max="13194" width="11.44140625" style="95" hidden="1" customWidth="1"/>
    <col min="13195" max="13195" width="7.109375" style="95" customWidth="1"/>
    <col min="13196" max="13197" width="11.44140625" style="95" hidden="1" customWidth="1"/>
    <col min="13198" max="13198" width="7.109375" style="95" customWidth="1"/>
    <col min="13199" max="13200" width="11.44140625" style="95" hidden="1" customWidth="1"/>
    <col min="13201" max="13201" width="7.109375" style="95" customWidth="1"/>
    <col min="13202" max="13203" width="11.44140625" style="95" hidden="1" customWidth="1"/>
    <col min="13204" max="13204" width="7.109375" style="95" customWidth="1"/>
    <col min="13205" max="13206" width="11.44140625" style="95" hidden="1" customWidth="1"/>
    <col min="13207" max="13207" width="7.109375" style="95" customWidth="1"/>
    <col min="13208" max="13208" width="11.44140625" style="95" hidden="1" customWidth="1"/>
    <col min="13209" max="13209" width="6.44140625" style="95" customWidth="1"/>
    <col min="13210" max="13211" width="11.44140625" style="95" hidden="1" customWidth="1"/>
    <col min="13212" max="13212" width="6.88671875" style="95" customWidth="1"/>
    <col min="13213" max="13214" width="11.44140625" style="95" hidden="1" customWidth="1"/>
    <col min="13215" max="13215" width="6.88671875" style="95" customWidth="1"/>
    <col min="13216" max="13217" width="11.44140625" style="95" hidden="1" customWidth="1"/>
    <col min="13218" max="13218" width="6.44140625" style="95" customWidth="1"/>
    <col min="13219" max="13223" width="11.44140625" style="95" hidden="1" customWidth="1"/>
    <col min="13224" max="13224" width="6.44140625" style="95" customWidth="1"/>
    <col min="13225" max="13226" width="11.44140625" style="95" hidden="1" customWidth="1"/>
    <col min="13227" max="13227" width="7.5546875" style="95" customWidth="1"/>
    <col min="13228" max="13228" width="11.44140625" style="95" hidden="1" customWidth="1"/>
    <col min="13229" max="13229" width="9.44140625" style="95" customWidth="1"/>
    <col min="13230" max="13230" width="11.44140625" style="95" hidden="1" customWidth="1"/>
    <col min="13231" max="13231" width="9" style="95" customWidth="1"/>
    <col min="13232" max="13233" width="11.44140625" style="95" hidden="1" customWidth="1"/>
    <col min="13234" max="13234" width="8.5546875" style="95" customWidth="1"/>
    <col min="13235" max="13236" width="11.44140625" style="95" hidden="1" customWidth="1"/>
    <col min="13237" max="13237" width="6.44140625" style="95" customWidth="1"/>
    <col min="13238" max="13239" width="11.44140625" style="95" hidden="1" customWidth="1"/>
    <col min="13240" max="13240" width="7" style="95" customWidth="1"/>
    <col min="13241" max="13242" width="11.44140625" style="95" hidden="1" customWidth="1"/>
    <col min="13243" max="13245" width="7" style="95" customWidth="1"/>
    <col min="13246" max="13247" width="11.44140625" style="95" hidden="1" customWidth="1"/>
    <col min="13248" max="13248" width="7.5546875" style="95" customWidth="1"/>
    <col min="13249" max="13250" width="11.44140625" style="95" hidden="1" customWidth="1"/>
    <col min="13251" max="13251" width="7" style="95" customWidth="1"/>
    <col min="13252" max="13253" width="11.44140625" style="95" hidden="1" customWidth="1"/>
    <col min="13254" max="13254" width="7" style="95" customWidth="1"/>
    <col min="13255" max="13256" width="11.44140625" style="95" hidden="1" customWidth="1"/>
    <col min="13257" max="13257" width="7" style="95" customWidth="1"/>
    <col min="13258" max="13258" width="11.44140625" style="95" hidden="1" customWidth="1"/>
    <col min="13259" max="13259" width="6.44140625" style="95" customWidth="1"/>
    <col min="13260" max="13269" width="11.44140625" style="95" hidden="1" customWidth="1"/>
    <col min="13270" max="13304" width="11.44140625" style="95" hidden="1"/>
    <col min="13305" max="13305" width="41.44140625" style="95" customWidth="1"/>
    <col min="13306" max="13306" width="6.44140625" style="95" customWidth="1"/>
    <col min="13307" max="13307" width="14.6640625" style="95" customWidth="1"/>
    <col min="13308" max="13308" width="11.44140625" style="95" customWidth="1"/>
    <col min="13309" max="13309" width="13" style="95" customWidth="1"/>
    <col min="13310" max="13310" width="25.44140625" style="95" customWidth="1"/>
    <col min="13311" max="13320" width="9.44140625" style="95" customWidth="1"/>
    <col min="13321" max="13321" width="8.88671875" style="95" customWidth="1"/>
    <col min="13322" max="13322" width="9.44140625" style="95" customWidth="1"/>
    <col min="13323" max="13328" width="10.109375" style="95" customWidth="1"/>
    <col min="13329" max="13329" width="6.44140625" style="95" customWidth="1"/>
    <col min="13330" max="13330" width="6.88671875" style="95" customWidth="1"/>
    <col min="13331" max="13332" width="6.5546875" style="95" customWidth="1"/>
    <col min="13333" max="13333" width="6.33203125" style="95" customWidth="1"/>
    <col min="13334" max="13334" width="7.5546875" style="95" customWidth="1"/>
    <col min="13335" max="13335" width="14.5546875" style="95" customWidth="1"/>
    <col min="13336" max="13337" width="11.44140625" style="95" customWidth="1"/>
    <col min="13338" max="13338" width="56.88671875" style="95" customWidth="1"/>
    <col min="13339" max="13339" width="9.109375" style="95" bestFit="1" customWidth="1"/>
    <col min="13340" max="13340" width="26.6640625" style="95" customWidth="1"/>
    <col min="13341" max="13341" width="22.88671875" style="95" customWidth="1"/>
    <col min="13342" max="13342" width="14.6640625" style="95" customWidth="1"/>
    <col min="13343" max="13343" width="5" style="95" customWidth="1"/>
    <col min="13344" max="13345" width="11.44140625" style="95" hidden="1" customWidth="1"/>
    <col min="13346" max="13346" width="5" style="95" customWidth="1"/>
    <col min="13347" max="13348" width="11.44140625" style="95" hidden="1" customWidth="1"/>
    <col min="13349" max="13349" width="5" style="95" customWidth="1"/>
    <col min="13350" max="13351" width="11.44140625" style="95" hidden="1" customWidth="1"/>
    <col min="13352" max="13352" width="5" style="95" customWidth="1"/>
    <col min="13353" max="13354" width="11.44140625" style="95" hidden="1" customWidth="1"/>
    <col min="13355" max="13355" width="5" style="95" customWidth="1"/>
    <col min="13356" max="13357" width="11.44140625" style="95" hidden="1" customWidth="1"/>
    <col min="13358" max="13358" width="5" style="95" customWidth="1"/>
    <col min="13359" max="13360" width="11.44140625" style="95" hidden="1" customWidth="1"/>
    <col min="13361" max="13361" width="6.44140625" style="95" customWidth="1"/>
    <col min="13362" max="13369" width="11.44140625" style="95" hidden="1" customWidth="1"/>
    <col min="13370" max="13370" width="6.88671875" style="95" customWidth="1"/>
    <col min="13371" max="13372" width="11.44140625" style="95" hidden="1" customWidth="1"/>
    <col min="13373" max="13373" width="6.44140625" style="95" customWidth="1"/>
    <col min="13374" max="13375" width="11.44140625" style="95" hidden="1" customWidth="1"/>
    <col min="13376" max="13376" width="5.44140625" style="95" customWidth="1"/>
    <col min="13377" max="13378" width="11.44140625" style="95" hidden="1" customWidth="1"/>
    <col min="13379" max="13379" width="4.88671875" style="95" customWidth="1"/>
    <col min="13380" max="13384" width="11.44140625" style="95" hidden="1" customWidth="1"/>
    <col min="13385" max="13385" width="8.44140625" style="95" customWidth="1"/>
    <col min="13386" max="13387" width="11.44140625" style="95" hidden="1" customWidth="1"/>
    <col min="13388" max="13388" width="5.44140625" style="95" customWidth="1"/>
    <col min="13389" max="13390" width="11.44140625" style="95" hidden="1" customWidth="1"/>
    <col min="13391" max="13391" width="8.44140625" style="95" customWidth="1"/>
    <col min="13392" max="13393" width="11.44140625" style="95" hidden="1" customWidth="1"/>
    <col min="13394" max="13394" width="5.88671875" style="95" customWidth="1"/>
    <col min="13395" max="13396" width="11.44140625" style="95" hidden="1" customWidth="1"/>
    <col min="13397" max="13397" width="5.44140625" style="95" customWidth="1"/>
    <col min="13398" max="13399" width="11.44140625" style="95" hidden="1" customWidth="1"/>
    <col min="13400" max="13400" width="5.44140625" style="95" customWidth="1"/>
    <col min="13401" max="13402" width="11.44140625" style="95" hidden="1" customWidth="1"/>
    <col min="13403" max="13403" width="6" style="95" customWidth="1"/>
    <col min="13404" max="13408" width="11.44140625" style="95" hidden="1" customWidth="1"/>
    <col min="13409" max="13409" width="5" style="95" customWidth="1"/>
    <col min="13410" max="13417" width="11.44140625" style="95" hidden="1" customWidth="1"/>
    <col min="13418" max="13418" width="5" style="95" customWidth="1"/>
    <col min="13419" max="13419" width="11.44140625" style="95" hidden="1" customWidth="1"/>
    <col min="13420" max="13420" width="5" style="95" customWidth="1"/>
    <col min="13421" max="13421" width="9.44140625" style="95" customWidth="1"/>
    <col min="13422" max="13422" width="11.44140625" style="95" hidden="1" customWidth="1"/>
    <col min="13423" max="13423" width="5" style="95" customWidth="1"/>
    <col min="13424" max="13425" width="11.44140625" style="95" hidden="1" customWidth="1"/>
    <col min="13426" max="13426" width="5" style="95" customWidth="1"/>
    <col min="13427" max="13428" width="11.44140625" style="95" hidden="1" customWidth="1"/>
    <col min="13429" max="13429" width="5" style="95" customWidth="1"/>
    <col min="13430" max="13431" width="11.44140625" style="95" hidden="1" customWidth="1"/>
    <col min="13432" max="13432" width="5" style="95" customWidth="1"/>
    <col min="13433" max="13434" width="11.44140625" style="95" hidden="1" customWidth="1"/>
    <col min="13435" max="13435" width="5" style="95" customWidth="1"/>
    <col min="13436" max="13437" width="11.44140625" style="95" hidden="1" customWidth="1"/>
    <col min="13438" max="13438" width="5" style="95" customWidth="1"/>
    <col min="13439" max="13439" width="11.44140625" style="95" hidden="1" customWidth="1"/>
    <col min="13440" max="13440" width="6.44140625" style="95" customWidth="1"/>
    <col min="13441" max="13441" width="11.44140625" style="95" hidden="1" customWidth="1"/>
    <col min="13442" max="13442" width="7.109375" style="95" customWidth="1"/>
    <col min="13443" max="13444" width="11.44140625" style="95" hidden="1" customWidth="1"/>
    <col min="13445" max="13445" width="7.109375" style="95" customWidth="1"/>
    <col min="13446" max="13447" width="11.44140625" style="95" hidden="1" customWidth="1"/>
    <col min="13448" max="13448" width="7.109375" style="95" customWidth="1"/>
    <col min="13449" max="13450" width="11.44140625" style="95" hidden="1" customWidth="1"/>
    <col min="13451" max="13451" width="7.109375" style="95" customWidth="1"/>
    <col min="13452" max="13453" width="11.44140625" style="95" hidden="1" customWidth="1"/>
    <col min="13454" max="13454" width="7.109375" style="95" customWidth="1"/>
    <col min="13455" max="13456" width="11.44140625" style="95" hidden="1" customWidth="1"/>
    <col min="13457" max="13457" width="7.109375" style="95" customWidth="1"/>
    <col min="13458" max="13459" width="11.44140625" style="95" hidden="1" customWidth="1"/>
    <col min="13460" max="13460" width="7.109375" style="95" customWidth="1"/>
    <col min="13461" max="13462" width="11.44140625" style="95" hidden="1" customWidth="1"/>
    <col min="13463" max="13463" width="7.109375" style="95" customWidth="1"/>
    <col min="13464" max="13464" width="11.44140625" style="95" hidden="1" customWidth="1"/>
    <col min="13465" max="13465" width="6.44140625" style="95" customWidth="1"/>
    <col min="13466" max="13467" width="11.44140625" style="95" hidden="1" customWidth="1"/>
    <col min="13468" max="13468" width="6.88671875" style="95" customWidth="1"/>
    <col min="13469" max="13470" width="11.44140625" style="95" hidden="1" customWidth="1"/>
    <col min="13471" max="13471" width="6.88671875" style="95" customWidth="1"/>
    <col min="13472" max="13473" width="11.44140625" style="95" hidden="1" customWidth="1"/>
    <col min="13474" max="13474" width="6.44140625" style="95" customWidth="1"/>
    <col min="13475" max="13479" width="11.44140625" style="95" hidden="1" customWidth="1"/>
    <col min="13480" max="13480" width="6.44140625" style="95" customWidth="1"/>
    <col min="13481" max="13482" width="11.44140625" style="95" hidden="1" customWidth="1"/>
    <col min="13483" max="13483" width="7.5546875" style="95" customWidth="1"/>
    <col min="13484" max="13484" width="11.44140625" style="95" hidden="1" customWidth="1"/>
    <col min="13485" max="13485" width="9.44140625" style="95" customWidth="1"/>
    <col min="13486" max="13486" width="11.44140625" style="95" hidden="1" customWidth="1"/>
    <col min="13487" max="13487" width="9" style="95" customWidth="1"/>
    <col min="13488" max="13489" width="11.44140625" style="95" hidden="1" customWidth="1"/>
    <col min="13490" max="13490" width="8.5546875" style="95" customWidth="1"/>
    <col min="13491" max="13492" width="11.44140625" style="95" hidden="1" customWidth="1"/>
    <col min="13493" max="13493" width="6.44140625" style="95" customWidth="1"/>
    <col min="13494" max="13495" width="11.44140625" style="95" hidden="1" customWidth="1"/>
    <col min="13496" max="13496" width="7" style="95" customWidth="1"/>
    <col min="13497" max="13498" width="11.44140625" style="95" hidden="1" customWidth="1"/>
    <col min="13499" max="13501" width="7" style="95" customWidth="1"/>
    <col min="13502" max="13503" width="11.44140625" style="95" hidden="1" customWidth="1"/>
    <col min="13504" max="13504" width="7.5546875" style="95" customWidth="1"/>
    <col min="13505" max="13506" width="11.44140625" style="95" hidden="1" customWidth="1"/>
    <col min="13507" max="13507" width="7" style="95" customWidth="1"/>
    <col min="13508" max="13509" width="11.44140625" style="95" hidden="1" customWidth="1"/>
    <col min="13510" max="13510" width="7" style="95" customWidth="1"/>
    <col min="13511" max="13512" width="11.44140625" style="95" hidden="1" customWidth="1"/>
    <col min="13513" max="13513" width="7" style="95" customWidth="1"/>
    <col min="13514" max="13514" width="11.44140625" style="95" hidden="1" customWidth="1"/>
    <col min="13515" max="13515" width="6.44140625" style="95" customWidth="1"/>
    <col min="13516" max="13525" width="11.44140625" style="95" hidden="1" customWidth="1"/>
    <col min="13526" max="13560" width="11.44140625" style="95" hidden="1"/>
    <col min="13561" max="13561" width="41.44140625" style="95" customWidth="1"/>
    <col min="13562" max="13562" width="6.44140625" style="95" customWidth="1"/>
    <col min="13563" max="13563" width="14.6640625" style="95" customWidth="1"/>
    <col min="13564" max="13564" width="11.44140625" style="95" customWidth="1"/>
    <col min="13565" max="13565" width="13" style="95" customWidth="1"/>
    <col min="13566" max="13566" width="25.44140625" style="95" customWidth="1"/>
    <col min="13567" max="13576" width="9.44140625" style="95" customWidth="1"/>
    <col min="13577" max="13577" width="8.88671875" style="95" customWidth="1"/>
    <col min="13578" max="13578" width="9.44140625" style="95" customWidth="1"/>
    <col min="13579" max="13584" width="10.109375" style="95" customWidth="1"/>
    <col min="13585" max="13585" width="6.44140625" style="95" customWidth="1"/>
    <col min="13586" max="13586" width="6.88671875" style="95" customWidth="1"/>
    <col min="13587" max="13588" width="6.5546875" style="95" customWidth="1"/>
    <col min="13589" max="13589" width="6.33203125" style="95" customWidth="1"/>
    <col min="13590" max="13590" width="7.5546875" style="95" customWidth="1"/>
    <col min="13591" max="13591" width="14.5546875" style="95" customWidth="1"/>
    <col min="13592" max="13593" width="11.44140625" style="95" customWidth="1"/>
    <col min="13594" max="13594" width="56.88671875" style="95" customWidth="1"/>
    <col min="13595" max="13595" width="9.109375" style="95" bestFit="1" customWidth="1"/>
    <col min="13596" max="13596" width="26.6640625" style="95" customWidth="1"/>
    <col min="13597" max="13597" width="22.88671875" style="95" customWidth="1"/>
    <col min="13598" max="13598" width="14.6640625" style="95" customWidth="1"/>
    <col min="13599" max="13599" width="5" style="95" customWidth="1"/>
    <col min="13600" max="13601" width="11.44140625" style="95" hidden="1" customWidth="1"/>
    <col min="13602" max="13602" width="5" style="95" customWidth="1"/>
    <col min="13603" max="13604" width="11.44140625" style="95" hidden="1" customWidth="1"/>
    <col min="13605" max="13605" width="5" style="95" customWidth="1"/>
    <col min="13606" max="13607" width="11.44140625" style="95" hidden="1" customWidth="1"/>
    <col min="13608" max="13608" width="5" style="95" customWidth="1"/>
    <col min="13609" max="13610" width="11.44140625" style="95" hidden="1" customWidth="1"/>
    <col min="13611" max="13611" width="5" style="95" customWidth="1"/>
    <col min="13612" max="13613" width="11.44140625" style="95" hidden="1" customWidth="1"/>
    <col min="13614" max="13614" width="5" style="95" customWidth="1"/>
    <col min="13615" max="13616" width="11.44140625" style="95" hidden="1" customWidth="1"/>
    <col min="13617" max="13617" width="6.44140625" style="95" customWidth="1"/>
    <col min="13618" max="13625" width="11.44140625" style="95" hidden="1" customWidth="1"/>
    <col min="13626" max="13626" width="6.88671875" style="95" customWidth="1"/>
    <col min="13627" max="13628" width="11.44140625" style="95" hidden="1" customWidth="1"/>
    <col min="13629" max="13629" width="6.44140625" style="95" customWidth="1"/>
    <col min="13630" max="13631" width="11.44140625" style="95" hidden="1" customWidth="1"/>
    <col min="13632" max="13632" width="5.44140625" style="95" customWidth="1"/>
    <col min="13633" max="13634" width="11.44140625" style="95" hidden="1" customWidth="1"/>
    <col min="13635" max="13635" width="4.88671875" style="95" customWidth="1"/>
    <col min="13636" max="13640" width="11.44140625" style="95" hidden="1" customWidth="1"/>
    <col min="13641" max="13641" width="8.44140625" style="95" customWidth="1"/>
    <col min="13642" max="13643" width="11.44140625" style="95" hidden="1" customWidth="1"/>
    <col min="13644" max="13644" width="5.44140625" style="95" customWidth="1"/>
    <col min="13645" max="13646" width="11.44140625" style="95" hidden="1" customWidth="1"/>
    <col min="13647" max="13647" width="8.44140625" style="95" customWidth="1"/>
    <col min="13648" max="13649" width="11.44140625" style="95" hidden="1" customWidth="1"/>
    <col min="13650" max="13650" width="5.88671875" style="95" customWidth="1"/>
    <col min="13651" max="13652" width="11.44140625" style="95" hidden="1" customWidth="1"/>
    <col min="13653" max="13653" width="5.44140625" style="95" customWidth="1"/>
    <col min="13654" max="13655" width="11.44140625" style="95" hidden="1" customWidth="1"/>
    <col min="13656" max="13656" width="5.44140625" style="95" customWidth="1"/>
    <col min="13657" max="13658" width="11.44140625" style="95" hidden="1" customWidth="1"/>
    <col min="13659" max="13659" width="6" style="95" customWidth="1"/>
    <col min="13660" max="13664" width="11.44140625" style="95" hidden="1" customWidth="1"/>
    <col min="13665" max="13665" width="5" style="95" customWidth="1"/>
    <col min="13666" max="13673" width="11.44140625" style="95" hidden="1" customWidth="1"/>
    <col min="13674" max="13674" width="5" style="95" customWidth="1"/>
    <col min="13675" max="13675" width="11.44140625" style="95" hidden="1" customWidth="1"/>
    <col min="13676" max="13676" width="5" style="95" customWidth="1"/>
    <col min="13677" max="13677" width="9.44140625" style="95" customWidth="1"/>
    <col min="13678" max="13678" width="11.44140625" style="95" hidden="1" customWidth="1"/>
    <col min="13679" max="13679" width="5" style="95" customWidth="1"/>
    <col min="13680" max="13681" width="11.44140625" style="95" hidden="1" customWidth="1"/>
    <col min="13682" max="13682" width="5" style="95" customWidth="1"/>
    <col min="13683" max="13684" width="11.44140625" style="95" hidden="1" customWidth="1"/>
    <col min="13685" max="13685" width="5" style="95" customWidth="1"/>
    <col min="13686" max="13687" width="11.44140625" style="95" hidden="1" customWidth="1"/>
    <col min="13688" max="13688" width="5" style="95" customWidth="1"/>
    <col min="13689" max="13690" width="11.44140625" style="95" hidden="1" customWidth="1"/>
    <col min="13691" max="13691" width="5" style="95" customWidth="1"/>
    <col min="13692" max="13693" width="11.44140625" style="95" hidden="1" customWidth="1"/>
    <col min="13694" max="13694" width="5" style="95" customWidth="1"/>
    <col min="13695" max="13695" width="11.44140625" style="95" hidden="1" customWidth="1"/>
    <col min="13696" max="13696" width="6.44140625" style="95" customWidth="1"/>
    <col min="13697" max="13697" width="11.44140625" style="95" hidden="1" customWidth="1"/>
    <col min="13698" max="13698" width="7.109375" style="95" customWidth="1"/>
    <col min="13699" max="13700" width="11.44140625" style="95" hidden="1" customWidth="1"/>
    <col min="13701" max="13701" width="7.109375" style="95" customWidth="1"/>
    <col min="13702" max="13703" width="11.44140625" style="95" hidden="1" customWidth="1"/>
    <col min="13704" max="13704" width="7.109375" style="95" customWidth="1"/>
    <col min="13705" max="13706" width="11.44140625" style="95" hidden="1" customWidth="1"/>
    <col min="13707" max="13707" width="7.109375" style="95" customWidth="1"/>
    <col min="13708" max="13709" width="11.44140625" style="95" hidden="1" customWidth="1"/>
    <col min="13710" max="13710" width="7.109375" style="95" customWidth="1"/>
    <col min="13711" max="13712" width="11.44140625" style="95" hidden="1" customWidth="1"/>
    <col min="13713" max="13713" width="7.109375" style="95" customWidth="1"/>
    <col min="13714" max="13715" width="11.44140625" style="95" hidden="1" customWidth="1"/>
    <col min="13716" max="13716" width="7.109375" style="95" customWidth="1"/>
    <col min="13717" max="13718" width="11.44140625" style="95" hidden="1" customWidth="1"/>
    <col min="13719" max="13719" width="7.109375" style="95" customWidth="1"/>
    <col min="13720" max="13720" width="11.44140625" style="95" hidden="1" customWidth="1"/>
    <col min="13721" max="13721" width="6.44140625" style="95" customWidth="1"/>
    <col min="13722" max="13723" width="11.44140625" style="95" hidden="1" customWidth="1"/>
    <col min="13724" max="13724" width="6.88671875" style="95" customWidth="1"/>
    <col min="13725" max="13726" width="11.44140625" style="95" hidden="1" customWidth="1"/>
    <col min="13727" max="13727" width="6.88671875" style="95" customWidth="1"/>
    <col min="13728" max="13729" width="11.44140625" style="95" hidden="1" customWidth="1"/>
    <col min="13730" max="13730" width="6.44140625" style="95" customWidth="1"/>
    <col min="13731" max="13735" width="11.44140625" style="95" hidden="1" customWidth="1"/>
    <col min="13736" max="13736" width="6.44140625" style="95" customWidth="1"/>
    <col min="13737" max="13738" width="11.44140625" style="95" hidden="1" customWidth="1"/>
    <col min="13739" max="13739" width="7.5546875" style="95" customWidth="1"/>
    <col min="13740" max="13740" width="11.44140625" style="95" hidden="1" customWidth="1"/>
    <col min="13741" max="13741" width="9.44140625" style="95" customWidth="1"/>
    <col min="13742" max="13742" width="11.44140625" style="95" hidden="1" customWidth="1"/>
    <col min="13743" max="13743" width="9" style="95" customWidth="1"/>
    <col min="13744" max="13745" width="11.44140625" style="95" hidden="1" customWidth="1"/>
    <col min="13746" max="13746" width="8.5546875" style="95" customWidth="1"/>
    <col min="13747" max="13748" width="11.44140625" style="95" hidden="1" customWidth="1"/>
    <col min="13749" max="13749" width="6.44140625" style="95" customWidth="1"/>
    <col min="13750" max="13751" width="11.44140625" style="95" hidden="1" customWidth="1"/>
    <col min="13752" max="13752" width="7" style="95" customWidth="1"/>
    <col min="13753" max="13754" width="11.44140625" style="95" hidden="1" customWidth="1"/>
    <col min="13755" max="13757" width="7" style="95" customWidth="1"/>
    <col min="13758" max="13759" width="11.44140625" style="95" hidden="1" customWidth="1"/>
    <col min="13760" max="13760" width="7.5546875" style="95" customWidth="1"/>
    <col min="13761" max="13762" width="11.44140625" style="95" hidden="1" customWidth="1"/>
    <col min="13763" max="13763" width="7" style="95" customWidth="1"/>
    <col min="13764" max="13765" width="11.44140625" style="95" hidden="1" customWidth="1"/>
    <col min="13766" max="13766" width="7" style="95" customWidth="1"/>
    <col min="13767" max="13768" width="11.44140625" style="95" hidden="1" customWidth="1"/>
    <col min="13769" max="13769" width="7" style="95" customWidth="1"/>
    <col min="13770" max="13770" width="11.44140625" style="95" hidden="1" customWidth="1"/>
    <col min="13771" max="13771" width="6.44140625" style="95" customWidth="1"/>
    <col min="13772" max="13781" width="11.44140625" style="95" hidden="1" customWidth="1"/>
    <col min="13782" max="13816" width="11.44140625" style="95" hidden="1"/>
    <col min="13817" max="13817" width="41.44140625" style="95" customWidth="1"/>
    <col min="13818" max="13818" width="6.44140625" style="95" customWidth="1"/>
    <col min="13819" max="13819" width="14.6640625" style="95" customWidth="1"/>
    <col min="13820" max="13820" width="11.44140625" style="95" customWidth="1"/>
    <col min="13821" max="13821" width="13" style="95" customWidth="1"/>
    <col min="13822" max="13822" width="25.44140625" style="95" customWidth="1"/>
    <col min="13823" max="13832" width="9.44140625" style="95" customWidth="1"/>
    <col min="13833" max="13833" width="8.88671875" style="95" customWidth="1"/>
    <col min="13834" max="13834" width="9.44140625" style="95" customWidth="1"/>
    <col min="13835" max="13840" width="10.109375" style="95" customWidth="1"/>
    <col min="13841" max="13841" width="6.44140625" style="95" customWidth="1"/>
    <col min="13842" max="13842" width="6.88671875" style="95" customWidth="1"/>
    <col min="13843" max="13844" width="6.5546875" style="95" customWidth="1"/>
    <col min="13845" max="13845" width="6.33203125" style="95" customWidth="1"/>
    <col min="13846" max="13846" width="7.5546875" style="95" customWidth="1"/>
    <col min="13847" max="13847" width="14.5546875" style="95" customWidth="1"/>
    <col min="13848" max="13849" width="11.44140625" style="95" customWidth="1"/>
    <col min="13850" max="13850" width="56.88671875" style="95" customWidth="1"/>
    <col min="13851" max="13851" width="9.109375" style="95" bestFit="1" customWidth="1"/>
    <col min="13852" max="13852" width="26.6640625" style="95" customWidth="1"/>
    <col min="13853" max="13853" width="22.88671875" style="95" customWidth="1"/>
    <col min="13854" max="13854" width="14.6640625" style="95" customWidth="1"/>
    <col min="13855" max="13855" width="5" style="95" customWidth="1"/>
    <col min="13856" max="13857" width="11.44140625" style="95" hidden="1" customWidth="1"/>
    <col min="13858" max="13858" width="5" style="95" customWidth="1"/>
    <col min="13859" max="13860" width="11.44140625" style="95" hidden="1" customWidth="1"/>
    <col min="13861" max="13861" width="5" style="95" customWidth="1"/>
    <col min="13862" max="13863" width="11.44140625" style="95" hidden="1" customWidth="1"/>
    <col min="13864" max="13864" width="5" style="95" customWidth="1"/>
    <col min="13865" max="13866" width="11.44140625" style="95" hidden="1" customWidth="1"/>
    <col min="13867" max="13867" width="5" style="95" customWidth="1"/>
    <col min="13868" max="13869" width="11.44140625" style="95" hidden="1" customWidth="1"/>
    <col min="13870" max="13870" width="5" style="95" customWidth="1"/>
    <col min="13871" max="13872" width="11.44140625" style="95" hidden="1" customWidth="1"/>
    <col min="13873" max="13873" width="6.44140625" style="95" customWidth="1"/>
    <col min="13874" max="13881" width="11.44140625" style="95" hidden="1" customWidth="1"/>
    <col min="13882" max="13882" width="6.88671875" style="95" customWidth="1"/>
    <col min="13883" max="13884" width="11.44140625" style="95" hidden="1" customWidth="1"/>
    <col min="13885" max="13885" width="6.44140625" style="95" customWidth="1"/>
    <col min="13886" max="13887" width="11.44140625" style="95" hidden="1" customWidth="1"/>
    <col min="13888" max="13888" width="5.44140625" style="95" customWidth="1"/>
    <col min="13889" max="13890" width="11.44140625" style="95" hidden="1" customWidth="1"/>
    <col min="13891" max="13891" width="4.88671875" style="95" customWidth="1"/>
    <col min="13892" max="13896" width="11.44140625" style="95" hidden="1" customWidth="1"/>
    <col min="13897" max="13897" width="8.44140625" style="95" customWidth="1"/>
    <col min="13898" max="13899" width="11.44140625" style="95" hidden="1" customWidth="1"/>
    <col min="13900" max="13900" width="5.44140625" style="95" customWidth="1"/>
    <col min="13901" max="13902" width="11.44140625" style="95" hidden="1" customWidth="1"/>
    <col min="13903" max="13903" width="8.44140625" style="95" customWidth="1"/>
    <col min="13904" max="13905" width="11.44140625" style="95" hidden="1" customWidth="1"/>
    <col min="13906" max="13906" width="5.88671875" style="95" customWidth="1"/>
    <col min="13907" max="13908" width="11.44140625" style="95" hidden="1" customWidth="1"/>
    <col min="13909" max="13909" width="5.44140625" style="95" customWidth="1"/>
    <col min="13910" max="13911" width="11.44140625" style="95" hidden="1" customWidth="1"/>
    <col min="13912" max="13912" width="5.44140625" style="95" customWidth="1"/>
    <col min="13913" max="13914" width="11.44140625" style="95" hidden="1" customWidth="1"/>
    <col min="13915" max="13915" width="6" style="95" customWidth="1"/>
    <col min="13916" max="13920" width="11.44140625" style="95" hidden="1" customWidth="1"/>
    <col min="13921" max="13921" width="5" style="95" customWidth="1"/>
    <col min="13922" max="13929" width="11.44140625" style="95" hidden="1" customWidth="1"/>
    <col min="13930" max="13930" width="5" style="95" customWidth="1"/>
    <col min="13931" max="13931" width="11.44140625" style="95" hidden="1" customWidth="1"/>
    <col min="13932" max="13932" width="5" style="95" customWidth="1"/>
    <col min="13933" max="13933" width="9.44140625" style="95" customWidth="1"/>
    <col min="13934" max="13934" width="11.44140625" style="95" hidden="1" customWidth="1"/>
    <col min="13935" max="13935" width="5" style="95" customWidth="1"/>
    <col min="13936" max="13937" width="11.44140625" style="95" hidden="1" customWidth="1"/>
    <col min="13938" max="13938" width="5" style="95" customWidth="1"/>
    <col min="13939" max="13940" width="11.44140625" style="95" hidden="1" customWidth="1"/>
    <col min="13941" max="13941" width="5" style="95" customWidth="1"/>
    <col min="13942" max="13943" width="11.44140625" style="95" hidden="1" customWidth="1"/>
    <col min="13944" max="13944" width="5" style="95" customWidth="1"/>
    <col min="13945" max="13946" width="11.44140625" style="95" hidden="1" customWidth="1"/>
    <col min="13947" max="13947" width="5" style="95" customWidth="1"/>
    <col min="13948" max="13949" width="11.44140625" style="95" hidden="1" customWidth="1"/>
    <col min="13950" max="13950" width="5" style="95" customWidth="1"/>
    <col min="13951" max="13951" width="11.44140625" style="95" hidden="1" customWidth="1"/>
    <col min="13952" max="13952" width="6.44140625" style="95" customWidth="1"/>
    <col min="13953" max="13953" width="11.44140625" style="95" hidden="1" customWidth="1"/>
    <col min="13954" max="13954" width="7.109375" style="95" customWidth="1"/>
    <col min="13955" max="13956" width="11.44140625" style="95" hidden="1" customWidth="1"/>
    <col min="13957" max="13957" width="7.109375" style="95" customWidth="1"/>
    <col min="13958" max="13959" width="11.44140625" style="95" hidden="1" customWidth="1"/>
    <col min="13960" max="13960" width="7.109375" style="95" customWidth="1"/>
    <col min="13961" max="13962" width="11.44140625" style="95" hidden="1" customWidth="1"/>
    <col min="13963" max="13963" width="7.109375" style="95" customWidth="1"/>
    <col min="13964" max="13965" width="11.44140625" style="95" hidden="1" customWidth="1"/>
    <col min="13966" max="13966" width="7.109375" style="95" customWidth="1"/>
    <col min="13967" max="13968" width="11.44140625" style="95" hidden="1" customWidth="1"/>
    <col min="13969" max="13969" width="7.109375" style="95" customWidth="1"/>
    <col min="13970" max="13971" width="11.44140625" style="95" hidden="1" customWidth="1"/>
    <col min="13972" max="13972" width="7.109375" style="95" customWidth="1"/>
    <col min="13973" max="13974" width="11.44140625" style="95" hidden="1" customWidth="1"/>
    <col min="13975" max="13975" width="7.109375" style="95" customWidth="1"/>
    <col min="13976" max="13976" width="11.44140625" style="95" hidden="1" customWidth="1"/>
    <col min="13977" max="13977" width="6.44140625" style="95" customWidth="1"/>
    <col min="13978" max="13979" width="11.44140625" style="95" hidden="1" customWidth="1"/>
    <col min="13980" max="13980" width="6.88671875" style="95" customWidth="1"/>
    <col min="13981" max="13982" width="11.44140625" style="95" hidden="1" customWidth="1"/>
    <col min="13983" max="13983" width="6.88671875" style="95" customWidth="1"/>
    <col min="13984" max="13985" width="11.44140625" style="95" hidden="1" customWidth="1"/>
    <col min="13986" max="13986" width="6.44140625" style="95" customWidth="1"/>
    <col min="13987" max="13991" width="11.44140625" style="95" hidden="1" customWidth="1"/>
    <col min="13992" max="13992" width="6.44140625" style="95" customWidth="1"/>
    <col min="13993" max="13994" width="11.44140625" style="95" hidden="1" customWidth="1"/>
    <col min="13995" max="13995" width="7.5546875" style="95" customWidth="1"/>
    <col min="13996" max="13996" width="11.44140625" style="95" hidden="1" customWidth="1"/>
    <col min="13997" max="13997" width="9.44140625" style="95" customWidth="1"/>
    <col min="13998" max="13998" width="11.44140625" style="95" hidden="1" customWidth="1"/>
    <col min="13999" max="13999" width="9" style="95" customWidth="1"/>
    <col min="14000" max="14001" width="11.44140625" style="95" hidden="1" customWidth="1"/>
    <col min="14002" max="14002" width="8.5546875" style="95" customWidth="1"/>
    <col min="14003" max="14004" width="11.44140625" style="95" hidden="1" customWidth="1"/>
    <col min="14005" max="14005" width="6.44140625" style="95" customWidth="1"/>
    <col min="14006" max="14007" width="11.44140625" style="95" hidden="1" customWidth="1"/>
    <col min="14008" max="14008" width="7" style="95" customWidth="1"/>
    <col min="14009" max="14010" width="11.44140625" style="95" hidden="1" customWidth="1"/>
    <col min="14011" max="14013" width="7" style="95" customWidth="1"/>
    <col min="14014" max="14015" width="11.44140625" style="95" hidden="1" customWidth="1"/>
    <col min="14016" max="14016" width="7.5546875" style="95" customWidth="1"/>
    <col min="14017" max="14018" width="11.44140625" style="95" hidden="1" customWidth="1"/>
    <col min="14019" max="14019" width="7" style="95" customWidth="1"/>
    <col min="14020" max="14021" width="11.44140625" style="95" hidden="1" customWidth="1"/>
    <col min="14022" max="14022" width="7" style="95" customWidth="1"/>
    <col min="14023" max="14024" width="11.44140625" style="95" hidden="1" customWidth="1"/>
    <col min="14025" max="14025" width="7" style="95" customWidth="1"/>
    <col min="14026" max="14026" width="11.44140625" style="95" hidden="1" customWidth="1"/>
    <col min="14027" max="14027" width="6.44140625" style="95" customWidth="1"/>
    <col min="14028" max="14037" width="11.44140625" style="95" hidden="1" customWidth="1"/>
    <col min="14038" max="14072" width="11.44140625" style="95" hidden="1"/>
    <col min="14073" max="14073" width="41.44140625" style="95" customWidth="1"/>
    <col min="14074" max="14074" width="6.44140625" style="95" customWidth="1"/>
    <col min="14075" max="14075" width="14.6640625" style="95" customWidth="1"/>
    <col min="14076" max="14076" width="11.44140625" style="95" customWidth="1"/>
    <col min="14077" max="14077" width="13" style="95" customWidth="1"/>
    <col min="14078" max="14078" width="25.44140625" style="95" customWidth="1"/>
    <col min="14079" max="14088" width="9.44140625" style="95" customWidth="1"/>
    <col min="14089" max="14089" width="8.88671875" style="95" customWidth="1"/>
    <col min="14090" max="14090" width="9.44140625" style="95" customWidth="1"/>
    <col min="14091" max="14096" width="10.109375" style="95" customWidth="1"/>
    <col min="14097" max="14097" width="6.44140625" style="95" customWidth="1"/>
    <col min="14098" max="14098" width="6.88671875" style="95" customWidth="1"/>
    <col min="14099" max="14100" width="6.5546875" style="95" customWidth="1"/>
    <col min="14101" max="14101" width="6.33203125" style="95" customWidth="1"/>
    <col min="14102" max="14102" width="7.5546875" style="95" customWidth="1"/>
    <col min="14103" max="14103" width="14.5546875" style="95" customWidth="1"/>
    <col min="14104" max="14105" width="11.44140625" style="95" customWidth="1"/>
    <col min="14106" max="14106" width="56.88671875" style="95" customWidth="1"/>
    <col min="14107" max="14107" width="9.109375" style="95" bestFit="1" customWidth="1"/>
    <col min="14108" max="14108" width="26.6640625" style="95" customWidth="1"/>
    <col min="14109" max="14109" width="22.88671875" style="95" customWidth="1"/>
    <col min="14110" max="14110" width="14.6640625" style="95" customWidth="1"/>
    <col min="14111" max="14111" width="5" style="95" customWidth="1"/>
    <col min="14112" max="14113" width="11.44140625" style="95" hidden="1" customWidth="1"/>
    <col min="14114" max="14114" width="5" style="95" customWidth="1"/>
    <col min="14115" max="14116" width="11.44140625" style="95" hidden="1" customWidth="1"/>
    <col min="14117" max="14117" width="5" style="95" customWidth="1"/>
    <col min="14118" max="14119" width="11.44140625" style="95" hidden="1" customWidth="1"/>
    <col min="14120" max="14120" width="5" style="95" customWidth="1"/>
    <col min="14121" max="14122" width="11.44140625" style="95" hidden="1" customWidth="1"/>
    <col min="14123" max="14123" width="5" style="95" customWidth="1"/>
    <col min="14124" max="14125" width="11.44140625" style="95" hidden="1" customWidth="1"/>
    <col min="14126" max="14126" width="5" style="95" customWidth="1"/>
    <col min="14127" max="14128" width="11.44140625" style="95" hidden="1" customWidth="1"/>
    <col min="14129" max="14129" width="6.44140625" style="95" customWidth="1"/>
    <col min="14130" max="14137" width="11.44140625" style="95" hidden="1" customWidth="1"/>
    <col min="14138" max="14138" width="6.88671875" style="95" customWidth="1"/>
    <col min="14139" max="14140" width="11.44140625" style="95" hidden="1" customWidth="1"/>
    <col min="14141" max="14141" width="6.44140625" style="95" customWidth="1"/>
    <col min="14142" max="14143" width="11.44140625" style="95" hidden="1" customWidth="1"/>
    <col min="14144" max="14144" width="5.44140625" style="95" customWidth="1"/>
    <col min="14145" max="14146" width="11.44140625" style="95" hidden="1" customWidth="1"/>
    <col min="14147" max="14147" width="4.88671875" style="95" customWidth="1"/>
    <col min="14148" max="14152" width="11.44140625" style="95" hidden="1" customWidth="1"/>
    <col min="14153" max="14153" width="8.44140625" style="95" customWidth="1"/>
    <col min="14154" max="14155" width="11.44140625" style="95" hidden="1" customWidth="1"/>
    <col min="14156" max="14156" width="5.44140625" style="95" customWidth="1"/>
    <col min="14157" max="14158" width="11.44140625" style="95" hidden="1" customWidth="1"/>
    <col min="14159" max="14159" width="8.44140625" style="95" customWidth="1"/>
    <col min="14160" max="14161" width="11.44140625" style="95" hidden="1" customWidth="1"/>
    <col min="14162" max="14162" width="5.88671875" style="95" customWidth="1"/>
    <col min="14163" max="14164" width="11.44140625" style="95" hidden="1" customWidth="1"/>
    <col min="14165" max="14165" width="5.44140625" style="95" customWidth="1"/>
    <col min="14166" max="14167" width="11.44140625" style="95" hidden="1" customWidth="1"/>
    <col min="14168" max="14168" width="5.44140625" style="95" customWidth="1"/>
    <col min="14169" max="14170" width="11.44140625" style="95" hidden="1" customWidth="1"/>
    <col min="14171" max="14171" width="6" style="95" customWidth="1"/>
    <col min="14172" max="14176" width="11.44140625" style="95" hidden="1" customWidth="1"/>
    <col min="14177" max="14177" width="5" style="95" customWidth="1"/>
    <col min="14178" max="14185" width="11.44140625" style="95" hidden="1" customWidth="1"/>
    <col min="14186" max="14186" width="5" style="95" customWidth="1"/>
    <col min="14187" max="14187" width="11.44140625" style="95" hidden="1" customWidth="1"/>
    <col min="14188" max="14188" width="5" style="95" customWidth="1"/>
    <col min="14189" max="14189" width="9.44140625" style="95" customWidth="1"/>
    <col min="14190" max="14190" width="11.44140625" style="95" hidden="1" customWidth="1"/>
    <col min="14191" max="14191" width="5" style="95" customWidth="1"/>
    <col min="14192" max="14193" width="11.44140625" style="95" hidden="1" customWidth="1"/>
    <col min="14194" max="14194" width="5" style="95" customWidth="1"/>
    <col min="14195" max="14196" width="11.44140625" style="95" hidden="1" customWidth="1"/>
    <col min="14197" max="14197" width="5" style="95" customWidth="1"/>
    <col min="14198" max="14199" width="11.44140625" style="95" hidden="1" customWidth="1"/>
    <col min="14200" max="14200" width="5" style="95" customWidth="1"/>
    <col min="14201" max="14202" width="11.44140625" style="95" hidden="1" customWidth="1"/>
    <col min="14203" max="14203" width="5" style="95" customWidth="1"/>
    <col min="14204" max="14205" width="11.44140625" style="95" hidden="1" customWidth="1"/>
    <col min="14206" max="14206" width="5" style="95" customWidth="1"/>
    <col min="14207" max="14207" width="11.44140625" style="95" hidden="1" customWidth="1"/>
    <col min="14208" max="14208" width="6.44140625" style="95" customWidth="1"/>
    <col min="14209" max="14209" width="11.44140625" style="95" hidden="1" customWidth="1"/>
    <col min="14210" max="14210" width="7.109375" style="95" customWidth="1"/>
    <col min="14211" max="14212" width="11.44140625" style="95" hidden="1" customWidth="1"/>
    <col min="14213" max="14213" width="7.109375" style="95" customWidth="1"/>
    <col min="14214" max="14215" width="11.44140625" style="95" hidden="1" customWidth="1"/>
    <col min="14216" max="14216" width="7.109375" style="95" customWidth="1"/>
    <col min="14217" max="14218" width="11.44140625" style="95" hidden="1" customWidth="1"/>
    <col min="14219" max="14219" width="7.109375" style="95" customWidth="1"/>
    <col min="14220" max="14221" width="11.44140625" style="95" hidden="1" customWidth="1"/>
    <col min="14222" max="14222" width="7.109375" style="95" customWidth="1"/>
    <col min="14223" max="14224" width="11.44140625" style="95" hidden="1" customWidth="1"/>
    <col min="14225" max="14225" width="7.109375" style="95" customWidth="1"/>
    <col min="14226" max="14227" width="11.44140625" style="95" hidden="1" customWidth="1"/>
    <col min="14228" max="14228" width="7.109375" style="95" customWidth="1"/>
    <col min="14229" max="14230" width="11.44140625" style="95" hidden="1" customWidth="1"/>
    <col min="14231" max="14231" width="7.109375" style="95" customWidth="1"/>
    <col min="14232" max="14232" width="11.44140625" style="95" hidden="1" customWidth="1"/>
    <col min="14233" max="14233" width="6.44140625" style="95" customWidth="1"/>
    <col min="14234" max="14235" width="11.44140625" style="95" hidden="1" customWidth="1"/>
    <col min="14236" max="14236" width="6.88671875" style="95" customWidth="1"/>
    <col min="14237" max="14238" width="11.44140625" style="95" hidden="1" customWidth="1"/>
    <col min="14239" max="14239" width="6.88671875" style="95" customWidth="1"/>
    <col min="14240" max="14241" width="11.44140625" style="95" hidden="1" customWidth="1"/>
    <col min="14242" max="14242" width="6.44140625" style="95" customWidth="1"/>
    <col min="14243" max="14247" width="11.44140625" style="95" hidden="1" customWidth="1"/>
    <col min="14248" max="14248" width="6.44140625" style="95" customWidth="1"/>
    <col min="14249" max="14250" width="11.44140625" style="95" hidden="1" customWidth="1"/>
    <col min="14251" max="14251" width="7.5546875" style="95" customWidth="1"/>
    <col min="14252" max="14252" width="11.44140625" style="95" hidden="1" customWidth="1"/>
    <col min="14253" max="14253" width="9.44140625" style="95" customWidth="1"/>
    <col min="14254" max="14254" width="11.44140625" style="95" hidden="1" customWidth="1"/>
    <col min="14255" max="14255" width="9" style="95" customWidth="1"/>
    <col min="14256" max="14257" width="11.44140625" style="95" hidden="1" customWidth="1"/>
    <col min="14258" max="14258" width="8.5546875" style="95" customWidth="1"/>
    <col min="14259" max="14260" width="11.44140625" style="95" hidden="1" customWidth="1"/>
    <col min="14261" max="14261" width="6.44140625" style="95" customWidth="1"/>
    <col min="14262" max="14263" width="11.44140625" style="95" hidden="1" customWidth="1"/>
    <col min="14264" max="14264" width="7" style="95" customWidth="1"/>
    <col min="14265" max="14266" width="11.44140625" style="95" hidden="1" customWidth="1"/>
    <col min="14267" max="14269" width="7" style="95" customWidth="1"/>
    <col min="14270" max="14271" width="11.44140625" style="95" hidden="1" customWidth="1"/>
    <col min="14272" max="14272" width="7.5546875" style="95" customWidth="1"/>
    <col min="14273" max="14274" width="11.44140625" style="95" hidden="1" customWidth="1"/>
    <col min="14275" max="14275" width="7" style="95" customWidth="1"/>
    <col min="14276" max="14277" width="11.44140625" style="95" hidden="1" customWidth="1"/>
    <col min="14278" max="14278" width="7" style="95" customWidth="1"/>
    <col min="14279" max="14280" width="11.44140625" style="95" hidden="1" customWidth="1"/>
    <col min="14281" max="14281" width="7" style="95" customWidth="1"/>
    <col min="14282" max="14282" width="11.44140625" style="95" hidden="1" customWidth="1"/>
    <col min="14283" max="14283" width="6.44140625" style="95" customWidth="1"/>
    <col min="14284" max="14293" width="11.44140625" style="95" hidden="1" customWidth="1"/>
    <col min="14294" max="14328" width="11.44140625" style="95" hidden="1"/>
    <col min="14329" max="14329" width="41.44140625" style="95" customWidth="1"/>
    <col min="14330" max="14330" width="6.44140625" style="95" customWidth="1"/>
    <col min="14331" max="14331" width="14.6640625" style="95" customWidth="1"/>
    <col min="14332" max="14332" width="11.44140625" style="95" customWidth="1"/>
    <col min="14333" max="14333" width="13" style="95" customWidth="1"/>
    <col min="14334" max="14334" width="25.44140625" style="95" customWidth="1"/>
    <col min="14335" max="14344" width="9.44140625" style="95" customWidth="1"/>
    <col min="14345" max="14345" width="8.88671875" style="95" customWidth="1"/>
    <col min="14346" max="14346" width="9.44140625" style="95" customWidth="1"/>
    <col min="14347" max="14352" width="10.109375" style="95" customWidth="1"/>
    <col min="14353" max="14353" width="6.44140625" style="95" customWidth="1"/>
    <col min="14354" max="14354" width="6.88671875" style="95" customWidth="1"/>
    <col min="14355" max="14356" width="6.5546875" style="95" customWidth="1"/>
    <col min="14357" max="14357" width="6.33203125" style="95" customWidth="1"/>
    <col min="14358" max="14358" width="7.5546875" style="95" customWidth="1"/>
    <col min="14359" max="14359" width="14.5546875" style="95" customWidth="1"/>
    <col min="14360" max="14361" width="11.44140625" style="95" customWidth="1"/>
    <col min="14362" max="14362" width="56.88671875" style="95" customWidth="1"/>
    <col min="14363" max="14363" width="9.109375" style="95" bestFit="1" customWidth="1"/>
    <col min="14364" max="14364" width="26.6640625" style="95" customWidth="1"/>
    <col min="14365" max="14365" width="22.88671875" style="95" customWidth="1"/>
    <col min="14366" max="14366" width="14.6640625" style="95" customWidth="1"/>
    <col min="14367" max="14367" width="5" style="95" customWidth="1"/>
    <col min="14368" max="14369" width="11.44140625" style="95" hidden="1" customWidth="1"/>
    <col min="14370" max="14370" width="5" style="95" customWidth="1"/>
    <col min="14371" max="14372" width="11.44140625" style="95" hidden="1" customWidth="1"/>
    <col min="14373" max="14373" width="5" style="95" customWidth="1"/>
    <col min="14374" max="14375" width="11.44140625" style="95" hidden="1" customWidth="1"/>
    <col min="14376" max="14376" width="5" style="95" customWidth="1"/>
    <col min="14377" max="14378" width="11.44140625" style="95" hidden="1" customWidth="1"/>
    <col min="14379" max="14379" width="5" style="95" customWidth="1"/>
    <col min="14380" max="14381" width="11.44140625" style="95" hidden="1" customWidth="1"/>
    <col min="14382" max="14382" width="5" style="95" customWidth="1"/>
    <col min="14383" max="14384" width="11.44140625" style="95" hidden="1" customWidth="1"/>
    <col min="14385" max="14385" width="6.44140625" style="95" customWidth="1"/>
    <col min="14386" max="14393" width="11.44140625" style="95" hidden="1" customWidth="1"/>
    <col min="14394" max="14394" width="6.88671875" style="95" customWidth="1"/>
    <col min="14395" max="14396" width="11.44140625" style="95" hidden="1" customWidth="1"/>
    <col min="14397" max="14397" width="6.44140625" style="95" customWidth="1"/>
    <col min="14398" max="14399" width="11.44140625" style="95" hidden="1" customWidth="1"/>
    <col min="14400" max="14400" width="5.44140625" style="95" customWidth="1"/>
    <col min="14401" max="14402" width="11.44140625" style="95" hidden="1" customWidth="1"/>
    <col min="14403" max="14403" width="4.88671875" style="95" customWidth="1"/>
    <col min="14404" max="14408" width="11.44140625" style="95" hidden="1" customWidth="1"/>
    <col min="14409" max="14409" width="8.44140625" style="95" customWidth="1"/>
    <col min="14410" max="14411" width="11.44140625" style="95" hidden="1" customWidth="1"/>
    <col min="14412" max="14412" width="5.44140625" style="95" customWidth="1"/>
    <col min="14413" max="14414" width="11.44140625" style="95" hidden="1" customWidth="1"/>
    <col min="14415" max="14415" width="8.44140625" style="95" customWidth="1"/>
    <col min="14416" max="14417" width="11.44140625" style="95" hidden="1" customWidth="1"/>
    <col min="14418" max="14418" width="5.88671875" style="95" customWidth="1"/>
    <col min="14419" max="14420" width="11.44140625" style="95" hidden="1" customWidth="1"/>
    <col min="14421" max="14421" width="5.44140625" style="95" customWidth="1"/>
    <col min="14422" max="14423" width="11.44140625" style="95" hidden="1" customWidth="1"/>
    <col min="14424" max="14424" width="5.44140625" style="95" customWidth="1"/>
    <col min="14425" max="14426" width="11.44140625" style="95" hidden="1" customWidth="1"/>
    <col min="14427" max="14427" width="6" style="95" customWidth="1"/>
    <col min="14428" max="14432" width="11.44140625" style="95" hidden="1" customWidth="1"/>
    <col min="14433" max="14433" width="5" style="95" customWidth="1"/>
    <col min="14434" max="14441" width="11.44140625" style="95" hidden="1" customWidth="1"/>
    <col min="14442" max="14442" width="5" style="95" customWidth="1"/>
    <col min="14443" max="14443" width="11.44140625" style="95" hidden="1" customWidth="1"/>
    <col min="14444" max="14444" width="5" style="95" customWidth="1"/>
    <col min="14445" max="14445" width="9.44140625" style="95" customWidth="1"/>
    <col min="14446" max="14446" width="11.44140625" style="95" hidden="1" customWidth="1"/>
    <col min="14447" max="14447" width="5" style="95" customWidth="1"/>
    <col min="14448" max="14449" width="11.44140625" style="95" hidden="1" customWidth="1"/>
    <col min="14450" max="14450" width="5" style="95" customWidth="1"/>
    <col min="14451" max="14452" width="11.44140625" style="95" hidden="1" customWidth="1"/>
    <col min="14453" max="14453" width="5" style="95" customWidth="1"/>
    <col min="14454" max="14455" width="11.44140625" style="95" hidden="1" customWidth="1"/>
    <col min="14456" max="14456" width="5" style="95" customWidth="1"/>
    <col min="14457" max="14458" width="11.44140625" style="95" hidden="1" customWidth="1"/>
    <col min="14459" max="14459" width="5" style="95" customWidth="1"/>
    <col min="14460" max="14461" width="11.44140625" style="95" hidden="1" customWidth="1"/>
    <col min="14462" max="14462" width="5" style="95" customWidth="1"/>
    <col min="14463" max="14463" width="11.44140625" style="95" hidden="1" customWidth="1"/>
    <col min="14464" max="14464" width="6.44140625" style="95" customWidth="1"/>
    <col min="14465" max="14465" width="11.44140625" style="95" hidden="1" customWidth="1"/>
    <col min="14466" max="14466" width="7.109375" style="95" customWidth="1"/>
    <col min="14467" max="14468" width="11.44140625" style="95" hidden="1" customWidth="1"/>
    <col min="14469" max="14469" width="7.109375" style="95" customWidth="1"/>
    <col min="14470" max="14471" width="11.44140625" style="95" hidden="1" customWidth="1"/>
    <col min="14472" max="14472" width="7.109375" style="95" customWidth="1"/>
    <col min="14473" max="14474" width="11.44140625" style="95" hidden="1" customWidth="1"/>
    <col min="14475" max="14475" width="7.109375" style="95" customWidth="1"/>
    <col min="14476" max="14477" width="11.44140625" style="95" hidden="1" customWidth="1"/>
    <col min="14478" max="14478" width="7.109375" style="95" customWidth="1"/>
    <col min="14479" max="14480" width="11.44140625" style="95" hidden="1" customWidth="1"/>
    <col min="14481" max="14481" width="7.109375" style="95" customWidth="1"/>
    <col min="14482" max="14483" width="11.44140625" style="95" hidden="1" customWidth="1"/>
    <col min="14484" max="14484" width="7.109375" style="95" customWidth="1"/>
    <col min="14485" max="14486" width="11.44140625" style="95" hidden="1" customWidth="1"/>
    <col min="14487" max="14487" width="7.109375" style="95" customWidth="1"/>
    <col min="14488" max="14488" width="11.44140625" style="95" hidden="1" customWidth="1"/>
    <col min="14489" max="14489" width="6.44140625" style="95" customWidth="1"/>
    <col min="14490" max="14491" width="11.44140625" style="95" hidden="1" customWidth="1"/>
    <col min="14492" max="14492" width="6.88671875" style="95" customWidth="1"/>
    <col min="14493" max="14494" width="11.44140625" style="95" hidden="1" customWidth="1"/>
    <col min="14495" max="14495" width="6.88671875" style="95" customWidth="1"/>
    <col min="14496" max="14497" width="11.44140625" style="95" hidden="1" customWidth="1"/>
    <col min="14498" max="14498" width="6.44140625" style="95" customWidth="1"/>
    <col min="14499" max="14503" width="11.44140625" style="95" hidden="1" customWidth="1"/>
    <col min="14504" max="14504" width="6.44140625" style="95" customWidth="1"/>
    <col min="14505" max="14506" width="11.44140625" style="95" hidden="1" customWidth="1"/>
    <col min="14507" max="14507" width="7.5546875" style="95" customWidth="1"/>
    <col min="14508" max="14508" width="11.44140625" style="95" hidden="1" customWidth="1"/>
    <col min="14509" max="14509" width="9.44140625" style="95" customWidth="1"/>
    <col min="14510" max="14510" width="11.44140625" style="95" hidden="1" customWidth="1"/>
    <col min="14511" max="14511" width="9" style="95" customWidth="1"/>
    <col min="14512" max="14513" width="11.44140625" style="95" hidden="1" customWidth="1"/>
    <col min="14514" max="14514" width="8.5546875" style="95" customWidth="1"/>
    <col min="14515" max="14516" width="11.44140625" style="95" hidden="1" customWidth="1"/>
    <col min="14517" max="14517" width="6.44140625" style="95" customWidth="1"/>
    <col min="14518" max="14519" width="11.44140625" style="95" hidden="1" customWidth="1"/>
    <col min="14520" max="14520" width="7" style="95" customWidth="1"/>
    <col min="14521" max="14522" width="11.44140625" style="95" hidden="1" customWidth="1"/>
    <col min="14523" max="14525" width="7" style="95" customWidth="1"/>
    <col min="14526" max="14527" width="11.44140625" style="95" hidden="1" customWidth="1"/>
    <col min="14528" max="14528" width="7.5546875" style="95" customWidth="1"/>
    <col min="14529" max="14530" width="11.44140625" style="95" hidden="1" customWidth="1"/>
    <col min="14531" max="14531" width="7" style="95" customWidth="1"/>
    <col min="14532" max="14533" width="11.44140625" style="95" hidden="1" customWidth="1"/>
    <col min="14534" max="14534" width="7" style="95" customWidth="1"/>
    <col min="14535" max="14536" width="11.44140625" style="95" hidden="1" customWidth="1"/>
    <col min="14537" max="14537" width="7" style="95" customWidth="1"/>
    <col min="14538" max="14538" width="11.44140625" style="95" hidden="1" customWidth="1"/>
    <col min="14539" max="14539" width="6.44140625" style="95" customWidth="1"/>
    <col min="14540" max="14549" width="11.44140625" style="95" hidden="1" customWidth="1"/>
    <col min="14550" max="14584" width="11.44140625" style="95" hidden="1"/>
    <col min="14585" max="14585" width="41.44140625" style="95" customWidth="1"/>
    <col min="14586" max="14586" width="6.44140625" style="95" customWidth="1"/>
    <col min="14587" max="14587" width="14.6640625" style="95" customWidth="1"/>
    <col min="14588" max="14588" width="11.44140625" style="95" customWidth="1"/>
    <col min="14589" max="14589" width="13" style="95" customWidth="1"/>
    <col min="14590" max="14590" width="25.44140625" style="95" customWidth="1"/>
    <col min="14591" max="14600" width="9.44140625" style="95" customWidth="1"/>
    <col min="14601" max="14601" width="8.88671875" style="95" customWidth="1"/>
    <col min="14602" max="14602" width="9.44140625" style="95" customWidth="1"/>
    <col min="14603" max="14608" width="10.109375" style="95" customWidth="1"/>
    <col min="14609" max="14609" width="6.44140625" style="95" customWidth="1"/>
    <col min="14610" max="14610" width="6.88671875" style="95" customWidth="1"/>
    <col min="14611" max="14612" width="6.5546875" style="95" customWidth="1"/>
    <col min="14613" max="14613" width="6.33203125" style="95" customWidth="1"/>
    <col min="14614" max="14614" width="7.5546875" style="95" customWidth="1"/>
    <col min="14615" max="14615" width="14.5546875" style="95" customWidth="1"/>
    <col min="14616" max="14617" width="11.44140625" style="95" customWidth="1"/>
    <col min="14618" max="14618" width="56.88671875" style="95" customWidth="1"/>
    <col min="14619" max="14619" width="9.109375" style="95" bestFit="1" customWidth="1"/>
    <col min="14620" max="14620" width="26.6640625" style="95" customWidth="1"/>
    <col min="14621" max="14621" width="22.88671875" style="95" customWidth="1"/>
    <col min="14622" max="14622" width="14.6640625" style="95" customWidth="1"/>
    <col min="14623" max="14623" width="5" style="95" customWidth="1"/>
    <col min="14624" max="14625" width="11.44140625" style="95" hidden="1" customWidth="1"/>
    <col min="14626" max="14626" width="5" style="95" customWidth="1"/>
    <col min="14627" max="14628" width="11.44140625" style="95" hidden="1" customWidth="1"/>
    <col min="14629" max="14629" width="5" style="95" customWidth="1"/>
    <col min="14630" max="14631" width="11.44140625" style="95" hidden="1" customWidth="1"/>
    <col min="14632" max="14632" width="5" style="95" customWidth="1"/>
    <col min="14633" max="14634" width="11.44140625" style="95" hidden="1" customWidth="1"/>
    <col min="14635" max="14635" width="5" style="95" customWidth="1"/>
    <col min="14636" max="14637" width="11.44140625" style="95" hidden="1" customWidth="1"/>
    <col min="14638" max="14638" width="5" style="95" customWidth="1"/>
    <col min="14639" max="14640" width="11.44140625" style="95" hidden="1" customWidth="1"/>
    <col min="14641" max="14641" width="6.44140625" style="95" customWidth="1"/>
    <col min="14642" max="14649" width="11.44140625" style="95" hidden="1" customWidth="1"/>
    <col min="14650" max="14650" width="6.88671875" style="95" customWidth="1"/>
    <col min="14651" max="14652" width="11.44140625" style="95" hidden="1" customWidth="1"/>
    <col min="14653" max="14653" width="6.44140625" style="95" customWidth="1"/>
    <col min="14654" max="14655" width="11.44140625" style="95" hidden="1" customWidth="1"/>
    <col min="14656" max="14656" width="5.44140625" style="95" customWidth="1"/>
    <col min="14657" max="14658" width="11.44140625" style="95" hidden="1" customWidth="1"/>
    <col min="14659" max="14659" width="4.88671875" style="95" customWidth="1"/>
    <col min="14660" max="14664" width="11.44140625" style="95" hidden="1" customWidth="1"/>
    <col min="14665" max="14665" width="8.44140625" style="95" customWidth="1"/>
    <col min="14666" max="14667" width="11.44140625" style="95" hidden="1" customWidth="1"/>
    <col min="14668" max="14668" width="5.44140625" style="95" customWidth="1"/>
    <col min="14669" max="14670" width="11.44140625" style="95" hidden="1" customWidth="1"/>
    <col min="14671" max="14671" width="8.44140625" style="95" customWidth="1"/>
    <col min="14672" max="14673" width="11.44140625" style="95" hidden="1" customWidth="1"/>
    <col min="14674" max="14674" width="5.88671875" style="95" customWidth="1"/>
    <col min="14675" max="14676" width="11.44140625" style="95" hidden="1" customWidth="1"/>
    <col min="14677" max="14677" width="5.44140625" style="95" customWidth="1"/>
    <col min="14678" max="14679" width="11.44140625" style="95" hidden="1" customWidth="1"/>
    <col min="14680" max="14680" width="5.44140625" style="95" customWidth="1"/>
    <col min="14681" max="14682" width="11.44140625" style="95" hidden="1" customWidth="1"/>
    <col min="14683" max="14683" width="6" style="95" customWidth="1"/>
    <col min="14684" max="14688" width="11.44140625" style="95" hidden="1" customWidth="1"/>
    <col min="14689" max="14689" width="5" style="95" customWidth="1"/>
    <col min="14690" max="14697" width="11.44140625" style="95" hidden="1" customWidth="1"/>
    <col min="14698" max="14698" width="5" style="95" customWidth="1"/>
    <col min="14699" max="14699" width="11.44140625" style="95" hidden="1" customWidth="1"/>
    <col min="14700" max="14700" width="5" style="95" customWidth="1"/>
    <col min="14701" max="14701" width="9.44140625" style="95" customWidth="1"/>
    <col min="14702" max="14702" width="11.44140625" style="95" hidden="1" customWidth="1"/>
    <col min="14703" max="14703" width="5" style="95" customWidth="1"/>
    <col min="14704" max="14705" width="11.44140625" style="95" hidden="1" customWidth="1"/>
    <col min="14706" max="14706" width="5" style="95" customWidth="1"/>
    <col min="14707" max="14708" width="11.44140625" style="95" hidden="1" customWidth="1"/>
    <col min="14709" max="14709" width="5" style="95" customWidth="1"/>
    <col min="14710" max="14711" width="11.44140625" style="95" hidden="1" customWidth="1"/>
    <col min="14712" max="14712" width="5" style="95" customWidth="1"/>
    <col min="14713" max="14714" width="11.44140625" style="95" hidden="1" customWidth="1"/>
    <col min="14715" max="14715" width="5" style="95" customWidth="1"/>
    <col min="14716" max="14717" width="11.44140625" style="95" hidden="1" customWidth="1"/>
    <col min="14718" max="14718" width="5" style="95" customWidth="1"/>
    <col min="14719" max="14719" width="11.44140625" style="95" hidden="1" customWidth="1"/>
    <col min="14720" max="14720" width="6.44140625" style="95" customWidth="1"/>
    <col min="14721" max="14721" width="11.44140625" style="95" hidden="1" customWidth="1"/>
    <col min="14722" max="14722" width="7.109375" style="95" customWidth="1"/>
    <col min="14723" max="14724" width="11.44140625" style="95" hidden="1" customWidth="1"/>
    <col min="14725" max="14725" width="7.109375" style="95" customWidth="1"/>
    <col min="14726" max="14727" width="11.44140625" style="95" hidden="1" customWidth="1"/>
    <col min="14728" max="14728" width="7.109375" style="95" customWidth="1"/>
    <col min="14729" max="14730" width="11.44140625" style="95" hidden="1" customWidth="1"/>
    <col min="14731" max="14731" width="7.109375" style="95" customWidth="1"/>
    <col min="14732" max="14733" width="11.44140625" style="95" hidden="1" customWidth="1"/>
    <col min="14734" max="14734" width="7.109375" style="95" customWidth="1"/>
    <col min="14735" max="14736" width="11.44140625" style="95" hidden="1" customWidth="1"/>
    <col min="14737" max="14737" width="7.109375" style="95" customWidth="1"/>
    <col min="14738" max="14739" width="11.44140625" style="95" hidden="1" customWidth="1"/>
    <col min="14740" max="14740" width="7.109375" style="95" customWidth="1"/>
    <col min="14741" max="14742" width="11.44140625" style="95" hidden="1" customWidth="1"/>
    <col min="14743" max="14743" width="7.109375" style="95" customWidth="1"/>
    <col min="14744" max="14744" width="11.44140625" style="95" hidden="1" customWidth="1"/>
    <col min="14745" max="14745" width="6.44140625" style="95" customWidth="1"/>
    <col min="14746" max="14747" width="11.44140625" style="95" hidden="1" customWidth="1"/>
    <col min="14748" max="14748" width="6.88671875" style="95" customWidth="1"/>
    <col min="14749" max="14750" width="11.44140625" style="95" hidden="1" customWidth="1"/>
    <col min="14751" max="14751" width="6.88671875" style="95" customWidth="1"/>
    <col min="14752" max="14753" width="11.44140625" style="95" hidden="1" customWidth="1"/>
    <col min="14754" max="14754" width="6.44140625" style="95" customWidth="1"/>
    <col min="14755" max="14759" width="11.44140625" style="95" hidden="1" customWidth="1"/>
    <col min="14760" max="14760" width="6.44140625" style="95" customWidth="1"/>
    <col min="14761" max="14762" width="11.44140625" style="95" hidden="1" customWidth="1"/>
    <col min="14763" max="14763" width="7.5546875" style="95" customWidth="1"/>
    <col min="14764" max="14764" width="11.44140625" style="95" hidden="1" customWidth="1"/>
    <col min="14765" max="14765" width="9.44140625" style="95" customWidth="1"/>
    <col min="14766" max="14766" width="11.44140625" style="95" hidden="1" customWidth="1"/>
    <col min="14767" max="14767" width="9" style="95" customWidth="1"/>
    <col min="14768" max="14769" width="11.44140625" style="95" hidden="1" customWidth="1"/>
    <col min="14770" max="14770" width="8.5546875" style="95" customWidth="1"/>
    <col min="14771" max="14772" width="11.44140625" style="95" hidden="1" customWidth="1"/>
    <col min="14773" max="14773" width="6.44140625" style="95" customWidth="1"/>
    <col min="14774" max="14775" width="11.44140625" style="95" hidden="1" customWidth="1"/>
    <col min="14776" max="14776" width="7" style="95" customWidth="1"/>
    <col min="14777" max="14778" width="11.44140625" style="95" hidden="1" customWidth="1"/>
    <col min="14779" max="14781" width="7" style="95" customWidth="1"/>
    <col min="14782" max="14783" width="11.44140625" style="95" hidden="1" customWidth="1"/>
    <col min="14784" max="14784" width="7.5546875" style="95" customWidth="1"/>
    <col min="14785" max="14786" width="11.44140625" style="95" hidden="1" customWidth="1"/>
    <col min="14787" max="14787" width="7" style="95" customWidth="1"/>
    <col min="14788" max="14789" width="11.44140625" style="95" hidden="1" customWidth="1"/>
    <col min="14790" max="14790" width="7" style="95" customWidth="1"/>
    <col min="14791" max="14792" width="11.44140625" style="95" hidden="1" customWidth="1"/>
    <col min="14793" max="14793" width="7" style="95" customWidth="1"/>
    <col min="14794" max="14794" width="11.44140625" style="95" hidden="1" customWidth="1"/>
    <col min="14795" max="14795" width="6.44140625" style="95" customWidth="1"/>
    <col min="14796" max="14805" width="11.44140625" style="95" hidden="1" customWidth="1"/>
    <col min="14806" max="14840" width="11.44140625" style="95" hidden="1"/>
    <col min="14841" max="14841" width="41.44140625" style="95" customWidth="1"/>
    <col min="14842" max="14842" width="6.44140625" style="95" customWidth="1"/>
    <col min="14843" max="14843" width="14.6640625" style="95" customWidth="1"/>
    <col min="14844" max="14844" width="11.44140625" style="95" customWidth="1"/>
    <col min="14845" max="14845" width="13" style="95" customWidth="1"/>
    <col min="14846" max="14846" width="25.44140625" style="95" customWidth="1"/>
    <col min="14847" max="14856" width="9.44140625" style="95" customWidth="1"/>
    <col min="14857" max="14857" width="8.88671875" style="95" customWidth="1"/>
    <col min="14858" max="14858" width="9.44140625" style="95" customWidth="1"/>
    <col min="14859" max="14864" width="10.109375" style="95" customWidth="1"/>
    <col min="14865" max="14865" width="6.44140625" style="95" customWidth="1"/>
    <col min="14866" max="14866" width="6.88671875" style="95" customWidth="1"/>
    <col min="14867" max="14868" width="6.5546875" style="95" customWidth="1"/>
    <col min="14869" max="14869" width="6.33203125" style="95" customWidth="1"/>
    <col min="14870" max="14870" width="7.5546875" style="95" customWidth="1"/>
    <col min="14871" max="14871" width="14.5546875" style="95" customWidth="1"/>
    <col min="14872" max="14873" width="11.44140625" style="95" customWidth="1"/>
    <col min="14874" max="14874" width="56.88671875" style="95" customWidth="1"/>
    <col min="14875" max="14875" width="9.109375" style="95" bestFit="1" customWidth="1"/>
    <col min="14876" max="14876" width="26.6640625" style="95" customWidth="1"/>
    <col min="14877" max="14877" width="22.88671875" style="95" customWidth="1"/>
    <col min="14878" max="14878" width="14.6640625" style="95" customWidth="1"/>
    <col min="14879" max="14879" width="5" style="95" customWidth="1"/>
    <col min="14880" max="14881" width="11.44140625" style="95" hidden="1" customWidth="1"/>
    <col min="14882" max="14882" width="5" style="95" customWidth="1"/>
    <col min="14883" max="14884" width="11.44140625" style="95" hidden="1" customWidth="1"/>
    <col min="14885" max="14885" width="5" style="95" customWidth="1"/>
    <col min="14886" max="14887" width="11.44140625" style="95" hidden="1" customWidth="1"/>
    <col min="14888" max="14888" width="5" style="95" customWidth="1"/>
    <col min="14889" max="14890" width="11.44140625" style="95" hidden="1" customWidth="1"/>
    <col min="14891" max="14891" width="5" style="95" customWidth="1"/>
    <col min="14892" max="14893" width="11.44140625" style="95" hidden="1" customWidth="1"/>
    <col min="14894" max="14894" width="5" style="95" customWidth="1"/>
    <col min="14895" max="14896" width="11.44140625" style="95" hidden="1" customWidth="1"/>
    <col min="14897" max="14897" width="6.44140625" style="95" customWidth="1"/>
    <col min="14898" max="14905" width="11.44140625" style="95" hidden="1" customWidth="1"/>
    <col min="14906" max="14906" width="6.88671875" style="95" customWidth="1"/>
    <col min="14907" max="14908" width="11.44140625" style="95" hidden="1" customWidth="1"/>
    <col min="14909" max="14909" width="6.44140625" style="95" customWidth="1"/>
    <col min="14910" max="14911" width="11.44140625" style="95" hidden="1" customWidth="1"/>
    <col min="14912" max="14912" width="5.44140625" style="95" customWidth="1"/>
    <col min="14913" max="14914" width="11.44140625" style="95" hidden="1" customWidth="1"/>
    <col min="14915" max="14915" width="4.88671875" style="95" customWidth="1"/>
    <col min="14916" max="14920" width="11.44140625" style="95" hidden="1" customWidth="1"/>
    <col min="14921" max="14921" width="8.44140625" style="95" customWidth="1"/>
    <col min="14922" max="14923" width="11.44140625" style="95" hidden="1" customWidth="1"/>
    <col min="14924" max="14924" width="5.44140625" style="95" customWidth="1"/>
    <col min="14925" max="14926" width="11.44140625" style="95" hidden="1" customWidth="1"/>
    <col min="14927" max="14927" width="8.44140625" style="95" customWidth="1"/>
    <col min="14928" max="14929" width="11.44140625" style="95" hidden="1" customWidth="1"/>
    <col min="14930" max="14930" width="5.88671875" style="95" customWidth="1"/>
    <col min="14931" max="14932" width="11.44140625" style="95" hidden="1" customWidth="1"/>
    <col min="14933" max="14933" width="5.44140625" style="95" customWidth="1"/>
    <col min="14934" max="14935" width="11.44140625" style="95" hidden="1" customWidth="1"/>
    <col min="14936" max="14936" width="5.44140625" style="95" customWidth="1"/>
    <col min="14937" max="14938" width="11.44140625" style="95" hidden="1" customWidth="1"/>
    <col min="14939" max="14939" width="6" style="95" customWidth="1"/>
    <col min="14940" max="14944" width="11.44140625" style="95" hidden="1" customWidth="1"/>
    <col min="14945" max="14945" width="5" style="95" customWidth="1"/>
    <col min="14946" max="14953" width="11.44140625" style="95" hidden="1" customWidth="1"/>
    <col min="14954" max="14954" width="5" style="95" customWidth="1"/>
    <col min="14955" max="14955" width="11.44140625" style="95" hidden="1" customWidth="1"/>
    <col min="14956" max="14956" width="5" style="95" customWidth="1"/>
    <col min="14957" max="14957" width="9.44140625" style="95" customWidth="1"/>
    <col min="14958" max="14958" width="11.44140625" style="95" hidden="1" customWidth="1"/>
    <col min="14959" max="14959" width="5" style="95" customWidth="1"/>
    <col min="14960" max="14961" width="11.44140625" style="95" hidden="1" customWidth="1"/>
    <col min="14962" max="14962" width="5" style="95" customWidth="1"/>
    <col min="14963" max="14964" width="11.44140625" style="95" hidden="1" customWidth="1"/>
    <col min="14965" max="14965" width="5" style="95" customWidth="1"/>
    <col min="14966" max="14967" width="11.44140625" style="95" hidden="1" customWidth="1"/>
    <col min="14968" max="14968" width="5" style="95" customWidth="1"/>
    <col min="14969" max="14970" width="11.44140625" style="95" hidden="1" customWidth="1"/>
    <col min="14971" max="14971" width="5" style="95" customWidth="1"/>
    <col min="14972" max="14973" width="11.44140625" style="95" hidden="1" customWidth="1"/>
    <col min="14974" max="14974" width="5" style="95" customWidth="1"/>
    <col min="14975" max="14975" width="11.44140625" style="95" hidden="1" customWidth="1"/>
    <col min="14976" max="14976" width="6.44140625" style="95" customWidth="1"/>
    <col min="14977" max="14977" width="11.44140625" style="95" hidden="1" customWidth="1"/>
    <col min="14978" max="14978" width="7.109375" style="95" customWidth="1"/>
    <col min="14979" max="14980" width="11.44140625" style="95" hidden="1" customWidth="1"/>
    <col min="14981" max="14981" width="7.109375" style="95" customWidth="1"/>
    <col min="14982" max="14983" width="11.44140625" style="95" hidden="1" customWidth="1"/>
    <col min="14984" max="14984" width="7.109375" style="95" customWidth="1"/>
    <col min="14985" max="14986" width="11.44140625" style="95" hidden="1" customWidth="1"/>
    <col min="14987" max="14987" width="7.109375" style="95" customWidth="1"/>
    <col min="14988" max="14989" width="11.44140625" style="95" hidden="1" customWidth="1"/>
    <col min="14990" max="14990" width="7.109375" style="95" customWidth="1"/>
    <col min="14991" max="14992" width="11.44140625" style="95" hidden="1" customWidth="1"/>
    <col min="14993" max="14993" width="7.109375" style="95" customWidth="1"/>
    <col min="14994" max="14995" width="11.44140625" style="95" hidden="1" customWidth="1"/>
    <col min="14996" max="14996" width="7.109375" style="95" customWidth="1"/>
    <col min="14997" max="14998" width="11.44140625" style="95" hidden="1" customWidth="1"/>
    <col min="14999" max="14999" width="7.109375" style="95" customWidth="1"/>
    <col min="15000" max="15000" width="11.44140625" style="95" hidden="1" customWidth="1"/>
    <col min="15001" max="15001" width="6.44140625" style="95" customWidth="1"/>
    <col min="15002" max="15003" width="11.44140625" style="95" hidden="1" customWidth="1"/>
    <col min="15004" max="15004" width="6.88671875" style="95" customWidth="1"/>
    <col min="15005" max="15006" width="11.44140625" style="95" hidden="1" customWidth="1"/>
    <col min="15007" max="15007" width="6.88671875" style="95" customWidth="1"/>
    <col min="15008" max="15009" width="11.44140625" style="95" hidden="1" customWidth="1"/>
    <col min="15010" max="15010" width="6.44140625" style="95" customWidth="1"/>
    <col min="15011" max="15015" width="11.44140625" style="95" hidden="1" customWidth="1"/>
    <col min="15016" max="15016" width="6.44140625" style="95" customWidth="1"/>
    <col min="15017" max="15018" width="11.44140625" style="95" hidden="1" customWidth="1"/>
    <col min="15019" max="15019" width="7.5546875" style="95" customWidth="1"/>
    <col min="15020" max="15020" width="11.44140625" style="95" hidden="1" customWidth="1"/>
    <col min="15021" max="15021" width="9.44140625" style="95" customWidth="1"/>
    <col min="15022" max="15022" width="11.44140625" style="95" hidden="1" customWidth="1"/>
    <col min="15023" max="15023" width="9" style="95" customWidth="1"/>
    <col min="15024" max="15025" width="11.44140625" style="95" hidden="1" customWidth="1"/>
    <col min="15026" max="15026" width="8.5546875" style="95" customWidth="1"/>
    <col min="15027" max="15028" width="11.44140625" style="95" hidden="1" customWidth="1"/>
    <col min="15029" max="15029" width="6.44140625" style="95" customWidth="1"/>
    <col min="15030" max="15031" width="11.44140625" style="95" hidden="1" customWidth="1"/>
    <col min="15032" max="15032" width="7" style="95" customWidth="1"/>
    <col min="15033" max="15034" width="11.44140625" style="95" hidden="1" customWidth="1"/>
    <col min="15035" max="15037" width="7" style="95" customWidth="1"/>
    <col min="15038" max="15039" width="11.44140625" style="95" hidden="1" customWidth="1"/>
    <col min="15040" max="15040" width="7.5546875" style="95" customWidth="1"/>
    <col min="15041" max="15042" width="11.44140625" style="95" hidden="1" customWidth="1"/>
    <col min="15043" max="15043" width="7" style="95" customWidth="1"/>
    <col min="15044" max="15045" width="11.44140625" style="95" hidden="1" customWidth="1"/>
    <col min="15046" max="15046" width="7" style="95" customWidth="1"/>
    <col min="15047" max="15048" width="11.44140625" style="95" hidden="1" customWidth="1"/>
    <col min="15049" max="15049" width="7" style="95" customWidth="1"/>
    <col min="15050" max="15050" width="11.44140625" style="95" hidden="1" customWidth="1"/>
    <col min="15051" max="15051" width="6.44140625" style="95" customWidth="1"/>
    <col min="15052" max="15061" width="11.44140625" style="95" hidden="1" customWidth="1"/>
    <col min="15062" max="15096" width="11.44140625" style="95" hidden="1"/>
    <col min="15097" max="15097" width="41.44140625" style="95" customWidth="1"/>
    <col min="15098" max="15098" width="6.44140625" style="95" customWidth="1"/>
    <col min="15099" max="15099" width="14.6640625" style="95" customWidth="1"/>
    <col min="15100" max="15100" width="11.44140625" style="95" customWidth="1"/>
    <col min="15101" max="15101" width="13" style="95" customWidth="1"/>
    <col min="15102" max="15102" width="25.44140625" style="95" customWidth="1"/>
    <col min="15103" max="15112" width="9.44140625" style="95" customWidth="1"/>
    <col min="15113" max="15113" width="8.88671875" style="95" customWidth="1"/>
    <col min="15114" max="15114" width="9.44140625" style="95" customWidth="1"/>
    <col min="15115" max="15120" width="10.109375" style="95" customWidth="1"/>
    <col min="15121" max="15121" width="6.44140625" style="95" customWidth="1"/>
    <col min="15122" max="15122" width="6.88671875" style="95" customWidth="1"/>
    <col min="15123" max="15124" width="6.5546875" style="95" customWidth="1"/>
    <col min="15125" max="15125" width="6.33203125" style="95" customWidth="1"/>
    <col min="15126" max="15126" width="7.5546875" style="95" customWidth="1"/>
    <col min="15127" max="15127" width="14.5546875" style="95" customWidth="1"/>
    <col min="15128" max="15129" width="11.44140625" style="95" customWidth="1"/>
    <col min="15130" max="15130" width="56.88671875" style="95" customWidth="1"/>
    <col min="15131" max="15131" width="9.109375" style="95" bestFit="1" customWidth="1"/>
    <col min="15132" max="15132" width="26.6640625" style="95" customWidth="1"/>
    <col min="15133" max="15133" width="22.88671875" style="95" customWidth="1"/>
    <col min="15134" max="15134" width="14.6640625" style="95" customWidth="1"/>
    <col min="15135" max="15135" width="5" style="95" customWidth="1"/>
    <col min="15136" max="15137" width="11.44140625" style="95" hidden="1" customWidth="1"/>
    <col min="15138" max="15138" width="5" style="95" customWidth="1"/>
    <col min="15139" max="15140" width="11.44140625" style="95" hidden="1" customWidth="1"/>
    <col min="15141" max="15141" width="5" style="95" customWidth="1"/>
    <col min="15142" max="15143" width="11.44140625" style="95" hidden="1" customWidth="1"/>
    <col min="15144" max="15144" width="5" style="95" customWidth="1"/>
    <col min="15145" max="15146" width="11.44140625" style="95" hidden="1" customWidth="1"/>
    <col min="15147" max="15147" width="5" style="95" customWidth="1"/>
    <col min="15148" max="15149" width="11.44140625" style="95" hidden="1" customWidth="1"/>
    <col min="15150" max="15150" width="5" style="95" customWidth="1"/>
    <col min="15151" max="15152" width="11.44140625" style="95" hidden="1" customWidth="1"/>
    <col min="15153" max="15153" width="6.44140625" style="95" customWidth="1"/>
    <col min="15154" max="15161" width="11.44140625" style="95" hidden="1" customWidth="1"/>
    <col min="15162" max="15162" width="6.88671875" style="95" customWidth="1"/>
    <col min="15163" max="15164" width="11.44140625" style="95" hidden="1" customWidth="1"/>
    <col min="15165" max="15165" width="6.44140625" style="95" customWidth="1"/>
    <col min="15166" max="15167" width="11.44140625" style="95" hidden="1" customWidth="1"/>
    <col min="15168" max="15168" width="5.44140625" style="95" customWidth="1"/>
    <col min="15169" max="15170" width="11.44140625" style="95" hidden="1" customWidth="1"/>
    <col min="15171" max="15171" width="4.88671875" style="95" customWidth="1"/>
    <col min="15172" max="15176" width="11.44140625" style="95" hidden="1" customWidth="1"/>
    <col min="15177" max="15177" width="8.44140625" style="95" customWidth="1"/>
    <col min="15178" max="15179" width="11.44140625" style="95" hidden="1" customWidth="1"/>
    <col min="15180" max="15180" width="5.44140625" style="95" customWidth="1"/>
    <col min="15181" max="15182" width="11.44140625" style="95" hidden="1" customWidth="1"/>
    <col min="15183" max="15183" width="8.44140625" style="95" customWidth="1"/>
    <col min="15184" max="15185" width="11.44140625" style="95" hidden="1" customWidth="1"/>
    <col min="15186" max="15186" width="5.88671875" style="95" customWidth="1"/>
    <col min="15187" max="15188" width="11.44140625" style="95" hidden="1" customWidth="1"/>
    <col min="15189" max="15189" width="5.44140625" style="95" customWidth="1"/>
    <col min="15190" max="15191" width="11.44140625" style="95" hidden="1" customWidth="1"/>
    <col min="15192" max="15192" width="5.44140625" style="95" customWidth="1"/>
    <col min="15193" max="15194" width="11.44140625" style="95" hidden="1" customWidth="1"/>
    <col min="15195" max="15195" width="6" style="95" customWidth="1"/>
    <col min="15196" max="15200" width="11.44140625" style="95" hidden="1" customWidth="1"/>
    <col min="15201" max="15201" width="5" style="95" customWidth="1"/>
    <col min="15202" max="15209" width="11.44140625" style="95" hidden="1" customWidth="1"/>
    <col min="15210" max="15210" width="5" style="95" customWidth="1"/>
    <col min="15211" max="15211" width="11.44140625" style="95" hidden="1" customWidth="1"/>
    <col min="15212" max="15212" width="5" style="95" customWidth="1"/>
    <col min="15213" max="15213" width="9.44140625" style="95" customWidth="1"/>
    <col min="15214" max="15214" width="11.44140625" style="95" hidden="1" customWidth="1"/>
    <col min="15215" max="15215" width="5" style="95" customWidth="1"/>
    <col min="15216" max="15217" width="11.44140625" style="95" hidden="1" customWidth="1"/>
    <col min="15218" max="15218" width="5" style="95" customWidth="1"/>
    <col min="15219" max="15220" width="11.44140625" style="95" hidden="1" customWidth="1"/>
    <col min="15221" max="15221" width="5" style="95" customWidth="1"/>
    <col min="15222" max="15223" width="11.44140625" style="95" hidden="1" customWidth="1"/>
    <col min="15224" max="15224" width="5" style="95" customWidth="1"/>
    <col min="15225" max="15226" width="11.44140625" style="95" hidden="1" customWidth="1"/>
    <col min="15227" max="15227" width="5" style="95" customWidth="1"/>
    <col min="15228" max="15229" width="11.44140625" style="95" hidden="1" customWidth="1"/>
    <col min="15230" max="15230" width="5" style="95" customWidth="1"/>
    <col min="15231" max="15231" width="11.44140625" style="95" hidden="1" customWidth="1"/>
    <col min="15232" max="15232" width="6.44140625" style="95" customWidth="1"/>
    <col min="15233" max="15233" width="11.44140625" style="95" hidden="1" customWidth="1"/>
    <col min="15234" max="15234" width="7.109375" style="95" customWidth="1"/>
    <col min="15235" max="15236" width="11.44140625" style="95" hidden="1" customWidth="1"/>
    <col min="15237" max="15237" width="7.109375" style="95" customWidth="1"/>
    <col min="15238" max="15239" width="11.44140625" style="95" hidden="1" customWidth="1"/>
    <col min="15240" max="15240" width="7.109375" style="95" customWidth="1"/>
    <col min="15241" max="15242" width="11.44140625" style="95" hidden="1" customWidth="1"/>
    <col min="15243" max="15243" width="7.109375" style="95" customWidth="1"/>
    <col min="15244" max="15245" width="11.44140625" style="95" hidden="1" customWidth="1"/>
    <col min="15246" max="15246" width="7.109375" style="95" customWidth="1"/>
    <col min="15247" max="15248" width="11.44140625" style="95" hidden="1" customWidth="1"/>
    <col min="15249" max="15249" width="7.109375" style="95" customWidth="1"/>
    <col min="15250" max="15251" width="11.44140625" style="95" hidden="1" customWidth="1"/>
    <col min="15252" max="15252" width="7.109375" style="95" customWidth="1"/>
    <col min="15253" max="15254" width="11.44140625" style="95" hidden="1" customWidth="1"/>
    <col min="15255" max="15255" width="7.109375" style="95" customWidth="1"/>
    <col min="15256" max="15256" width="11.44140625" style="95" hidden="1" customWidth="1"/>
    <col min="15257" max="15257" width="6.44140625" style="95" customWidth="1"/>
    <col min="15258" max="15259" width="11.44140625" style="95" hidden="1" customWidth="1"/>
    <col min="15260" max="15260" width="6.88671875" style="95" customWidth="1"/>
    <col min="15261" max="15262" width="11.44140625" style="95" hidden="1" customWidth="1"/>
    <col min="15263" max="15263" width="6.88671875" style="95" customWidth="1"/>
    <col min="15264" max="15265" width="11.44140625" style="95" hidden="1" customWidth="1"/>
    <col min="15266" max="15266" width="6.44140625" style="95" customWidth="1"/>
    <col min="15267" max="15271" width="11.44140625" style="95" hidden="1" customWidth="1"/>
    <col min="15272" max="15272" width="6.44140625" style="95" customWidth="1"/>
    <col min="15273" max="15274" width="11.44140625" style="95" hidden="1" customWidth="1"/>
    <col min="15275" max="15275" width="7.5546875" style="95" customWidth="1"/>
    <col min="15276" max="15276" width="11.44140625" style="95" hidden="1" customWidth="1"/>
    <col min="15277" max="15277" width="9.44140625" style="95" customWidth="1"/>
    <col min="15278" max="15278" width="11.44140625" style="95" hidden="1" customWidth="1"/>
    <col min="15279" max="15279" width="9" style="95" customWidth="1"/>
    <col min="15280" max="15281" width="11.44140625" style="95" hidden="1" customWidth="1"/>
    <col min="15282" max="15282" width="8.5546875" style="95" customWidth="1"/>
    <col min="15283" max="15284" width="11.44140625" style="95" hidden="1" customWidth="1"/>
    <col min="15285" max="15285" width="6.44140625" style="95" customWidth="1"/>
    <col min="15286" max="15287" width="11.44140625" style="95" hidden="1" customWidth="1"/>
    <col min="15288" max="15288" width="7" style="95" customWidth="1"/>
    <col min="15289" max="15290" width="11.44140625" style="95" hidden="1" customWidth="1"/>
    <col min="15291" max="15293" width="7" style="95" customWidth="1"/>
    <col min="15294" max="15295" width="11.44140625" style="95" hidden="1" customWidth="1"/>
    <col min="15296" max="15296" width="7.5546875" style="95" customWidth="1"/>
    <col min="15297" max="15298" width="11.44140625" style="95" hidden="1" customWidth="1"/>
    <col min="15299" max="15299" width="7" style="95" customWidth="1"/>
    <col min="15300" max="15301" width="11.44140625" style="95" hidden="1" customWidth="1"/>
    <col min="15302" max="15302" width="7" style="95" customWidth="1"/>
    <col min="15303" max="15304" width="11.44140625" style="95" hidden="1" customWidth="1"/>
    <col min="15305" max="15305" width="7" style="95" customWidth="1"/>
    <col min="15306" max="15306" width="11.44140625" style="95" hidden="1" customWidth="1"/>
    <col min="15307" max="15307" width="6.44140625" style="95" customWidth="1"/>
    <col min="15308" max="15317" width="11.44140625" style="95" hidden="1" customWidth="1"/>
    <col min="15318" max="15352" width="11.44140625" style="95" hidden="1"/>
    <col min="15353" max="15353" width="41.44140625" style="95" customWidth="1"/>
    <col min="15354" max="15354" width="6.44140625" style="95" customWidth="1"/>
    <col min="15355" max="15355" width="14.6640625" style="95" customWidth="1"/>
    <col min="15356" max="15356" width="11.44140625" style="95" customWidth="1"/>
    <col min="15357" max="15357" width="13" style="95" customWidth="1"/>
    <col min="15358" max="15358" width="25.44140625" style="95" customWidth="1"/>
    <col min="15359" max="15368" width="9.44140625" style="95" customWidth="1"/>
    <col min="15369" max="15369" width="8.88671875" style="95" customWidth="1"/>
    <col min="15370" max="15370" width="9.44140625" style="95" customWidth="1"/>
    <col min="15371" max="15376" width="10.109375" style="95" customWidth="1"/>
    <col min="15377" max="15377" width="6.44140625" style="95" customWidth="1"/>
    <col min="15378" max="15378" width="6.88671875" style="95" customWidth="1"/>
    <col min="15379" max="15380" width="6.5546875" style="95" customWidth="1"/>
    <col min="15381" max="15381" width="6.33203125" style="95" customWidth="1"/>
    <col min="15382" max="15382" width="7.5546875" style="95" customWidth="1"/>
    <col min="15383" max="15383" width="14.5546875" style="95" customWidth="1"/>
    <col min="15384" max="15385" width="11.44140625" style="95" customWidth="1"/>
    <col min="15386" max="15386" width="56.88671875" style="95" customWidth="1"/>
    <col min="15387" max="15387" width="9.109375" style="95" bestFit="1" customWidth="1"/>
    <col min="15388" max="15388" width="26.6640625" style="95" customWidth="1"/>
    <col min="15389" max="15389" width="22.88671875" style="95" customWidth="1"/>
    <col min="15390" max="15390" width="14.6640625" style="95" customWidth="1"/>
    <col min="15391" max="15391" width="5" style="95" customWidth="1"/>
    <col min="15392" max="15393" width="11.44140625" style="95" hidden="1" customWidth="1"/>
    <col min="15394" max="15394" width="5" style="95" customWidth="1"/>
    <col min="15395" max="15396" width="11.44140625" style="95" hidden="1" customWidth="1"/>
    <col min="15397" max="15397" width="5" style="95" customWidth="1"/>
    <col min="15398" max="15399" width="11.44140625" style="95" hidden="1" customWidth="1"/>
    <col min="15400" max="15400" width="5" style="95" customWidth="1"/>
    <col min="15401" max="15402" width="11.44140625" style="95" hidden="1" customWidth="1"/>
    <col min="15403" max="15403" width="5" style="95" customWidth="1"/>
    <col min="15404" max="15405" width="11.44140625" style="95" hidden="1" customWidth="1"/>
    <col min="15406" max="15406" width="5" style="95" customWidth="1"/>
    <col min="15407" max="15408" width="11.44140625" style="95" hidden="1" customWidth="1"/>
    <col min="15409" max="15409" width="6.44140625" style="95" customWidth="1"/>
    <col min="15410" max="15417" width="11.44140625" style="95" hidden="1" customWidth="1"/>
    <col min="15418" max="15418" width="6.88671875" style="95" customWidth="1"/>
    <col min="15419" max="15420" width="11.44140625" style="95" hidden="1" customWidth="1"/>
    <col min="15421" max="15421" width="6.44140625" style="95" customWidth="1"/>
    <col min="15422" max="15423" width="11.44140625" style="95" hidden="1" customWidth="1"/>
    <col min="15424" max="15424" width="5.44140625" style="95" customWidth="1"/>
    <col min="15425" max="15426" width="11.44140625" style="95" hidden="1" customWidth="1"/>
    <col min="15427" max="15427" width="4.88671875" style="95" customWidth="1"/>
    <col min="15428" max="15432" width="11.44140625" style="95" hidden="1" customWidth="1"/>
    <col min="15433" max="15433" width="8.44140625" style="95" customWidth="1"/>
    <col min="15434" max="15435" width="11.44140625" style="95" hidden="1" customWidth="1"/>
    <col min="15436" max="15436" width="5.44140625" style="95" customWidth="1"/>
    <col min="15437" max="15438" width="11.44140625" style="95" hidden="1" customWidth="1"/>
    <col min="15439" max="15439" width="8.44140625" style="95" customWidth="1"/>
    <col min="15440" max="15441" width="11.44140625" style="95" hidden="1" customWidth="1"/>
    <col min="15442" max="15442" width="5.88671875" style="95" customWidth="1"/>
    <col min="15443" max="15444" width="11.44140625" style="95" hidden="1" customWidth="1"/>
    <col min="15445" max="15445" width="5.44140625" style="95" customWidth="1"/>
    <col min="15446" max="15447" width="11.44140625" style="95" hidden="1" customWidth="1"/>
    <col min="15448" max="15448" width="5.44140625" style="95" customWidth="1"/>
    <col min="15449" max="15450" width="11.44140625" style="95" hidden="1" customWidth="1"/>
    <col min="15451" max="15451" width="6" style="95" customWidth="1"/>
    <col min="15452" max="15456" width="11.44140625" style="95" hidden="1" customWidth="1"/>
    <col min="15457" max="15457" width="5" style="95" customWidth="1"/>
    <col min="15458" max="15465" width="11.44140625" style="95" hidden="1" customWidth="1"/>
    <col min="15466" max="15466" width="5" style="95" customWidth="1"/>
    <col min="15467" max="15467" width="11.44140625" style="95" hidden="1" customWidth="1"/>
    <col min="15468" max="15468" width="5" style="95" customWidth="1"/>
    <col min="15469" max="15469" width="9.44140625" style="95" customWidth="1"/>
    <col min="15470" max="15470" width="11.44140625" style="95" hidden="1" customWidth="1"/>
    <col min="15471" max="15471" width="5" style="95" customWidth="1"/>
    <col min="15472" max="15473" width="11.44140625" style="95" hidden="1" customWidth="1"/>
    <col min="15474" max="15474" width="5" style="95" customWidth="1"/>
    <col min="15475" max="15476" width="11.44140625" style="95" hidden="1" customWidth="1"/>
    <col min="15477" max="15477" width="5" style="95" customWidth="1"/>
    <col min="15478" max="15479" width="11.44140625" style="95" hidden="1" customWidth="1"/>
    <col min="15480" max="15480" width="5" style="95" customWidth="1"/>
    <col min="15481" max="15482" width="11.44140625" style="95" hidden="1" customWidth="1"/>
    <col min="15483" max="15483" width="5" style="95" customWidth="1"/>
    <col min="15484" max="15485" width="11.44140625" style="95" hidden="1" customWidth="1"/>
    <col min="15486" max="15486" width="5" style="95" customWidth="1"/>
    <col min="15487" max="15487" width="11.44140625" style="95" hidden="1" customWidth="1"/>
    <col min="15488" max="15488" width="6.44140625" style="95" customWidth="1"/>
    <col min="15489" max="15489" width="11.44140625" style="95" hidden="1" customWidth="1"/>
    <col min="15490" max="15490" width="7.109375" style="95" customWidth="1"/>
    <col min="15491" max="15492" width="11.44140625" style="95" hidden="1" customWidth="1"/>
    <col min="15493" max="15493" width="7.109375" style="95" customWidth="1"/>
    <col min="15494" max="15495" width="11.44140625" style="95" hidden="1" customWidth="1"/>
    <col min="15496" max="15496" width="7.109375" style="95" customWidth="1"/>
    <col min="15497" max="15498" width="11.44140625" style="95" hidden="1" customWidth="1"/>
    <col min="15499" max="15499" width="7.109375" style="95" customWidth="1"/>
    <col min="15500" max="15501" width="11.44140625" style="95" hidden="1" customWidth="1"/>
    <col min="15502" max="15502" width="7.109375" style="95" customWidth="1"/>
    <col min="15503" max="15504" width="11.44140625" style="95" hidden="1" customWidth="1"/>
    <col min="15505" max="15505" width="7.109375" style="95" customWidth="1"/>
    <col min="15506" max="15507" width="11.44140625" style="95" hidden="1" customWidth="1"/>
    <col min="15508" max="15508" width="7.109375" style="95" customWidth="1"/>
    <col min="15509" max="15510" width="11.44140625" style="95" hidden="1" customWidth="1"/>
    <col min="15511" max="15511" width="7.109375" style="95" customWidth="1"/>
    <col min="15512" max="15512" width="11.44140625" style="95" hidden="1" customWidth="1"/>
    <col min="15513" max="15513" width="6.44140625" style="95" customWidth="1"/>
    <col min="15514" max="15515" width="11.44140625" style="95" hidden="1" customWidth="1"/>
    <col min="15516" max="15516" width="6.88671875" style="95" customWidth="1"/>
    <col min="15517" max="15518" width="11.44140625" style="95" hidden="1" customWidth="1"/>
    <col min="15519" max="15519" width="6.88671875" style="95" customWidth="1"/>
    <col min="15520" max="15521" width="11.44140625" style="95" hidden="1" customWidth="1"/>
    <col min="15522" max="15522" width="6.44140625" style="95" customWidth="1"/>
    <col min="15523" max="15527" width="11.44140625" style="95" hidden="1" customWidth="1"/>
    <col min="15528" max="15528" width="6.44140625" style="95" customWidth="1"/>
    <col min="15529" max="15530" width="11.44140625" style="95" hidden="1" customWidth="1"/>
    <col min="15531" max="15531" width="7.5546875" style="95" customWidth="1"/>
    <col min="15532" max="15532" width="11.44140625" style="95" hidden="1" customWidth="1"/>
    <col min="15533" max="15533" width="9.44140625" style="95" customWidth="1"/>
    <col min="15534" max="15534" width="11.44140625" style="95" hidden="1" customWidth="1"/>
    <col min="15535" max="15535" width="9" style="95" customWidth="1"/>
    <col min="15536" max="15537" width="11.44140625" style="95" hidden="1" customWidth="1"/>
    <col min="15538" max="15538" width="8.5546875" style="95" customWidth="1"/>
    <col min="15539" max="15540" width="11.44140625" style="95" hidden="1" customWidth="1"/>
    <col min="15541" max="15541" width="6.44140625" style="95" customWidth="1"/>
    <col min="15542" max="15543" width="11.44140625" style="95" hidden="1" customWidth="1"/>
    <col min="15544" max="15544" width="7" style="95" customWidth="1"/>
    <col min="15545" max="15546" width="11.44140625" style="95" hidden="1" customWidth="1"/>
    <col min="15547" max="15549" width="7" style="95" customWidth="1"/>
    <col min="15550" max="15551" width="11.44140625" style="95" hidden="1" customWidth="1"/>
    <col min="15552" max="15552" width="7.5546875" style="95" customWidth="1"/>
    <col min="15553" max="15554" width="11.44140625" style="95" hidden="1" customWidth="1"/>
    <col min="15555" max="15555" width="7" style="95" customWidth="1"/>
    <col min="15556" max="15557" width="11.44140625" style="95" hidden="1" customWidth="1"/>
    <col min="15558" max="15558" width="7" style="95" customWidth="1"/>
    <col min="15559" max="15560" width="11.44140625" style="95" hidden="1" customWidth="1"/>
    <col min="15561" max="15561" width="7" style="95" customWidth="1"/>
    <col min="15562" max="15562" width="11.44140625" style="95" hidden="1" customWidth="1"/>
    <col min="15563" max="15563" width="6.44140625" style="95" customWidth="1"/>
    <col min="15564" max="15573" width="11.44140625" style="95" hidden="1" customWidth="1"/>
    <col min="15574" max="15608" width="11.44140625" style="95" hidden="1"/>
    <col min="15609" max="15609" width="41.44140625" style="95" customWidth="1"/>
    <col min="15610" max="15610" width="6.44140625" style="95" customWidth="1"/>
    <col min="15611" max="15611" width="14.6640625" style="95" customWidth="1"/>
    <col min="15612" max="15612" width="11.44140625" style="95" customWidth="1"/>
    <col min="15613" max="15613" width="13" style="95" customWidth="1"/>
    <col min="15614" max="15614" width="25.44140625" style="95" customWidth="1"/>
    <col min="15615" max="15624" width="9.44140625" style="95" customWidth="1"/>
    <col min="15625" max="15625" width="8.88671875" style="95" customWidth="1"/>
    <col min="15626" max="15626" width="9.44140625" style="95" customWidth="1"/>
    <col min="15627" max="15632" width="10.109375" style="95" customWidth="1"/>
    <col min="15633" max="15633" width="6.44140625" style="95" customWidth="1"/>
    <col min="15634" max="15634" width="6.88671875" style="95" customWidth="1"/>
    <col min="15635" max="15636" width="6.5546875" style="95" customWidth="1"/>
    <col min="15637" max="15637" width="6.33203125" style="95" customWidth="1"/>
    <col min="15638" max="15638" width="7.5546875" style="95" customWidth="1"/>
    <col min="15639" max="15639" width="14.5546875" style="95" customWidth="1"/>
    <col min="15640" max="15641" width="11.44140625" style="95" customWidth="1"/>
    <col min="15642" max="15642" width="56.88671875" style="95" customWidth="1"/>
    <col min="15643" max="15643" width="9.109375" style="95" bestFit="1" customWidth="1"/>
    <col min="15644" max="15644" width="26.6640625" style="95" customWidth="1"/>
    <col min="15645" max="15645" width="22.88671875" style="95" customWidth="1"/>
    <col min="15646" max="15646" width="14.6640625" style="95" customWidth="1"/>
    <col min="15647" max="15647" width="5" style="95" customWidth="1"/>
    <col min="15648" max="15649" width="11.44140625" style="95" hidden="1" customWidth="1"/>
    <col min="15650" max="15650" width="5" style="95" customWidth="1"/>
    <col min="15651" max="15652" width="11.44140625" style="95" hidden="1" customWidth="1"/>
    <col min="15653" max="15653" width="5" style="95" customWidth="1"/>
    <col min="15654" max="15655" width="11.44140625" style="95" hidden="1" customWidth="1"/>
    <col min="15656" max="15656" width="5" style="95" customWidth="1"/>
    <col min="15657" max="15658" width="11.44140625" style="95" hidden="1" customWidth="1"/>
    <col min="15659" max="15659" width="5" style="95" customWidth="1"/>
    <col min="15660" max="15661" width="11.44140625" style="95" hidden="1" customWidth="1"/>
    <col min="15662" max="15662" width="5" style="95" customWidth="1"/>
    <col min="15663" max="15664" width="11.44140625" style="95" hidden="1" customWidth="1"/>
    <col min="15665" max="15665" width="6.44140625" style="95" customWidth="1"/>
    <col min="15666" max="15673" width="11.44140625" style="95" hidden="1" customWidth="1"/>
    <col min="15674" max="15674" width="6.88671875" style="95" customWidth="1"/>
    <col min="15675" max="15676" width="11.44140625" style="95" hidden="1" customWidth="1"/>
    <col min="15677" max="15677" width="6.44140625" style="95" customWidth="1"/>
    <col min="15678" max="15679" width="11.44140625" style="95" hidden="1" customWidth="1"/>
    <col min="15680" max="15680" width="5.44140625" style="95" customWidth="1"/>
    <col min="15681" max="15682" width="11.44140625" style="95" hidden="1" customWidth="1"/>
    <col min="15683" max="15683" width="4.88671875" style="95" customWidth="1"/>
    <col min="15684" max="15688" width="11.44140625" style="95" hidden="1" customWidth="1"/>
    <col min="15689" max="15689" width="8.44140625" style="95" customWidth="1"/>
    <col min="15690" max="15691" width="11.44140625" style="95" hidden="1" customWidth="1"/>
    <col min="15692" max="15692" width="5.44140625" style="95" customWidth="1"/>
    <col min="15693" max="15694" width="11.44140625" style="95" hidden="1" customWidth="1"/>
    <col min="15695" max="15695" width="8.44140625" style="95" customWidth="1"/>
    <col min="15696" max="15697" width="11.44140625" style="95" hidden="1" customWidth="1"/>
    <col min="15698" max="15698" width="5.88671875" style="95" customWidth="1"/>
    <col min="15699" max="15700" width="11.44140625" style="95" hidden="1" customWidth="1"/>
    <col min="15701" max="15701" width="5.44140625" style="95" customWidth="1"/>
    <col min="15702" max="15703" width="11.44140625" style="95" hidden="1" customWidth="1"/>
    <col min="15704" max="15704" width="5.44140625" style="95" customWidth="1"/>
    <col min="15705" max="15706" width="11.44140625" style="95" hidden="1" customWidth="1"/>
    <col min="15707" max="15707" width="6" style="95" customWidth="1"/>
    <col min="15708" max="15712" width="11.44140625" style="95" hidden="1" customWidth="1"/>
    <col min="15713" max="15713" width="5" style="95" customWidth="1"/>
    <col min="15714" max="15721" width="11.44140625" style="95" hidden="1" customWidth="1"/>
    <col min="15722" max="15722" width="5" style="95" customWidth="1"/>
    <col min="15723" max="15723" width="11.44140625" style="95" hidden="1" customWidth="1"/>
    <col min="15724" max="15724" width="5" style="95" customWidth="1"/>
    <col min="15725" max="15725" width="9.44140625" style="95" customWidth="1"/>
    <col min="15726" max="15726" width="11.44140625" style="95" hidden="1" customWidth="1"/>
    <col min="15727" max="15727" width="5" style="95" customWidth="1"/>
    <col min="15728" max="15729" width="11.44140625" style="95" hidden="1" customWidth="1"/>
    <col min="15730" max="15730" width="5" style="95" customWidth="1"/>
    <col min="15731" max="15732" width="11.44140625" style="95" hidden="1" customWidth="1"/>
    <col min="15733" max="15733" width="5" style="95" customWidth="1"/>
    <col min="15734" max="15735" width="11.44140625" style="95" hidden="1" customWidth="1"/>
    <col min="15736" max="15736" width="5" style="95" customWidth="1"/>
    <col min="15737" max="15738" width="11.44140625" style="95" hidden="1" customWidth="1"/>
    <col min="15739" max="15739" width="5" style="95" customWidth="1"/>
    <col min="15740" max="15741" width="11.44140625" style="95" hidden="1" customWidth="1"/>
    <col min="15742" max="15742" width="5" style="95" customWidth="1"/>
    <col min="15743" max="15743" width="11.44140625" style="95" hidden="1" customWidth="1"/>
    <col min="15744" max="15744" width="6.44140625" style="95" customWidth="1"/>
    <col min="15745" max="15745" width="11.44140625" style="95" hidden="1" customWidth="1"/>
    <col min="15746" max="15746" width="7.109375" style="95" customWidth="1"/>
    <col min="15747" max="15748" width="11.44140625" style="95" hidden="1" customWidth="1"/>
    <col min="15749" max="15749" width="7.109375" style="95" customWidth="1"/>
    <col min="15750" max="15751" width="11.44140625" style="95" hidden="1" customWidth="1"/>
    <col min="15752" max="15752" width="7.109375" style="95" customWidth="1"/>
    <col min="15753" max="15754" width="11.44140625" style="95" hidden="1" customWidth="1"/>
    <col min="15755" max="15755" width="7.109375" style="95" customWidth="1"/>
    <col min="15756" max="15757" width="11.44140625" style="95" hidden="1" customWidth="1"/>
    <col min="15758" max="15758" width="7.109375" style="95" customWidth="1"/>
    <col min="15759" max="15760" width="11.44140625" style="95" hidden="1" customWidth="1"/>
    <col min="15761" max="15761" width="7.109375" style="95" customWidth="1"/>
    <col min="15762" max="15763" width="11.44140625" style="95" hidden="1" customWidth="1"/>
    <col min="15764" max="15764" width="7.109375" style="95" customWidth="1"/>
    <col min="15765" max="15766" width="11.44140625" style="95" hidden="1" customWidth="1"/>
    <col min="15767" max="15767" width="7.109375" style="95" customWidth="1"/>
    <col min="15768" max="15768" width="11.44140625" style="95" hidden="1" customWidth="1"/>
    <col min="15769" max="15769" width="6.44140625" style="95" customWidth="1"/>
    <col min="15770" max="15771" width="11.44140625" style="95" hidden="1" customWidth="1"/>
    <col min="15772" max="15772" width="6.88671875" style="95" customWidth="1"/>
    <col min="15773" max="15774" width="11.44140625" style="95" hidden="1" customWidth="1"/>
    <col min="15775" max="15775" width="6.88671875" style="95" customWidth="1"/>
    <col min="15776" max="15777" width="11.44140625" style="95" hidden="1" customWidth="1"/>
    <col min="15778" max="15778" width="6.44140625" style="95" customWidth="1"/>
    <col min="15779" max="15783" width="11.44140625" style="95" hidden="1" customWidth="1"/>
    <col min="15784" max="15784" width="6.44140625" style="95" customWidth="1"/>
    <col min="15785" max="15786" width="11.44140625" style="95" hidden="1" customWidth="1"/>
    <col min="15787" max="15787" width="7.5546875" style="95" customWidth="1"/>
    <col min="15788" max="15788" width="11.44140625" style="95" hidden="1" customWidth="1"/>
    <col min="15789" max="15789" width="9.44140625" style="95" customWidth="1"/>
    <col min="15790" max="15790" width="11.44140625" style="95" hidden="1" customWidth="1"/>
    <col min="15791" max="15791" width="9" style="95" customWidth="1"/>
    <col min="15792" max="15793" width="11.44140625" style="95" hidden="1" customWidth="1"/>
    <col min="15794" max="15794" width="8.5546875" style="95" customWidth="1"/>
    <col min="15795" max="15796" width="11.44140625" style="95" hidden="1" customWidth="1"/>
    <col min="15797" max="15797" width="6.44140625" style="95" customWidth="1"/>
    <col min="15798" max="15799" width="11.44140625" style="95" hidden="1" customWidth="1"/>
    <col min="15800" max="15800" width="7" style="95" customWidth="1"/>
    <col min="15801" max="15802" width="11.44140625" style="95" hidden="1" customWidth="1"/>
    <col min="15803" max="15805" width="7" style="95" customWidth="1"/>
    <col min="15806" max="15807" width="11.44140625" style="95" hidden="1" customWidth="1"/>
    <col min="15808" max="15808" width="7.5546875" style="95" customWidth="1"/>
    <col min="15809" max="15810" width="11.44140625" style="95" hidden="1" customWidth="1"/>
    <col min="15811" max="15811" width="7" style="95" customWidth="1"/>
    <col min="15812" max="15813" width="11.44140625" style="95" hidden="1" customWidth="1"/>
    <col min="15814" max="15814" width="7" style="95" customWidth="1"/>
    <col min="15815" max="15816" width="11.44140625" style="95" hidden="1" customWidth="1"/>
    <col min="15817" max="15817" width="7" style="95" customWidth="1"/>
    <col min="15818" max="15818" width="11.44140625" style="95" hidden="1" customWidth="1"/>
    <col min="15819" max="15819" width="6.44140625" style="95" customWidth="1"/>
    <col min="15820" max="15829" width="11.44140625" style="95" hidden="1" customWidth="1"/>
    <col min="15830" max="15864" width="11.44140625" style="95" hidden="1"/>
    <col min="15865" max="15865" width="41.44140625" style="95" customWidth="1"/>
    <col min="15866" max="15866" width="6.44140625" style="95" customWidth="1"/>
    <col min="15867" max="15867" width="14.6640625" style="95" customWidth="1"/>
    <col min="15868" max="15868" width="11.44140625" style="95" customWidth="1"/>
    <col min="15869" max="15869" width="13" style="95" customWidth="1"/>
    <col min="15870" max="15870" width="25.44140625" style="95" customWidth="1"/>
    <col min="15871" max="15880" width="9.44140625" style="95" customWidth="1"/>
    <col min="15881" max="15881" width="8.88671875" style="95" customWidth="1"/>
    <col min="15882" max="15882" width="9.44140625" style="95" customWidth="1"/>
    <col min="15883" max="15888" width="10.109375" style="95" customWidth="1"/>
    <col min="15889" max="15889" width="6.44140625" style="95" customWidth="1"/>
    <col min="15890" max="15890" width="6.88671875" style="95" customWidth="1"/>
    <col min="15891" max="15892" width="6.5546875" style="95" customWidth="1"/>
    <col min="15893" max="15893" width="6.33203125" style="95" customWidth="1"/>
    <col min="15894" max="15894" width="7.5546875" style="95" customWidth="1"/>
    <col min="15895" max="15895" width="14.5546875" style="95" customWidth="1"/>
    <col min="15896" max="15897" width="11.44140625" style="95" customWidth="1"/>
    <col min="15898" max="15898" width="56.88671875" style="95" customWidth="1"/>
    <col min="15899" max="15899" width="9.109375" style="95" bestFit="1" customWidth="1"/>
    <col min="15900" max="15900" width="26.6640625" style="95" customWidth="1"/>
    <col min="15901" max="15901" width="22.88671875" style="95" customWidth="1"/>
    <col min="15902" max="15902" width="14.6640625" style="95" customWidth="1"/>
    <col min="15903" max="15903" width="5" style="95" customWidth="1"/>
    <col min="15904" max="15905" width="11.44140625" style="95" hidden="1" customWidth="1"/>
    <col min="15906" max="15906" width="5" style="95" customWidth="1"/>
    <col min="15907" max="15908" width="11.44140625" style="95" hidden="1" customWidth="1"/>
    <col min="15909" max="15909" width="5" style="95" customWidth="1"/>
    <col min="15910" max="15911" width="11.44140625" style="95" hidden="1" customWidth="1"/>
    <col min="15912" max="15912" width="5" style="95" customWidth="1"/>
    <col min="15913" max="15914" width="11.44140625" style="95" hidden="1" customWidth="1"/>
    <col min="15915" max="15915" width="5" style="95" customWidth="1"/>
    <col min="15916" max="15917" width="11.44140625" style="95" hidden="1" customWidth="1"/>
    <col min="15918" max="15918" width="5" style="95" customWidth="1"/>
    <col min="15919" max="15920" width="11.44140625" style="95" hidden="1" customWidth="1"/>
    <col min="15921" max="15921" width="6.44140625" style="95" customWidth="1"/>
    <col min="15922" max="15929" width="11.44140625" style="95" hidden="1" customWidth="1"/>
    <col min="15930" max="15930" width="6.88671875" style="95" customWidth="1"/>
    <col min="15931" max="15932" width="11.44140625" style="95" hidden="1" customWidth="1"/>
    <col min="15933" max="15933" width="6.44140625" style="95" customWidth="1"/>
    <col min="15934" max="15935" width="11.44140625" style="95" hidden="1" customWidth="1"/>
    <col min="15936" max="15936" width="5.44140625" style="95" customWidth="1"/>
    <col min="15937" max="15938" width="11.44140625" style="95" hidden="1" customWidth="1"/>
    <col min="15939" max="15939" width="4.88671875" style="95" customWidth="1"/>
    <col min="15940" max="15944" width="11.44140625" style="95" hidden="1" customWidth="1"/>
    <col min="15945" max="15945" width="8.44140625" style="95" customWidth="1"/>
    <col min="15946" max="15947" width="11.44140625" style="95" hidden="1" customWidth="1"/>
    <col min="15948" max="15948" width="5.44140625" style="95" customWidth="1"/>
    <col min="15949" max="15950" width="11.44140625" style="95" hidden="1" customWidth="1"/>
    <col min="15951" max="15951" width="8.44140625" style="95" customWidth="1"/>
    <col min="15952" max="15953" width="11.44140625" style="95" hidden="1" customWidth="1"/>
    <col min="15954" max="15954" width="5.88671875" style="95" customWidth="1"/>
    <col min="15955" max="15956" width="11.44140625" style="95" hidden="1" customWidth="1"/>
    <col min="15957" max="15957" width="5.44140625" style="95" customWidth="1"/>
    <col min="15958" max="15959" width="11.44140625" style="95" hidden="1" customWidth="1"/>
    <col min="15960" max="15960" width="5.44140625" style="95" customWidth="1"/>
    <col min="15961" max="15962" width="11.44140625" style="95" hidden="1" customWidth="1"/>
    <col min="15963" max="15963" width="6" style="95" customWidth="1"/>
    <col min="15964" max="15968" width="11.44140625" style="95" hidden="1" customWidth="1"/>
    <col min="15969" max="15969" width="5" style="95" customWidth="1"/>
    <col min="15970" max="15977" width="11.44140625" style="95" hidden="1" customWidth="1"/>
    <col min="15978" max="15978" width="5" style="95" customWidth="1"/>
    <col min="15979" max="15979" width="11.44140625" style="95" hidden="1" customWidth="1"/>
    <col min="15980" max="15980" width="5" style="95" customWidth="1"/>
    <col min="15981" max="15981" width="9.44140625" style="95" customWidth="1"/>
    <col min="15982" max="15982" width="11.44140625" style="95" hidden="1" customWidth="1"/>
    <col min="15983" max="15983" width="5" style="95" customWidth="1"/>
    <col min="15984" max="15985" width="11.44140625" style="95" hidden="1" customWidth="1"/>
    <col min="15986" max="15986" width="5" style="95" customWidth="1"/>
    <col min="15987" max="15988" width="11.44140625" style="95" hidden="1" customWidth="1"/>
    <col min="15989" max="15989" width="5" style="95" customWidth="1"/>
    <col min="15990" max="15991" width="11.44140625" style="95" hidden="1" customWidth="1"/>
    <col min="15992" max="15992" width="5" style="95" customWidth="1"/>
    <col min="15993" max="15994" width="11.44140625" style="95" hidden="1" customWidth="1"/>
    <col min="15995" max="15995" width="5" style="95" customWidth="1"/>
    <col min="15996" max="15997" width="11.44140625" style="95" hidden="1" customWidth="1"/>
    <col min="15998" max="15998" width="5" style="95" customWidth="1"/>
    <col min="15999" max="15999" width="11.44140625" style="95" hidden="1" customWidth="1"/>
    <col min="16000" max="16000" width="6.44140625" style="95" customWidth="1"/>
    <col min="16001" max="16001" width="11.44140625" style="95" hidden="1" customWidth="1"/>
    <col min="16002" max="16002" width="7.109375" style="95" customWidth="1"/>
    <col min="16003" max="16004" width="11.44140625" style="95" hidden="1" customWidth="1"/>
    <col min="16005" max="16005" width="7.109375" style="95" customWidth="1"/>
    <col min="16006" max="16007" width="11.44140625" style="95" hidden="1" customWidth="1"/>
    <col min="16008" max="16008" width="7.109375" style="95" customWidth="1"/>
    <col min="16009" max="16010" width="11.44140625" style="95" hidden="1" customWidth="1"/>
    <col min="16011" max="16011" width="7.109375" style="95" customWidth="1"/>
    <col min="16012" max="16013" width="11.44140625" style="95" hidden="1" customWidth="1"/>
    <col min="16014" max="16014" width="7.109375" style="95" customWidth="1"/>
    <col min="16015" max="16016" width="11.44140625" style="95" hidden="1" customWidth="1"/>
    <col min="16017" max="16017" width="7.109375" style="95" customWidth="1"/>
    <col min="16018" max="16019" width="11.44140625" style="95" hidden="1" customWidth="1"/>
    <col min="16020" max="16020" width="7.109375" style="95" customWidth="1"/>
    <col min="16021" max="16022" width="11.44140625" style="95" hidden="1" customWidth="1"/>
    <col min="16023" max="16023" width="7.109375" style="95" customWidth="1"/>
    <col min="16024" max="16024" width="11.44140625" style="95" hidden="1" customWidth="1"/>
    <col min="16025" max="16025" width="6.44140625" style="95" customWidth="1"/>
    <col min="16026" max="16027" width="11.44140625" style="95" hidden="1" customWidth="1"/>
    <col min="16028" max="16028" width="6.88671875" style="95" customWidth="1"/>
    <col min="16029" max="16030" width="11.44140625" style="95" hidden="1" customWidth="1"/>
    <col min="16031" max="16031" width="6.88671875" style="95" customWidth="1"/>
    <col min="16032" max="16033" width="11.44140625" style="95" hidden="1" customWidth="1"/>
    <col min="16034" max="16034" width="6.44140625" style="95" customWidth="1"/>
    <col min="16035" max="16039" width="11.44140625" style="95" hidden="1" customWidth="1"/>
    <col min="16040" max="16040" width="6.44140625" style="95" customWidth="1"/>
    <col min="16041" max="16042" width="11.44140625" style="95" hidden="1" customWidth="1"/>
    <col min="16043" max="16043" width="7.5546875" style="95" customWidth="1"/>
    <col min="16044" max="16044" width="11.44140625" style="95" hidden="1" customWidth="1"/>
    <col min="16045" max="16045" width="9.44140625" style="95" customWidth="1"/>
    <col min="16046" max="16046" width="11.44140625" style="95" hidden="1" customWidth="1"/>
    <col min="16047" max="16047" width="9" style="95" customWidth="1"/>
    <col min="16048" max="16049" width="11.44140625" style="95" hidden="1" customWidth="1"/>
    <col min="16050" max="16050" width="8.5546875" style="95" customWidth="1"/>
    <col min="16051" max="16052" width="11.44140625" style="95" hidden="1" customWidth="1"/>
    <col min="16053" max="16053" width="6.44140625" style="95" customWidth="1"/>
    <col min="16054" max="16055" width="11.44140625" style="95" hidden="1" customWidth="1"/>
    <col min="16056" max="16056" width="7" style="95" customWidth="1"/>
    <col min="16057" max="16058" width="11.44140625" style="95" hidden="1" customWidth="1"/>
    <col min="16059" max="16061" width="7" style="95" customWidth="1"/>
    <col min="16062" max="16063" width="11.44140625" style="95" hidden="1" customWidth="1"/>
    <col min="16064" max="16064" width="7.5546875" style="95" customWidth="1"/>
    <col min="16065" max="16066" width="11.44140625" style="95" hidden="1" customWidth="1"/>
    <col min="16067" max="16067" width="7" style="95" customWidth="1"/>
    <col min="16068" max="16069" width="11.44140625" style="95" hidden="1" customWidth="1"/>
    <col min="16070" max="16070" width="7" style="95" customWidth="1"/>
    <col min="16071" max="16072" width="11.44140625" style="95" hidden="1" customWidth="1"/>
    <col min="16073" max="16073" width="7" style="95" customWidth="1"/>
    <col min="16074" max="16074" width="11.44140625" style="95" hidden="1" customWidth="1"/>
    <col min="16075" max="16075" width="6.44140625" style="95" customWidth="1"/>
    <col min="16076" max="16085" width="11.44140625" style="95" hidden="1" customWidth="1"/>
    <col min="16086" max="16384" width="11.44140625" style="95" hidden="1"/>
  </cols>
  <sheetData>
    <row r="1" spans="1:5" s="60" customFormat="1" ht="18.75" customHeight="1" x14ac:dyDescent="0.25">
      <c r="A1" s="108">
        <v>45473</v>
      </c>
      <c r="B1" s="58"/>
      <c r="C1" s="2"/>
      <c r="D1" s="140"/>
      <c r="E1" s="140"/>
    </row>
    <row r="2" spans="1:5" s="64" customFormat="1" ht="34.200000000000003" customHeight="1" x14ac:dyDescent="0.3">
      <c r="A2" s="155" t="s">
        <v>403</v>
      </c>
      <c r="B2" s="141" t="s">
        <v>389</v>
      </c>
      <c r="C2" s="142" t="s">
        <v>1</v>
      </c>
      <c r="D2" s="143" t="s">
        <v>340</v>
      </c>
      <c r="E2" s="144" t="s">
        <v>341</v>
      </c>
    </row>
    <row r="3" spans="1:5" s="67" customFormat="1" hidden="1" x14ac:dyDescent="0.3">
      <c r="A3" s="153"/>
      <c r="B3" s="61"/>
      <c r="C3" s="5"/>
      <c r="D3" s="63"/>
      <c r="E3" s="66"/>
    </row>
    <row r="4" spans="1:5" s="73" customFormat="1" ht="16.2" customHeight="1" x14ac:dyDescent="0.3">
      <c r="A4" s="6" t="s">
        <v>2</v>
      </c>
      <c r="B4" s="68" t="s">
        <v>390</v>
      </c>
      <c r="C4" s="8">
        <v>22</v>
      </c>
      <c r="D4" s="71">
        <v>16000</v>
      </c>
      <c r="E4" s="72">
        <f>+D4*C4</f>
        <v>352000</v>
      </c>
    </row>
    <row r="5" spans="1:5" s="73" customFormat="1" ht="36" hidden="1" customHeight="1" x14ac:dyDescent="0.3">
      <c r="A5" s="9" t="s">
        <v>3</v>
      </c>
      <c r="B5" s="68" t="s">
        <v>391</v>
      </c>
      <c r="C5" s="8"/>
      <c r="D5" s="71"/>
      <c r="E5" s="72"/>
    </row>
    <row r="6" spans="1:5" s="73" customFormat="1" ht="21.75" hidden="1" customHeight="1" x14ac:dyDescent="0.3">
      <c r="A6" s="6" t="s">
        <v>4</v>
      </c>
      <c r="B6" s="68" t="s">
        <v>390</v>
      </c>
      <c r="C6" s="8"/>
      <c r="D6" s="71"/>
      <c r="E6" s="72"/>
    </row>
    <row r="7" spans="1:5" s="73" customFormat="1" ht="18" hidden="1" customHeight="1" x14ac:dyDescent="0.3">
      <c r="A7" s="6" t="s">
        <v>5</v>
      </c>
      <c r="B7" s="68" t="s">
        <v>390</v>
      </c>
      <c r="C7" s="8"/>
      <c r="D7" s="71"/>
      <c r="E7" s="72"/>
    </row>
    <row r="8" spans="1:5" s="73" customFormat="1" ht="40.200000000000003" hidden="1" customHeight="1" x14ac:dyDescent="0.3">
      <c r="A8" s="10" t="s">
        <v>6</v>
      </c>
      <c r="B8" s="68" t="s">
        <v>391</v>
      </c>
      <c r="C8" s="8"/>
      <c r="D8" s="71"/>
      <c r="E8" s="72"/>
    </row>
    <row r="9" spans="1:5" s="73" customFormat="1" ht="21.75" hidden="1" customHeight="1" x14ac:dyDescent="0.3">
      <c r="A9" s="11" t="s">
        <v>7</v>
      </c>
      <c r="B9" s="68" t="s">
        <v>390</v>
      </c>
      <c r="C9" s="8"/>
      <c r="D9" s="71"/>
      <c r="E9" s="72"/>
    </row>
    <row r="10" spans="1:5" s="73" customFormat="1" ht="21.75" hidden="1" customHeight="1" x14ac:dyDescent="0.3">
      <c r="A10" s="6" t="s">
        <v>8</v>
      </c>
      <c r="B10" s="68" t="s">
        <v>390</v>
      </c>
      <c r="C10" s="8"/>
      <c r="D10" s="71"/>
      <c r="E10" s="72"/>
    </row>
    <row r="11" spans="1:5" s="73" customFormat="1" ht="32.4" hidden="1" customHeight="1" x14ac:dyDescent="0.3">
      <c r="A11" s="6" t="s">
        <v>9</v>
      </c>
      <c r="B11" s="68" t="s">
        <v>390</v>
      </c>
      <c r="C11" s="8"/>
      <c r="D11" s="71"/>
      <c r="E11" s="72"/>
    </row>
    <row r="12" spans="1:5" s="73" customFormat="1" ht="20.25" hidden="1" customHeight="1" x14ac:dyDescent="0.3">
      <c r="A12" s="12" t="s">
        <v>10</v>
      </c>
      <c r="B12" s="68" t="s">
        <v>398</v>
      </c>
      <c r="C12" s="8"/>
      <c r="D12" s="71"/>
      <c r="E12" s="72"/>
    </row>
    <row r="13" spans="1:5" s="73" customFormat="1" ht="65.400000000000006" hidden="1" customHeight="1" x14ac:dyDescent="0.3">
      <c r="A13" s="10" t="s">
        <v>11</v>
      </c>
      <c r="B13" s="68" t="s">
        <v>390</v>
      </c>
      <c r="C13" s="8"/>
      <c r="D13" s="71"/>
      <c r="E13" s="72"/>
    </row>
    <row r="14" spans="1:5" s="73" customFormat="1" ht="20.25" hidden="1" customHeight="1" x14ac:dyDescent="0.3">
      <c r="A14" s="10" t="s">
        <v>12</v>
      </c>
      <c r="B14" s="68" t="s">
        <v>390</v>
      </c>
      <c r="C14" s="8"/>
      <c r="D14" s="71"/>
      <c r="E14" s="72"/>
    </row>
    <row r="15" spans="1:5" s="73" customFormat="1" ht="39.9" hidden="1" customHeight="1" x14ac:dyDescent="0.3">
      <c r="A15" s="13" t="s">
        <v>13</v>
      </c>
      <c r="B15" s="68" t="s">
        <v>392</v>
      </c>
      <c r="C15" s="8"/>
      <c r="D15" s="71"/>
      <c r="E15" s="72"/>
    </row>
    <row r="16" spans="1:5" s="73" customFormat="1" ht="16.2" customHeight="1" x14ac:dyDescent="0.3">
      <c r="A16" s="13" t="s">
        <v>14</v>
      </c>
      <c r="B16" s="68" t="s">
        <v>390</v>
      </c>
      <c r="C16" s="8">
        <v>3</v>
      </c>
      <c r="D16" s="71">
        <v>18000</v>
      </c>
      <c r="E16" s="72">
        <f>+D16*C16</f>
        <v>54000</v>
      </c>
    </row>
    <row r="17" spans="1:5" s="73" customFormat="1" ht="21.75" hidden="1" customHeight="1" x14ac:dyDescent="0.3">
      <c r="A17" s="10" t="s">
        <v>15</v>
      </c>
      <c r="B17" s="68" t="s">
        <v>390</v>
      </c>
      <c r="C17" s="8"/>
      <c r="D17" s="88"/>
      <c r="E17" s="72"/>
    </row>
    <row r="18" spans="1:5" s="73" customFormat="1" ht="22.8" hidden="1" x14ac:dyDescent="0.3">
      <c r="A18" s="10" t="s">
        <v>16</v>
      </c>
      <c r="B18" s="68" t="s">
        <v>390</v>
      </c>
      <c r="C18" s="8"/>
      <c r="D18" s="77"/>
      <c r="E18" s="72"/>
    </row>
    <row r="19" spans="1:5" s="73" customFormat="1" ht="16.2" customHeight="1" x14ac:dyDescent="0.3">
      <c r="A19" s="14" t="s">
        <v>17</v>
      </c>
      <c r="B19" s="68" t="s">
        <v>392</v>
      </c>
      <c r="C19" s="8">
        <v>74</v>
      </c>
      <c r="D19" s="71">
        <v>4000</v>
      </c>
      <c r="E19" s="72">
        <f>+D19*C19</f>
        <v>296000</v>
      </c>
    </row>
    <row r="20" spans="1:5" s="73" customFormat="1" ht="22.8" hidden="1" x14ac:dyDescent="0.3">
      <c r="A20" s="12" t="s">
        <v>18</v>
      </c>
      <c r="B20" s="68" t="s">
        <v>390</v>
      </c>
      <c r="C20" s="8"/>
      <c r="D20" s="71"/>
      <c r="E20" s="72"/>
    </row>
    <row r="21" spans="1:5" s="73" customFormat="1" ht="16.2" customHeight="1" x14ac:dyDescent="0.3">
      <c r="A21" s="10" t="s">
        <v>19</v>
      </c>
      <c r="B21" s="68" t="s">
        <v>390</v>
      </c>
      <c r="C21" s="8">
        <v>100</v>
      </c>
      <c r="D21" s="71">
        <v>13000</v>
      </c>
      <c r="E21" s="72">
        <f>+D21*C21</f>
        <v>1300000</v>
      </c>
    </row>
    <row r="22" spans="1:5" s="73" customFormat="1" ht="21.75" hidden="1" customHeight="1" x14ac:dyDescent="0.3">
      <c r="A22" s="13" t="s">
        <v>20</v>
      </c>
      <c r="B22" s="68" t="s">
        <v>392</v>
      </c>
      <c r="C22" s="8"/>
      <c r="D22" s="71"/>
      <c r="E22" s="72"/>
    </row>
    <row r="23" spans="1:5" s="73" customFormat="1" ht="20.25" hidden="1" customHeight="1" x14ac:dyDescent="0.3">
      <c r="A23" s="13" t="s">
        <v>21</v>
      </c>
      <c r="B23" s="68" t="s">
        <v>390</v>
      </c>
      <c r="C23" s="8"/>
      <c r="D23" s="71"/>
      <c r="E23" s="72"/>
    </row>
    <row r="24" spans="1:5" s="73" customFormat="1" ht="21.75" hidden="1" customHeight="1" x14ac:dyDescent="0.3">
      <c r="A24" s="10" t="s">
        <v>22</v>
      </c>
      <c r="B24" s="68" t="s">
        <v>390</v>
      </c>
      <c r="C24" s="8"/>
      <c r="D24" s="71"/>
      <c r="E24" s="72"/>
    </row>
    <row r="25" spans="1:5" s="73" customFormat="1" ht="21.75" hidden="1" customHeight="1" x14ac:dyDescent="0.3">
      <c r="A25" s="10" t="s">
        <v>23</v>
      </c>
      <c r="B25" s="68" t="s">
        <v>392</v>
      </c>
      <c r="C25" s="8"/>
      <c r="D25" s="71"/>
      <c r="E25" s="72"/>
    </row>
    <row r="26" spans="1:5" s="73" customFormat="1" ht="16.2" customHeight="1" x14ac:dyDescent="0.3">
      <c r="A26" s="10" t="s">
        <v>24</v>
      </c>
      <c r="B26" s="68" t="s">
        <v>390</v>
      </c>
      <c r="C26" s="8">
        <v>122</v>
      </c>
      <c r="D26" s="71">
        <v>13000</v>
      </c>
      <c r="E26" s="72">
        <f>+D26*C26</f>
        <v>1586000</v>
      </c>
    </row>
    <row r="27" spans="1:5" s="73" customFormat="1" ht="21.75" hidden="1" customHeight="1" x14ac:dyDescent="0.3">
      <c r="A27" s="10" t="s">
        <v>25</v>
      </c>
      <c r="B27" s="68" t="s">
        <v>392</v>
      </c>
      <c r="C27" s="8"/>
      <c r="D27" s="71"/>
      <c r="E27" s="72"/>
    </row>
    <row r="28" spans="1:5" s="73" customFormat="1" ht="21.75" hidden="1" customHeight="1" x14ac:dyDescent="0.3">
      <c r="A28" s="10" t="s">
        <v>26</v>
      </c>
      <c r="B28" s="68" t="s">
        <v>390</v>
      </c>
      <c r="C28" s="8"/>
      <c r="D28" s="71"/>
      <c r="E28" s="72"/>
    </row>
    <row r="29" spans="1:5" s="73" customFormat="1" ht="16.2" customHeight="1" x14ac:dyDescent="0.3">
      <c r="A29" s="10" t="s">
        <v>27</v>
      </c>
      <c r="B29" s="68" t="s">
        <v>390</v>
      </c>
      <c r="C29" s="8">
        <v>39</v>
      </c>
      <c r="D29" s="71">
        <v>12500</v>
      </c>
      <c r="E29" s="72">
        <f>+D29*C29</f>
        <v>487500</v>
      </c>
    </row>
    <row r="30" spans="1:5" s="73" customFormat="1" ht="20.25" hidden="1" customHeight="1" x14ac:dyDescent="0.3">
      <c r="A30" s="12" t="s">
        <v>412</v>
      </c>
      <c r="B30" s="68" t="s">
        <v>390</v>
      </c>
      <c r="C30" s="17"/>
      <c r="D30" s="71"/>
      <c r="E30" s="72"/>
    </row>
    <row r="31" spans="1:5" s="73" customFormat="1" ht="21.75" hidden="1" customHeight="1" x14ac:dyDescent="0.3">
      <c r="A31" s="13" t="s">
        <v>28</v>
      </c>
      <c r="B31" s="68" t="s">
        <v>390</v>
      </c>
      <c r="C31" s="8"/>
      <c r="D31" s="71"/>
      <c r="E31" s="72"/>
    </row>
    <row r="32" spans="1:5" s="73" customFormat="1" ht="21.75" hidden="1" customHeight="1" x14ac:dyDescent="0.3">
      <c r="A32" s="12" t="s">
        <v>29</v>
      </c>
      <c r="B32" s="68" t="s">
        <v>399</v>
      </c>
      <c r="C32" s="8"/>
      <c r="D32" s="71"/>
      <c r="E32" s="72"/>
    </row>
    <row r="33" spans="1:5" s="73" customFormat="1" ht="21.75" hidden="1" customHeight="1" x14ac:dyDescent="0.3">
      <c r="A33" s="12" t="s">
        <v>30</v>
      </c>
      <c r="B33" s="68" t="s">
        <v>399</v>
      </c>
      <c r="C33" s="8"/>
      <c r="D33" s="71"/>
      <c r="E33" s="72"/>
    </row>
    <row r="34" spans="1:5" s="73" customFormat="1" ht="21.75" hidden="1" customHeight="1" x14ac:dyDescent="0.3">
      <c r="A34" s="12" t="s">
        <v>31</v>
      </c>
      <c r="B34" s="68" t="s">
        <v>399</v>
      </c>
      <c r="C34" s="8"/>
      <c r="D34" s="71"/>
      <c r="E34" s="72"/>
    </row>
    <row r="35" spans="1:5" s="73" customFormat="1" ht="21.75" hidden="1" customHeight="1" x14ac:dyDescent="0.3">
      <c r="A35" s="13" t="s">
        <v>367</v>
      </c>
      <c r="B35" s="68" t="s">
        <v>399</v>
      </c>
      <c r="C35" s="8"/>
      <c r="D35" s="71"/>
      <c r="E35" s="72"/>
    </row>
    <row r="36" spans="1:5" s="73" customFormat="1" ht="20.25" hidden="1" customHeight="1" x14ac:dyDescent="0.3">
      <c r="A36" s="12" t="s">
        <v>32</v>
      </c>
      <c r="B36" s="68" t="s">
        <v>399</v>
      </c>
      <c r="C36" s="8"/>
      <c r="D36" s="71"/>
      <c r="E36" s="72"/>
    </row>
    <row r="37" spans="1:5" s="73" customFormat="1" ht="21.75" hidden="1" customHeight="1" x14ac:dyDescent="0.3">
      <c r="A37" s="12" t="s">
        <v>33</v>
      </c>
      <c r="B37" s="68" t="s">
        <v>399</v>
      </c>
      <c r="C37" s="8"/>
      <c r="D37" s="71"/>
      <c r="E37" s="72"/>
    </row>
    <row r="38" spans="1:5" s="73" customFormat="1" ht="20.25" hidden="1" customHeight="1" x14ac:dyDescent="0.3">
      <c r="A38" s="12" t="s">
        <v>34</v>
      </c>
      <c r="B38" s="68" t="s">
        <v>399</v>
      </c>
      <c r="C38" s="8"/>
      <c r="D38" s="71"/>
      <c r="E38" s="72"/>
    </row>
    <row r="39" spans="1:5" s="73" customFormat="1" ht="16.2" customHeight="1" x14ac:dyDescent="0.3">
      <c r="A39" s="13" t="s">
        <v>35</v>
      </c>
      <c r="B39" s="68" t="s">
        <v>390</v>
      </c>
      <c r="C39" s="8">
        <v>47</v>
      </c>
      <c r="D39" s="71">
        <v>11000</v>
      </c>
      <c r="E39" s="72">
        <f>+D39*C39</f>
        <v>517000</v>
      </c>
    </row>
    <row r="40" spans="1:5" s="73" customFormat="1" ht="21.75" hidden="1" customHeight="1" x14ac:dyDescent="0.3">
      <c r="A40" s="10" t="s">
        <v>36</v>
      </c>
      <c r="B40" s="68" t="s">
        <v>390</v>
      </c>
      <c r="C40" s="8"/>
      <c r="D40" s="71"/>
      <c r="E40" s="72"/>
    </row>
    <row r="41" spans="1:5" s="73" customFormat="1" ht="21.75" hidden="1" customHeight="1" x14ac:dyDescent="0.3">
      <c r="A41" s="10" t="s">
        <v>37</v>
      </c>
      <c r="B41" s="68" t="s">
        <v>393</v>
      </c>
      <c r="C41" s="8"/>
      <c r="D41" s="71"/>
      <c r="E41" s="72"/>
    </row>
    <row r="42" spans="1:5" s="73" customFormat="1" ht="21.75" hidden="1" customHeight="1" x14ac:dyDescent="0.3">
      <c r="A42" s="12" t="s">
        <v>39</v>
      </c>
      <c r="B42" s="68" t="s">
        <v>390</v>
      </c>
      <c r="C42" s="17"/>
      <c r="D42" s="71"/>
      <c r="E42" s="72"/>
    </row>
    <row r="43" spans="1:5" s="73" customFormat="1" ht="20.25" hidden="1" customHeight="1" x14ac:dyDescent="0.3">
      <c r="A43" s="10" t="s">
        <v>40</v>
      </c>
      <c r="B43" s="68" t="s">
        <v>390</v>
      </c>
      <c r="C43" s="8"/>
      <c r="D43" s="71"/>
      <c r="E43" s="72"/>
    </row>
    <row r="44" spans="1:5" s="73" customFormat="1" ht="20.25" hidden="1" customHeight="1" x14ac:dyDescent="0.3">
      <c r="A44" s="10" t="s">
        <v>41</v>
      </c>
      <c r="B44" s="68" t="s">
        <v>390</v>
      </c>
      <c r="C44" s="8"/>
      <c r="D44" s="71"/>
      <c r="E44" s="72"/>
    </row>
    <row r="45" spans="1:5" s="73" customFormat="1" ht="20.25" hidden="1" customHeight="1" x14ac:dyDescent="0.3">
      <c r="A45" s="18" t="s">
        <v>42</v>
      </c>
      <c r="B45" s="68" t="s">
        <v>394</v>
      </c>
      <c r="C45" s="8"/>
      <c r="D45" s="71"/>
      <c r="E45" s="72"/>
    </row>
    <row r="46" spans="1:5" s="73" customFormat="1" ht="20.25" hidden="1" customHeight="1" x14ac:dyDescent="0.3">
      <c r="A46" s="10" t="s">
        <v>43</v>
      </c>
      <c r="B46" s="68" t="s">
        <v>390</v>
      </c>
      <c r="C46" s="8"/>
      <c r="D46" s="71"/>
      <c r="E46" s="72"/>
    </row>
    <row r="47" spans="1:5" s="73" customFormat="1" ht="21.75" hidden="1" customHeight="1" x14ac:dyDescent="0.3">
      <c r="A47" s="10" t="s">
        <v>44</v>
      </c>
      <c r="B47" s="68" t="s">
        <v>395</v>
      </c>
      <c r="C47" s="8"/>
      <c r="D47" s="71"/>
      <c r="E47" s="72"/>
    </row>
    <row r="48" spans="1:5" s="73" customFormat="1" ht="21.75" hidden="1" customHeight="1" x14ac:dyDescent="0.3">
      <c r="A48" s="10" t="s">
        <v>45</v>
      </c>
      <c r="B48" s="68" t="s">
        <v>390</v>
      </c>
      <c r="C48" s="8"/>
      <c r="D48" s="71"/>
      <c r="E48" s="72"/>
    </row>
    <row r="49" spans="1:5" s="73" customFormat="1" ht="21.75" hidden="1" customHeight="1" x14ac:dyDescent="0.3">
      <c r="A49" s="31" t="s">
        <v>46</v>
      </c>
      <c r="B49" s="68" t="s">
        <v>390</v>
      </c>
      <c r="C49" s="8"/>
      <c r="D49" s="100"/>
      <c r="E49" s="72"/>
    </row>
    <row r="50" spans="1:5" s="73" customFormat="1" ht="21.75" hidden="1" customHeight="1" x14ac:dyDescent="0.3">
      <c r="A50" s="14" t="s">
        <v>47</v>
      </c>
      <c r="B50" s="68" t="s">
        <v>395</v>
      </c>
      <c r="C50" s="8"/>
      <c r="D50" s="71"/>
      <c r="E50" s="72"/>
    </row>
    <row r="51" spans="1:5" s="73" customFormat="1" ht="21.75" hidden="1" customHeight="1" x14ac:dyDescent="0.3">
      <c r="A51" s="12" t="s">
        <v>48</v>
      </c>
      <c r="B51" s="68" t="s">
        <v>390</v>
      </c>
      <c r="C51" s="8"/>
      <c r="D51" s="71"/>
      <c r="E51" s="72"/>
    </row>
    <row r="52" spans="1:5" s="73" customFormat="1" ht="21.75" hidden="1" customHeight="1" x14ac:dyDescent="0.3">
      <c r="A52" s="14" t="s">
        <v>49</v>
      </c>
      <c r="B52" s="68" t="s">
        <v>394</v>
      </c>
      <c r="C52" s="8"/>
      <c r="D52" s="71"/>
      <c r="E52" s="72"/>
    </row>
    <row r="53" spans="1:5" s="73" customFormat="1" ht="20.25" hidden="1" customHeight="1" x14ac:dyDescent="0.3">
      <c r="A53" s="10" t="s">
        <v>50</v>
      </c>
      <c r="B53" s="68" t="s">
        <v>390</v>
      </c>
      <c r="C53" s="8"/>
      <c r="D53" s="71"/>
      <c r="E53" s="72"/>
    </row>
    <row r="54" spans="1:5" s="73" customFormat="1" ht="20.25" hidden="1" customHeight="1" x14ac:dyDescent="0.3">
      <c r="A54" s="10" t="s">
        <v>51</v>
      </c>
      <c r="B54" s="68" t="s">
        <v>390</v>
      </c>
      <c r="C54" s="8"/>
      <c r="D54" s="71"/>
      <c r="E54" s="72"/>
    </row>
    <row r="55" spans="1:5" s="73" customFormat="1" ht="20.25" hidden="1" customHeight="1" x14ac:dyDescent="0.3">
      <c r="A55" s="13" t="s">
        <v>52</v>
      </c>
      <c r="B55" s="68" t="s">
        <v>390</v>
      </c>
      <c r="C55" s="8"/>
      <c r="D55" s="71"/>
      <c r="E55" s="79"/>
    </row>
    <row r="56" spans="1:5" s="73" customFormat="1" ht="20.25" hidden="1" customHeight="1" x14ac:dyDescent="0.3">
      <c r="A56" s="10" t="s">
        <v>53</v>
      </c>
      <c r="B56" s="68" t="s">
        <v>390</v>
      </c>
      <c r="C56" s="8"/>
      <c r="D56" s="71"/>
      <c r="E56" s="79"/>
    </row>
    <row r="57" spans="1:5" s="73" customFormat="1" ht="20.25" hidden="1" customHeight="1" x14ac:dyDescent="0.3">
      <c r="A57" s="18" t="s">
        <v>54</v>
      </c>
      <c r="B57" s="68" t="s">
        <v>396</v>
      </c>
      <c r="C57" s="8"/>
      <c r="D57" s="71"/>
      <c r="E57" s="72"/>
    </row>
    <row r="58" spans="1:5" s="73" customFormat="1" ht="20.25" hidden="1" customHeight="1" x14ac:dyDescent="0.3">
      <c r="A58" s="18" t="s">
        <v>55</v>
      </c>
      <c r="B58" s="68" t="s">
        <v>396</v>
      </c>
      <c r="C58" s="8"/>
      <c r="D58" s="71"/>
      <c r="E58" s="72"/>
    </row>
    <row r="59" spans="1:5" s="73" customFormat="1" ht="20.25" hidden="1" customHeight="1" x14ac:dyDescent="0.3">
      <c r="A59" s="18" t="s">
        <v>56</v>
      </c>
      <c r="B59" s="68" t="s">
        <v>390</v>
      </c>
      <c r="C59" s="8"/>
      <c r="D59" s="71"/>
      <c r="E59" s="79"/>
    </row>
    <row r="60" spans="1:5" s="73" customFormat="1" ht="21.75" hidden="1" customHeight="1" x14ac:dyDescent="0.3">
      <c r="A60" s="10" t="s">
        <v>57</v>
      </c>
      <c r="B60" s="68" t="s">
        <v>390</v>
      </c>
      <c r="C60" s="8"/>
      <c r="D60" s="71"/>
      <c r="E60" s="79"/>
    </row>
    <row r="61" spans="1:5" s="73" customFormat="1" ht="21.75" hidden="1" customHeight="1" x14ac:dyDescent="0.3">
      <c r="A61" s="12" t="s">
        <v>58</v>
      </c>
      <c r="B61" s="68" t="s">
        <v>390</v>
      </c>
      <c r="C61" s="8"/>
      <c r="D61" s="71"/>
      <c r="E61" s="72"/>
    </row>
    <row r="62" spans="1:5" s="73" customFormat="1" ht="16.2" customHeight="1" x14ac:dyDescent="0.3">
      <c r="A62" s="10" t="s">
        <v>59</v>
      </c>
      <c r="B62" s="68" t="s">
        <v>390</v>
      </c>
      <c r="C62" s="8">
        <v>10</v>
      </c>
      <c r="D62" s="71">
        <v>28000</v>
      </c>
      <c r="E62" s="72">
        <f>+D62*C62</f>
        <v>280000</v>
      </c>
    </row>
    <row r="63" spans="1:5" s="73" customFormat="1" ht="21.75" hidden="1" customHeight="1" x14ac:dyDescent="0.3">
      <c r="A63" s="31" t="s">
        <v>60</v>
      </c>
      <c r="B63" s="68" t="s">
        <v>390</v>
      </c>
      <c r="C63" s="8"/>
      <c r="D63" s="71"/>
      <c r="E63" s="72"/>
    </row>
    <row r="64" spans="1:5" s="73" customFormat="1" ht="21.75" hidden="1" customHeight="1" x14ac:dyDescent="0.3">
      <c r="A64" s="18" t="s">
        <v>61</v>
      </c>
      <c r="B64" s="68" t="s">
        <v>396</v>
      </c>
      <c r="C64" s="8"/>
      <c r="D64" s="71"/>
      <c r="E64" s="72"/>
    </row>
    <row r="65" spans="1:5" s="73" customFormat="1" ht="16.2" customHeight="1" x14ac:dyDescent="0.3">
      <c r="A65" s="10" t="s">
        <v>62</v>
      </c>
      <c r="B65" s="68" t="s">
        <v>393</v>
      </c>
      <c r="C65" s="8">
        <v>100</v>
      </c>
      <c r="D65" s="71">
        <v>18000</v>
      </c>
      <c r="E65" s="72">
        <f>+D65*C65</f>
        <v>1800000</v>
      </c>
    </row>
    <row r="66" spans="1:5" s="73" customFormat="1" ht="21.75" hidden="1" customHeight="1" x14ac:dyDescent="0.3">
      <c r="A66" s="21" t="s">
        <v>63</v>
      </c>
      <c r="B66" s="68" t="s">
        <v>390</v>
      </c>
      <c r="C66" s="8"/>
      <c r="D66" s="71"/>
      <c r="E66" s="72"/>
    </row>
    <row r="67" spans="1:5" s="73" customFormat="1" ht="20.25" hidden="1" customHeight="1" x14ac:dyDescent="0.3">
      <c r="A67" s="10" t="s">
        <v>64</v>
      </c>
      <c r="B67" s="68" t="s">
        <v>390</v>
      </c>
      <c r="C67" s="8"/>
      <c r="D67" s="71"/>
      <c r="E67" s="79"/>
    </row>
    <row r="68" spans="1:5" s="73" customFormat="1" ht="21.75" hidden="1" customHeight="1" x14ac:dyDescent="0.3">
      <c r="A68" s="10" t="s">
        <v>65</v>
      </c>
      <c r="B68" s="68" t="s">
        <v>390</v>
      </c>
      <c r="C68" s="8"/>
      <c r="D68" s="71"/>
      <c r="E68" s="79"/>
    </row>
    <row r="69" spans="1:5" s="73" customFormat="1" ht="20.25" hidden="1" customHeight="1" x14ac:dyDescent="0.3">
      <c r="A69" s="22" t="s">
        <v>66</v>
      </c>
      <c r="B69" s="68" t="s">
        <v>390</v>
      </c>
      <c r="C69" s="8"/>
      <c r="D69" s="71"/>
      <c r="E69" s="79"/>
    </row>
    <row r="70" spans="1:5" s="73" customFormat="1" ht="20.25" hidden="1" customHeight="1" x14ac:dyDescent="0.3">
      <c r="A70" s="13" t="s">
        <v>67</v>
      </c>
      <c r="B70" s="68" t="s">
        <v>390</v>
      </c>
      <c r="C70" s="8"/>
      <c r="D70" s="71"/>
      <c r="E70" s="72"/>
    </row>
    <row r="71" spans="1:5" s="73" customFormat="1" ht="21.75" hidden="1" customHeight="1" x14ac:dyDescent="0.3">
      <c r="A71" s="13" t="s">
        <v>68</v>
      </c>
      <c r="B71" s="68" t="s">
        <v>396</v>
      </c>
      <c r="C71" s="8"/>
      <c r="D71" s="71"/>
      <c r="E71" s="72"/>
    </row>
    <row r="72" spans="1:5" s="73" customFormat="1" ht="20.25" hidden="1" customHeight="1" x14ac:dyDescent="0.3">
      <c r="A72" s="12" t="s">
        <v>69</v>
      </c>
      <c r="B72" s="68" t="s">
        <v>390</v>
      </c>
      <c r="C72" s="8"/>
      <c r="D72" s="71"/>
      <c r="E72" s="72"/>
    </row>
    <row r="73" spans="1:5" s="73" customFormat="1" ht="21.75" hidden="1" customHeight="1" x14ac:dyDescent="0.3">
      <c r="A73" s="13" t="s">
        <v>70</v>
      </c>
      <c r="B73" s="68" t="s">
        <v>390</v>
      </c>
      <c r="C73" s="8"/>
      <c r="D73" s="71"/>
      <c r="E73" s="72"/>
    </row>
    <row r="74" spans="1:5" s="73" customFormat="1" ht="22.8" hidden="1" x14ac:dyDescent="0.3">
      <c r="A74" s="13" t="s">
        <v>71</v>
      </c>
      <c r="B74" s="68" t="s">
        <v>390</v>
      </c>
      <c r="C74" s="8"/>
      <c r="D74" s="71"/>
      <c r="E74" s="72"/>
    </row>
    <row r="75" spans="1:5" s="73" customFormat="1" ht="22.8" hidden="1" x14ac:dyDescent="0.3">
      <c r="A75" s="13" t="s">
        <v>72</v>
      </c>
      <c r="B75" s="68" t="s">
        <v>396</v>
      </c>
      <c r="C75" s="8"/>
      <c r="D75" s="71"/>
      <c r="E75" s="72"/>
    </row>
    <row r="76" spans="1:5" s="73" customFormat="1" ht="22.8" hidden="1" x14ac:dyDescent="0.3">
      <c r="A76" s="22" t="s">
        <v>73</v>
      </c>
      <c r="B76" s="68" t="s">
        <v>390</v>
      </c>
      <c r="C76" s="8"/>
      <c r="D76" s="71"/>
      <c r="E76" s="72"/>
    </row>
    <row r="77" spans="1:5" s="73" customFormat="1" ht="22.8" hidden="1" x14ac:dyDescent="0.3">
      <c r="A77" s="10" t="s">
        <v>74</v>
      </c>
      <c r="B77" s="68" t="s">
        <v>396</v>
      </c>
      <c r="C77" s="8"/>
      <c r="D77" s="71"/>
      <c r="E77" s="72"/>
    </row>
    <row r="78" spans="1:5" s="73" customFormat="1" ht="21.75" hidden="1" customHeight="1" x14ac:dyDescent="0.3">
      <c r="A78" s="10" t="s">
        <v>75</v>
      </c>
      <c r="B78" s="68" t="s">
        <v>394</v>
      </c>
      <c r="C78" s="8"/>
      <c r="D78" s="71"/>
      <c r="E78" s="72"/>
    </row>
    <row r="79" spans="1:5" s="73" customFormat="1" ht="16.2" customHeight="1" x14ac:dyDescent="0.3">
      <c r="A79" s="10" t="s">
        <v>77</v>
      </c>
      <c r="B79" s="68" t="s">
        <v>390</v>
      </c>
      <c r="C79" s="8">
        <v>45</v>
      </c>
      <c r="D79" s="71">
        <v>27000</v>
      </c>
      <c r="E79" s="72">
        <f>+D79*C79</f>
        <v>1215000</v>
      </c>
    </row>
    <row r="80" spans="1:5" s="73" customFormat="1" ht="21.75" hidden="1" customHeight="1" x14ac:dyDescent="0.3">
      <c r="A80" s="14" t="s">
        <v>78</v>
      </c>
      <c r="B80" s="68" t="s">
        <v>394</v>
      </c>
      <c r="C80" s="8"/>
      <c r="D80" s="71"/>
      <c r="E80" s="72"/>
    </row>
    <row r="81" spans="1:5" s="73" customFormat="1" ht="21.75" hidden="1" customHeight="1" x14ac:dyDescent="0.3">
      <c r="A81" s="10" t="s">
        <v>79</v>
      </c>
      <c r="B81" s="68" t="s">
        <v>397</v>
      </c>
      <c r="C81" s="8"/>
      <c r="D81" s="71"/>
      <c r="E81" s="72"/>
    </row>
    <row r="82" spans="1:5" s="73" customFormat="1" ht="16.2" customHeight="1" x14ac:dyDescent="0.3">
      <c r="A82" s="10" t="s">
        <v>80</v>
      </c>
      <c r="B82" s="68" t="s">
        <v>390</v>
      </c>
      <c r="C82" s="8">
        <v>3.5</v>
      </c>
      <c r="D82" s="71">
        <v>23000</v>
      </c>
      <c r="E82" s="72">
        <f>+D82*C82</f>
        <v>80500</v>
      </c>
    </row>
    <row r="83" spans="1:5" s="73" customFormat="1" ht="20.25" hidden="1" customHeight="1" x14ac:dyDescent="0.3">
      <c r="A83" s="10" t="s">
        <v>81</v>
      </c>
      <c r="B83" s="68" t="s">
        <v>390</v>
      </c>
      <c r="C83" s="8"/>
      <c r="D83" s="71"/>
      <c r="E83" s="72"/>
    </row>
    <row r="84" spans="1:5" s="73" customFormat="1" ht="20.25" hidden="1" customHeight="1" x14ac:dyDescent="0.3">
      <c r="A84" s="13" t="s">
        <v>82</v>
      </c>
      <c r="B84" s="68" t="s">
        <v>390</v>
      </c>
      <c r="C84" s="17"/>
      <c r="D84" s="71"/>
      <c r="E84" s="72"/>
    </row>
    <row r="85" spans="1:5" s="73" customFormat="1" ht="20.25" hidden="1" customHeight="1" x14ac:dyDescent="0.3">
      <c r="A85" s="13" t="s">
        <v>83</v>
      </c>
      <c r="B85" s="68" t="s">
        <v>390</v>
      </c>
      <c r="C85" s="17"/>
      <c r="D85" s="71"/>
      <c r="E85" s="72"/>
    </row>
    <row r="86" spans="1:5" s="73" customFormat="1" ht="20.25" hidden="1" customHeight="1" x14ac:dyDescent="0.3">
      <c r="A86" s="13" t="s">
        <v>84</v>
      </c>
      <c r="B86" s="68" t="s">
        <v>394</v>
      </c>
      <c r="C86" s="17"/>
      <c r="D86" s="71"/>
      <c r="E86" s="72"/>
    </row>
    <row r="87" spans="1:5" s="73" customFormat="1" ht="20.25" hidden="1" customHeight="1" x14ac:dyDescent="0.3">
      <c r="A87" s="10" t="s">
        <v>85</v>
      </c>
      <c r="B87" s="68" t="s">
        <v>390</v>
      </c>
      <c r="C87" s="8"/>
      <c r="D87" s="71"/>
      <c r="E87" s="72"/>
    </row>
    <row r="88" spans="1:5" s="73" customFormat="1" ht="21.75" hidden="1" customHeight="1" x14ac:dyDescent="0.3">
      <c r="A88" s="10" t="s">
        <v>86</v>
      </c>
      <c r="B88" s="68" t="s">
        <v>390</v>
      </c>
      <c r="C88" s="8"/>
      <c r="D88" s="71"/>
      <c r="E88" s="72"/>
    </row>
    <row r="89" spans="1:5" s="80" customFormat="1" ht="20.25" hidden="1" customHeight="1" x14ac:dyDescent="0.3">
      <c r="A89" s="10" t="s">
        <v>87</v>
      </c>
      <c r="B89" s="68" t="s">
        <v>393</v>
      </c>
      <c r="C89" s="8"/>
      <c r="D89" s="71"/>
      <c r="E89" s="72"/>
    </row>
    <row r="90" spans="1:5" s="80" customFormat="1" ht="20.25" hidden="1" customHeight="1" x14ac:dyDescent="0.3">
      <c r="A90" s="10" t="s">
        <v>88</v>
      </c>
      <c r="B90" s="68" t="s">
        <v>390</v>
      </c>
      <c r="C90" s="8"/>
      <c r="D90" s="71"/>
      <c r="E90" s="72"/>
    </row>
    <row r="91" spans="1:5" s="73" customFormat="1" ht="21.75" hidden="1" customHeight="1" x14ac:dyDescent="0.3">
      <c r="A91" s="10" t="s">
        <v>89</v>
      </c>
      <c r="B91" s="68" t="s">
        <v>393</v>
      </c>
      <c r="C91" s="8"/>
      <c r="D91" s="71"/>
      <c r="E91" s="72"/>
    </row>
    <row r="92" spans="1:5" s="73" customFormat="1" ht="21.75" hidden="1" customHeight="1" x14ac:dyDescent="0.3">
      <c r="A92" s="10" t="s">
        <v>90</v>
      </c>
      <c r="B92" s="68" t="s">
        <v>390</v>
      </c>
      <c r="C92" s="8"/>
      <c r="D92" s="71"/>
      <c r="E92" s="72"/>
    </row>
    <row r="93" spans="1:5" s="73" customFormat="1" ht="21.75" hidden="1" customHeight="1" x14ac:dyDescent="0.3">
      <c r="A93" s="23" t="s">
        <v>91</v>
      </c>
      <c r="B93" s="68" t="s">
        <v>398</v>
      </c>
      <c r="C93" s="8"/>
      <c r="D93" s="71"/>
      <c r="E93" s="72"/>
    </row>
    <row r="94" spans="1:5" s="73" customFormat="1" ht="21.75" hidden="1" customHeight="1" x14ac:dyDescent="0.3">
      <c r="A94" s="23" t="s">
        <v>92</v>
      </c>
      <c r="B94" s="68" t="s">
        <v>396</v>
      </c>
      <c r="C94" s="8"/>
      <c r="D94" s="71"/>
      <c r="E94" s="72"/>
    </row>
    <row r="95" spans="1:5" s="73" customFormat="1" ht="21.75" hidden="1" customHeight="1" x14ac:dyDescent="0.3">
      <c r="A95" s="23" t="s">
        <v>93</v>
      </c>
      <c r="B95" s="68" t="s">
        <v>396</v>
      </c>
      <c r="C95" s="8"/>
      <c r="D95" s="71"/>
      <c r="E95" s="72"/>
    </row>
    <row r="96" spans="1:5" s="73" customFormat="1" ht="21.75" hidden="1" customHeight="1" x14ac:dyDescent="0.3">
      <c r="A96" s="12" t="s">
        <v>94</v>
      </c>
      <c r="B96" s="68" t="s">
        <v>390</v>
      </c>
      <c r="C96" s="8"/>
      <c r="D96" s="71"/>
      <c r="E96" s="72"/>
    </row>
    <row r="97" spans="1:5" s="73" customFormat="1" ht="21.75" hidden="1" customHeight="1" x14ac:dyDescent="0.3">
      <c r="A97" s="14" t="s">
        <v>95</v>
      </c>
      <c r="B97" s="68" t="s">
        <v>394</v>
      </c>
      <c r="C97" s="8"/>
      <c r="D97" s="71"/>
      <c r="E97" s="72"/>
    </row>
    <row r="98" spans="1:5" s="73" customFormat="1" ht="21.75" hidden="1" customHeight="1" x14ac:dyDescent="0.3">
      <c r="A98" s="10" t="s">
        <v>96</v>
      </c>
      <c r="B98" s="68" t="s">
        <v>390</v>
      </c>
      <c r="C98" s="8"/>
      <c r="D98" s="71"/>
      <c r="E98" s="72"/>
    </row>
    <row r="99" spans="1:5" s="73" customFormat="1" ht="20.25" hidden="1" customHeight="1" x14ac:dyDescent="0.3">
      <c r="A99" s="10" t="s">
        <v>97</v>
      </c>
      <c r="B99" s="68" t="s">
        <v>393</v>
      </c>
      <c r="C99" s="8"/>
      <c r="D99" s="71"/>
      <c r="E99" s="72"/>
    </row>
    <row r="100" spans="1:5" s="73" customFormat="1" ht="20.25" hidden="1" customHeight="1" x14ac:dyDescent="0.3">
      <c r="A100" s="12" t="s">
        <v>98</v>
      </c>
      <c r="B100" s="68" t="s">
        <v>393</v>
      </c>
      <c r="C100" s="8"/>
      <c r="D100" s="71"/>
      <c r="E100" s="72"/>
    </row>
    <row r="101" spans="1:5" s="73" customFormat="1" ht="20.25" hidden="1" customHeight="1" x14ac:dyDescent="0.3">
      <c r="A101" s="10" t="s">
        <v>99</v>
      </c>
      <c r="B101" s="68" t="s">
        <v>390</v>
      </c>
      <c r="C101" s="17"/>
      <c r="D101" s="71"/>
      <c r="E101" s="72"/>
    </row>
    <row r="102" spans="1:5" s="73" customFormat="1" ht="20.25" hidden="1" customHeight="1" x14ac:dyDescent="0.3">
      <c r="A102" s="12" t="s">
        <v>100</v>
      </c>
      <c r="B102" s="68" t="s">
        <v>393</v>
      </c>
      <c r="C102" s="8"/>
      <c r="D102" s="77"/>
      <c r="E102" s="72"/>
    </row>
    <row r="103" spans="1:5" s="73" customFormat="1" ht="21.75" hidden="1" customHeight="1" x14ac:dyDescent="0.3">
      <c r="A103" s="24" t="s">
        <v>101</v>
      </c>
      <c r="B103" s="68" t="s">
        <v>393</v>
      </c>
      <c r="C103" s="8"/>
      <c r="D103" s="71"/>
      <c r="E103" s="72"/>
    </row>
    <row r="104" spans="1:5" s="73" customFormat="1" ht="20.25" hidden="1" customHeight="1" x14ac:dyDescent="0.3">
      <c r="A104" s="25" t="s">
        <v>102</v>
      </c>
      <c r="B104" s="68" t="s">
        <v>390</v>
      </c>
      <c r="C104" s="8"/>
      <c r="D104" s="71"/>
      <c r="E104" s="72"/>
    </row>
    <row r="105" spans="1:5" s="73" customFormat="1" ht="16.2" customHeight="1" x14ac:dyDescent="0.3">
      <c r="A105" s="26" t="s">
        <v>103</v>
      </c>
      <c r="B105" s="68" t="s">
        <v>390</v>
      </c>
      <c r="C105" s="8">
        <v>350</v>
      </c>
      <c r="D105" s="71">
        <v>7500</v>
      </c>
      <c r="E105" s="72">
        <f>+D105*C105</f>
        <v>2625000</v>
      </c>
    </row>
    <row r="106" spans="1:5" s="73" customFormat="1" ht="20.25" hidden="1" customHeight="1" x14ac:dyDescent="0.3">
      <c r="A106" s="18" t="s">
        <v>104</v>
      </c>
      <c r="B106" s="68" t="s">
        <v>391</v>
      </c>
      <c r="C106" s="8"/>
      <c r="D106" s="71"/>
      <c r="E106" s="72"/>
    </row>
    <row r="107" spans="1:5" s="73" customFormat="1" ht="20.25" hidden="1" customHeight="1" x14ac:dyDescent="0.3">
      <c r="A107" s="10" t="s">
        <v>105</v>
      </c>
      <c r="B107" s="68" t="s">
        <v>390</v>
      </c>
      <c r="C107" s="8"/>
      <c r="D107" s="71"/>
      <c r="E107" s="72"/>
    </row>
    <row r="108" spans="1:5" s="73" customFormat="1" ht="20.25" hidden="1" customHeight="1" x14ac:dyDescent="0.3">
      <c r="A108" s="10" t="s">
        <v>106</v>
      </c>
      <c r="B108" s="68" t="s">
        <v>391</v>
      </c>
      <c r="C108" s="8"/>
      <c r="D108" s="71"/>
      <c r="E108" s="72"/>
    </row>
    <row r="109" spans="1:5" s="73" customFormat="1" ht="21.75" hidden="1" customHeight="1" x14ac:dyDescent="0.3">
      <c r="A109" s="12" t="s">
        <v>107</v>
      </c>
      <c r="B109" s="68" t="s">
        <v>390</v>
      </c>
      <c r="C109" s="8"/>
      <c r="D109" s="71"/>
      <c r="E109" s="72"/>
    </row>
    <row r="110" spans="1:5" s="73" customFormat="1" ht="21.75" hidden="1" customHeight="1" x14ac:dyDescent="0.3">
      <c r="A110" s="27" t="s">
        <v>108</v>
      </c>
      <c r="B110" s="68" t="s">
        <v>399</v>
      </c>
      <c r="C110" s="8"/>
      <c r="D110" s="71"/>
      <c r="E110" s="72"/>
    </row>
    <row r="111" spans="1:5" s="73" customFormat="1" ht="21.75" hidden="1" customHeight="1" x14ac:dyDescent="0.3">
      <c r="A111" s="10" t="s">
        <v>109</v>
      </c>
      <c r="B111" s="68" t="s">
        <v>390</v>
      </c>
      <c r="C111" s="8"/>
      <c r="D111" s="71"/>
      <c r="E111" s="72"/>
    </row>
    <row r="112" spans="1:5" s="73" customFormat="1" ht="16.2" customHeight="1" x14ac:dyDescent="0.3">
      <c r="A112" s="10" t="s">
        <v>110</v>
      </c>
      <c r="B112" s="68" t="s">
        <v>390</v>
      </c>
      <c r="C112" s="8">
        <v>30</v>
      </c>
      <c r="D112" s="71">
        <v>19000</v>
      </c>
      <c r="E112" s="72">
        <f>+D112*C112</f>
        <v>570000</v>
      </c>
    </row>
    <row r="113" spans="1:5" s="73" customFormat="1" ht="21.75" hidden="1" customHeight="1" x14ac:dyDescent="0.3">
      <c r="A113" s="10" t="s">
        <v>111</v>
      </c>
      <c r="B113" s="68" t="s">
        <v>390</v>
      </c>
      <c r="C113" s="8"/>
      <c r="D113" s="71"/>
      <c r="E113" s="72"/>
    </row>
    <row r="114" spans="1:5" s="73" customFormat="1" ht="21.75" hidden="1" customHeight="1" x14ac:dyDescent="0.3">
      <c r="A114" s="10" t="s">
        <v>112</v>
      </c>
      <c r="B114" s="68" t="s">
        <v>395</v>
      </c>
      <c r="C114" s="8"/>
      <c r="D114" s="71"/>
      <c r="E114" s="72"/>
    </row>
    <row r="115" spans="1:5" s="73" customFormat="1" ht="21.75" hidden="1" customHeight="1" x14ac:dyDescent="0.3">
      <c r="A115" s="10" t="s">
        <v>113</v>
      </c>
      <c r="B115" s="68" t="s">
        <v>390</v>
      </c>
      <c r="C115" s="8"/>
      <c r="D115" s="71"/>
      <c r="E115" s="72"/>
    </row>
    <row r="116" spans="1:5" s="73" customFormat="1" ht="21.75" hidden="1" customHeight="1" x14ac:dyDescent="0.3">
      <c r="A116" s="10" t="s">
        <v>114</v>
      </c>
      <c r="B116" s="68" t="s">
        <v>390</v>
      </c>
      <c r="C116" s="8"/>
      <c r="D116" s="71"/>
      <c r="E116" s="72"/>
    </row>
    <row r="117" spans="1:5" s="73" customFormat="1" ht="21.75" hidden="1" customHeight="1" x14ac:dyDescent="0.3">
      <c r="A117" s="10" t="s">
        <v>115</v>
      </c>
      <c r="B117" s="68" t="s">
        <v>394</v>
      </c>
      <c r="C117" s="8"/>
      <c r="D117" s="71"/>
      <c r="E117" s="72"/>
    </row>
    <row r="118" spans="1:5" s="73" customFormat="1" ht="21.75" hidden="1" customHeight="1" x14ac:dyDescent="0.3">
      <c r="A118" s="10" t="s">
        <v>116</v>
      </c>
      <c r="B118" s="68" t="s">
        <v>390</v>
      </c>
      <c r="C118" s="8"/>
      <c r="D118" s="71"/>
      <c r="E118" s="72"/>
    </row>
    <row r="119" spans="1:5" s="73" customFormat="1" ht="21.75" hidden="1" customHeight="1" x14ac:dyDescent="0.3">
      <c r="A119" s="12" t="s">
        <v>117</v>
      </c>
      <c r="B119" s="68" t="s">
        <v>390</v>
      </c>
      <c r="C119" s="8"/>
      <c r="D119" s="71"/>
      <c r="E119" s="72"/>
    </row>
    <row r="120" spans="1:5" s="73" customFormat="1" ht="21.75" hidden="1" customHeight="1" x14ac:dyDescent="0.3">
      <c r="A120" s="23" t="s">
        <v>118</v>
      </c>
      <c r="B120" s="68" t="s">
        <v>392</v>
      </c>
      <c r="C120" s="8"/>
      <c r="D120" s="71"/>
      <c r="E120" s="72"/>
    </row>
    <row r="121" spans="1:5" s="73" customFormat="1" ht="20.25" hidden="1" customHeight="1" x14ac:dyDescent="0.3">
      <c r="A121" s="10" t="s">
        <v>119</v>
      </c>
      <c r="B121" s="68" t="s">
        <v>400</v>
      </c>
      <c r="C121" s="8"/>
      <c r="D121" s="71"/>
      <c r="E121" s="72"/>
    </row>
    <row r="122" spans="1:5" s="73" customFormat="1" ht="21.75" hidden="1" customHeight="1" x14ac:dyDescent="0.3">
      <c r="A122" s="12" t="s">
        <v>120</v>
      </c>
      <c r="B122" s="68" t="s">
        <v>400</v>
      </c>
      <c r="C122" s="8"/>
      <c r="D122" s="71"/>
      <c r="E122" s="72"/>
    </row>
    <row r="123" spans="1:5" s="73" customFormat="1" ht="21.75" hidden="1" customHeight="1" x14ac:dyDescent="0.3">
      <c r="A123" s="12" t="s">
        <v>121</v>
      </c>
      <c r="B123" s="68" t="s">
        <v>400</v>
      </c>
      <c r="C123" s="8"/>
      <c r="D123" s="71"/>
      <c r="E123" s="72"/>
    </row>
    <row r="124" spans="1:5" s="73" customFormat="1" ht="48.6" hidden="1" customHeight="1" x14ac:dyDescent="0.3">
      <c r="A124" s="10" t="s">
        <v>122</v>
      </c>
      <c r="B124" s="68" t="s">
        <v>390</v>
      </c>
      <c r="C124" s="8"/>
      <c r="D124" s="71"/>
      <c r="E124" s="72"/>
    </row>
    <row r="125" spans="1:5" s="73" customFormat="1" ht="21.75" hidden="1" customHeight="1" x14ac:dyDescent="0.3">
      <c r="A125" s="10" t="s">
        <v>123</v>
      </c>
      <c r="B125" s="68" t="s">
        <v>394</v>
      </c>
      <c r="C125" s="8"/>
      <c r="D125" s="71"/>
      <c r="E125" s="72"/>
    </row>
    <row r="126" spans="1:5" s="73" customFormat="1" ht="21.75" hidden="1" customHeight="1" x14ac:dyDescent="0.3">
      <c r="A126" s="11" t="s">
        <v>124</v>
      </c>
      <c r="B126" s="68" t="s">
        <v>390</v>
      </c>
      <c r="C126" s="8"/>
      <c r="D126" s="71"/>
      <c r="E126" s="72"/>
    </row>
    <row r="127" spans="1:5" s="73" customFormat="1" ht="20.25" hidden="1" customHeight="1" x14ac:dyDescent="0.3">
      <c r="A127" s="14" t="s">
        <v>125</v>
      </c>
      <c r="B127" s="68" t="s">
        <v>396</v>
      </c>
      <c r="C127" s="8"/>
      <c r="D127" s="71"/>
      <c r="E127" s="72"/>
    </row>
    <row r="128" spans="1:5" s="73" customFormat="1" ht="21.75" hidden="1" customHeight="1" x14ac:dyDescent="0.3">
      <c r="A128" s="13" t="s">
        <v>126</v>
      </c>
      <c r="B128" s="68" t="s">
        <v>396</v>
      </c>
      <c r="C128" s="17"/>
      <c r="D128" s="71"/>
      <c r="E128" s="72"/>
    </row>
    <row r="129" spans="1:5" s="73" customFormat="1" ht="21.75" hidden="1" customHeight="1" x14ac:dyDescent="0.3">
      <c r="A129" s="13" t="s">
        <v>127</v>
      </c>
      <c r="B129" s="68" t="s">
        <v>390</v>
      </c>
      <c r="C129" s="17"/>
      <c r="D129" s="71"/>
      <c r="E129" s="72"/>
    </row>
    <row r="130" spans="1:5" s="73" customFormat="1" ht="20.25" hidden="1" customHeight="1" x14ac:dyDescent="0.3">
      <c r="A130" s="13" t="s">
        <v>128</v>
      </c>
      <c r="B130" s="68" t="s">
        <v>390</v>
      </c>
      <c r="C130" s="17"/>
      <c r="D130" s="71"/>
      <c r="E130" s="72"/>
    </row>
    <row r="131" spans="1:5" s="73" customFormat="1" ht="20.25" hidden="1" customHeight="1" x14ac:dyDescent="0.3">
      <c r="A131" s="13" t="s">
        <v>129</v>
      </c>
      <c r="B131" s="68" t="s">
        <v>390</v>
      </c>
      <c r="C131" s="29"/>
      <c r="D131" s="71"/>
      <c r="E131" s="72"/>
    </row>
    <row r="132" spans="1:5" s="73" customFormat="1" ht="21.75" hidden="1" customHeight="1" x14ac:dyDescent="0.3">
      <c r="A132" s="30" t="s">
        <v>130</v>
      </c>
      <c r="B132" s="68" t="s">
        <v>394</v>
      </c>
      <c r="C132" s="8"/>
      <c r="D132" s="71"/>
      <c r="E132" s="72"/>
    </row>
    <row r="133" spans="1:5" s="73" customFormat="1" ht="20.25" hidden="1" customHeight="1" x14ac:dyDescent="0.3">
      <c r="A133" s="13" t="s">
        <v>131</v>
      </c>
      <c r="B133" s="68" t="s">
        <v>390</v>
      </c>
      <c r="C133" s="17"/>
      <c r="D133" s="71"/>
      <c r="E133" s="72"/>
    </row>
    <row r="134" spans="1:5" s="73" customFormat="1" ht="20.25" hidden="1" customHeight="1" x14ac:dyDescent="0.3">
      <c r="A134" s="10" t="s">
        <v>132</v>
      </c>
      <c r="B134" s="68" t="s">
        <v>390</v>
      </c>
      <c r="C134" s="8"/>
      <c r="D134" s="71"/>
      <c r="E134" s="72"/>
    </row>
    <row r="135" spans="1:5" s="73" customFormat="1" ht="21.75" hidden="1" customHeight="1" x14ac:dyDescent="0.3">
      <c r="A135" s="10" t="s">
        <v>133</v>
      </c>
      <c r="B135" s="68" t="s">
        <v>398</v>
      </c>
      <c r="C135" s="8"/>
      <c r="D135" s="71"/>
      <c r="E135" s="72"/>
    </row>
    <row r="136" spans="1:5" s="73" customFormat="1" ht="36.6" hidden="1" customHeight="1" x14ac:dyDescent="0.3">
      <c r="A136" s="10" t="s">
        <v>134</v>
      </c>
      <c r="B136" s="68" t="s">
        <v>394</v>
      </c>
      <c r="C136" s="8"/>
      <c r="D136" s="71"/>
      <c r="E136" s="72"/>
    </row>
    <row r="137" spans="1:5" s="73" customFormat="1" ht="20.25" hidden="1" customHeight="1" x14ac:dyDescent="0.3">
      <c r="A137" s="10" t="s">
        <v>135</v>
      </c>
      <c r="B137" s="68" t="s">
        <v>390</v>
      </c>
      <c r="C137" s="8"/>
      <c r="D137" s="71"/>
      <c r="E137" s="72"/>
    </row>
    <row r="138" spans="1:5" s="73" customFormat="1" ht="22.8" hidden="1" x14ac:dyDescent="0.3">
      <c r="A138" s="18" t="s">
        <v>136</v>
      </c>
      <c r="B138" s="68" t="s">
        <v>393</v>
      </c>
      <c r="C138" s="8"/>
      <c r="D138" s="71"/>
      <c r="E138" s="72"/>
    </row>
    <row r="139" spans="1:5" s="73" customFormat="1" ht="21.75" hidden="1" customHeight="1" x14ac:dyDescent="0.3">
      <c r="A139" s="13" t="s">
        <v>137</v>
      </c>
      <c r="B139" s="68" t="s">
        <v>390</v>
      </c>
      <c r="C139" s="8"/>
      <c r="D139" s="71"/>
      <c r="E139" s="72"/>
    </row>
    <row r="140" spans="1:5" s="73" customFormat="1" ht="20.25" hidden="1" customHeight="1" x14ac:dyDescent="0.3">
      <c r="A140" s="13" t="s">
        <v>138</v>
      </c>
      <c r="B140" s="68" t="s">
        <v>393</v>
      </c>
      <c r="C140" s="8"/>
      <c r="D140" s="71"/>
      <c r="E140" s="72"/>
    </row>
    <row r="141" spans="1:5" s="73" customFormat="1" ht="20.25" hidden="1" customHeight="1" x14ac:dyDescent="0.3">
      <c r="A141" s="10" t="s">
        <v>139</v>
      </c>
      <c r="B141" s="68" t="s">
        <v>390</v>
      </c>
      <c r="C141" s="8"/>
      <c r="D141" s="71"/>
      <c r="E141" s="72"/>
    </row>
    <row r="142" spans="1:5" s="73" customFormat="1" ht="20.25" hidden="1" customHeight="1" x14ac:dyDescent="0.3">
      <c r="A142" s="10" t="s">
        <v>140</v>
      </c>
      <c r="B142" s="68" t="s">
        <v>390</v>
      </c>
      <c r="C142" s="8"/>
      <c r="D142" s="71"/>
      <c r="E142" s="72"/>
    </row>
    <row r="143" spans="1:5" s="73" customFormat="1" ht="20.25" hidden="1" customHeight="1" x14ac:dyDescent="0.3">
      <c r="A143" s="10" t="s">
        <v>141</v>
      </c>
      <c r="B143" s="68" t="s">
        <v>390</v>
      </c>
      <c r="C143" s="17"/>
      <c r="D143" s="71"/>
      <c r="E143" s="72"/>
    </row>
    <row r="144" spans="1:5" s="73" customFormat="1" ht="41.4" hidden="1" customHeight="1" x14ac:dyDescent="0.3">
      <c r="A144" s="10" t="s">
        <v>142</v>
      </c>
      <c r="B144" s="68" t="s">
        <v>394</v>
      </c>
      <c r="C144" s="17"/>
      <c r="D144" s="71"/>
      <c r="E144" s="72"/>
    </row>
    <row r="145" spans="1:5" s="73" customFormat="1" ht="41.4" hidden="1" customHeight="1" x14ac:dyDescent="0.3">
      <c r="A145" s="10" t="s">
        <v>143</v>
      </c>
      <c r="B145" s="68"/>
      <c r="C145" s="8"/>
      <c r="D145" s="71"/>
      <c r="E145" s="72"/>
    </row>
    <row r="146" spans="1:5" s="73" customFormat="1" ht="21.75" hidden="1" customHeight="1" x14ac:dyDescent="0.3">
      <c r="A146" s="10" t="s">
        <v>144</v>
      </c>
      <c r="B146" s="68" t="s">
        <v>390</v>
      </c>
      <c r="C146" s="17"/>
      <c r="D146" s="71"/>
      <c r="E146" s="72"/>
    </row>
    <row r="147" spans="1:5" s="73" customFormat="1" ht="21.75" hidden="1" customHeight="1" x14ac:dyDescent="0.3">
      <c r="A147" s="10" t="s">
        <v>145</v>
      </c>
      <c r="B147" s="68" t="s">
        <v>394</v>
      </c>
      <c r="C147" s="17"/>
      <c r="D147" s="71"/>
      <c r="E147" s="72"/>
    </row>
    <row r="148" spans="1:5" s="73" customFormat="1" ht="21.75" hidden="1" customHeight="1" x14ac:dyDescent="0.3">
      <c r="A148" s="10" t="s">
        <v>146</v>
      </c>
      <c r="B148" s="68" t="s">
        <v>390</v>
      </c>
      <c r="C148" s="17"/>
      <c r="D148" s="71"/>
      <c r="E148" s="72"/>
    </row>
    <row r="149" spans="1:5" s="73" customFormat="1" ht="21.75" hidden="1" customHeight="1" x14ac:dyDescent="0.3">
      <c r="A149" s="10" t="s">
        <v>147</v>
      </c>
      <c r="B149" s="68" t="s">
        <v>394</v>
      </c>
      <c r="C149" s="17"/>
      <c r="D149" s="71"/>
      <c r="E149" s="72"/>
    </row>
    <row r="150" spans="1:5" s="73" customFormat="1" ht="16.2" customHeight="1" x14ac:dyDescent="0.3">
      <c r="A150" s="10" t="s">
        <v>148</v>
      </c>
      <c r="B150" s="68" t="s">
        <v>390</v>
      </c>
      <c r="C150" s="17">
        <v>0.9</v>
      </c>
      <c r="D150" s="71">
        <v>60000</v>
      </c>
      <c r="E150" s="72">
        <f>+D150*C150</f>
        <v>54000</v>
      </c>
    </row>
    <row r="151" spans="1:5" s="73" customFormat="1" ht="20.25" hidden="1" customHeight="1" x14ac:dyDescent="0.3">
      <c r="A151" s="10" t="s">
        <v>149</v>
      </c>
      <c r="B151" s="68" t="s">
        <v>390</v>
      </c>
      <c r="C151" s="17"/>
      <c r="D151" s="71"/>
      <c r="E151" s="72"/>
    </row>
    <row r="152" spans="1:5" s="73" customFormat="1" ht="21.75" hidden="1" customHeight="1" x14ac:dyDescent="0.3">
      <c r="A152" s="10" t="s">
        <v>150</v>
      </c>
      <c r="B152" s="68" t="s">
        <v>390</v>
      </c>
      <c r="C152" s="17"/>
      <c r="D152" s="71"/>
      <c r="E152" s="72"/>
    </row>
    <row r="153" spans="1:5" s="73" customFormat="1" ht="20.25" hidden="1" customHeight="1" x14ac:dyDescent="0.3">
      <c r="A153" s="10" t="s">
        <v>151</v>
      </c>
      <c r="B153" s="68" t="s">
        <v>394</v>
      </c>
      <c r="C153" s="17"/>
      <c r="D153" s="71"/>
      <c r="E153" s="72"/>
    </row>
    <row r="154" spans="1:5" s="73" customFormat="1" ht="22.8" hidden="1" x14ac:dyDescent="0.3">
      <c r="A154" s="10" t="s">
        <v>152</v>
      </c>
      <c r="B154" s="68" t="s">
        <v>390</v>
      </c>
      <c r="C154" s="8"/>
      <c r="D154" s="71"/>
      <c r="E154" s="72"/>
    </row>
    <row r="155" spans="1:5" s="73" customFormat="1" ht="21.75" hidden="1" customHeight="1" x14ac:dyDescent="0.3">
      <c r="A155" s="10" t="s">
        <v>153</v>
      </c>
      <c r="B155" s="68" t="s">
        <v>390</v>
      </c>
      <c r="C155" s="8"/>
      <c r="D155" s="71"/>
      <c r="E155" s="72"/>
    </row>
    <row r="156" spans="1:5" s="73" customFormat="1" ht="63" hidden="1" customHeight="1" x14ac:dyDescent="0.3">
      <c r="A156" s="10" t="s">
        <v>154</v>
      </c>
      <c r="B156" s="68" t="s">
        <v>393</v>
      </c>
      <c r="C156" s="8"/>
      <c r="D156" s="71"/>
      <c r="E156" s="72"/>
    </row>
    <row r="157" spans="1:5" s="73" customFormat="1" ht="57" hidden="1" customHeight="1" x14ac:dyDescent="0.3">
      <c r="A157" s="10" t="s">
        <v>155</v>
      </c>
      <c r="B157" s="68" t="s">
        <v>393</v>
      </c>
      <c r="C157" s="8"/>
      <c r="D157" s="71"/>
      <c r="E157" s="72"/>
    </row>
    <row r="158" spans="1:5" s="73" customFormat="1" ht="21.75" hidden="1" customHeight="1" x14ac:dyDescent="0.3">
      <c r="A158" s="18" t="s">
        <v>156</v>
      </c>
      <c r="B158" s="68" t="s">
        <v>393</v>
      </c>
      <c r="C158" s="8"/>
      <c r="D158" s="71"/>
      <c r="E158" s="72"/>
    </row>
    <row r="159" spans="1:5" s="73" customFormat="1" ht="21.75" hidden="1" customHeight="1" x14ac:dyDescent="0.3">
      <c r="A159" s="31" t="s">
        <v>157</v>
      </c>
      <c r="B159" s="68" t="s">
        <v>390</v>
      </c>
      <c r="C159" s="8"/>
      <c r="D159" s="71"/>
      <c r="E159" s="72"/>
    </row>
    <row r="160" spans="1:5" s="73" customFormat="1" ht="20.25" hidden="1" customHeight="1" x14ac:dyDescent="0.3">
      <c r="A160" s="10" t="s">
        <v>158</v>
      </c>
      <c r="B160" s="68" t="s">
        <v>390</v>
      </c>
      <c r="C160" s="8"/>
      <c r="D160" s="71"/>
      <c r="E160" s="72"/>
    </row>
    <row r="161" spans="1:5" s="73" customFormat="1" ht="21.75" hidden="1" customHeight="1" x14ac:dyDescent="0.3">
      <c r="A161" s="10" t="s">
        <v>159</v>
      </c>
      <c r="B161" s="68" t="s">
        <v>393</v>
      </c>
      <c r="C161" s="8"/>
      <c r="D161" s="71"/>
      <c r="E161" s="72"/>
    </row>
    <row r="162" spans="1:5" s="73" customFormat="1" ht="21.75" hidden="1" customHeight="1" x14ac:dyDescent="0.3">
      <c r="A162" s="10" t="s">
        <v>160</v>
      </c>
      <c r="B162" s="68" t="s">
        <v>393</v>
      </c>
      <c r="C162" s="8"/>
      <c r="D162" s="71"/>
      <c r="E162" s="72"/>
    </row>
    <row r="163" spans="1:5" s="73" customFormat="1" ht="21.75" hidden="1" customHeight="1" x14ac:dyDescent="0.3">
      <c r="A163" s="10" t="s">
        <v>161</v>
      </c>
      <c r="B163" s="68" t="s">
        <v>393</v>
      </c>
      <c r="C163" s="17"/>
      <c r="D163" s="71"/>
      <c r="E163" s="72"/>
    </row>
    <row r="164" spans="1:5" s="73" customFormat="1" ht="54" hidden="1" customHeight="1" x14ac:dyDescent="0.3">
      <c r="A164" s="10" t="s">
        <v>162</v>
      </c>
      <c r="B164" s="68" t="s">
        <v>390</v>
      </c>
      <c r="C164" s="17"/>
      <c r="D164" s="71"/>
      <c r="E164" s="72"/>
    </row>
    <row r="165" spans="1:5" s="81" customFormat="1" ht="22.8" hidden="1" x14ac:dyDescent="0.3">
      <c r="A165" s="10" t="s">
        <v>163</v>
      </c>
      <c r="B165" s="68" t="s">
        <v>394</v>
      </c>
      <c r="C165" s="17"/>
      <c r="D165" s="71"/>
      <c r="E165" s="72"/>
    </row>
    <row r="166" spans="1:5" s="73" customFormat="1" ht="41.4" hidden="1" customHeight="1" x14ac:dyDescent="0.3">
      <c r="A166" s="10" t="s">
        <v>164</v>
      </c>
      <c r="B166" s="68" t="s">
        <v>394</v>
      </c>
      <c r="C166" s="8"/>
      <c r="D166" s="71"/>
      <c r="E166" s="72"/>
    </row>
    <row r="167" spans="1:5" s="73" customFormat="1" ht="20.25" hidden="1" customHeight="1" x14ac:dyDescent="0.3">
      <c r="A167" s="10" t="s">
        <v>165</v>
      </c>
      <c r="B167" s="68" t="s">
        <v>390</v>
      </c>
      <c r="C167" s="8"/>
      <c r="D167" s="71"/>
      <c r="E167" s="72"/>
    </row>
    <row r="168" spans="1:5" s="73" customFormat="1" ht="33.6" hidden="1" customHeight="1" x14ac:dyDescent="0.3">
      <c r="A168" s="18" t="s">
        <v>166</v>
      </c>
      <c r="B168" s="68" t="s">
        <v>394</v>
      </c>
      <c r="C168" s="8"/>
      <c r="D168" s="71"/>
      <c r="E168" s="72"/>
    </row>
    <row r="169" spans="1:5" s="73" customFormat="1" ht="20.25" hidden="1" customHeight="1" x14ac:dyDescent="0.3">
      <c r="A169" s="13" t="s">
        <v>167</v>
      </c>
      <c r="B169" s="68" t="s">
        <v>390</v>
      </c>
      <c r="C169" s="8"/>
      <c r="D169" s="71"/>
      <c r="E169" s="72"/>
    </row>
    <row r="170" spans="1:5" s="73" customFormat="1" ht="22.8" hidden="1" x14ac:dyDescent="0.3">
      <c r="A170" s="10" t="s">
        <v>168</v>
      </c>
      <c r="B170" s="68" t="s">
        <v>394</v>
      </c>
      <c r="C170" s="8"/>
      <c r="D170" s="101"/>
      <c r="E170" s="72"/>
    </row>
    <row r="171" spans="1:5" s="73" customFormat="1" ht="21.75" hidden="1" customHeight="1" x14ac:dyDescent="0.3">
      <c r="A171" s="33" t="s">
        <v>169</v>
      </c>
      <c r="B171" s="68" t="s">
        <v>394</v>
      </c>
      <c r="C171" s="8"/>
      <c r="D171" s="77"/>
      <c r="E171" s="72"/>
    </row>
    <row r="172" spans="1:5" s="73" customFormat="1" ht="16.2" customHeight="1" x14ac:dyDescent="0.3">
      <c r="A172" s="10" t="s">
        <v>170</v>
      </c>
      <c r="B172" s="68" t="s">
        <v>390</v>
      </c>
      <c r="C172" s="8">
        <v>5.5</v>
      </c>
      <c r="D172" s="71">
        <v>18000</v>
      </c>
      <c r="E172" s="72">
        <f>+D172*C172</f>
        <v>99000</v>
      </c>
    </row>
    <row r="173" spans="1:5" s="73" customFormat="1" ht="21.75" hidden="1" customHeight="1" x14ac:dyDescent="0.3">
      <c r="A173" s="10" t="s">
        <v>171</v>
      </c>
      <c r="B173" s="68" t="s">
        <v>390</v>
      </c>
      <c r="C173" s="8"/>
      <c r="D173" s="71"/>
      <c r="E173" s="72"/>
    </row>
    <row r="174" spans="1:5" s="73" customFormat="1" ht="20.25" hidden="1" customHeight="1" x14ac:dyDescent="0.3">
      <c r="A174" s="22" t="s">
        <v>172</v>
      </c>
      <c r="B174" s="68" t="s">
        <v>390</v>
      </c>
      <c r="C174" s="8"/>
      <c r="D174" s="71"/>
      <c r="E174" s="72"/>
    </row>
    <row r="175" spans="1:5" s="73" customFormat="1" ht="21.75" hidden="1" customHeight="1" x14ac:dyDescent="0.3">
      <c r="A175" s="10" t="s">
        <v>173</v>
      </c>
      <c r="B175" s="68" t="s">
        <v>393</v>
      </c>
      <c r="C175" s="8"/>
      <c r="D175" s="71"/>
      <c r="E175" s="72"/>
    </row>
    <row r="176" spans="1:5" s="73" customFormat="1" ht="20.25" hidden="1" customHeight="1" x14ac:dyDescent="0.3">
      <c r="A176" s="34" t="s">
        <v>174</v>
      </c>
      <c r="B176" s="82" t="s">
        <v>390</v>
      </c>
      <c r="C176" s="36"/>
      <c r="D176" s="71"/>
      <c r="E176" s="72"/>
    </row>
    <row r="177" spans="1:5" s="73" customFormat="1" ht="21.75" hidden="1" customHeight="1" x14ac:dyDescent="0.3">
      <c r="A177" s="12" t="s">
        <v>175</v>
      </c>
      <c r="B177" s="68" t="s">
        <v>390</v>
      </c>
      <c r="C177" s="8"/>
      <c r="D177" s="71"/>
      <c r="E177" s="72"/>
    </row>
    <row r="178" spans="1:5" s="73" customFormat="1" ht="16.2" customHeight="1" x14ac:dyDescent="0.3">
      <c r="A178" s="10" t="s">
        <v>176</v>
      </c>
      <c r="B178" s="68" t="s">
        <v>390</v>
      </c>
      <c r="C178" s="8">
        <v>1</v>
      </c>
      <c r="D178" s="71">
        <v>48000</v>
      </c>
      <c r="E178" s="72">
        <f>+D178*C178</f>
        <v>48000</v>
      </c>
    </row>
    <row r="179" spans="1:5" s="73" customFormat="1" ht="21.75" hidden="1" customHeight="1" x14ac:dyDescent="0.3">
      <c r="A179" s="10" t="s">
        <v>177</v>
      </c>
      <c r="B179" s="68" t="s">
        <v>390</v>
      </c>
      <c r="C179" s="8"/>
      <c r="D179" s="71"/>
      <c r="E179" s="72"/>
    </row>
    <row r="180" spans="1:5" s="73" customFormat="1" ht="20.25" hidden="1" customHeight="1" x14ac:dyDescent="0.3">
      <c r="A180" s="13" t="s">
        <v>178</v>
      </c>
      <c r="B180" s="68" t="s">
        <v>390</v>
      </c>
      <c r="C180" s="8"/>
      <c r="D180" s="71"/>
      <c r="E180" s="72"/>
    </row>
    <row r="181" spans="1:5" s="73" customFormat="1" ht="21.75" hidden="1" customHeight="1" x14ac:dyDescent="0.3">
      <c r="A181" s="10" t="s">
        <v>179</v>
      </c>
      <c r="B181" s="68" t="s">
        <v>390</v>
      </c>
      <c r="C181" s="8"/>
      <c r="D181" s="71"/>
      <c r="E181" s="72"/>
    </row>
    <row r="182" spans="1:5" s="73" customFormat="1" ht="21.75" hidden="1" customHeight="1" x14ac:dyDescent="0.3">
      <c r="A182" s="10" t="s">
        <v>180</v>
      </c>
      <c r="B182" s="68" t="s">
        <v>390</v>
      </c>
      <c r="C182" s="8"/>
      <c r="D182" s="71"/>
      <c r="E182" s="72"/>
    </row>
    <row r="183" spans="1:5" s="73" customFormat="1" ht="20.25" hidden="1" customHeight="1" x14ac:dyDescent="0.3">
      <c r="A183" s="13" t="s">
        <v>181</v>
      </c>
      <c r="B183" s="68" t="s">
        <v>390</v>
      </c>
      <c r="C183" s="8"/>
      <c r="D183" s="71"/>
      <c r="E183" s="72"/>
    </row>
    <row r="184" spans="1:5" s="73" customFormat="1" ht="20.25" hidden="1" customHeight="1" x14ac:dyDescent="0.3">
      <c r="A184" s="13" t="s">
        <v>182</v>
      </c>
      <c r="B184" s="68" t="s">
        <v>390</v>
      </c>
      <c r="C184" s="8"/>
      <c r="D184" s="71"/>
      <c r="E184" s="72"/>
    </row>
    <row r="185" spans="1:5" s="73" customFormat="1" ht="16.2" customHeight="1" x14ac:dyDescent="0.3">
      <c r="A185" s="13" t="s">
        <v>183</v>
      </c>
      <c r="B185" s="68" t="s">
        <v>390</v>
      </c>
      <c r="C185" s="8">
        <v>150</v>
      </c>
      <c r="D185" s="71">
        <v>6000</v>
      </c>
      <c r="E185" s="72">
        <f>+D185*C185</f>
        <v>900000</v>
      </c>
    </row>
    <row r="186" spans="1:5" s="73" customFormat="1" ht="20.25" hidden="1" customHeight="1" x14ac:dyDescent="0.3">
      <c r="A186" s="10" t="s">
        <v>184</v>
      </c>
      <c r="B186" s="68" t="s">
        <v>393</v>
      </c>
      <c r="C186" s="8"/>
      <c r="D186" s="71"/>
      <c r="E186" s="72"/>
    </row>
    <row r="187" spans="1:5" s="73" customFormat="1" ht="20.25" hidden="1" customHeight="1" x14ac:dyDescent="0.3">
      <c r="A187" s="13" t="s">
        <v>185</v>
      </c>
      <c r="B187" s="68" t="s">
        <v>390</v>
      </c>
      <c r="C187" s="8"/>
      <c r="D187" s="71"/>
      <c r="E187" s="72"/>
    </row>
    <row r="188" spans="1:5" s="73" customFormat="1" ht="16.2" customHeight="1" x14ac:dyDescent="0.3">
      <c r="A188" s="13" t="s">
        <v>186</v>
      </c>
      <c r="B188" s="68" t="s">
        <v>390</v>
      </c>
      <c r="C188" s="8">
        <v>10</v>
      </c>
      <c r="D188" s="71">
        <v>20000</v>
      </c>
      <c r="E188" s="72">
        <f>+D188*C188</f>
        <v>200000</v>
      </c>
    </row>
    <row r="189" spans="1:5" s="73" customFormat="1" ht="21.75" hidden="1" customHeight="1" x14ac:dyDescent="0.3">
      <c r="A189" s="13" t="s">
        <v>187</v>
      </c>
      <c r="B189" s="68" t="s">
        <v>393</v>
      </c>
      <c r="C189" s="8"/>
      <c r="D189" s="71"/>
      <c r="E189" s="72"/>
    </row>
    <row r="190" spans="1:5" s="73" customFormat="1" ht="21.75" hidden="1" customHeight="1" x14ac:dyDescent="0.3">
      <c r="A190" s="10" t="s">
        <v>188</v>
      </c>
      <c r="B190" s="68" t="s">
        <v>393</v>
      </c>
      <c r="C190" s="8"/>
      <c r="D190" s="71"/>
      <c r="E190" s="72"/>
    </row>
    <row r="191" spans="1:5" s="73" customFormat="1" ht="21.75" hidden="1" customHeight="1" x14ac:dyDescent="0.3">
      <c r="A191" s="18" t="s">
        <v>189</v>
      </c>
      <c r="B191" s="68" t="s">
        <v>390</v>
      </c>
      <c r="C191" s="8"/>
      <c r="D191" s="71"/>
      <c r="E191" s="72"/>
    </row>
    <row r="192" spans="1:5" s="73" customFormat="1" ht="20.25" hidden="1" customHeight="1" x14ac:dyDescent="0.3">
      <c r="A192" s="18" t="s">
        <v>190</v>
      </c>
      <c r="B192" s="68" t="s">
        <v>390</v>
      </c>
      <c r="C192" s="8"/>
      <c r="D192" s="71"/>
      <c r="E192" s="72"/>
    </row>
    <row r="193" spans="1:5" s="73" customFormat="1" ht="20.25" hidden="1" customHeight="1" x14ac:dyDescent="0.3">
      <c r="A193" s="18" t="s">
        <v>191</v>
      </c>
      <c r="B193" s="68" t="s">
        <v>390</v>
      </c>
      <c r="C193" s="8"/>
      <c r="D193" s="71"/>
      <c r="E193" s="72"/>
    </row>
    <row r="194" spans="1:5" s="73" customFormat="1" ht="20.25" hidden="1" customHeight="1" x14ac:dyDescent="0.3">
      <c r="A194" s="18" t="s">
        <v>192</v>
      </c>
      <c r="B194" s="68" t="s">
        <v>393</v>
      </c>
      <c r="C194" s="8"/>
      <c r="D194" s="71"/>
      <c r="E194" s="72"/>
    </row>
    <row r="195" spans="1:5" s="73" customFormat="1" ht="20.25" hidden="1" customHeight="1" x14ac:dyDescent="0.3">
      <c r="A195" s="13" t="s">
        <v>193</v>
      </c>
      <c r="B195" s="68" t="s">
        <v>390</v>
      </c>
      <c r="C195" s="8"/>
      <c r="D195" s="71"/>
      <c r="E195" s="72"/>
    </row>
    <row r="196" spans="1:5" s="73" customFormat="1" ht="21.75" hidden="1" customHeight="1" x14ac:dyDescent="0.3">
      <c r="A196" s="10" t="s">
        <v>194</v>
      </c>
      <c r="B196" s="68" t="s">
        <v>393</v>
      </c>
      <c r="C196" s="8"/>
      <c r="D196" s="71"/>
      <c r="E196" s="72"/>
    </row>
    <row r="197" spans="1:5" s="73" customFormat="1" ht="21.75" hidden="1" customHeight="1" x14ac:dyDescent="0.3">
      <c r="A197" s="37" t="s">
        <v>195</v>
      </c>
      <c r="B197" s="68" t="s">
        <v>393</v>
      </c>
      <c r="C197" s="8"/>
      <c r="D197" s="71"/>
      <c r="E197" s="72"/>
    </row>
    <row r="198" spans="1:5" s="73" customFormat="1" ht="21.75" hidden="1" customHeight="1" x14ac:dyDescent="0.3">
      <c r="A198" s="37" t="s">
        <v>196</v>
      </c>
      <c r="B198" s="68" t="s">
        <v>393</v>
      </c>
      <c r="C198" s="8"/>
      <c r="D198" s="71"/>
      <c r="E198" s="72"/>
    </row>
    <row r="199" spans="1:5" s="73" customFormat="1" ht="22.8" hidden="1" x14ac:dyDescent="0.3">
      <c r="A199" s="37" t="s">
        <v>197</v>
      </c>
      <c r="B199" s="68" t="s">
        <v>393</v>
      </c>
      <c r="C199" s="8"/>
      <c r="D199" s="71"/>
      <c r="E199" s="72"/>
    </row>
    <row r="200" spans="1:5" s="73" customFormat="1" ht="21.75" hidden="1" customHeight="1" x14ac:dyDescent="0.3">
      <c r="A200" s="37" t="s">
        <v>198</v>
      </c>
      <c r="B200" s="68" t="s">
        <v>393</v>
      </c>
      <c r="C200" s="8"/>
      <c r="D200" s="71"/>
      <c r="E200" s="72"/>
    </row>
    <row r="201" spans="1:5" s="73" customFormat="1" ht="22.8" hidden="1" x14ac:dyDescent="0.3">
      <c r="A201" s="10" t="s">
        <v>199</v>
      </c>
      <c r="B201" s="68" t="s">
        <v>390</v>
      </c>
      <c r="C201" s="8"/>
      <c r="D201" s="71"/>
      <c r="E201" s="72"/>
    </row>
    <row r="202" spans="1:5" s="73" customFormat="1" ht="20.25" hidden="1" customHeight="1" x14ac:dyDescent="0.3">
      <c r="A202" s="38" t="s">
        <v>200</v>
      </c>
      <c r="B202" s="68" t="s">
        <v>394</v>
      </c>
      <c r="C202" s="8"/>
      <c r="D202" s="71"/>
      <c r="E202" s="72"/>
    </row>
    <row r="203" spans="1:5" s="73" customFormat="1" ht="16.2" customHeight="1" x14ac:dyDescent="0.3">
      <c r="A203" s="10" t="s">
        <v>201</v>
      </c>
      <c r="B203" s="68" t="s">
        <v>390</v>
      </c>
      <c r="C203" s="8">
        <v>260</v>
      </c>
      <c r="D203" s="71">
        <v>19000</v>
      </c>
      <c r="E203" s="72">
        <f t="shared" ref="E203:E204" si="0">+D203*C203</f>
        <v>4940000</v>
      </c>
    </row>
    <row r="204" spans="1:5" s="73" customFormat="1" ht="16.2" customHeight="1" x14ac:dyDescent="0.3">
      <c r="A204" s="13" t="s">
        <v>202</v>
      </c>
      <c r="B204" s="68" t="s">
        <v>390</v>
      </c>
      <c r="C204" s="8">
        <v>480</v>
      </c>
      <c r="D204" s="71">
        <v>19000</v>
      </c>
      <c r="E204" s="72">
        <f t="shared" si="0"/>
        <v>9120000</v>
      </c>
    </row>
    <row r="205" spans="1:5" s="73" customFormat="1" ht="21.75" hidden="1" customHeight="1" x14ac:dyDescent="0.3">
      <c r="A205" s="10" t="s">
        <v>203</v>
      </c>
      <c r="B205" s="68" t="s">
        <v>393</v>
      </c>
      <c r="C205" s="8"/>
      <c r="D205" s="88"/>
      <c r="E205" s="72"/>
    </row>
    <row r="206" spans="1:5" s="73" customFormat="1" ht="21.75" hidden="1" customHeight="1" x14ac:dyDescent="0.3">
      <c r="A206" s="10" t="s">
        <v>204</v>
      </c>
      <c r="B206" s="68" t="s">
        <v>390</v>
      </c>
      <c r="C206" s="8"/>
      <c r="D206" s="71"/>
      <c r="E206" s="85"/>
    </row>
    <row r="207" spans="1:5" s="73" customFormat="1" ht="21.6" hidden="1" customHeight="1" x14ac:dyDescent="0.3">
      <c r="A207" s="39" t="s">
        <v>205</v>
      </c>
      <c r="B207" s="68" t="s">
        <v>393</v>
      </c>
      <c r="C207" s="8"/>
      <c r="D207" s="88"/>
      <c r="E207" s="72"/>
    </row>
    <row r="208" spans="1:5" s="73" customFormat="1" ht="36" hidden="1" customHeight="1" x14ac:dyDescent="0.3">
      <c r="A208" s="39" t="s">
        <v>206</v>
      </c>
      <c r="B208" s="68" t="s">
        <v>393</v>
      </c>
      <c r="C208" s="8"/>
      <c r="D208" s="88"/>
      <c r="E208" s="72"/>
    </row>
    <row r="209" spans="1:5" s="73" customFormat="1" ht="20.25" hidden="1" customHeight="1" x14ac:dyDescent="0.3">
      <c r="A209" s="10" t="s">
        <v>207</v>
      </c>
      <c r="B209" s="68" t="s">
        <v>390</v>
      </c>
      <c r="C209" s="8"/>
      <c r="D209" s="71"/>
      <c r="E209" s="72"/>
    </row>
    <row r="210" spans="1:5" s="73" customFormat="1" ht="16.2" customHeight="1" x14ac:dyDescent="0.3">
      <c r="A210" s="12" t="s">
        <v>208</v>
      </c>
      <c r="B210" s="68" t="s">
        <v>390</v>
      </c>
      <c r="C210" s="8">
        <v>6</v>
      </c>
      <c r="D210" s="71">
        <v>35000</v>
      </c>
      <c r="E210" s="72">
        <f>+D210*C210</f>
        <v>210000</v>
      </c>
    </row>
    <row r="211" spans="1:5" s="73" customFormat="1" ht="21.75" hidden="1" customHeight="1" x14ac:dyDescent="0.3">
      <c r="A211" s="10" t="s">
        <v>209</v>
      </c>
      <c r="B211" s="68" t="s">
        <v>390</v>
      </c>
      <c r="C211" s="8"/>
      <c r="D211" s="71"/>
      <c r="E211" s="72"/>
    </row>
    <row r="212" spans="1:5" s="73" customFormat="1" ht="16.2" customHeight="1" x14ac:dyDescent="0.3">
      <c r="A212" s="10" t="s">
        <v>210</v>
      </c>
      <c r="B212" s="68" t="s">
        <v>390</v>
      </c>
      <c r="C212" s="8">
        <v>25</v>
      </c>
      <c r="D212" s="71">
        <v>12000</v>
      </c>
      <c r="E212" s="72">
        <f>+D212*C212</f>
        <v>300000</v>
      </c>
    </row>
    <row r="213" spans="1:5" s="73" customFormat="1" ht="21.75" hidden="1" customHeight="1" x14ac:dyDescent="0.3">
      <c r="A213" s="10" t="s">
        <v>211</v>
      </c>
      <c r="B213" s="68" t="s">
        <v>393</v>
      </c>
      <c r="C213" s="8"/>
      <c r="D213" s="71"/>
      <c r="E213" s="72"/>
    </row>
    <row r="214" spans="1:5" s="73" customFormat="1" ht="21.75" hidden="1" customHeight="1" x14ac:dyDescent="0.3">
      <c r="A214" s="10" t="s">
        <v>212</v>
      </c>
      <c r="B214" s="68" t="s">
        <v>390</v>
      </c>
      <c r="C214" s="8"/>
      <c r="D214" s="71"/>
      <c r="E214" s="72"/>
    </row>
    <row r="215" spans="1:5" s="73" customFormat="1" ht="21.75" hidden="1" customHeight="1" x14ac:dyDescent="0.3">
      <c r="A215" s="40" t="s">
        <v>213</v>
      </c>
      <c r="B215" s="68" t="s">
        <v>393</v>
      </c>
      <c r="C215" s="8"/>
      <c r="D215" s="71"/>
      <c r="E215" s="72"/>
    </row>
    <row r="216" spans="1:5" s="73" customFormat="1" ht="21.75" hidden="1" customHeight="1" x14ac:dyDescent="0.3">
      <c r="A216" s="10" t="s">
        <v>214</v>
      </c>
      <c r="B216" s="68" t="s">
        <v>390</v>
      </c>
      <c r="C216" s="8"/>
      <c r="D216" s="71"/>
      <c r="E216" s="72"/>
    </row>
    <row r="217" spans="1:5" s="73" customFormat="1" ht="21.75" hidden="1" customHeight="1" x14ac:dyDescent="0.3">
      <c r="A217" s="10" t="s">
        <v>215</v>
      </c>
      <c r="B217" s="68" t="s">
        <v>390</v>
      </c>
      <c r="C217" s="8"/>
      <c r="D217" s="71"/>
      <c r="E217" s="72"/>
    </row>
    <row r="218" spans="1:5" s="73" customFormat="1" ht="21.75" hidden="1" customHeight="1" x14ac:dyDescent="0.3">
      <c r="A218" s="10" t="s">
        <v>216</v>
      </c>
      <c r="B218" s="68" t="s">
        <v>393</v>
      </c>
      <c r="C218" s="8"/>
      <c r="D218" s="71"/>
      <c r="E218" s="72"/>
    </row>
    <row r="219" spans="1:5" s="73" customFormat="1" ht="21.75" hidden="1" customHeight="1" x14ac:dyDescent="0.3">
      <c r="A219" s="10" t="s">
        <v>217</v>
      </c>
      <c r="B219" s="68" t="s">
        <v>393</v>
      </c>
      <c r="C219" s="8"/>
      <c r="D219" s="71"/>
      <c r="E219" s="72"/>
    </row>
    <row r="220" spans="1:5" s="73" customFormat="1" ht="21.75" hidden="1" customHeight="1" x14ac:dyDescent="0.3">
      <c r="A220" s="18" t="s">
        <v>218</v>
      </c>
      <c r="B220" s="68" t="s">
        <v>390</v>
      </c>
      <c r="C220" s="8"/>
      <c r="D220" s="71"/>
      <c r="E220" s="72"/>
    </row>
    <row r="221" spans="1:5" s="73" customFormat="1" ht="20.25" hidden="1" customHeight="1" x14ac:dyDescent="0.3">
      <c r="A221" s="18" t="s">
        <v>219</v>
      </c>
      <c r="B221" s="68" t="s">
        <v>393</v>
      </c>
      <c r="C221" s="8"/>
      <c r="D221" s="71"/>
      <c r="E221" s="72"/>
    </row>
    <row r="222" spans="1:5" s="73" customFormat="1" ht="20.25" hidden="1" customHeight="1" x14ac:dyDescent="0.3">
      <c r="A222" s="18" t="s">
        <v>220</v>
      </c>
      <c r="B222" s="68" t="s">
        <v>390</v>
      </c>
      <c r="C222" s="8"/>
      <c r="D222" s="71"/>
      <c r="E222" s="72"/>
    </row>
    <row r="223" spans="1:5" s="73" customFormat="1" ht="21.75" hidden="1" customHeight="1" x14ac:dyDescent="0.3">
      <c r="A223" s="18" t="s">
        <v>221</v>
      </c>
      <c r="B223" s="68" t="s">
        <v>393</v>
      </c>
      <c r="C223" s="8"/>
      <c r="D223" s="71"/>
      <c r="E223" s="72"/>
    </row>
    <row r="224" spans="1:5" s="73" customFormat="1" ht="20.25" hidden="1" customHeight="1" x14ac:dyDescent="0.3">
      <c r="A224" s="10" t="s">
        <v>222</v>
      </c>
      <c r="B224" s="68" t="s">
        <v>390</v>
      </c>
      <c r="C224" s="8"/>
      <c r="D224" s="71"/>
      <c r="E224" s="72"/>
    </row>
    <row r="225" spans="1:5" s="73" customFormat="1" ht="40.200000000000003" hidden="1" customHeight="1" x14ac:dyDescent="0.3">
      <c r="A225" s="10" t="s">
        <v>223</v>
      </c>
      <c r="B225" s="68" t="s">
        <v>390</v>
      </c>
      <c r="C225" s="8"/>
      <c r="D225" s="71"/>
      <c r="E225" s="72"/>
    </row>
    <row r="226" spans="1:5" s="73" customFormat="1" ht="50.4" hidden="1" customHeight="1" x14ac:dyDescent="0.3">
      <c r="A226" s="18" t="s">
        <v>224</v>
      </c>
      <c r="B226" s="68" t="s">
        <v>393</v>
      </c>
      <c r="C226" s="8"/>
      <c r="D226" s="71"/>
      <c r="E226" s="72"/>
    </row>
    <row r="227" spans="1:5" s="73" customFormat="1" ht="20.25" hidden="1" customHeight="1" x14ac:dyDescent="0.3">
      <c r="A227" s="18" t="s">
        <v>225</v>
      </c>
      <c r="B227" s="68" t="s">
        <v>393</v>
      </c>
      <c r="C227" s="8"/>
      <c r="D227" s="71"/>
      <c r="E227" s="72"/>
    </row>
    <row r="228" spans="1:5" s="73" customFormat="1" ht="16.2" customHeight="1" x14ac:dyDescent="0.3">
      <c r="A228" s="12" t="s">
        <v>226</v>
      </c>
      <c r="B228" s="68" t="s">
        <v>390</v>
      </c>
      <c r="C228" s="8">
        <v>1585</v>
      </c>
      <c r="D228" s="71">
        <v>37000</v>
      </c>
      <c r="E228" s="72">
        <f>+D228*C228</f>
        <v>58645000</v>
      </c>
    </row>
    <row r="229" spans="1:5" s="73" customFormat="1" ht="22.8" hidden="1" x14ac:dyDescent="0.3">
      <c r="A229" s="13" t="s">
        <v>227</v>
      </c>
      <c r="B229" s="68" t="s">
        <v>396</v>
      </c>
      <c r="C229" s="8"/>
      <c r="D229" s="71"/>
      <c r="E229" s="72"/>
    </row>
    <row r="230" spans="1:5" s="73" customFormat="1" ht="20.25" hidden="1" customHeight="1" x14ac:dyDescent="0.3">
      <c r="A230" s="12" t="s">
        <v>228</v>
      </c>
      <c r="B230" s="68" t="s">
        <v>396</v>
      </c>
      <c r="C230" s="8"/>
      <c r="D230" s="71"/>
      <c r="E230" s="72"/>
    </row>
    <row r="231" spans="1:5" s="73" customFormat="1" ht="21.75" hidden="1" customHeight="1" x14ac:dyDescent="0.3">
      <c r="A231" s="18" t="s">
        <v>229</v>
      </c>
      <c r="B231" s="68" t="s">
        <v>390</v>
      </c>
      <c r="C231" s="8"/>
      <c r="D231" s="71"/>
      <c r="E231" s="72"/>
    </row>
    <row r="232" spans="1:5" s="73" customFormat="1" ht="20.25" hidden="1" customHeight="1" x14ac:dyDescent="0.3">
      <c r="A232" s="12" t="s">
        <v>230</v>
      </c>
      <c r="B232" s="68" t="s">
        <v>390</v>
      </c>
      <c r="C232" s="8"/>
      <c r="D232" s="71"/>
      <c r="E232" s="72"/>
    </row>
    <row r="233" spans="1:5" s="73" customFormat="1" ht="20.25" hidden="1" customHeight="1" x14ac:dyDescent="0.3">
      <c r="A233" s="12" t="s">
        <v>231</v>
      </c>
      <c r="B233" s="68" t="s">
        <v>390</v>
      </c>
      <c r="C233" s="8"/>
      <c r="D233" s="71"/>
      <c r="E233" s="72"/>
    </row>
    <row r="234" spans="1:5" s="73" customFormat="1" ht="47.4" hidden="1" customHeight="1" x14ac:dyDescent="0.3">
      <c r="A234" s="12" t="s">
        <v>232</v>
      </c>
      <c r="B234" s="68" t="s">
        <v>399</v>
      </c>
      <c r="C234" s="8"/>
      <c r="D234" s="71"/>
      <c r="E234" s="72"/>
    </row>
    <row r="235" spans="1:5" s="73" customFormat="1" ht="22.8" hidden="1" x14ac:dyDescent="0.3">
      <c r="A235" s="10" t="s">
        <v>233</v>
      </c>
      <c r="B235" s="68" t="s">
        <v>390</v>
      </c>
      <c r="C235" s="8"/>
      <c r="D235" s="71"/>
      <c r="E235" s="72"/>
    </row>
    <row r="236" spans="1:5" s="73" customFormat="1" ht="21.75" hidden="1" customHeight="1" x14ac:dyDescent="0.3">
      <c r="A236" s="10" t="s">
        <v>234</v>
      </c>
      <c r="B236" s="68" t="s">
        <v>390</v>
      </c>
      <c r="C236" s="8"/>
      <c r="D236" s="71"/>
      <c r="E236" s="72"/>
    </row>
    <row r="237" spans="1:5" s="73" customFormat="1" ht="21.75" hidden="1" customHeight="1" x14ac:dyDescent="0.3">
      <c r="A237" s="12" t="s">
        <v>235</v>
      </c>
      <c r="B237" s="68" t="s">
        <v>390</v>
      </c>
      <c r="C237" s="8"/>
      <c r="D237" s="71"/>
      <c r="E237" s="72"/>
    </row>
    <row r="238" spans="1:5" s="73" customFormat="1" ht="20.25" hidden="1" customHeight="1" x14ac:dyDescent="0.3">
      <c r="A238" s="39" t="s">
        <v>236</v>
      </c>
      <c r="B238" s="68" t="s">
        <v>390</v>
      </c>
      <c r="C238" s="8"/>
      <c r="D238" s="71"/>
      <c r="E238" s="72"/>
    </row>
    <row r="239" spans="1:5" s="73" customFormat="1" ht="20.25" hidden="1" customHeight="1" x14ac:dyDescent="0.3">
      <c r="A239" s="10" t="s">
        <v>237</v>
      </c>
      <c r="B239" s="68" t="s">
        <v>390</v>
      </c>
      <c r="C239" s="8"/>
      <c r="D239" s="71"/>
      <c r="E239" s="72"/>
    </row>
    <row r="240" spans="1:5" s="73" customFormat="1" ht="20.25" hidden="1" customHeight="1" x14ac:dyDescent="0.3">
      <c r="A240" s="10" t="s">
        <v>238</v>
      </c>
      <c r="B240" s="68" t="s">
        <v>392</v>
      </c>
      <c r="C240" s="8"/>
      <c r="D240" s="71"/>
      <c r="E240" s="72"/>
    </row>
    <row r="241" spans="1:5" s="73" customFormat="1" ht="20.25" hidden="1" customHeight="1" x14ac:dyDescent="0.3">
      <c r="A241" s="14" t="s">
        <v>239</v>
      </c>
      <c r="B241" s="68" t="s">
        <v>396</v>
      </c>
      <c r="C241" s="8"/>
      <c r="D241" s="71"/>
      <c r="E241" s="72"/>
    </row>
    <row r="242" spans="1:5" s="73" customFormat="1" ht="21.75" hidden="1" customHeight="1" x14ac:dyDescent="0.3">
      <c r="A242" s="14" t="s">
        <v>240</v>
      </c>
      <c r="B242" s="68" t="s">
        <v>396</v>
      </c>
      <c r="C242" s="8"/>
      <c r="D242" s="71"/>
      <c r="E242" s="72"/>
    </row>
    <row r="243" spans="1:5" s="73" customFormat="1" ht="20.25" hidden="1" customHeight="1" x14ac:dyDescent="0.3">
      <c r="A243" s="37" t="s">
        <v>241</v>
      </c>
      <c r="B243" s="68" t="s">
        <v>393</v>
      </c>
      <c r="C243" s="8"/>
      <c r="D243" s="71"/>
      <c r="E243" s="72"/>
    </row>
    <row r="244" spans="1:5" s="73" customFormat="1" ht="21.75" hidden="1" customHeight="1" x14ac:dyDescent="0.3">
      <c r="A244" s="10" t="s">
        <v>242</v>
      </c>
      <c r="B244" s="68" t="s">
        <v>390</v>
      </c>
      <c r="C244" s="8"/>
      <c r="D244" s="71"/>
      <c r="E244" s="72"/>
    </row>
    <row r="245" spans="1:5" s="73" customFormat="1" ht="20.25" hidden="1" customHeight="1" x14ac:dyDescent="0.3">
      <c r="A245" s="10" t="s">
        <v>243</v>
      </c>
      <c r="B245" s="68" t="s">
        <v>393</v>
      </c>
      <c r="C245" s="8"/>
      <c r="D245" s="71"/>
      <c r="E245" s="72"/>
    </row>
    <row r="246" spans="1:5" s="73" customFormat="1" ht="33" hidden="1" customHeight="1" x14ac:dyDescent="0.3">
      <c r="A246" s="10" t="s">
        <v>244</v>
      </c>
      <c r="B246" s="68" t="s">
        <v>390</v>
      </c>
      <c r="C246" s="17"/>
      <c r="D246" s="71"/>
      <c r="E246" s="72"/>
    </row>
    <row r="247" spans="1:5" s="73" customFormat="1" ht="21.75" hidden="1" customHeight="1" x14ac:dyDescent="0.3">
      <c r="A247" s="37" t="s">
        <v>245</v>
      </c>
      <c r="B247" s="68" t="s">
        <v>393</v>
      </c>
      <c r="C247" s="8"/>
      <c r="D247" s="71"/>
      <c r="E247" s="72"/>
    </row>
    <row r="248" spans="1:5" s="73" customFormat="1" ht="21.75" hidden="1" customHeight="1" x14ac:dyDescent="0.3">
      <c r="A248" s="10" t="s">
        <v>246</v>
      </c>
      <c r="B248" s="68" t="s">
        <v>393</v>
      </c>
      <c r="C248" s="17"/>
      <c r="D248" s="89"/>
      <c r="E248" s="72"/>
    </row>
    <row r="249" spans="1:5" s="73" customFormat="1" ht="16.2" customHeight="1" x14ac:dyDescent="0.3">
      <c r="A249" s="10" t="s">
        <v>247</v>
      </c>
      <c r="B249" s="68" t="s">
        <v>390</v>
      </c>
      <c r="C249" s="8">
        <v>8</v>
      </c>
      <c r="D249" s="71">
        <v>14000</v>
      </c>
      <c r="E249" s="72">
        <f>+D249*C249</f>
        <v>112000</v>
      </c>
    </row>
    <row r="250" spans="1:5" s="73" customFormat="1" ht="57" hidden="1" customHeight="1" x14ac:dyDescent="0.3">
      <c r="A250" s="12" t="s">
        <v>248</v>
      </c>
      <c r="B250" s="68" t="s">
        <v>390</v>
      </c>
      <c r="C250" s="8"/>
      <c r="D250" s="71"/>
      <c r="E250" s="72"/>
    </row>
    <row r="251" spans="1:5" s="73" customFormat="1" ht="39.9" hidden="1" customHeight="1" x14ac:dyDescent="0.3">
      <c r="A251" s="12" t="s">
        <v>249</v>
      </c>
      <c r="B251" s="68" t="s">
        <v>394</v>
      </c>
      <c r="C251" s="8"/>
      <c r="D251" s="71"/>
      <c r="E251" s="72"/>
    </row>
    <row r="252" spans="1:5" s="73" customFormat="1" ht="16.2" customHeight="1" x14ac:dyDescent="0.3">
      <c r="A252" s="10" t="s">
        <v>250</v>
      </c>
      <c r="B252" s="68" t="s">
        <v>390</v>
      </c>
      <c r="C252" s="8">
        <v>110</v>
      </c>
      <c r="D252" s="71">
        <v>26000</v>
      </c>
      <c r="E252" s="72">
        <f>+D252*C252</f>
        <v>2860000</v>
      </c>
    </row>
    <row r="253" spans="1:5" s="73" customFormat="1" ht="20.25" hidden="1" customHeight="1" x14ac:dyDescent="0.3">
      <c r="A253" s="10" t="s">
        <v>251</v>
      </c>
      <c r="B253" s="68" t="s">
        <v>390</v>
      </c>
      <c r="C253" s="8"/>
      <c r="D253" s="71"/>
      <c r="E253" s="72"/>
    </row>
    <row r="254" spans="1:5" s="73" customFormat="1" ht="22.8" hidden="1" x14ac:dyDescent="0.3">
      <c r="A254" s="10" t="s">
        <v>252</v>
      </c>
      <c r="B254" s="68" t="s">
        <v>392</v>
      </c>
      <c r="C254" s="8"/>
      <c r="D254" s="71"/>
      <c r="E254" s="72"/>
    </row>
    <row r="255" spans="1:5" s="73" customFormat="1" ht="16.2" customHeight="1" x14ac:dyDescent="0.3">
      <c r="A255" s="10" t="s">
        <v>253</v>
      </c>
      <c r="B255" s="68" t="s">
        <v>394</v>
      </c>
      <c r="C255" s="8">
        <v>6</v>
      </c>
      <c r="D255" s="71">
        <v>11000</v>
      </c>
      <c r="E255" s="72">
        <f>+D255*C255</f>
        <v>66000</v>
      </c>
    </row>
    <row r="256" spans="1:5" s="73" customFormat="1" ht="20.25" hidden="1" customHeight="1" x14ac:dyDescent="0.3">
      <c r="A256" s="10" t="s">
        <v>254</v>
      </c>
      <c r="B256" s="68" t="s">
        <v>390</v>
      </c>
      <c r="C256" s="8"/>
      <c r="D256" s="71"/>
      <c r="E256" s="72"/>
    </row>
    <row r="257" spans="1:5" s="73" customFormat="1" ht="20.25" hidden="1" customHeight="1" x14ac:dyDescent="0.3">
      <c r="A257" s="18" t="s">
        <v>255</v>
      </c>
      <c r="B257" s="68" t="s">
        <v>390</v>
      </c>
      <c r="C257" s="8"/>
      <c r="D257" s="71"/>
      <c r="E257" s="72"/>
    </row>
    <row r="258" spans="1:5" s="73" customFormat="1" ht="20.25" hidden="1" customHeight="1" x14ac:dyDescent="0.3">
      <c r="A258" s="23" t="s">
        <v>256</v>
      </c>
      <c r="B258" s="68" t="s">
        <v>390</v>
      </c>
      <c r="C258" s="8"/>
      <c r="D258" s="71"/>
      <c r="E258" s="72"/>
    </row>
    <row r="259" spans="1:5" s="73" customFormat="1" ht="20.25" hidden="1" customHeight="1" x14ac:dyDescent="0.3">
      <c r="A259" s="23" t="s">
        <v>257</v>
      </c>
      <c r="B259" s="68" t="s">
        <v>390</v>
      </c>
      <c r="C259" s="8"/>
      <c r="D259" s="71"/>
      <c r="E259" s="72"/>
    </row>
    <row r="260" spans="1:5" s="73" customFormat="1" ht="16.2" customHeight="1" x14ac:dyDescent="0.3">
      <c r="A260" s="10" t="s">
        <v>258</v>
      </c>
      <c r="B260" s="68" t="s">
        <v>390</v>
      </c>
      <c r="C260" s="8">
        <v>30</v>
      </c>
      <c r="D260" s="71">
        <v>34000</v>
      </c>
      <c r="E260" s="72">
        <f>+D260*C260</f>
        <v>1020000</v>
      </c>
    </row>
    <row r="261" spans="1:5" s="73" customFormat="1" ht="21.75" hidden="1" customHeight="1" x14ac:dyDescent="0.3">
      <c r="A261" s="10" t="s">
        <v>259</v>
      </c>
      <c r="B261" s="68" t="s">
        <v>390</v>
      </c>
      <c r="C261" s="8"/>
      <c r="D261" s="71"/>
      <c r="E261" s="72"/>
    </row>
    <row r="262" spans="1:5" s="73" customFormat="1" ht="21.75" hidden="1" customHeight="1" x14ac:dyDescent="0.3">
      <c r="A262" s="10" t="s">
        <v>260</v>
      </c>
      <c r="B262" s="68" t="s">
        <v>392</v>
      </c>
      <c r="C262" s="8"/>
      <c r="D262" s="71"/>
      <c r="E262" s="72"/>
    </row>
    <row r="263" spans="1:5" s="73" customFormat="1" ht="20.25" hidden="1" customHeight="1" x14ac:dyDescent="0.3">
      <c r="A263" s="10" t="s">
        <v>261</v>
      </c>
      <c r="B263" s="68" t="s">
        <v>394</v>
      </c>
      <c r="C263" s="8"/>
      <c r="D263" s="71"/>
      <c r="E263" s="72"/>
    </row>
    <row r="264" spans="1:5" s="73" customFormat="1" ht="16.2" customHeight="1" x14ac:dyDescent="0.3">
      <c r="A264" s="10" t="s">
        <v>262</v>
      </c>
      <c r="B264" s="68" t="s">
        <v>390</v>
      </c>
      <c r="C264" s="8">
        <v>27</v>
      </c>
      <c r="D264" s="71">
        <v>18000</v>
      </c>
      <c r="E264" s="72">
        <f>+D264*C264</f>
        <v>486000</v>
      </c>
    </row>
    <row r="265" spans="1:5" s="73" customFormat="1" ht="20.25" hidden="1" customHeight="1" x14ac:dyDescent="0.3">
      <c r="A265" s="10" t="s">
        <v>263</v>
      </c>
      <c r="B265" s="68" t="s">
        <v>390</v>
      </c>
      <c r="C265" s="8"/>
      <c r="D265" s="71"/>
      <c r="E265" s="72"/>
    </row>
    <row r="266" spans="1:5" s="73" customFormat="1" ht="20.25" hidden="1" customHeight="1" x14ac:dyDescent="0.3">
      <c r="A266" s="10" t="s">
        <v>264</v>
      </c>
      <c r="B266" s="68" t="s">
        <v>392</v>
      </c>
      <c r="C266" s="8"/>
      <c r="D266" s="71"/>
      <c r="E266" s="72"/>
    </row>
    <row r="267" spans="1:5" s="73" customFormat="1" ht="20.25" hidden="1" customHeight="1" x14ac:dyDescent="0.3">
      <c r="A267" s="10" t="s">
        <v>265</v>
      </c>
      <c r="B267" s="68" t="s">
        <v>390</v>
      </c>
      <c r="C267" s="17"/>
      <c r="D267" s="71"/>
      <c r="E267" s="72"/>
    </row>
    <row r="268" spans="1:5" s="73" customFormat="1" ht="21.75" hidden="1" customHeight="1" x14ac:dyDescent="0.3">
      <c r="A268" s="14" t="s">
        <v>266</v>
      </c>
      <c r="B268" s="68" t="s">
        <v>390</v>
      </c>
      <c r="C268" s="8"/>
      <c r="D268" s="71"/>
      <c r="E268" s="72"/>
    </row>
    <row r="269" spans="1:5" s="73" customFormat="1" ht="20.25" hidden="1" customHeight="1" x14ac:dyDescent="0.3">
      <c r="A269" s="10" t="s">
        <v>267</v>
      </c>
      <c r="B269" s="68" t="s">
        <v>390</v>
      </c>
      <c r="C269" s="8"/>
      <c r="D269" s="71"/>
      <c r="E269" s="72"/>
    </row>
    <row r="270" spans="1:5" s="73" customFormat="1" ht="21.75" hidden="1" customHeight="1" x14ac:dyDescent="0.3">
      <c r="A270" s="12" t="s">
        <v>269</v>
      </c>
      <c r="B270" s="68" t="s">
        <v>390</v>
      </c>
      <c r="C270" s="8"/>
      <c r="D270" s="71"/>
      <c r="E270" s="72"/>
    </row>
    <row r="271" spans="1:5" s="73" customFormat="1" ht="16.2" customHeight="1" x14ac:dyDescent="0.3">
      <c r="A271" s="10" t="s">
        <v>270</v>
      </c>
      <c r="B271" s="68" t="s">
        <v>393</v>
      </c>
      <c r="C271" s="8">
        <v>7</v>
      </c>
      <c r="D271" s="71">
        <v>12000</v>
      </c>
      <c r="E271" s="72">
        <f>+D271*C271</f>
        <v>84000</v>
      </c>
    </row>
    <row r="272" spans="1:5" s="73" customFormat="1" ht="20.25" hidden="1" customHeight="1" x14ac:dyDescent="0.3">
      <c r="A272" s="10" t="s">
        <v>271</v>
      </c>
      <c r="B272" s="68" t="s">
        <v>390</v>
      </c>
      <c r="C272" s="8"/>
      <c r="D272" s="71"/>
      <c r="E272" s="72"/>
    </row>
    <row r="273" spans="1:5" s="73" customFormat="1" ht="21.75" hidden="1" customHeight="1" x14ac:dyDescent="0.3">
      <c r="A273" s="10" t="s">
        <v>272</v>
      </c>
      <c r="B273" s="68" t="s">
        <v>390</v>
      </c>
      <c r="C273" s="8"/>
      <c r="D273" s="71"/>
      <c r="E273" s="72"/>
    </row>
    <row r="274" spans="1:5" s="73" customFormat="1" ht="21.75" hidden="1" customHeight="1" x14ac:dyDescent="0.3">
      <c r="A274" s="10" t="s">
        <v>273</v>
      </c>
      <c r="B274" s="68" t="s">
        <v>396</v>
      </c>
      <c r="C274" s="8"/>
      <c r="D274" s="71"/>
      <c r="E274" s="72"/>
    </row>
    <row r="275" spans="1:5" s="73" customFormat="1" ht="16.2" customHeight="1" x14ac:dyDescent="0.3">
      <c r="A275" s="10" t="s">
        <v>274</v>
      </c>
      <c r="B275" s="68" t="s">
        <v>390</v>
      </c>
      <c r="C275" s="8">
        <v>8</v>
      </c>
      <c r="D275" s="71">
        <v>16000</v>
      </c>
      <c r="E275" s="72">
        <f>+D275*C275</f>
        <v>128000</v>
      </c>
    </row>
    <row r="276" spans="1:5" s="73" customFormat="1" ht="20.25" hidden="1" customHeight="1" x14ac:dyDescent="0.3">
      <c r="A276" s="10" t="s">
        <v>275</v>
      </c>
      <c r="B276" s="68" t="s">
        <v>395</v>
      </c>
      <c r="C276" s="8"/>
      <c r="D276" s="71"/>
      <c r="E276" s="72"/>
    </row>
    <row r="277" spans="1:5" s="73" customFormat="1" ht="20.25" hidden="1" customHeight="1" x14ac:dyDescent="0.3">
      <c r="A277" s="10" t="s">
        <v>276</v>
      </c>
      <c r="B277" s="68" t="s">
        <v>390</v>
      </c>
      <c r="C277" s="8"/>
      <c r="D277" s="71"/>
      <c r="E277" s="72"/>
    </row>
    <row r="278" spans="1:5" s="73" customFormat="1" ht="21.75" hidden="1" customHeight="1" x14ac:dyDescent="0.3">
      <c r="A278" s="37" t="s">
        <v>277</v>
      </c>
      <c r="B278" s="68" t="s">
        <v>393</v>
      </c>
      <c r="C278" s="8"/>
      <c r="D278" s="71"/>
      <c r="E278" s="72"/>
    </row>
    <row r="279" spans="1:5" s="73" customFormat="1" ht="21.75" hidden="1" customHeight="1" x14ac:dyDescent="0.3">
      <c r="A279" s="10" t="s">
        <v>278</v>
      </c>
      <c r="B279" s="68" t="s">
        <v>393</v>
      </c>
      <c r="C279" s="8"/>
      <c r="D279" s="71"/>
      <c r="E279" s="72"/>
    </row>
    <row r="280" spans="1:5" s="73" customFormat="1" ht="20.25" hidden="1" customHeight="1" x14ac:dyDescent="0.3">
      <c r="A280" s="37" t="s">
        <v>279</v>
      </c>
      <c r="B280" s="68" t="s">
        <v>393</v>
      </c>
      <c r="C280" s="8"/>
      <c r="D280" s="71"/>
      <c r="E280" s="72"/>
    </row>
    <row r="281" spans="1:5" s="73" customFormat="1" ht="20.25" hidden="1" customHeight="1" x14ac:dyDescent="0.3">
      <c r="A281" s="37" t="s">
        <v>280</v>
      </c>
      <c r="B281" s="68" t="s">
        <v>393</v>
      </c>
      <c r="C281" s="8"/>
      <c r="D281" s="71"/>
      <c r="E281" s="72"/>
    </row>
    <row r="282" spans="1:5" s="73" customFormat="1" ht="21.75" hidden="1" customHeight="1" x14ac:dyDescent="0.3">
      <c r="A282" s="13" t="s">
        <v>281</v>
      </c>
      <c r="B282" s="68" t="s">
        <v>390</v>
      </c>
      <c r="C282" s="17"/>
      <c r="D282" s="71"/>
      <c r="E282" s="72"/>
    </row>
    <row r="283" spans="1:5" s="73" customFormat="1" ht="21.75" hidden="1" customHeight="1" x14ac:dyDescent="0.3">
      <c r="A283" s="13" t="s">
        <v>282</v>
      </c>
      <c r="B283" s="68" t="s">
        <v>393</v>
      </c>
      <c r="C283" s="8"/>
      <c r="D283" s="90"/>
      <c r="E283" s="72"/>
    </row>
    <row r="284" spans="1:5" s="73" customFormat="1" ht="21.75" hidden="1" customHeight="1" x14ac:dyDescent="0.3">
      <c r="A284" s="12" t="s">
        <v>283</v>
      </c>
      <c r="B284" s="68" t="s">
        <v>390</v>
      </c>
      <c r="C284" s="8"/>
      <c r="D284" s="71"/>
      <c r="E284" s="72"/>
    </row>
    <row r="285" spans="1:5" s="73" customFormat="1" ht="22.8" hidden="1" x14ac:dyDescent="0.3">
      <c r="A285" s="12" t="s">
        <v>418</v>
      </c>
      <c r="B285" s="68" t="s">
        <v>390</v>
      </c>
      <c r="C285" s="8"/>
      <c r="D285" s="71"/>
      <c r="E285" s="72"/>
    </row>
    <row r="286" spans="1:5" s="73" customFormat="1" ht="21.75" hidden="1" customHeight="1" x14ac:dyDescent="0.3">
      <c r="A286" s="18" t="s">
        <v>284</v>
      </c>
      <c r="B286" s="68" t="s">
        <v>396</v>
      </c>
      <c r="C286" s="8"/>
      <c r="D286" s="71"/>
      <c r="E286" s="72"/>
    </row>
    <row r="287" spans="1:5" s="73" customFormat="1" ht="20.25" hidden="1" customHeight="1" x14ac:dyDescent="0.3">
      <c r="A287" s="18" t="s">
        <v>285</v>
      </c>
      <c r="B287" s="68" t="s">
        <v>394</v>
      </c>
      <c r="C287" s="8"/>
      <c r="D287" s="71"/>
      <c r="E287" s="72"/>
    </row>
    <row r="288" spans="1:5" s="73" customFormat="1" ht="37.950000000000003" hidden="1" customHeight="1" x14ac:dyDescent="0.3">
      <c r="A288" s="18" t="s">
        <v>286</v>
      </c>
      <c r="B288" s="68" t="s">
        <v>394</v>
      </c>
      <c r="C288" s="8"/>
      <c r="D288" s="71"/>
      <c r="E288" s="72"/>
    </row>
    <row r="289" spans="1:5" s="73" customFormat="1" ht="16.2" customHeight="1" x14ac:dyDescent="0.3">
      <c r="A289" s="10" t="s">
        <v>287</v>
      </c>
      <c r="B289" s="68" t="s">
        <v>390</v>
      </c>
      <c r="C289" s="8">
        <v>8</v>
      </c>
      <c r="D289" s="71">
        <v>9000</v>
      </c>
      <c r="E289" s="72">
        <f>+D289*C289</f>
        <v>72000</v>
      </c>
    </row>
    <row r="290" spans="1:5" s="73" customFormat="1" ht="36" hidden="1" customHeight="1" x14ac:dyDescent="0.3">
      <c r="A290" s="18" t="s">
        <v>288</v>
      </c>
      <c r="B290" s="68" t="s">
        <v>393</v>
      </c>
      <c r="C290" s="8"/>
      <c r="D290" s="71"/>
      <c r="E290" s="72"/>
    </row>
    <row r="291" spans="1:5" s="73" customFormat="1" ht="21.6" hidden="1" customHeight="1" x14ac:dyDescent="0.3">
      <c r="A291" s="10" t="s">
        <v>289</v>
      </c>
      <c r="B291" s="68" t="s">
        <v>390</v>
      </c>
      <c r="C291" s="8"/>
      <c r="D291" s="91"/>
      <c r="E291" s="72"/>
    </row>
    <row r="292" spans="1:5" s="73" customFormat="1" ht="16.2" customHeight="1" x14ac:dyDescent="0.3">
      <c r="A292" s="10" t="s">
        <v>290</v>
      </c>
      <c r="B292" s="68" t="s">
        <v>390</v>
      </c>
      <c r="C292" s="8">
        <v>7</v>
      </c>
      <c r="D292" s="71">
        <v>7000</v>
      </c>
      <c r="E292" s="72">
        <f>+D292*C292</f>
        <v>49000</v>
      </c>
    </row>
    <row r="293" spans="1:5" s="73" customFormat="1" ht="21.75" hidden="1" customHeight="1" x14ac:dyDescent="0.3">
      <c r="A293" s="18" t="s">
        <v>291</v>
      </c>
      <c r="B293" s="68" t="s">
        <v>394</v>
      </c>
      <c r="C293" s="8"/>
      <c r="D293" s="71"/>
      <c r="E293" s="72"/>
    </row>
    <row r="294" spans="1:5" s="73" customFormat="1" ht="21.75" hidden="1" customHeight="1" x14ac:dyDescent="0.3">
      <c r="A294" s="27" t="s">
        <v>292</v>
      </c>
      <c r="B294" s="68" t="s">
        <v>390</v>
      </c>
      <c r="C294" s="8"/>
      <c r="D294" s="71"/>
      <c r="E294" s="72"/>
    </row>
    <row r="295" spans="1:5" s="73" customFormat="1" ht="21.75" hidden="1" customHeight="1" x14ac:dyDescent="0.3">
      <c r="A295" s="10" t="s">
        <v>293</v>
      </c>
      <c r="B295" s="68" t="s">
        <v>390</v>
      </c>
      <c r="C295" s="8"/>
      <c r="D295" s="71"/>
      <c r="E295" s="72"/>
    </row>
    <row r="296" spans="1:5" s="73" customFormat="1" ht="21.75" hidden="1" customHeight="1" x14ac:dyDescent="0.3">
      <c r="A296" s="14" t="s">
        <v>294</v>
      </c>
      <c r="B296" s="68" t="s">
        <v>391</v>
      </c>
      <c r="C296" s="8"/>
      <c r="D296" s="71"/>
      <c r="E296" s="72"/>
    </row>
    <row r="297" spans="1:5" s="73" customFormat="1" ht="21.75" hidden="1" customHeight="1" x14ac:dyDescent="0.3">
      <c r="A297" s="14" t="s">
        <v>295</v>
      </c>
      <c r="B297" s="68" t="s">
        <v>396</v>
      </c>
      <c r="C297" s="8"/>
      <c r="D297" s="71"/>
      <c r="E297" s="72"/>
    </row>
    <row r="298" spans="1:5" s="73" customFormat="1" ht="21.75" hidden="1" customHeight="1" x14ac:dyDescent="0.3">
      <c r="A298" s="13" t="s">
        <v>296</v>
      </c>
      <c r="B298" s="68" t="s">
        <v>390</v>
      </c>
      <c r="C298" s="8"/>
      <c r="D298" s="88"/>
      <c r="E298" s="72"/>
    </row>
    <row r="299" spans="1:5" s="73" customFormat="1" ht="21.75" hidden="1" customHeight="1" x14ac:dyDescent="0.3">
      <c r="A299" s="18" t="s">
        <v>297</v>
      </c>
      <c r="B299" s="68" t="s">
        <v>393</v>
      </c>
      <c r="C299" s="8"/>
      <c r="D299" s="88"/>
      <c r="E299" s="72"/>
    </row>
    <row r="300" spans="1:5" s="73" customFormat="1" ht="21.75" hidden="1" customHeight="1" x14ac:dyDescent="0.3">
      <c r="A300" s="14" t="s">
        <v>298</v>
      </c>
      <c r="B300" s="68" t="s">
        <v>393</v>
      </c>
      <c r="C300" s="8"/>
      <c r="D300" s="71"/>
      <c r="E300" s="72"/>
    </row>
    <row r="301" spans="1:5" s="73" customFormat="1" ht="21.75" hidden="1" customHeight="1" x14ac:dyDescent="0.3">
      <c r="A301" s="10" t="s">
        <v>299</v>
      </c>
      <c r="B301" s="68" t="s">
        <v>390</v>
      </c>
      <c r="C301" s="8"/>
      <c r="D301" s="71"/>
      <c r="E301" s="72"/>
    </row>
    <row r="302" spans="1:5" s="73" customFormat="1" ht="38.4" hidden="1" customHeight="1" x14ac:dyDescent="0.3">
      <c r="A302" s="18" t="s">
        <v>300</v>
      </c>
      <c r="B302" s="68" t="s">
        <v>396</v>
      </c>
      <c r="C302" s="8"/>
      <c r="D302" s="71"/>
      <c r="E302" s="72"/>
    </row>
    <row r="303" spans="1:5" s="73" customFormat="1" ht="21.75" hidden="1" customHeight="1" x14ac:dyDescent="0.3">
      <c r="A303" s="10" t="s">
        <v>301</v>
      </c>
      <c r="B303" s="68" t="s">
        <v>390</v>
      </c>
      <c r="C303" s="8"/>
      <c r="D303" s="71"/>
      <c r="E303" s="72"/>
    </row>
    <row r="304" spans="1:5" s="73" customFormat="1" ht="21.75" hidden="1" customHeight="1" x14ac:dyDescent="0.3">
      <c r="A304" s="10" t="s">
        <v>302</v>
      </c>
      <c r="B304" s="68" t="s">
        <v>390</v>
      </c>
      <c r="C304" s="8"/>
      <c r="D304" s="71"/>
      <c r="E304" s="72"/>
    </row>
    <row r="305" spans="1:5" s="73" customFormat="1" ht="21.75" hidden="1" customHeight="1" x14ac:dyDescent="0.3">
      <c r="A305" s="12" t="s">
        <v>303</v>
      </c>
      <c r="B305" s="68" t="s">
        <v>390</v>
      </c>
      <c r="C305" s="8"/>
      <c r="D305" s="71"/>
      <c r="E305" s="72"/>
    </row>
    <row r="306" spans="1:5" s="73" customFormat="1" ht="21.75" hidden="1" customHeight="1" x14ac:dyDescent="0.3">
      <c r="A306" s="13" t="s">
        <v>304</v>
      </c>
      <c r="B306" s="68" t="s">
        <v>390</v>
      </c>
      <c r="C306" s="8"/>
      <c r="D306" s="71"/>
      <c r="E306" s="72"/>
    </row>
    <row r="307" spans="1:5" s="73" customFormat="1" ht="21.75" hidden="1" customHeight="1" x14ac:dyDescent="0.3">
      <c r="A307" s="13" t="s">
        <v>305</v>
      </c>
      <c r="B307" s="68" t="s">
        <v>390</v>
      </c>
      <c r="C307" s="8"/>
      <c r="D307" s="71"/>
      <c r="E307" s="72"/>
    </row>
    <row r="308" spans="1:5" s="73" customFormat="1" ht="21.75" hidden="1" customHeight="1" x14ac:dyDescent="0.3">
      <c r="A308" s="10" t="s">
        <v>306</v>
      </c>
      <c r="B308" s="68" t="s">
        <v>390</v>
      </c>
      <c r="C308" s="8"/>
      <c r="D308" s="71"/>
      <c r="E308" s="72"/>
    </row>
    <row r="309" spans="1:5" s="73" customFormat="1" ht="21.75" hidden="1" customHeight="1" x14ac:dyDescent="0.3">
      <c r="A309" s="10" t="s">
        <v>307</v>
      </c>
      <c r="B309" s="68" t="s">
        <v>397</v>
      </c>
      <c r="C309" s="8"/>
      <c r="D309" s="71"/>
      <c r="E309" s="72"/>
    </row>
    <row r="310" spans="1:5" s="73" customFormat="1" ht="21.75" hidden="1" customHeight="1" x14ac:dyDescent="0.3">
      <c r="A310" s="10" t="s">
        <v>308</v>
      </c>
      <c r="B310" s="68" t="s">
        <v>393</v>
      </c>
      <c r="C310" s="8"/>
      <c r="D310" s="71"/>
      <c r="E310" s="72"/>
    </row>
    <row r="311" spans="1:5" s="73" customFormat="1" ht="16.2" customHeight="1" x14ac:dyDescent="0.3">
      <c r="A311" s="14" t="s">
        <v>309</v>
      </c>
      <c r="B311" s="68" t="s">
        <v>390</v>
      </c>
      <c r="C311" s="8">
        <v>12</v>
      </c>
      <c r="D311" s="71">
        <v>29000</v>
      </c>
      <c r="E311" s="72">
        <f>+D311*C311</f>
        <v>348000</v>
      </c>
    </row>
    <row r="312" spans="1:5" s="73" customFormat="1" ht="21.75" hidden="1" customHeight="1" x14ac:dyDescent="0.3">
      <c r="A312" s="14" t="s">
        <v>310</v>
      </c>
      <c r="B312" s="68" t="s">
        <v>390</v>
      </c>
      <c r="C312" s="8"/>
      <c r="D312" s="71"/>
      <c r="E312" s="72"/>
    </row>
    <row r="313" spans="1:5" s="73" customFormat="1" ht="21.75" hidden="1" customHeight="1" x14ac:dyDescent="0.3">
      <c r="A313" s="23" t="s">
        <v>311</v>
      </c>
      <c r="B313" s="68" t="s">
        <v>390</v>
      </c>
      <c r="C313" s="8"/>
      <c r="D313" s="71"/>
      <c r="E313" s="72"/>
    </row>
    <row r="314" spans="1:5" s="73" customFormat="1" ht="21.75" hidden="1" customHeight="1" x14ac:dyDescent="0.3">
      <c r="A314" s="14" t="s">
        <v>312</v>
      </c>
      <c r="B314" s="68" t="s">
        <v>393</v>
      </c>
      <c r="C314" s="8"/>
      <c r="D314" s="71"/>
      <c r="E314" s="72"/>
    </row>
    <row r="315" spans="1:5" s="73" customFormat="1" ht="21.75" hidden="1" customHeight="1" x14ac:dyDescent="0.3">
      <c r="A315" s="10" t="s">
        <v>313</v>
      </c>
      <c r="B315" s="68" t="s">
        <v>395</v>
      </c>
      <c r="C315" s="8"/>
      <c r="D315" s="71"/>
      <c r="E315" s="72"/>
    </row>
    <row r="316" spans="1:5" s="73" customFormat="1" ht="21.75" hidden="1" customHeight="1" x14ac:dyDescent="0.3">
      <c r="A316" s="10" t="s">
        <v>314</v>
      </c>
      <c r="B316" s="68" t="s">
        <v>395</v>
      </c>
      <c r="C316" s="8"/>
      <c r="D316" s="71"/>
      <c r="E316" s="72"/>
    </row>
    <row r="317" spans="1:5" s="73" customFormat="1" ht="21.75" hidden="1" customHeight="1" x14ac:dyDescent="0.3">
      <c r="A317" s="10" t="s">
        <v>315</v>
      </c>
      <c r="B317" s="68" t="s">
        <v>397</v>
      </c>
      <c r="C317" s="8"/>
      <c r="D317" s="71"/>
      <c r="E317" s="102"/>
    </row>
    <row r="318" spans="1:5" s="73" customFormat="1" ht="21.75" hidden="1" customHeight="1" x14ac:dyDescent="0.3">
      <c r="A318" s="10" t="s">
        <v>316</v>
      </c>
      <c r="B318" s="68" t="s">
        <v>390</v>
      </c>
      <c r="C318" s="8"/>
      <c r="D318" s="71"/>
      <c r="E318" s="72"/>
    </row>
    <row r="319" spans="1:5" s="73" customFormat="1" ht="21.75" hidden="1" customHeight="1" x14ac:dyDescent="0.3">
      <c r="A319" s="23" t="s">
        <v>317</v>
      </c>
      <c r="B319" s="68" t="s">
        <v>390</v>
      </c>
      <c r="C319" s="8"/>
      <c r="D319" s="71"/>
      <c r="E319" s="72"/>
    </row>
    <row r="320" spans="1:5" s="73" customFormat="1" ht="21.75" hidden="1" customHeight="1" x14ac:dyDescent="0.3">
      <c r="A320" s="10" t="s">
        <v>318</v>
      </c>
      <c r="B320" s="68" t="s">
        <v>395</v>
      </c>
      <c r="C320" s="8"/>
      <c r="D320" s="71"/>
      <c r="E320" s="72"/>
    </row>
    <row r="321" spans="1:5" s="73" customFormat="1" ht="21.75" hidden="1" customHeight="1" x14ac:dyDescent="0.3">
      <c r="A321" s="10" t="s">
        <v>319</v>
      </c>
      <c r="B321" s="68" t="s">
        <v>390</v>
      </c>
      <c r="C321" s="8"/>
      <c r="D321" s="71"/>
      <c r="E321" s="72"/>
    </row>
    <row r="322" spans="1:5" s="73" customFormat="1" ht="21.75" hidden="1" customHeight="1" x14ac:dyDescent="0.3">
      <c r="A322" s="13" t="s">
        <v>320</v>
      </c>
      <c r="B322" s="68" t="s">
        <v>390</v>
      </c>
      <c r="C322" s="8"/>
      <c r="D322" s="71"/>
      <c r="E322" s="72"/>
    </row>
    <row r="323" spans="1:5" s="73" customFormat="1" ht="21.75" hidden="1" customHeight="1" x14ac:dyDescent="0.3">
      <c r="A323" s="10" t="s">
        <v>321</v>
      </c>
      <c r="B323" s="68" t="s">
        <v>390</v>
      </c>
      <c r="C323" s="42"/>
      <c r="D323" s="71"/>
      <c r="E323" s="72"/>
    </row>
    <row r="324" spans="1:5" s="73" customFormat="1" ht="21.75" hidden="1" customHeight="1" x14ac:dyDescent="0.3">
      <c r="A324" s="10" t="s">
        <v>322</v>
      </c>
      <c r="B324" s="68" t="s">
        <v>395</v>
      </c>
      <c r="C324" s="8"/>
      <c r="D324" s="71"/>
      <c r="E324" s="72"/>
    </row>
    <row r="325" spans="1:5" s="73" customFormat="1" ht="21.75" hidden="1" customHeight="1" x14ac:dyDescent="0.3">
      <c r="A325" s="10" t="s">
        <v>323</v>
      </c>
      <c r="B325" s="68" t="s">
        <v>393</v>
      </c>
      <c r="C325" s="8"/>
      <c r="D325" s="71"/>
      <c r="E325" s="72"/>
    </row>
    <row r="326" spans="1:5" s="73" customFormat="1" ht="21.75" hidden="1" customHeight="1" x14ac:dyDescent="0.3">
      <c r="A326" s="23" t="s">
        <v>324</v>
      </c>
      <c r="B326" s="68" t="s">
        <v>390</v>
      </c>
      <c r="C326" s="8"/>
      <c r="D326" s="71"/>
      <c r="E326" s="72"/>
    </row>
    <row r="327" spans="1:5" s="73" customFormat="1" ht="21.75" hidden="1" customHeight="1" x14ac:dyDescent="0.3">
      <c r="A327" s="23" t="s">
        <v>325</v>
      </c>
      <c r="B327" s="68" t="s">
        <v>390</v>
      </c>
      <c r="C327" s="8"/>
      <c r="D327" s="71"/>
      <c r="E327" s="72"/>
    </row>
    <row r="328" spans="1:5" s="73" customFormat="1" ht="21.75" hidden="1" customHeight="1" x14ac:dyDescent="0.3">
      <c r="A328" s="10" t="s">
        <v>326</v>
      </c>
      <c r="B328" s="68" t="s">
        <v>390</v>
      </c>
      <c r="C328" s="8"/>
      <c r="D328" s="71"/>
      <c r="E328" s="72"/>
    </row>
    <row r="329" spans="1:5" s="73" customFormat="1" ht="21.75" hidden="1" customHeight="1" x14ac:dyDescent="0.3">
      <c r="A329" s="10" t="s">
        <v>327</v>
      </c>
      <c r="B329" s="68" t="s">
        <v>390</v>
      </c>
      <c r="C329" s="8"/>
      <c r="D329" s="71"/>
      <c r="E329" s="72"/>
    </row>
    <row r="330" spans="1:5" s="73" customFormat="1" ht="21.75" hidden="1" customHeight="1" x14ac:dyDescent="0.3">
      <c r="A330" s="23" t="s">
        <v>328</v>
      </c>
      <c r="B330" s="68" t="s">
        <v>390</v>
      </c>
      <c r="C330" s="8"/>
      <c r="D330" s="71"/>
      <c r="E330" s="72"/>
    </row>
    <row r="331" spans="1:5" s="73" customFormat="1" ht="21.75" hidden="1" customHeight="1" x14ac:dyDescent="0.3">
      <c r="A331" s="10" t="s">
        <v>329</v>
      </c>
      <c r="B331" s="68" t="s">
        <v>395</v>
      </c>
      <c r="C331" s="8"/>
      <c r="D331" s="71"/>
      <c r="E331" s="72"/>
    </row>
    <row r="332" spans="1:5" s="73" customFormat="1" ht="21.75" hidden="1" customHeight="1" x14ac:dyDescent="0.3">
      <c r="A332" s="10" t="s">
        <v>330</v>
      </c>
      <c r="B332" s="68" t="s">
        <v>395</v>
      </c>
      <c r="C332" s="8"/>
      <c r="D332" s="71"/>
      <c r="E332" s="72"/>
    </row>
    <row r="333" spans="1:5" s="73" customFormat="1" ht="21.75" hidden="1" customHeight="1" x14ac:dyDescent="0.3">
      <c r="A333" s="10" t="s">
        <v>331</v>
      </c>
      <c r="B333" s="68" t="s">
        <v>395</v>
      </c>
      <c r="C333" s="8"/>
      <c r="D333" s="71"/>
      <c r="E333" s="72"/>
    </row>
    <row r="334" spans="1:5" s="73" customFormat="1" ht="21.75" hidden="1" customHeight="1" x14ac:dyDescent="0.3">
      <c r="A334" s="10" t="s">
        <v>332</v>
      </c>
      <c r="B334" s="68" t="s">
        <v>395</v>
      </c>
      <c r="C334" s="8"/>
      <c r="D334" s="71"/>
      <c r="E334" s="72"/>
    </row>
    <row r="335" spans="1:5" s="73" customFormat="1" ht="21.75" hidden="1" customHeight="1" x14ac:dyDescent="0.3">
      <c r="A335" s="10" t="s">
        <v>333</v>
      </c>
      <c r="B335" s="68" t="s">
        <v>395</v>
      </c>
      <c r="C335" s="8"/>
      <c r="D335" s="71"/>
      <c r="E335" s="72"/>
    </row>
    <row r="336" spans="1:5" s="73" customFormat="1" ht="16.2" customHeight="1" x14ac:dyDescent="0.3">
      <c r="A336" s="10" t="s">
        <v>334</v>
      </c>
      <c r="B336" s="68" t="s">
        <v>397</v>
      </c>
      <c r="C336" s="8">
        <v>12</v>
      </c>
      <c r="D336" s="71">
        <v>28000</v>
      </c>
      <c r="E336" s="72">
        <f>+D336*C336</f>
        <v>336000</v>
      </c>
    </row>
    <row r="337" spans="1:5" s="73" customFormat="1" ht="21.75" hidden="1" customHeight="1" x14ac:dyDescent="0.3">
      <c r="A337" s="10" t="s">
        <v>335</v>
      </c>
      <c r="B337" s="68" t="s">
        <v>390</v>
      </c>
      <c r="C337" s="8"/>
      <c r="D337" s="71"/>
      <c r="E337" s="72"/>
    </row>
    <row r="338" spans="1:5" s="73" customFormat="1" ht="21.75" hidden="1" customHeight="1" x14ac:dyDescent="0.3">
      <c r="A338" s="10" t="s">
        <v>336</v>
      </c>
      <c r="B338" s="68" t="s">
        <v>390</v>
      </c>
      <c r="C338" s="8"/>
      <c r="D338" s="71"/>
      <c r="E338" s="72"/>
    </row>
    <row r="339" spans="1:5" s="73" customFormat="1" ht="21.75" hidden="1" customHeight="1" x14ac:dyDescent="0.3">
      <c r="A339" s="12" t="s">
        <v>337</v>
      </c>
      <c r="B339" s="68" t="s">
        <v>394</v>
      </c>
      <c r="C339" s="8"/>
      <c r="D339" s="71"/>
      <c r="E339" s="72"/>
    </row>
    <row r="340" spans="1:5" s="73" customFormat="1" ht="21.75" hidden="1" customHeight="1" x14ac:dyDescent="0.3">
      <c r="A340" s="12" t="s">
        <v>338</v>
      </c>
      <c r="B340" s="68" t="s">
        <v>390</v>
      </c>
      <c r="C340" s="8"/>
      <c r="D340" s="71"/>
      <c r="E340" s="72"/>
    </row>
    <row r="341" spans="1:5" s="73" customFormat="1" ht="16.2" customHeight="1" x14ac:dyDescent="0.3">
      <c r="A341" s="43"/>
      <c r="B341" s="46">
        <v>0</v>
      </c>
      <c r="C341" s="46">
        <v>3703.9</v>
      </c>
      <c r="D341" s="94"/>
      <c r="E341" s="87">
        <f>SUBTOTAL(9,E4:E336)</f>
        <v>91240000</v>
      </c>
    </row>
    <row r="342" spans="1:5" ht="34.200000000000003" customHeight="1" x14ac:dyDescent="0.3">
      <c r="A342" s="155" t="s">
        <v>404</v>
      </c>
      <c r="B342" s="141" t="s">
        <v>389</v>
      </c>
      <c r="C342" s="142" t="s">
        <v>1</v>
      </c>
      <c r="D342" s="143"/>
      <c r="E342" s="144"/>
    </row>
    <row r="343" spans="1:5" ht="18.75" hidden="1" customHeight="1" x14ac:dyDescent="0.3">
      <c r="A343" s="153"/>
      <c r="B343" s="61"/>
      <c r="C343" s="5"/>
      <c r="D343" s="63"/>
      <c r="E343" s="66"/>
    </row>
    <row r="344" spans="1:5" ht="18" hidden="1" x14ac:dyDescent="0.3">
      <c r="A344" s="6" t="s">
        <v>2</v>
      </c>
      <c r="B344" s="68" t="s">
        <v>390</v>
      </c>
      <c r="C344" s="8"/>
      <c r="D344" s="71"/>
      <c r="E344" s="72"/>
    </row>
    <row r="345" spans="1:5" ht="18" hidden="1" x14ac:dyDescent="0.3">
      <c r="A345" s="9" t="s">
        <v>3</v>
      </c>
      <c r="B345" s="68" t="s">
        <v>391</v>
      </c>
      <c r="C345" s="8"/>
      <c r="D345" s="71"/>
      <c r="E345" s="72"/>
    </row>
    <row r="346" spans="1:5" ht="18" hidden="1" x14ac:dyDescent="0.3">
      <c r="A346" s="6" t="s">
        <v>4</v>
      </c>
      <c r="B346" s="68" t="s">
        <v>390</v>
      </c>
      <c r="C346" s="8"/>
      <c r="D346" s="71"/>
      <c r="E346" s="72"/>
    </row>
    <row r="347" spans="1:5" ht="18" hidden="1" x14ac:dyDescent="0.3">
      <c r="A347" s="6" t="s">
        <v>5</v>
      </c>
      <c r="B347" s="68" t="s">
        <v>390</v>
      </c>
      <c r="C347" s="8"/>
      <c r="D347" s="71"/>
      <c r="E347" s="72"/>
    </row>
    <row r="348" spans="1:5" ht="18" hidden="1" x14ac:dyDescent="0.3">
      <c r="A348" s="10" t="s">
        <v>6</v>
      </c>
      <c r="B348" s="68" t="s">
        <v>391</v>
      </c>
      <c r="C348" s="8"/>
      <c r="D348" s="71"/>
      <c r="E348" s="72"/>
    </row>
    <row r="349" spans="1:5" ht="18" hidden="1" x14ac:dyDescent="0.3">
      <c r="A349" s="11" t="s">
        <v>7</v>
      </c>
      <c r="B349" s="68" t="s">
        <v>390</v>
      </c>
      <c r="C349" s="8"/>
      <c r="D349" s="71"/>
      <c r="E349" s="72"/>
    </row>
    <row r="350" spans="1:5" ht="18" hidden="1" x14ac:dyDescent="0.3">
      <c r="A350" s="6" t="s">
        <v>8</v>
      </c>
      <c r="B350" s="68" t="s">
        <v>390</v>
      </c>
      <c r="C350" s="8"/>
      <c r="D350" s="71"/>
      <c r="E350" s="72"/>
    </row>
    <row r="351" spans="1:5" ht="18" hidden="1" x14ac:dyDescent="0.3">
      <c r="A351" s="6" t="s">
        <v>9</v>
      </c>
      <c r="B351" s="68" t="s">
        <v>390</v>
      </c>
      <c r="C351" s="8"/>
      <c r="D351" s="71"/>
      <c r="E351" s="72"/>
    </row>
    <row r="352" spans="1:5" ht="18" hidden="1" x14ac:dyDescent="0.3">
      <c r="A352" s="12" t="s">
        <v>342</v>
      </c>
      <c r="B352" s="68" t="s">
        <v>390</v>
      </c>
      <c r="C352" s="8"/>
      <c r="D352" s="71"/>
      <c r="E352" s="72"/>
    </row>
    <row r="353" spans="1:5" ht="18" hidden="1" x14ac:dyDescent="0.3">
      <c r="A353" s="10" t="s">
        <v>11</v>
      </c>
      <c r="B353" s="68" t="s">
        <v>390</v>
      </c>
      <c r="C353" s="8"/>
      <c r="D353" s="71"/>
      <c r="E353" s="72"/>
    </row>
    <row r="354" spans="1:5" ht="16.2" customHeight="1" x14ac:dyDescent="0.3">
      <c r="A354" s="10" t="s">
        <v>12</v>
      </c>
      <c r="B354" s="68" t="s">
        <v>390</v>
      </c>
      <c r="C354" s="8">
        <v>1</v>
      </c>
      <c r="D354" s="71">
        <v>10000</v>
      </c>
      <c r="E354" s="72">
        <f>+D354*C354</f>
        <v>10000</v>
      </c>
    </row>
    <row r="355" spans="1:5" ht="18" hidden="1" x14ac:dyDescent="0.3">
      <c r="A355" s="13" t="s">
        <v>13</v>
      </c>
      <c r="B355" s="68" t="s">
        <v>392</v>
      </c>
      <c r="C355" s="8"/>
      <c r="D355" s="71"/>
      <c r="E355" s="72"/>
    </row>
    <row r="356" spans="1:5" ht="18" hidden="1" x14ac:dyDescent="0.3">
      <c r="A356" s="13" t="s">
        <v>14</v>
      </c>
      <c r="B356" s="68" t="s">
        <v>390</v>
      </c>
      <c r="C356" s="8"/>
      <c r="D356" s="71"/>
      <c r="E356" s="72"/>
    </row>
    <row r="357" spans="1:5" ht="18" hidden="1" x14ac:dyDescent="0.3">
      <c r="A357" s="10" t="s">
        <v>15</v>
      </c>
      <c r="B357" s="68" t="s">
        <v>390</v>
      </c>
      <c r="C357" s="8"/>
      <c r="D357" s="71"/>
      <c r="E357" s="72"/>
    </row>
    <row r="358" spans="1:5" ht="18" hidden="1" x14ac:dyDescent="0.3">
      <c r="A358" s="10" t="s">
        <v>16</v>
      </c>
      <c r="B358" s="68" t="s">
        <v>390</v>
      </c>
      <c r="C358" s="8"/>
      <c r="D358" s="77"/>
      <c r="E358" s="72"/>
    </row>
    <row r="359" spans="1:5" ht="18" hidden="1" x14ac:dyDescent="0.3">
      <c r="A359" s="14" t="s">
        <v>17</v>
      </c>
      <c r="B359" s="68" t="s">
        <v>392</v>
      </c>
      <c r="C359" s="8"/>
      <c r="D359" s="71"/>
      <c r="E359" s="72"/>
    </row>
    <row r="360" spans="1:5" ht="18" hidden="1" x14ac:dyDescent="0.3">
      <c r="A360" s="12" t="s">
        <v>18</v>
      </c>
      <c r="B360" s="68" t="s">
        <v>390</v>
      </c>
      <c r="C360" s="8"/>
      <c r="D360" s="71"/>
      <c r="E360" s="72"/>
    </row>
    <row r="361" spans="1:5" ht="16.2" customHeight="1" x14ac:dyDescent="0.3">
      <c r="A361" s="10" t="s">
        <v>19</v>
      </c>
      <c r="B361" s="68" t="s">
        <v>390</v>
      </c>
      <c r="C361" s="8">
        <v>2230</v>
      </c>
      <c r="D361" s="71">
        <v>13000</v>
      </c>
      <c r="E361" s="72">
        <f>+D361*C361</f>
        <v>28990000</v>
      </c>
    </row>
    <row r="362" spans="1:5" ht="18" hidden="1" x14ac:dyDescent="0.3">
      <c r="A362" s="13" t="s">
        <v>20</v>
      </c>
      <c r="B362" s="68" t="s">
        <v>392</v>
      </c>
      <c r="C362" s="8"/>
      <c r="D362" s="71"/>
      <c r="E362" s="72"/>
    </row>
    <row r="363" spans="1:5" ht="18" hidden="1" x14ac:dyDescent="0.3">
      <c r="A363" s="13" t="s">
        <v>21</v>
      </c>
      <c r="B363" s="68" t="s">
        <v>390</v>
      </c>
      <c r="C363" s="8"/>
      <c r="D363" s="71"/>
      <c r="E363" s="72"/>
    </row>
    <row r="364" spans="1:5" ht="18" hidden="1" x14ac:dyDescent="0.3">
      <c r="A364" s="10" t="s">
        <v>22</v>
      </c>
      <c r="B364" s="68" t="s">
        <v>390</v>
      </c>
      <c r="C364" s="8"/>
      <c r="D364" s="71"/>
      <c r="E364" s="72"/>
    </row>
    <row r="365" spans="1:5" ht="18" hidden="1" x14ac:dyDescent="0.3">
      <c r="A365" s="10" t="s">
        <v>23</v>
      </c>
      <c r="B365" s="68" t="s">
        <v>392</v>
      </c>
      <c r="C365" s="8"/>
      <c r="D365" s="71"/>
      <c r="E365" s="72"/>
    </row>
    <row r="366" spans="1:5" ht="18" hidden="1" x14ac:dyDescent="0.3">
      <c r="A366" s="10" t="s">
        <v>24</v>
      </c>
      <c r="B366" s="68" t="s">
        <v>390</v>
      </c>
      <c r="C366" s="8"/>
      <c r="D366" s="71"/>
      <c r="E366" s="72"/>
    </row>
    <row r="367" spans="1:5" ht="18" hidden="1" x14ac:dyDescent="0.3">
      <c r="A367" s="10" t="s">
        <v>25</v>
      </c>
      <c r="B367" s="68" t="s">
        <v>392</v>
      </c>
      <c r="C367" s="8"/>
      <c r="D367" s="71"/>
      <c r="E367" s="72"/>
    </row>
    <row r="368" spans="1:5" ht="18" hidden="1" x14ac:dyDescent="0.3">
      <c r="A368" s="10" t="s">
        <v>26</v>
      </c>
      <c r="B368" s="68" t="s">
        <v>390</v>
      </c>
      <c r="C368" s="8"/>
      <c r="D368" s="71"/>
      <c r="E368" s="72"/>
    </row>
    <row r="369" spans="1:5" ht="18" hidden="1" x14ac:dyDescent="0.3">
      <c r="A369" s="10" t="s">
        <v>27</v>
      </c>
      <c r="B369" s="68" t="s">
        <v>390</v>
      </c>
      <c r="C369" s="8"/>
      <c r="D369" s="71"/>
      <c r="E369" s="72"/>
    </row>
    <row r="370" spans="1:5" ht="18" hidden="1" x14ac:dyDescent="0.3">
      <c r="A370" s="13" t="s">
        <v>28</v>
      </c>
      <c r="B370" s="68" t="s">
        <v>390</v>
      </c>
      <c r="C370" s="8"/>
      <c r="D370" s="71"/>
      <c r="E370" s="72"/>
    </row>
    <row r="371" spans="1:5" ht="18" hidden="1" x14ac:dyDescent="0.3">
      <c r="A371" s="13" t="s">
        <v>35</v>
      </c>
      <c r="B371" s="68" t="s">
        <v>390</v>
      </c>
      <c r="C371" s="8"/>
      <c r="D371" s="71"/>
      <c r="E371" s="72"/>
    </row>
    <row r="372" spans="1:5" ht="18" hidden="1" x14ac:dyDescent="0.3">
      <c r="A372" s="10" t="s">
        <v>36</v>
      </c>
      <c r="B372" s="68" t="s">
        <v>390</v>
      </c>
      <c r="C372" s="8"/>
      <c r="D372" s="71"/>
      <c r="E372" s="72"/>
    </row>
    <row r="373" spans="1:5" ht="18" hidden="1" x14ac:dyDescent="0.3">
      <c r="A373" s="10" t="s">
        <v>37</v>
      </c>
      <c r="B373" s="68" t="s">
        <v>393</v>
      </c>
      <c r="C373" s="8"/>
      <c r="D373" s="71"/>
      <c r="E373" s="72"/>
    </row>
    <row r="374" spans="1:5" ht="18" hidden="1" x14ac:dyDescent="0.3">
      <c r="A374" s="12" t="s">
        <v>38</v>
      </c>
      <c r="B374" s="68" t="s">
        <v>390</v>
      </c>
      <c r="C374" s="17"/>
      <c r="D374" s="71"/>
      <c r="E374" s="72"/>
    </row>
    <row r="375" spans="1:5" ht="18" hidden="1" x14ac:dyDescent="0.3">
      <c r="A375" s="12" t="s">
        <v>39</v>
      </c>
      <c r="B375" s="68" t="s">
        <v>390</v>
      </c>
      <c r="C375" s="17"/>
      <c r="D375" s="71"/>
      <c r="E375" s="72"/>
    </row>
    <row r="376" spans="1:5" ht="18" hidden="1" x14ac:dyDescent="0.3">
      <c r="A376" s="10" t="s">
        <v>40</v>
      </c>
      <c r="B376" s="68" t="s">
        <v>390</v>
      </c>
      <c r="C376" s="8"/>
      <c r="D376" s="71"/>
      <c r="E376" s="72"/>
    </row>
    <row r="377" spans="1:5" ht="18" hidden="1" x14ac:dyDescent="0.3">
      <c r="A377" s="10" t="s">
        <v>41</v>
      </c>
      <c r="B377" s="68" t="s">
        <v>390</v>
      </c>
      <c r="C377" s="8"/>
      <c r="D377" s="71"/>
      <c r="E377" s="72"/>
    </row>
    <row r="378" spans="1:5" ht="18" hidden="1" x14ac:dyDescent="0.3">
      <c r="A378" s="18" t="s">
        <v>42</v>
      </c>
      <c r="B378" s="68" t="s">
        <v>394</v>
      </c>
      <c r="C378" s="8"/>
      <c r="D378" s="71"/>
      <c r="E378" s="72"/>
    </row>
    <row r="379" spans="1:5" ht="18" hidden="1" x14ac:dyDescent="0.3">
      <c r="A379" s="10" t="s">
        <v>43</v>
      </c>
      <c r="B379" s="68" t="s">
        <v>390</v>
      </c>
      <c r="C379" s="8"/>
      <c r="D379" s="71"/>
      <c r="E379" s="72"/>
    </row>
    <row r="380" spans="1:5" ht="18" hidden="1" x14ac:dyDescent="0.3">
      <c r="A380" s="10" t="s">
        <v>44</v>
      </c>
      <c r="B380" s="68" t="s">
        <v>395</v>
      </c>
      <c r="C380" s="8"/>
      <c r="D380" s="71"/>
      <c r="E380" s="72"/>
    </row>
    <row r="381" spans="1:5" ht="18" hidden="1" x14ac:dyDescent="0.3">
      <c r="A381" s="10" t="s">
        <v>45</v>
      </c>
      <c r="B381" s="68" t="s">
        <v>390</v>
      </c>
      <c r="C381" s="8"/>
      <c r="D381" s="71"/>
      <c r="E381" s="72"/>
    </row>
    <row r="382" spans="1:5" ht="18" hidden="1" x14ac:dyDescent="0.3">
      <c r="A382" s="10" t="s">
        <v>46</v>
      </c>
      <c r="B382" s="68" t="s">
        <v>390</v>
      </c>
      <c r="C382" s="8"/>
      <c r="D382" s="100"/>
      <c r="E382" s="72"/>
    </row>
    <row r="383" spans="1:5" ht="18" hidden="1" x14ac:dyDescent="0.3">
      <c r="A383" s="14" t="s">
        <v>47</v>
      </c>
      <c r="B383" s="68" t="s">
        <v>395</v>
      </c>
      <c r="C383" s="8"/>
      <c r="D383" s="71"/>
      <c r="E383" s="72"/>
    </row>
    <row r="384" spans="1:5" ht="18" hidden="1" x14ac:dyDescent="0.3">
      <c r="A384" s="12" t="s">
        <v>48</v>
      </c>
      <c r="B384" s="68" t="s">
        <v>390</v>
      </c>
      <c r="C384" s="8"/>
      <c r="D384" s="71"/>
      <c r="E384" s="72"/>
    </row>
    <row r="385" spans="1:5" ht="18" hidden="1" x14ac:dyDescent="0.3">
      <c r="A385" s="14" t="s">
        <v>49</v>
      </c>
      <c r="B385" s="68" t="s">
        <v>394</v>
      </c>
      <c r="C385" s="8"/>
      <c r="D385" s="71"/>
      <c r="E385" s="72"/>
    </row>
    <row r="386" spans="1:5" ht="18" hidden="1" x14ac:dyDescent="0.3">
      <c r="A386" s="10" t="s">
        <v>50</v>
      </c>
      <c r="B386" s="68" t="s">
        <v>390</v>
      </c>
      <c r="C386" s="8"/>
      <c r="D386" s="71"/>
      <c r="E386" s="72"/>
    </row>
    <row r="387" spans="1:5" ht="18" hidden="1" x14ac:dyDescent="0.3">
      <c r="A387" s="10" t="s">
        <v>51</v>
      </c>
      <c r="B387" s="68" t="s">
        <v>390</v>
      </c>
      <c r="C387" s="8"/>
      <c r="D387" s="71"/>
      <c r="E387" s="72"/>
    </row>
    <row r="388" spans="1:5" ht="16.2" customHeight="1" x14ac:dyDescent="0.3">
      <c r="A388" s="13" t="s">
        <v>52</v>
      </c>
      <c r="B388" s="68" t="s">
        <v>390</v>
      </c>
      <c r="C388" s="8">
        <v>424</v>
      </c>
      <c r="D388" s="71">
        <v>20000</v>
      </c>
      <c r="E388" s="72">
        <f>+D388*C388</f>
        <v>8480000</v>
      </c>
    </row>
    <row r="389" spans="1:5" ht="18" hidden="1" x14ac:dyDescent="0.3">
      <c r="A389" s="31" t="s">
        <v>53</v>
      </c>
      <c r="B389" s="68" t="s">
        <v>390</v>
      </c>
      <c r="C389" s="8"/>
      <c r="D389" s="71"/>
      <c r="E389" s="79"/>
    </row>
    <row r="390" spans="1:5" ht="16.2" customHeight="1" x14ac:dyDescent="0.3">
      <c r="A390" s="18" t="s">
        <v>54</v>
      </c>
      <c r="B390" s="68" t="s">
        <v>396</v>
      </c>
      <c r="C390" s="8">
        <v>53</v>
      </c>
      <c r="D390" s="71">
        <v>8400</v>
      </c>
      <c r="E390" s="72">
        <f>+D390*C390</f>
        <v>445200</v>
      </c>
    </row>
    <row r="391" spans="1:5" ht="18" hidden="1" x14ac:dyDescent="0.3">
      <c r="A391" s="18" t="s">
        <v>55</v>
      </c>
      <c r="B391" s="68" t="s">
        <v>396</v>
      </c>
      <c r="C391" s="8"/>
      <c r="D391" s="71"/>
      <c r="E391" s="72"/>
    </row>
    <row r="392" spans="1:5" ht="18" hidden="1" x14ac:dyDescent="0.3">
      <c r="A392" s="18" t="s">
        <v>56</v>
      </c>
      <c r="B392" s="68" t="s">
        <v>390</v>
      </c>
      <c r="C392" s="8"/>
      <c r="D392" s="71"/>
      <c r="E392" s="79"/>
    </row>
    <row r="393" spans="1:5" ht="18" hidden="1" x14ac:dyDescent="0.3">
      <c r="A393" s="10" t="s">
        <v>57</v>
      </c>
      <c r="B393" s="68" t="s">
        <v>390</v>
      </c>
      <c r="C393" s="8"/>
      <c r="D393" s="71"/>
      <c r="E393" s="79"/>
    </row>
    <row r="394" spans="1:5" ht="18" hidden="1" x14ac:dyDescent="0.3">
      <c r="A394" s="12" t="s">
        <v>58</v>
      </c>
      <c r="B394" s="68" t="s">
        <v>390</v>
      </c>
      <c r="C394" s="8"/>
      <c r="D394" s="71"/>
      <c r="E394" s="72"/>
    </row>
    <row r="395" spans="1:5" ht="18" hidden="1" x14ac:dyDescent="0.3">
      <c r="A395" s="10" t="s">
        <v>59</v>
      </c>
      <c r="B395" s="68" t="s">
        <v>390</v>
      </c>
      <c r="C395" s="8"/>
      <c r="D395" s="71"/>
      <c r="E395" s="79"/>
    </row>
    <row r="396" spans="1:5" ht="18" hidden="1" x14ac:dyDescent="0.3">
      <c r="A396" s="10" t="s">
        <v>60</v>
      </c>
      <c r="B396" s="68" t="s">
        <v>390</v>
      </c>
      <c r="C396" s="8"/>
      <c r="D396" s="71"/>
      <c r="E396" s="72"/>
    </row>
    <row r="397" spans="1:5" ht="18" hidden="1" x14ac:dyDescent="0.3">
      <c r="A397" s="18" t="s">
        <v>61</v>
      </c>
      <c r="B397" s="68" t="s">
        <v>396</v>
      </c>
      <c r="C397" s="8"/>
      <c r="D397" s="71"/>
      <c r="E397" s="72"/>
    </row>
    <row r="398" spans="1:5" ht="18" hidden="1" x14ac:dyDescent="0.3">
      <c r="A398" s="10" t="s">
        <v>62</v>
      </c>
      <c r="B398" s="68" t="s">
        <v>393</v>
      </c>
      <c r="C398" s="8"/>
      <c r="D398" s="71"/>
      <c r="E398" s="79"/>
    </row>
    <row r="399" spans="1:5" ht="18" hidden="1" x14ac:dyDescent="0.3">
      <c r="A399" s="21" t="s">
        <v>63</v>
      </c>
      <c r="B399" s="68" t="s">
        <v>390</v>
      </c>
      <c r="C399" s="8"/>
      <c r="D399" s="71"/>
      <c r="E399" s="72"/>
    </row>
    <row r="400" spans="1:5" ht="18" hidden="1" x14ac:dyDescent="0.3">
      <c r="A400" s="10" t="s">
        <v>64</v>
      </c>
      <c r="B400" s="68" t="s">
        <v>390</v>
      </c>
      <c r="C400" s="8"/>
      <c r="D400" s="71"/>
      <c r="E400" s="79"/>
    </row>
    <row r="401" spans="1:5" ht="18" hidden="1" x14ac:dyDescent="0.3">
      <c r="A401" s="10" t="s">
        <v>65</v>
      </c>
      <c r="B401" s="68" t="s">
        <v>390</v>
      </c>
      <c r="C401" s="8"/>
      <c r="D401" s="71"/>
      <c r="E401" s="79"/>
    </row>
    <row r="402" spans="1:5" ht="18" hidden="1" x14ac:dyDescent="0.3">
      <c r="A402" s="22" t="s">
        <v>66</v>
      </c>
      <c r="B402" s="68" t="s">
        <v>390</v>
      </c>
      <c r="C402" s="8"/>
      <c r="D402" s="71"/>
      <c r="E402" s="79"/>
    </row>
    <row r="403" spans="1:5" ht="18" hidden="1" x14ac:dyDescent="0.3">
      <c r="A403" s="45" t="s">
        <v>67</v>
      </c>
      <c r="B403" s="68" t="s">
        <v>390</v>
      </c>
      <c r="C403" s="8"/>
      <c r="D403" s="71"/>
      <c r="E403" s="72"/>
    </row>
    <row r="404" spans="1:5" ht="18" hidden="1" x14ac:dyDescent="0.3">
      <c r="A404" s="13" t="s">
        <v>68</v>
      </c>
      <c r="B404" s="68" t="s">
        <v>396</v>
      </c>
      <c r="C404" s="8"/>
      <c r="D404" s="71"/>
      <c r="E404" s="72"/>
    </row>
    <row r="405" spans="1:5" ht="18" hidden="1" x14ac:dyDescent="0.3">
      <c r="A405" s="12" t="s">
        <v>69</v>
      </c>
      <c r="B405" s="68" t="s">
        <v>390</v>
      </c>
      <c r="C405" s="8"/>
      <c r="D405" s="71"/>
      <c r="E405" s="72"/>
    </row>
    <row r="406" spans="1:5" ht="18" hidden="1" x14ac:dyDescent="0.3">
      <c r="A406" s="13" t="s">
        <v>70</v>
      </c>
      <c r="B406" s="68" t="s">
        <v>390</v>
      </c>
      <c r="C406" s="8"/>
      <c r="D406" s="71"/>
      <c r="E406" s="72"/>
    </row>
    <row r="407" spans="1:5" ht="18" hidden="1" x14ac:dyDescent="0.3">
      <c r="A407" s="13" t="s">
        <v>71</v>
      </c>
      <c r="B407" s="68" t="s">
        <v>390</v>
      </c>
      <c r="C407" s="8"/>
      <c r="D407" s="71"/>
      <c r="E407" s="72"/>
    </row>
    <row r="408" spans="1:5" ht="18" hidden="1" x14ac:dyDescent="0.3">
      <c r="A408" s="13" t="s">
        <v>72</v>
      </c>
      <c r="B408" s="68" t="s">
        <v>396</v>
      </c>
      <c r="C408" s="8"/>
      <c r="D408" s="71"/>
      <c r="E408" s="72"/>
    </row>
    <row r="409" spans="1:5" ht="18" hidden="1" x14ac:dyDescent="0.3">
      <c r="A409" s="22" t="s">
        <v>73</v>
      </c>
      <c r="B409" s="68" t="s">
        <v>390</v>
      </c>
      <c r="C409" s="8"/>
      <c r="D409" s="71"/>
      <c r="E409" s="72"/>
    </row>
    <row r="410" spans="1:5" ht="18" hidden="1" x14ac:dyDescent="0.3">
      <c r="A410" s="10" t="s">
        <v>74</v>
      </c>
      <c r="B410" s="68" t="s">
        <v>396</v>
      </c>
      <c r="C410" s="8"/>
      <c r="D410" s="71"/>
      <c r="E410" s="72"/>
    </row>
    <row r="411" spans="1:5" ht="18" hidden="1" x14ac:dyDescent="0.3">
      <c r="A411" s="10" t="s">
        <v>75</v>
      </c>
      <c r="B411" s="68" t="s">
        <v>394</v>
      </c>
      <c r="C411" s="8"/>
      <c r="D411" s="71"/>
      <c r="E411" s="72"/>
    </row>
    <row r="412" spans="1:5" ht="18" hidden="1" x14ac:dyDescent="0.3">
      <c r="A412" s="13" t="s">
        <v>76</v>
      </c>
      <c r="B412" s="68" t="s">
        <v>390</v>
      </c>
      <c r="C412" s="8"/>
      <c r="D412" s="71"/>
      <c r="E412" s="72"/>
    </row>
    <row r="413" spans="1:5" ht="16.2" customHeight="1" x14ac:dyDescent="0.3">
      <c r="A413" s="10" t="s">
        <v>77</v>
      </c>
      <c r="B413" s="68" t="s">
        <v>390</v>
      </c>
      <c r="C413" s="8">
        <v>63</v>
      </c>
      <c r="D413" s="71">
        <v>25000</v>
      </c>
      <c r="E413" s="72">
        <f>+D413*C413</f>
        <v>1575000</v>
      </c>
    </row>
    <row r="414" spans="1:5" ht="18" hidden="1" x14ac:dyDescent="0.3">
      <c r="A414" s="14" t="s">
        <v>78</v>
      </c>
      <c r="B414" s="68" t="s">
        <v>394</v>
      </c>
      <c r="C414" s="8"/>
      <c r="D414" s="71"/>
      <c r="E414" s="72"/>
    </row>
    <row r="415" spans="1:5" ht="18" hidden="1" x14ac:dyDescent="0.3">
      <c r="A415" s="10" t="s">
        <v>79</v>
      </c>
      <c r="B415" s="68" t="s">
        <v>397</v>
      </c>
      <c r="C415" s="8"/>
      <c r="D415" s="71"/>
      <c r="E415" s="72"/>
    </row>
    <row r="416" spans="1:5" ht="18" hidden="1" x14ac:dyDescent="0.3">
      <c r="A416" s="10" t="s">
        <v>80</v>
      </c>
      <c r="B416" s="68" t="s">
        <v>390</v>
      </c>
      <c r="C416" s="8"/>
      <c r="D416" s="71"/>
      <c r="E416" s="72"/>
    </row>
    <row r="417" spans="1:5" ht="18" hidden="1" x14ac:dyDescent="0.3">
      <c r="A417" s="10" t="s">
        <v>81</v>
      </c>
      <c r="B417" s="68" t="s">
        <v>390</v>
      </c>
      <c r="C417" s="8"/>
      <c r="D417" s="71"/>
      <c r="E417" s="72"/>
    </row>
    <row r="418" spans="1:5" ht="18" hidden="1" x14ac:dyDescent="0.3">
      <c r="A418" s="13" t="s">
        <v>82</v>
      </c>
      <c r="B418" s="68" t="s">
        <v>390</v>
      </c>
      <c r="C418" s="17"/>
      <c r="D418" s="71"/>
      <c r="E418" s="72"/>
    </row>
    <row r="419" spans="1:5" ht="18" hidden="1" x14ac:dyDescent="0.3">
      <c r="A419" s="13" t="s">
        <v>83</v>
      </c>
      <c r="B419" s="68" t="s">
        <v>390</v>
      </c>
      <c r="C419" s="17"/>
      <c r="D419" s="71"/>
      <c r="E419" s="72"/>
    </row>
    <row r="420" spans="1:5" ht="18" hidden="1" x14ac:dyDescent="0.3">
      <c r="A420" s="13" t="s">
        <v>84</v>
      </c>
      <c r="B420" s="68" t="s">
        <v>394</v>
      </c>
      <c r="C420" s="17"/>
      <c r="D420" s="71"/>
      <c r="E420" s="72"/>
    </row>
    <row r="421" spans="1:5" ht="18" hidden="1" x14ac:dyDescent="0.3">
      <c r="A421" s="10" t="s">
        <v>85</v>
      </c>
      <c r="B421" s="68" t="s">
        <v>390</v>
      </c>
      <c r="C421" s="8"/>
      <c r="D421" s="71"/>
      <c r="E421" s="72"/>
    </row>
    <row r="422" spans="1:5" ht="18" hidden="1" x14ac:dyDescent="0.3">
      <c r="A422" s="10" t="s">
        <v>86</v>
      </c>
      <c r="B422" s="68" t="s">
        <v>390</v>
      </c>
      <c r="C422" s="8"/>
      <c r="D422" s="71"/>
      <c r="E422" s="72"/>
    </row>
    <row r="423" spans="1:5" ht="18" hidden="1" x14ac:dyDescent="0.3">
      <c r="A423" s="10" t="s">
        <v>87</v>
      </c>
      <c r="B423" s="68" t="s">
        <v>393</v>
      </c>
      <c r="C423" s="8"/>
      <c r="D423" s="71"/>
      <c r="E423" s="72"/>
    </row>
    <row r="424" spans="1:5" ht="18" hidden="1" x14ac:dyDescent="0.3">
      <c r="A424" s="10" t="s">
        <v>88</v>
      </c>
      <c r="B424" s="68" t="s">
        <v>390</v>
      </c>
      <c r="C424" s="8"/>
      <c r="D424" s="71"/>
      <c r="E424" s="72"/>
    </row>
    <row r="425" spans="1:5" ht="18" hidden="1" x14ac:dyDescent="0.3">
      <c r="A425" s="10" t="s">
        <v>89</v>
      </c>
      <c r="B425" s="68" t="s">
        <v>393</v>
      </c>
      <c r="C425" s="8"/>
      <c r="D425" s="71"/>
      <c r="E425" s="72"/>
    </row>
    <row r="426" spans="1:5" ht="16.2" customHeight="1" x14ac:dyDescent="0.3">
      <c r="A426" s="10" t="s">
        <v>90</v>
      </c>
      <c r="B426" s="68" t="s">
        <v>390</v>
      </c>
      <c r="C426" s="8">
        <v>7</v>
      </c>
      <c r="D426" s="71">
        <v>9000</v>
      </c>
      <c r="E426" s="72">
        <f>+D426*C426</f>
        <v>63000</v>
      </c>
    </row>
    <row r="427" spans="1:5" ht="18" hidden="1" x14ac:dyDescent="0.3">
      <c r="A427" s="23" t="s">
        <v>91</v>
      </c>
      <c r="B427" s="68" t="s">
        <v>398</v>
      </c>
      <c r="C427" s="8"/>
      <c r="D427" s="71"/>
      <c r="E427" s="72"/>
    </row>
    <row r="428" spans="1:5" ht="18" hidden="1" x14ac:dyDescent="0.3">
      <c r="A428" s="23" t="s">
        <v>92</v>
      </c>
      <c r="B428" s="68" t="s">
        <v>396</v>
      </c>
      <c r="C428" s="8"/>
      <c r="D428" s="71"/>
      <c r="E428" s="72"/>
    </row>
    <row r="429" spans="1:5" ht="18" hidden="1" x14ac:dyDescent="0.3">
      <c r="A429" s="23" t="s">
        <v>93</v>
      </c>
      <c r="B429" s="68" t="s">
        <v>396</v>
      </c>
      <c r="C429" s="8"/>
      <c r="D429" s="71"/>
      <c r="E429" s="72"/>
    </row>
    <row r="430" spans="1:5" ht="18" hidden="1" x14ac:dyDescent="0.3">
      <c r="A430" s="12" t="s">
        <v>94</v>
      </c>
      <c r="B430" s="68" t="s">
        <v>390</v>
      </c>
      <c r="C430" s="8"/>
      <c r="D430" s="71"/>
      <c r="E430" s="72"/>
    </row>
    <row r="431" spans="1:5" ht="18" hidden="1" x14ac:dyDescent="0.3">
      <c r="A431" s="14" t="s">
        <v>95</v>
      </c>
      <c r="B431" s="68" t="s">
        <v>394</v>
      </c>
      <c r="C431" s="8"/>
      <c r="D431" s="71"/>
      <c r="E431" s="72"/>
    </row>
    <row r="432" spans="1:5" ht="18" hidden="1" x14ac:dyDescent="0.3">
      <c r="A432" s="12" t="s">
        <v>343</v>
      </c>
      <c r="B432" s="68" t="s">
        <v>390</v>
      </c>
      <c r="C432" s="8"/>
      <c r="D432" s="71"/>
      <c r="E432" s="72"/>
    </row>
    <row r="433" spans="1:5" ht="18" hidden="1" x14ac:dyDescent="0.3">
      <c r="A433" s="10" t="s">
        <v>96</v>
      </c>
      <c r="B433" s="68" t="s">
        <v>390</v>
      </c>
      <c r="C433" s="8"/>
      <c r="D433" s="71"/>
      <c r="E433" s="72"/>
    </row>
    <row r="434" spans="1:5" ht="18" hidden="1" x14ac:dyDescent="0.3">
      <c r="A434" s="10" t="s">
        <v>97</v>
      </c>
      <c r="B434" s="68" t="s">
        <v>393</v>
      </c>
      <c r="C434" s="8"/>
      <c r="D434" s="71"/>
      <c r="E434" s="72"/>
    </row>
    <row r="435" spans="1:5" ht="18" hidden="1" x14ac:dyDescent="0.3">
      <c r="A435" s="12" t="s">
        <v>344</v>
      </c>
      <c r="B435" s="68" t="s">
        <v>390</v>
      </c>
      <c r="C435" s="8"/>
      <c r="D435" s="71"/>
      <c r="E435" s="72"/>
    </row>
    <row r="436" spans="1:5" ht="18" hidden="1" x14ac:dyDescent="0.3">
      <c r="A436" s="12" t="s">
        <v>345</v>
      </c>
      <c r="B436" s="68" t="s">
        <v>393</v>
      </c>
      <c r="C436" s="8"/>
      <c r="D436" s="71"/>
      <c r="E436" s="72"/>
    </row>
    <row r="437" spans="1:5" ht="18" hidden="1" x14ac:dyDescent="0.3">
      <c r="A437" s="10" t="s">
        <v>99</v>
      </c>
      <c r="B437" s="68" t="s">
        <v>390</v>
      </c>
      <c r="C437" s="17"/>
      <c r="D437" s="71"/>
      <c r="E437" s="72"/>
    </row>
    <row r="438" spans="1:5" ht="18" hidden="1" x14ac:dyDescent="0.3">
      <c r="A438" s="23" t="s">
        <v>101</v>
      </c>
      <c r="B438" s="68" t="s">
        <v>393</v>
      </c>
      <c r="C438" s="8"/>
      <c r="D438" s="71"/>
      <c r="E438" s="72"/>
    </row>
    <row r="439" spans="1:5" ht="18" hidden="1" x14ac:dyDescent="0.3">
      <c r="A439" s="12" t="s">
        <v>102</v>
      </c>
      <c r="B439" s="68" t="s">
        <v>390</v>
      </c>
      <c r="C439" s="8"/>
      <c r="D439" s="71"/>
      <c r="E439" s="72"/>
    </row>
    <row r="440" spans="1:5" ht="18" hidden="1" x14ac:dyDescent="0.3">
      <c r="A440" s="12" t="s">
        <v>346</v>
      </c>
      <c r="B440" s="68" t="s">
        <v>390</v>
      </c>
      <c r="C440" s="8"/>
      <c r="D440" s="71"/>
      <c r="E440" s="72"/>
    </row>
    <row r="441" spans="1:5" ht="18" hidden="1" x14ac:dyDescent="0.3">
      <c r="A441" s="10" t="s">
        <v>103</v>
      </c>
      <c r="B441" s="68" t="s">
        <v>390</v>
      </c>
      <c r="C441" s="8"/>
      <c r="D441" s="71"/>
      <c r="E441" s="72"/>
    </row>
    <row r="442" spans="1:5" ht="18" hidden="1" x14ac:dyDescent="0.3">
      <c r="A442" s="18" t="s">
        <v>104</v>
      </c>
      <c r="B442" s="68" t="s">
        <v>391</v>
      </c>
      <c r="C442" s="8"/>
      <c r="D442" s="71"/>
      <c r="E442" s="72"/>
    </row>
    <row r="443" spans="1:5" ht="18" hidden="1" x14ac:dyDescent="0.3">
      <c r="A443" s="26" t="s">
        <v>105</v>
      </c>
      <c r="B443" s="68" t="s">
        <v>390</v>
      </c>
      <c r="C443" s="8"/>
      <c r="D443" s="71"/>
      <c r="E443" s="72"/>
    </row>
    <row r="444" spans="1:5" ht="18" hidden="1" x14ac:dyDescent="0.3">
      <c r="A444" s="26" t="s">
        <v>106</v>
      </c>
      <c r="B444" s="68" t="s">
        <v>391</v>
      </c>
      <c r="C444" s="8"/>
      <c r="D444" s="71"/>
      <c r="E444" s="72"/>
    </row>
    <row r="445" spans="1:5" ht="18" hidden="1" x14ac:dyDescent="0.3">
      <c r="A445" s="25" t="s">
        <v>107</v>
      </c>
      <c r="B445" s="68" t="s">
        <v>390</v>
      </c>
      <c r="C445" s="8"/>
      <c r="D445" s="71"/>
      <c r="E445" s="72"/>
    </row>
    <row r="446" spans="1:5" ht="18" hidden="1" x14ac:dyDescent="0.3">
      <c r="A446" s="27" t="s">
        <v>108</v>
      </c>
      <c r="B446" s="68" t="s">
        <v>399</v>
      </c>
      <c r="C446" s="8"/>
      <c r="D446" s="71"/>
      <c r="E446" s="72"/>
    </row>
    <row r="447" spans="1:5" ht="18" hidden="1" x14ac:dyDescent="0.3">
      <c r="A447" s="10" t="s">
        <v>109</v>
      </c>
      <c r="B447" s="68" t="s">
        <v>390</v>
      </c>
      <c r="C447" s="8"/>
      <c r="D447" s="71"/>
      <c r="E447" s="72"/>
    </row>
    <row r="448" spans="1:5" ht="18" hidden="1" x14ac:dyDescent="0.3">
      <c r="A448" s="10" t="s">
        <v>110</v>
      </c>
      <c r="B448" s="68" t="s">
        <v>390</v>
      </c>
      <c r="C448" s="8"/>
      <c r="D448" s="71"/>
      <c r="E448" s="72"/>
    </row>
    <row r="449" spans="1:5" ht="18" hidden="1" x14ac:dyDescent="0.3">
      <c r="A449" s="10" t="s">
        <v>111</v>
      </c>
      <c r="B449" s="68" t="s">
        <v>390</v>
      </c>
      <c r="C449" s="8"/>
      <c r="D449" s="71"/>
      <c r="E449" s="72"/>
    </row>
    <row r="450" spans="1:5" ht="18" hidden="1" x14ac:dyDescent="0.3">
      <c r="A450" s="10" t="s">
        <v>112</v>
      </c>
      <c r="B450" s="68" t="s">
        <v>395</v>
      </c>
      <c r="C450" s="8"/>
      <c r="D450" s="71"/>
      <c r="E450" s="72"/>
    </row>
    <row r="451" spans="1:5" ht="18" hidden="1" x14ac:dyDescent="0.3">
      <c r="A451" s="10" t="s">
        <v>114</v>
      </c>
      <c r="B451" s="68" t="s">
        <v>390</v>
      </c>
      <c r="C451" s="8"/>
      <c r="D451" s="71"/>
      <c r="E451" s="72"/>
    </row>
    <row r="452" spans="1:5" ht="18" hidden="1" x14ac:dyDescent="0.3">
      <c r="A452" s="10" t="s">
        <v>115</v>
      </c>
      <c r="B452" s="68" t="s">
        <v>394</v>
      </c>
      <c r="C452" s="8"/>
      <c r="D452" s="71"/>
      <c r="E452" s="72"/>
    </row>
    <row r="453" spans="1:5" ht="18" hidden="1" x14ac:dyDescent="0.3">
      <c r="A453" s="10" t="s">
        <v>347</v>
      </c>
      <c r="B453" s="68" t="s">
        <v>390</v>
      </c>
      <c r="C453" s="8"/>
      <c r="D453" s="71"/>
      <c r="E453" s="72"/>
    </row>
    <row r="454" spans="1:5" ht="18" hidden="1" x14ac:dyDescent="0.3">
      <c r="A454" s="10" t="s">
        <v>116</v>
      </c>
      <c r="B454" s="68" t="s">
        <v>390</v>
      </c>
      <c r="C454" s="8"/>
      <c r="D454" s="71"/>
      <c r="E454" s="72"/>
    </row>
    <row r="455" spans="1:5" ht="18" hidden="1" x14ac:dyDescent="0.3">
      <c r="A455" s="12" t="s">
        <v>117</v>
      </c>
      <c r="B455" s="68" t="s">
        <v>390</v>
      </c>
      <c r="C455" s="8"/>
      <c r="D455" s="71"/>
      <c r="E455" s="72"/>
    </row>
    <row r="456" spans="1:5" ht="18" hidden="1" x14ac:dyDescent="0.3">
      <c r="A456" s="23" t="s">
        <v>118</v>
      </c>
      <c r="B456" s="68" t="s">
        <v>392</v>
      </c>
      <c r="C456" s="8"/>
      <c r="D456" s="71"/>
      <c r="E456" s="72"/>
    </row>
    <row r="457" spans="1:5" ht="18" hidden="1" x14ac:dyDescent="0.3">
      <c r="A457" s="10" t="s">
        <v>119</v>
      </c>
      <c r="B457" s="68" t="s">
        <v>400</v>
      </c>
      <c r="C457" s="8"/>
      <c r="D457" s="71"/>
      <c r="E457" s="72"/>
    </row>
    <row r="458" spans="1:5" ht="18" hidden="1" x14ac:dyDescent="0.3">
      <c r="A458" s="12" t="s">
        <v>120</v>
      </c>
      <c r="B458" s="68" t="s">
        <v>400</v>
      </c>
      <c r="C458" s="8"/>
      <c r="D458" s="71"/>
      <c r="E458" s="72"/>
    </row>
    <row r="459" spans="1:5" ht="18" hidden="1" x14ac:dyDescent="0.3">
      <c r="A459" s="12" t="s">
        <v>121</v>
      </c>
      <c r="B459" s="68" t="s">
        <v>400</v>
      </c>
      <c r="C459" s="8"/>
      <c r="D459" s="71"/>
      <c r="E459" s="72"/>
    </row>
    <row r="460" spans="1:5" ht="18" hidden="1" x14ac:dyDescent="0.3">
      <c r="A460" s="10" t="s">
        <v>122</v>
      </c>
      <c r="B460" s="68" t="s">
        <v>390</v>
      </c>
      <c r="C460" s="8"/>
      <c r="D460" s="71"/>
      <c r="E460" s="72"/>
    </row>
    <row r="461" spans="1:5" ht="18" hidden="1" x14ac:dyDescent="0.3">
      <c r="A461" s="11" t="s">
        <v>124</v>
      </c>
      <c r="B461" s="68" t="s">
        <v>390</v>
      </c>
      <c r="C461" s="8"/>
      <c r="D461" s="71"/>
      <c r="E461" s="72"/>
    </row>
    <row r="462" spans="1:5" ht="18" hidden="1" x14ac:dyDescent="0.3">
      <c r="A462" s="14" t="s">
        <v>125</v>
      </c>
      <c r="B462" s="68" t="s">
        <v>396</v>
      </c>
      <c r="C462" s="8"/>
      <c r="D462" s="71"/>
      <c r="E462" s="72"/>
    </row>
    <row r="463" spans="1:5" ht="18" hidden="1" x14ac:dyDescent="0.3">
      <c r="A463" s="13" t="s">
        <v>126</v>
      </c>
      <c r="B463" s="68" t="s">
        <v>396</v>
      </c>
      <c r="C463" s="17"/>
      <c r="D463" s="71"/>
      <c r="E463" s="72"/>
    </row>
    <row r="464" spans="1:5" ht="18" hidden="1" x14ac:dyDescent="0.3">
      <c r="A464" s="13" t="s">
        <v>127</v>
      </c>
      <c r="B464" s="68" t="s">
        <v>390</v>
      </c>
      <c r="C464" s="17"/>
      <c r="D464" s="71"/>
      <c r="E464" s="72"/>
    </row>
    <row r="465" spans="1:5" ht="18" hidden="1" x14ac:dyDescent="0.3">
      <c r="A465" s="13" t="s">
        <v>128</v>
      </c>
      <c r="B465" s="68" t="s">
        <v>390</v>
      </c>
      <c r="C465" s="17"/>
      <c r="D465" s="71"/>
      <c r="E465" s="72"/>
    </row>
    <row r="466" spans="1:5" ht="18" hidden="1" x14ac:dyDescent="0.3">
      <c r="A466" s="13" t="s">
        <v>129</v>
      </c>
      <c r="B466" s="68" t="s">
        <v>390</v>
      </c>
      <c r="C466" s="29"/>
      <c r="D466" s="71"/>
      <c r="E466" s="72"/>
    </row>
    <row r="467" spans="1:5" ht="18" hidden="1" x14ac:dyDescent="0.3">
      <c r="A467" s="30" t="s">
        <v>130</v>
      </c>
      <c r="B467" s="68" t="s">
        <v>394</v>
      </c>
      <c r="C467" s="8"/>
      <c r="D467" s="71"/>
      <c r="E467" s="72"/>
    </row>
    <row r="468" spans="1:5" ht="18" hidden="1" x14ac:dyDescent="0.3">
      <c r="A468" s="13" t="s">
        <v>131</v>
      </c>
      <c r="B468" s="68" t="s">
        <v>390</v>
      </c>
      <c r="C468" s="17"/>
      <c r="D468" s="71"/>
      <c r="E468" s="72"/>
    </row>
    <row r="469" spans="1:5" ht="18" hidden="1" x14ac:dyDescent="0.3">
      <c r="A469" s="10" t="s">
        <v>132</v>
      </c>
      <c r="B469" s="68" t="s">
        <v>390</v>
      </c>
      <c r="C469" s="8"/>
      <c r="D469" s="71"/>
      <c r="E469" s="72"/>
    </row>
    <row r="470" spans="1:5" ht="18" hidden="1" x14ac:dyDescent="0.3">
      <c r="A470" s="10" t="s">
        <v>133</v>
      </c>
      <c r="B470" s="68" t="s">
        <v>398</v>
      </c>
      <c r="C470" s="8"/>
      <c r="D470" s="71"/>
      <c r="E470" s="72"/>
    </row>
    <row r="471" spans="1:5" ht="16.2" customHeight="1" x14ac:dyDescent="0.3">
      <c r="A471" s="10" t="s">
        <v>135</v>
      </c>
      <c r="B471" s="68" t="s">
        <v>390</v>
      </c>
      <c r="C471" s="8">
        <v>90</v>
      </c>
      <c r="D471" s="71">
        <v>13000</v>
      </c>
      <c r="E471" s="72">
        <f>+D471*C471</f>
        <v>1170000</v>
      </c>
    </row>
    <row r="472" spans="1:5" ht="18" hidden="1" x14ac:dyDescent="0.3">
      <c r="A472" s="18" t="s">
        <v>136</v>
      </c>
      <c r="B472" s="68" t="s">
        <v>393</v>
      </c>
      <c r="C472" s="8"/>
      <c r="D472" s="71"/>
      <c r="E472" s="72"/>
    </row>
    <row r="473" spans="1:5" ht="18" hidden="1" x14ac:dyDescent="0.3">
      <c r="A473" s="13" t="s">
        <v>137</v>
      </c>
      <c r="B473" s="68" t="s">
        <v>390</v>
      </c>
      <c r="C473" s="8"/>
      <c r="D473" s="71"/>
      <c r="E473" s="72"/>
    </row>
    <row r="474" spans="1:5" ht="18" hidden="1" x14ac:dyDescent="0.3">
      <c r="A474" s="13" t="s">
        <v>138</v>
      </c>
      <c r="B474" s="68" t="s">
        <v>393</v>
      </c>
      <c r="C474" s="8"/>
      <c r="D474" s="71"/>
      <c r="E474" s="72"/>
    </row>
    <row r="475" spans="1:5" ht="18" hidden="1" x14ac:dyDescent="0.3">
      <c r="A475" s="10" t="s">
        <v>139</v>
      </c>
      <c r="B475" s="68" t="s">
        <v>390</v>
      </c>
      <c r="C475" s="8"/>
      <c r="D475" s="71"/>
      <c r="E475" s="72"/>
    </row>
    <row r="476" spans="1:5" ht="18" hidden="1" x14ac:dyDescent="0.3">
      <c r="A476" s="10" t="s">
        <v>348</v>
      </c>
      <c r="B476" s="68" t="s">
        <v>390</v>
      </c>
      <c r="C476" s="8"/>
      <c r="D476" s="71"/>
      <c r="E476" s="72"/>
    </row>
    <row r="477" spans="1:5" ht="18" hidden="1" x14ac:dyDescent="0.3">
      <c r="A477" s="10" t="s">
        <v>141</v>
      </c>
      <c r="B477" s="68" t="s">
        <v>390</v>
      </c>
      <c r="C477" s="17"/>
      <c r="D477" s="71"/>
      <c r="E477" s="72"/>
    </row>
    <row r="478" spans="1:5" ht="18" hidden="1" x14ac:dyDescent="0.3">
      <c r="A478" s="10" t="s">
        <v>142</v>
      </c>
      <c r="B478" s="68" t="s">
        <v>394</v>
      </c>
      <c r="C478" s="17"/>
      <c r="D478" s="71"/>
      <c r="E478" s="72"/>
    </row>
    <row r="479" spans="1:5" ht="18" hidden="1" x14ac:dyDescent="0.3">
      <c r="A479" s="10" t="s">
        <v>143</v>
      </c>
      <c r="B479" s="68"/>
      <c r="C479" s="8"/>
      <c r="D479" s="71"/>
      <c r="E479" s="72"/>
    </row>
    <row r="480" spans="1:5" ht="18" hidden="1" x14ac:dyDescent="0.3">
      <c r="A480" s="10" t="s">
        <v>144</v>
      </c>
      <c r="B480" s="68" t="s">
        <v>390</v>
      </c>
      <c r="C480" s="17"/>
      <c r="D480" s="71"/>
      <c r="E480" s="72"/>
    </row>
    <row r="481" spans="1:5" ht="18" hidden="1" x14ac:dyDescent="0.3">
      <c r="A481" s="10" t="s">
        <v>145</v>
      </c>
      <c r="B481" s="68" t="s">
        <v>394</v>
      </c>
      <c r="C481" s="17"/>
      <c r="D481" s="71"/>
      <c r="E481" s="72"/>
    </row>
    <row r="482" spans="1:5" ht="18" hidden="1" x14ac:dyDescent="0.3">
      <c r="A482" s="10" t="s">
        <v>146</v>
      </c>
      <c r="B482" s="68" t="s">
        <v>390</v>
      </c>
      <c r="C482" s="17"/>
      <c r="D482" s="71"/>
      <c r="E482" s="72"/>
    </row>
    <row r="483" spans="1:5" ht="18" hidden="1" x14ac:dyDescent="0.3">
      <c r="A483" s="10" t="s">
        <v>147</v>
      </c>
      <c r="B483" s="68" t="s">
        <v>394</v>
      </c>
      <c r="C483" s="17"/>
      <c r="D483" s="71"/>
      <c r="E483" s="72"/>
    </row>
    <row r="484" spans="1:5" ht="18" hidden="1" x14ac:dyDescent="0.3">
      <c r="A484" s="10" t="s">
        <v>148</v>
      </c>
      <c r="B484" s="68" t="s">
        <v>390</v>
      </c>
      <c r="C484" s="17"/>
      <c r="D484" s="71"/>
      <c r="E484" s="72"/>
    </row>
    <row r="485" spans="1:5" ht="18" hidden="1" x14ac:dyDescent="0.3">
      <c r="A485" s="10" t="s">
        <v>149</v>
      </c>
      <c r="B485" s="68" t="s">
        <v>390</v>
      </c>
      <c r="C485" s="17"/>
      <c r="D485" s="71"/>
      <c r="E485" s="72"/>
    </row>
    <row r="486" spans="1:5" ht="18" hidden="1" x14ac:dyDescent="0.3">
      <c r="A486" s="10" t="s">
        <v>150</v>
      </c>
      <c r="B486" s="68" t="s">
        <v>390</v>
      </c>
      <c r="C486" s="17"/>
      <c r="D486" s="71"/>
      <c r="E486" s="72"/>
    </row>
    <row r="487" spans="1:5" ht="18" hidden="1" x14ac:dyDescent="0.3">
      <c r="A487" s="10" t="s">
        <v>151</v>
      </c>
      <c r="B487" s="68" t="s">
        <v>394</v>
      </c>
      <c r="C487" s="17"/>
      <c r="D487" s="71"/>
      <c r="E487" s="72"/>
    </row>
    <row r="488" spans="1:5" ht="18" hidden="1" x14ac:dyDescent="0.3">
      <c r="A488" s="10" t="s">
        <v>152</v>
      </c>
      <c r="B488" s="68" t="s">
        <v>390</v>
      </c>
      <c r="C488" s="8"/>
      <c r="D488" s="71"/>
      <c r="E488" s="72"/>
    </row>
    <row r="489" spans="1:5" ht="18" hidden="1" x14ac:dyDescent="0.3">
      <c r="A489" s="10" t="s">
        <v>349</v>
      </c>
      <c r="B489" s="68" t="s">
        <v>390</v>
      </c>
      <c r="C489" s="8"/>
      <c r="D489" s="71"/>
      <c r="E489" s="72"/>
    </row>
    <row r="490" spans="1:5" ht="18" hidden="1" x14ac:dyDescent="0.3">
      <c r="A490" s="10" t="s">
        <v>153</v>
      </c>
      <c r="B490" s="68" t="s">
        <v>390</v>
      </c>
      <c r="C490" s="8"/>
      <c r="D490" s="71"/>
      <c r="E490" s="72"/>
    </row>
    <row r="491" spans="1:5" ht="18" hidden="1" x14ac:dyDescent="0.3">
      <c r="A491" s="10" t="s">
        <v>154</v>
      </c>
      <c r="B491" s="68" t="s">
        <v>393</v>
      </c>
      <c r="C491" s="8"/>
      <c r="D491" s="71"/>
      <c r="E491" s="72"/>
    </row>
    <row r="492" spans="1:5" ht="18" hidden="1" x14ac:dyDescent="0.3">
      <c r="A492" s="10" t="s">
        <v>155</v>
      </c>
      <c r="B492" s="68" t="s">
        <v>393</v>
      </c>
      <c r="C492" s="8"/>
      <c r="D492" s="71"/>
      <c r="E492" s="72"/>
    </row>
    <row r="493" spans="1:5" ht="18" hidden="1" x14ac:dyDescent="0.3">
      <c r="A493" s="18" t="s">
        <v>156</v>
      </c>
      <c r="B493" s="68" t="s">
        <v>393</v>
      </c>
      <c r="C493" s="8"/>
      <c r="D493" s="71"/>
      <c r="E493" s="72"/>
    </row>
    <row r="494" spans="1:5" ht="18" hidden="1" x14ac:dyDescent="0.3">
      <c r="A494" s="10" t="s">
        <v>157</v>
      </c>
      <c r="B494" s="68" t="s">
        <v>390</v>
      </c>
      <c r="C494" s="8"/>
      <c r="D494" s="71"/>
      <c r="E494" s="72"/>
    </row>
    <row r="495" spans="1:5" ht="18" hidden="1" x14ac:dyDescent="0.3">
      <c r="A495" s="10" t="s">
        <v>158</v>
      </c>
      <c r="B495" s="68" t="s">
        <v>390</v>
      </c>
      <c r="C495" s="8"/>
      <c r="D495" s="71"/>
      <c r="E495" s="72"/>
    </row>
    <row r="496" spans="1:5" ht="16.2" customHeight="1" x14ac:dyDescent="0.3">
      <c r="A496" s="10" t="s">
        <v>159</v>
      </c>
      <c r="B496" s="68" t="s">
        <v>393</v>
      </c>
      <c r="C496" s="8">
        <v>11</v>
      </c>
      <c r="D496" s="71">
        <v>11000</v>
      </c>
      <c r="E496" s="72">
        <f>+D496*C496</f>
        <v>121000</v>
      </c>
    </row>
    <row r="497" spans="1:5" ht="18" hidden="1" x14ac:dyDescent="0.3">
      <c r="A497" s="10" t="s">
        <v>160</v>
      </c>
      <c r="B497" s="68" t="s">
        <v>393</v>
      </c>
      <c r="C497" s="8"/>
      <c r="D497" s="71"/>
      <c r="E497" s="72"/>
    </row>
    <row r="498" spans="1:5" ht="18" hidden="1" x14ac:dyDescent="0.3">
      <c r="A498" s="10" t="s">
        <v>161</v>
      </c>
      <c r="B498" s="68" t="s">
        <v>393</v>
      </c>
      <c r="C498" s="17"/>
      <c r="D498" s="71"/>
      <c r="E498" s="72"/>
    </row>
    <row r="499" spans="1:5" ht="18" hidden="1" x14ac:dyDescent="0.3">
      <c r="A499" s="31" t="s">
        <v>162</v>
      </c>
      <c r="B499" s="68" t="s">
        <v>390</v>
      </c>
      <c r="C499" s="17"/>
      <c r="D499" s="71"/>
      <c r="E499" s="72"/>
    </row>
    <row r="500" spans="1:5" ht="18" hidden="1" x14ac:dyDescent="0.3">
      <c r="A500" s="10" t="s">
        <v>163</v>
      </c>
      <c r="B500" s="68" t="s">
        <v>394</v>
      </c>
      <c r="C500" s="17"/>
      <c r="D500" s="71"/>
      <c r="E500" s="72"/>
    </row>
    <row r="501" spans="1:5" ht="18" hidden="1" x14ac:dyDescent="0.3">
      <c r="A501" s="10" t="s">
        <v>165</v>
      </c>
      <c r="B501" s="68" t="s">
        <v>390</v>
      </c>
      <c r="C501" s="8"/>
      <c r="D501" s="71"/>
      <c r="E501" s="72"/>
    </row>
    <row r="502" spans="1:5" ht="18" hidden="1" x14ac:dyDescent="0.3">
      <c r="A502" s="18" t="s">
        <v>166</v>
      </c>
      <c r="B502" s="68" t="s">
        <v>394</v>
      </c>
      <c r="C502" s="8"/>
      <c r="D502" s="71"/>
      <c r="E502" s="72"/>
    </row>
    <row r="503" spans="1:5" ht="16.2" customHeight="1" x14ac:dyDescent="0.3">
      <c r="A503" s="10" t="s">
        <v>350</v>
      </c>
      <c r="B503" s="68" t="s">
        <v>394</v>
      </c>
      <c r="C503" s="8">
        <v>16</v>
      </c>
      <c r="D503" s="71">
        <v>7000</v>
      </c>
      <c r="E503" s="72">
        <f>+D503*C503</f>
        <v>112000</v>
      </c>
    </row>
    <row r="504" spans="1:5" ht="18" hidden="1" x14ac:dyDescent="0.3">
      <c r="A504" s="13" t="s">
        <v>167</v>
      </c>
      <c r="B504" s="68" t="s">
        <v>390</v>
      </c>
      <c r="C504" s="8"/>
      <c r="D504" s="71"/>
      <c r="E504" s="72"/>
    </row>
    <row r="505" spans="1:5" ht="18" hidden="1" x14ac:dyDescent="0.3">
      <c r="A505" s="10" t="s">
        <v>168</v>
      </c>
      <c r="B505" s="68" t="s">
        <v>394</v>
      </c>
      <c r="C505" s="8"/>
      <c r="D505" s="101"/>
      <c r="E505" s="72"/>
    </row>
    <row r="506" spans="1:5" ht="18" hidden="1" x14ac:dyDescent="0.3">
      <c r="A506" s="10" t="s">
        <v>170</v>
      </c>
      <c r="B506" s="68" t="s">
        <v>390</v>
      </c>
      <c r="C506" s="8"/>
      <c r="D506" s="77"/>
      <c r="E506" s="72"/>
    </row>
    <row r="507" spans="1:5" ht="18" hidden="1" x14ac:dyDescent="0.3">
      <c r="A507" s="10" t="s">
        <v>171</v>
      </c>
      <c r="B507" s="68" t="s">
        <v>390</v>
      </c>
      <c r="C507" s="8"/>
      <c r="D507" s="71"/>
      <c r="E507" s="72"/>
    </row>
    <row r="508" spans="1:5" ht="18" hidden="1" x14ac:dyDescent="0.3">
      <c r="A508" s="22" t="s">
        <v>172</v>
      </c>
      <c r="B508" s="68" t="s">
        <v>390</v>
      </c>
      <c r="C508" s="8"/>
      <c r="D508" s="71"/>
      <c r="E508" s="72"/>
    </row>
    <row r="509" spans="1:5" ht="18" hidden="1" x14ac:dyDescent="0.3">
      <c r="A509" s="10" t="s">
        <v>173</v>
      </c>
      <c r="B509" s="68" t="s">
        <v>393</v>
      </c>
      <c r="C509" s="8"/>
      <c r="D509" s="71"/>
      <c r="E509" s="72"/>
    </row>
    <row r="510" spans="1:5" ht="18" hidden="1" x14ac:dyDescent="0.3">
      <c r="A510" s="34" t="s">
        <v>174</v>
      </c>
      <c r="B510" s="82" t="s">
        <v>390</v>
      </c>
      <c r="C510" s="36"/>
      <c r="D510" s="83"/>
      <c r="E510" s="84"/>
    </row>
    <row r="511" spans="1:5" ht="18" hidden="1" x14ac:dyDescent="0.3">
      <c r="A511" s="12" t="s">
        <v>175</v>
      </c>
      <c r="B511" s="68" t="s">
        <v>390</v>
      </c>
      <c r="C511" s="8"/>
      <c r="D511" s="71"/>
      <c r="E511" s="72"/>
    </row>
    <row r="512" spans="1:5" ht="18" hidden="1" x14ac:dyDescent="0.3">
      <c r="A512" s="10" t="s">
        <v>176</v>
      </c>
      <c r="B512" s="68" t="s">
        <v>390</v>
      </c>
      <c r="C512" s="8"/>
      <c r="D512" s="71"/>
      <c r="E512" s="72"/>
    </row>
    <row r="513" spans="1:5" ht="18" hidden="1" x14ac:dyDescent="0.3">
      <c r="A513" s="10" t="s">
        <v>177</v>
      </c>
      <c r="B513" s="68" t="s">
        <v>390</v>
      </c>
      <c r="C513" s="8"/>
      <c r="D513" s="71"/>
      <c r="E513" s="72"/>
    </row>
    <row r="514" spans="1:5" ht="18" hidden="1" x14ac:dyDescent="0.3">
      <c r="A514" s="13" t="s">
        <v>178</v>
      </c>
      <c r="B514" s="68" t="s">
        <v>390</v>
      </c>
      <c r="C514" s="8"/>
      <c r="D514" s="71"/>
      <c r="E514" s="72"/>
    </row>
    <row r="515" spans="1:5" ht="18" hidden="1" x14ac:dyDescent="0.3">
      <c r="A515" s="10" t="s">
        <v>179</v>
      </c>
      <c r="B515" s="68" t="s">
        <v>390</v>
      </c>
      <c r="C515" s="8"/>
      <c r="D515" s="71"/>
      <c r="E515" s="72"/>
    </row>
    <row r="516" spans="1:5" ht="18" hidden="1" x14ac:dyDescent="0.3">
      <c r="A516" s="10" t="s">
        <v>180</v>
      </c>
      <c r="B516" s="68" t="s">
        <v>390</v>
      </c>
      <c r="C516" s="8"/>
      <c r="D516" s="71"/>
      <c r="E516" s="72"/>
    </row>
    <row r="517" spans="1:5" ht="18" hidden="1" x14ac:dyDescent="0.3">
      <c r="A517" s="13" t="s">
        <v>181</v>
      </c>
      <c r="B517" s="68" t="s">
        <v>390</v>
      </c>
      <c r="C517" s="8"/>
      <c r="D517" s="71"/>
      <c r="E517" s="72"/>
    </row>
    <row r="518" spans="1:5" ht="18" hidden="1" x14ac:dyDescent="0.3">
      <c r="A518" s="13" t="s">
        <v>182</v>
      </c>
      <c r="B518" s="68" t="s">
        <v>390</v>
      </c>
      <c r="C518" s="8"/>
      <c r="D518" s="71"/>
      <c r="E518" s="72"/>
    </row>
    <row r="519" spans="1:5" ht="16.2" customHeight="1" x14ac:dyDescent="0.3">
      <c r="A519" s="13" t="s">
        <v>183</v>
      </c>
      <c r="B519" s="68" t="s">
        <v>390</v>
      </c>
      <c r="C519" s="8">
        <v>735</v>
      </c>
      <c r="D519" s="71">
        <v>6000</v>
      </c>
      <c r="E519" s="72">
        <f>+D519*C519</f>
        <v>4410000</v>
      </c>
    </row>
    <row r="520" spans="1:5" ht="18" hidden="1" x14ac:dyDescent="0.3">
      <c r="A520" s="10" t="s">
        <v>184</v>
      </c>
      <c r="B520" s="68" t="s">
        <v>393</v>
      </c>
      <c r="C520" s="8"/>
      <c r="D520" s="71"/>
      <c r="E520" s="72"/>
    </row>
    <row r="521" spans="1:5" ht="18" hidden="1" x14ac:dyDescent="0.3">
      <c r="A521" s="13" t="s">
        <v>185</v>
      </c>
      <c r="B521" s="68" t="s">
        <v>390</v>
      </c>
      <c r="C521" s="8"/>
      <c r="D521" s="71"/>
      <c r="E521" s="72"/>
    </row>
    <row r="522" spans="1:5" ht="18" hidden="1" x14ac:dyDescent="0.3">
      <c r="A522" s="13" t="s">
        <v>186</v>
      </c>
      <c r="B522" s="68" t="s">
        <v>390</v>
      </c>
      <c r="C522" s="8"/>
      <c r="D522" s="71"/>
      <c r="E522" s="72"/>
    </row>
    <row r="523" spans="1:5" ht="18" hidden="1" x14ac:dyDescent="0.3">
      <c r="A523" s="13" t="s">
        <v>187</v>
      </c>
      <c r="B523" s="68" t="s">
        <v>393</v>
      </c>
      <c r="C523" s="8"/>
      <c r="D523" s="71"/>
      <c r="E523" s="72"/>
    </row>
    <row r="524" spans="1:5" ht="18" hidden="1" x14ac:dyDescent="0.3">
      <c r="A524" s="10" t="s">
        <v>188</v>
      </c>
      <c r="B524" s="68" t="s">
        <v>393</v>
      </c>
      <c r="C524" s="8"/>
      <c r="D524" s="71"/>
      <c r="E524" s="72"/>
    </row>
    <row r="525" spans="1:5" ht="18" hidden="1" x14ac:dyDescent="0.3">
      <c r="A525" s="18" t="s">
        <v>189</v>
      </c>
      <c r="B525" s="68" t="s">
        <v>390</v>
      </c>
      <c r="C525" s="8"/>
      <c r="D525" s="71"/>
      <c r="E525" s="72"/>
    </row>
    <row r="526" spans="1:5" ht="18" hidden="1" x14ac:dyDescent="0.3">
      <c r="A526" s="18" t="s">
        <v>190</v>
      </c>
      <c r="B526" s="68" t="s">
        <v>390</v>
      </c>
      <c r="C526" s="8"/>
      <c r="D526" s="71"/>
      <c r="E526" s="72"/>
    </row>
    <row r="527" spans="1:5" ht="18" hidden="1" x14ac:dyDescent="0.3">
      <c r="A527" s="18" t="s">
        <v>191</v>
      </c>
      <c r="B527" s="68" t="s">
        <v>390</v>
      </c>
      <c r="C527" s="8"/>
      <c r="D527" s="71"/>
      <c r="E527" s="72"/>
    </row>
    <row r="528" spans="1:5" ht="18" hidden="1" x14ac:dyDescent="0.3">
      <c r="A528" s="18" t="s">
        <v>192</v>
      </c>
      <c r="B528" s="68" t="s">
        <v>393</v>
      </c>
      <c r="C528" s="8"/>
      <c r="D528" s="71"/>
      <c r="E528" s="72"/>
    </row>
    <row r="529" spans="1:5" ht="18" hidden="1" x14ac:dyDescent="0.3">
      <c r="A529" s="13" t="s">
        <v>193</v>
      </c>
      <c r="B529" s="68" t="s">
        <v>390</v>
      </c>
      <c r="C529" s="8"/>
      <c r="D529" s="71"/>
      <c r="E529" s="72"/>
    </row>
    <row r="530" spans="1:5" ht="18" hidden="1" x14ac:dyDescent="0.3">
      <c r="A530" s="10" t="s">
        <v>194</v>
      </c>
      <c r="B530" s="68" t="s">
        <v>393</v>
      </c>
      <c r="C530" s="8"/>
      <c r="D530" s="71"/>
      <c r="E530" s="72"/>
    </row>
    <row r="531" spans="1:5" ht="18" hidden="1" x14ac:dyDescent="0.3">
      <c r="A531" s="37" t="s">
        <v>195</v>
      </c>
      <c r="B531" s="68" t="s">
        <v>393</v>
      </c>
      <c r="C531" s="8"/>
      <c r="D531" s="71"/>
      <c r="E531" s="72"/>
    </row>
    <row r="532" spans="1:5" ht="18" hidden="1" x14ac:dyDescent="0.3">
      <c r="A532" s="37" t="s">
        <v>196</v>
      </c>
      <c r="B532" s="68" t="s">
        <v>393</v>
      </c>
      <c r="C532" s="8"/>
      <c r="D532" s="71"/>
      <c r="E532" s="72"/>
    </row>
    <row r="533" spans="1:5" ht="18" hidden="1" x14ac:dyDescent="0.3">
      <c r="A533" s="37" t="s">
        <v>197</v>
      </c>
      <c r="B533" s="68" t="s">
        <v>393</v>
      </c>
      <c r="C533" s="8"/>
      <c r="D533" s="71"/>
      <c r="E533" s="72"/>
    </row>
    <row r="534" spans="1:5" ht="18" hidden="1" x14ac:dyDescent="0.3">
      <c r="A534" s="37" t="s">
        <v>198</v>
      </c>
      <c r="B534" s="68" t="s">
        <v>393</v>
      </c>
      <c r="C534" s="8"/>
      <c r="D534" s="71"/>
      <c r="E534" s="72"/>
    </row>
    <row r="535" spans="1:5" ht="18" hidden="1" x14ac:dyDescent="0.3">
      <c r="A535" s="10" t="s">
        <v>199</v>
      </c>
      <c r="B535" s="68" t="s">
        <v>390</v>
      </c>
      <c r="C535" s="8"/>
      <c r="D535" s="71"/>
      <c r="E535" s="72"/>
    </row>
    <row r="536" spans="1:5" ht="18" hidden="1" x14ac:dyDescent="0.3">
      <c r="A536" s="38" t="s">
        <v>200</v>
      </c>
      <c r="B536" s="68" t="s">
        <v>394</v>
      </c>
      <c r="C536" s="8"/>
      <c r="D536" s="71"/>
      <c r="E536" s="72"/>
    </row>
    <row r="537" spans="1:5" ht="18" hidden="1" x14ac:dyDescent="0.3">
      <c r="A537" s="10" t="s">
        <v>201</v>
      </c>
      <c r="B537" s="68" t="s">
        <v>390</v>
      </c>
      <c r="C537" s="8"/>
      <c r="D537" s="71"/>
      <c r="E537" s="72"/>
    </row>
    <row r="538" spans="1:5" ht="18" hidden="1" x14ac:dyDescent="0.3">
      <c r="A538" s="13" t="s">
        <v>202</v>
      </c>
      <c r="B538" s="68" t="s">
        <v>390</v>
      </c>
      <c r="C538" s="8"/>
      <c r="D538" s="71"/>
      <c r="E538" s="85"/>
    </row>
    <row r="539" spans="1:5" ht="18" hidden="1" x14ac:dyDescent="0.3">
      <c r="A539" s="10" t="s">
        <v>351</v>
      </c>
      <c r="B539" s="68" t="s">
        <v>393</v>
      </c>
      <c r="C539" s="8"/>
      <c r="D539" s="71"/>
      <c r="E539" s="72"/>
    </row>
    <row r="540" spans="1:5" ht="18" hidden="1" x14ac:dyDescent="0.3">
      <c r="A540" s="10" t="s">
        <v>203</v>
      </c>
      <c r="B540" s="68" t="s">
        <v>393</v>
      </c>
      <c r="C540" s="8"/>
      <c r="D540" s="71"/>
      <c r="E540" s="72"/>
    </row>
    <row r="541" spans="1:5" ht="16.2" customHeight="1" x14ac:dyDescent="0.3">
      <c r="A541" s="10" t="s">
        <v>204</v>
      </c>
      <c r="B541" s="68" t="s">
        <v>390</v>
      </c>
      <c r="C541" s="8">
        <v>750</v>
      </c>
      <c r="D541" s="71">
        <v>13000</v>
      </c>
      <c r="E541" s="72">
        <f>+D541*C541</f>
        <v>9750000</v>
      </c>
    </row>
    <row r="542" spans="1:5" ht="18" hidden="1" x14ac:dyDescent="0.3">
      <c r="A542" s="39" t="s">
        <v>205</v>
      </c>
      <c r="B542" s="68" t="s">
        <v>393</v>
      </c>
      <c r="C542" s="8"/>
      <c r="D542" s="71"/>
      <c r="E542" s="72"/>
    </row>
    <row r="543" spans="1:5" ht="18" hidden="1" x14ac:dyDescent="0.3">
      <c r="A543" s="39" t="s">
        <v>206</v>
      </c>
      <c r="B543" s="68" t="s">
        <v>393</v>
      </c>
      <c r="C543" s="8"/>
      <c r="D543" s="71"/>
      <c r="E543" s="72"/>
    </row>
    <row r="544" spans="1:5" ht="18" hidden="1" x14ac:dyDescent="0.3">
      <c r="A544" s="10" t="s">
        <v>207</v>
      </c>
      <c r="B544" s="68" t="s">
        <v>390</v>
      </c>
      <c r="C544" s="8"/>
      <c r="D544" s="71"/>
      <c r="E544" s="72"/>
    </row>
    <row r="545" spans="1:5" ht="18" hidden="1" x14ac:dyDescent="0.3">
      <c r="A545" s="12" t="s">
        <v>208</v>
      </c>
      <c r="B545" s="68" t="s">
        <v>390</v>
      </c>
      <c r="C545" s="8"/>
      <c r="D545" s="88"/>
      <c r="E545" s="72"/>
    </row>
    <row r="546" spans="1:5" ht="18" hidden="1" x14ac:dyDescent="0.3">
      <c r="A546" s="10" t="s">
        <v>209</v>
      </c>
      <c r="B546" s="68" t="s">
        <v>390</v>
      </c>
      <c r="C546" s="8"/>
      <c r="D546" s="71"/>
      <c r="E546" s="72"/>
    </row>
    <row r="547" spans="1:5" ht="18" hidden="1" x14ac:dyDescent="0.3">
      <c r="A547" s="12" t="s">
        <v>352</v>
      </c>
      <c r="B547" s="68" t="s">
        <v>390</v>
      </c>
      <c r="C547" s="8"/>
      <c r="D547" s="88"/>
      <c r="E547" s="72"/>
    </row>
    <row r="548" spans="1:5" ht="18" hidden="1" x14ac:dyDescent="0.3">
      <c r="A548" s="10" t="s">
        <v>210</v>
      </c>
      <c r="B548" s="68" t="s">
        <v>390</v>
      </c>
      <c r="C548" s="8"/>
      <c r="D548" s="88"/>
      <c r="E548" s="72"/>
    </row>
    <row r="549" spans="1:5" ht="18" hidden="1" x14ac:dyDescent="0.3">
      <c r="A549" s="10" t="s">
        <v>211</v>
      </c>
      <c r="B549" s="68" t="s">
        <v>393</v>
      </c>
      <c r="C549" s="8"/>
      <c r="D549" s="71"/>
      <c r="E549" s="72"/>
    </row>
    <row r="550" spans="1:5" ht="18" hidden="1" x14ac:dyDescent="0.3">
      <c r="A550" s="10" t="s">
        <v>353</v>
      </c>
      <c r="B550" s="68" t="s">
        <v>393</v>
      </c>
      <c r="C550" s="8"/>
      <c r="D550" s="71"/>
      <c r="E550" s="72"/>
    </row>
    <row r="551" spans="1:5" ht="18" hidden="1" x14ac:dyDescent="0.3">
      <c r="A551" s="10" t="s">
        <v>354</v>
      </c>
      <c r="B551" s="68" t="s">
        <v>393</v>
      </c>
      <c r="C551" s="8"/>
      <c r="D551" s="71"/>
      <c r="E551" s="72"/>
    </row>
    <row r="552" spans="1:5" ht="18" hidden="1" x14ac:dyDescent="0.3">
      <c r="A552" s="10" t="s">
        <v>212</v>
      </c>
      <c r="B552" s="68" t="s">
        <v>390</v>
      </c>
      <c r="C552" s="8"/>
      <c r="D552" s="71"/>
      <c r="E552" s="72"/>
    </row>
    <row r="553" spans="1:5" ht="18" hidden="1" x14ac:dyDescent="0.3">
      <c r="A553" s="40" t="s">
        <v>213</v>
      </c>
      <c r="B553" s="68" t="s">
        <v>393</v>
      </c>
      <c r="C553" s="8"/>
      <c r="D553" s="71"/>
      <c r="E553" s="72"/>
    </row>
    <row r="554" spans="1:5" ht="18" hidden="1" x14ac:dyDescent="0.3">
      <c r="A554" s="10" t="s">
        <v>214</v>
      </c>
      <c r="B554" s="68" t="s">
        <v>390</v>
      </c>
      <c r="C554" s="8"/>
      <c r="D554" s="71"/>
      <c r="E554" s="72"/>
    </row>
    <row r="555" spans="1:5" ht="16.2" customHeight="1" x14ac:dyDescent="0.3">
      <c r="A555" s="10" t="s">
        <v>215</v>
      </c>
      <c r="B555" s="68" t="s">
        <v>390</v>
      </c>
      <c r="C555" s="8">
        <v>390</v>
      </c>
      <c r="D555" s="71">
        <v>16000</v>
      </c>
      <c r="E555" s="72">
        <f>+D555*C555</f>
        <v>6240000</v>
      </c>
    </row>
    <row r="556" spans="1:5" ht="18" hidden="1" x14ac:dyDescent="0.3">
      <c r="A556" s="10" t="s">
        <v>216</v>
      </c>
      <c r="B556" s="68" t="s">
        <v>393</v>
      </c>
      <c r="C556" s="8"/>
      <c r="D556" s="71"/>
      <c r="E556" s="72"/>
    </row>
    <row r="557" spans="1:5" ht="18" hidden="1" x14ac:dyDescent="0.3">
      <c r="A557" s="10" t="s">
        <v>355</v>
      </c>
      <c r="B557" s="68" t="s">
        <v>390</v>
      </c>
      <c r="C557" s="8"/>
      <c r="D557" s="71"/>
      <c r="E557" s="72"/>
    </row>
    <row r="558" spans="1:5" ht="18" hidden="1" x14ac:dyDescent="0.3">
      <c r="A558" s="10" t="s">
        <v>217</v>
      </c>
      <c r="B558" s="68" t="s">
        <v>393</v>
      </c>
      <c r="C558" s="8"/>
      <c r="D558" s="71"/>
      <c r="E558" s="72"/>
    </row>
    <row r="559" spans="1:5" ht="18" hidden="1" x14ac:dyDescent="0.3">
      <c r="A559" s="18" t="s">
        <v>218</v>
      </c>
      <c r="B559" s="68" t="s">
        <v>390</v>
      </c>
      <c r="C559" s="8"/>
      <c r="D559" s="71"/>
      <c r="E559" s="72"/>
    </row>
    <row r="560" spans="1:5" ht="18" hidden="1" x14ac:dyDescent="0.3">
      <c r="A560" s="18" t="s">
        <v>219</v>
      </c>
      <c r="B560" s="68" t="s">
        <v>393</v>
      </c>
      <c r="C560" s="8"/>
      <c r="D560" s="71"/>
      <c r="E560" s="72"/>
    </row>
    <row r="561" spans="1:5" ht="18" hidden="1" x14ac:dyDescent="0.3">
      <c r="A561" s="18" t="s">
        <v>220</v>
      </c>
      <c r="B561" s="68" t="s">
        <v>390</v>
      </c>
      <c r="C561" s="8"/>
      <c r="D561" s="71"/>
      <c r="E561" s="72"/>
    </row>
    <row r="562" spans="1:5" ht="18" hidden="1" x14ac:dyDescent="0.3">
      <c r="A562" s="18" t="s">
        <v>221</v>
      </c>
      <c r="B562" s="68" t="s">
        <v>393</v>
      </c>
      <c r="C562" s="8"/>
      <c r="D562" s="71"/>
      <c r="E562" s="72"/>
    </row>
    <row r="563" spans="1:5" ht="18" hidden="1" x14ac:dyDescent="0.3">
      <c r="A563" s="10" t="s">
        <v>222</v>
      </c>
      <c r="B563" s="68" t="s">
        <v>390</v>
      </c>
      <c r="C563" s="8"/>
      <c r="D563" s="71"/>
      <c r="E563" s="72"/>
    </row>
    <row r="564" spans="1:5" ht="18" hidden="1" x14ac:dyDescent="0.3">
      <c r="A564" s="10" t="s">
        <v>223</v>
      </c>
      <c r="B564" s="68" t="s">
        <v>390</v>
      </c>
      <c r="C564" s="8"/>
      <c r="D564" s="71"/>
      <c r="E564" s="72"/>
    </row>
    <row r="565" spans="1:5" ht="18" hidden="1" x14ac:dyDescent="0.3">
      <c r="A565" s="18" t="s">
        <v>224</v>
      </c>
      <c r="B565" s="68" t="s">
        <v>393</v>
      </c>
      <c r="C565" s="8"/>
      <c r="D565" s="71"/>
      <c r="E565" s="72"/>
    </row>
    <row r="566" spans="1:5" ht="18" hidden="1" x14ac:dyDescent="0.3">
      <c r="A566" s="18" t="s">
        <v>225</v>
      </c>
      <c r="B566" s="68" t="s">
        <v>393</v>
      </c>
      <c r="C566" s="8"/>
      <c r="D566" s="71"/>
      <c r="E566" s="72"/>
    </row>
    <row r="567" spans="1:5" ht="18" hidden="1" x14ac:dyDescent="0.3">
      <c r="A567" s="12" t="s">
        <v>226</v>
      </c>
      <c r="B567" s="68" t="s">
        <v>390</v>
      </c>
      <c r="C567" s="8"/>
      <c r="D567" s="71"/>
      <c r="E567" s="72"/>
    </row>
    <row r="568" spans="1:5" ht="18" hidden="1" x14ac:dyDescent="0.3">
      <c r="A568" s="13" t="s">
        <v>227</v>
      </c>
      <c r="B568" s="68" t="s">
        <v>396</v>
      </c>
      <c r="C568" s="8"/>
      <c r="D568" s="71"/>
      <c r="E568" s="72"/>
    </row>
    <row r="569" spans="1:5" ht="18" hidden="1" x14ac:dyDescent="0.3">
      <c r="A569" s="23" t="s">
        <v>356</v>
      </c>
      <c r="B569" s="68" t="s">
        <v>390</v>
      </c>
      <c r="C569" s="8"/>
      <c r="D569" s="71"/>
      <c r="E569" s="72"/>
    </row>
    <row r="570" spans="1:5" ht="18" hidden="1" x14ac:dyDescent="0.3">
      <c r="A570" s="23" t="s">
        <v>357</v>
      </c>
      <c r="B570" s="68" t="s">
        <v>396</v>
      </c>
      <c r="C570" s="8"/>
      <c r="D570" s="71"/>
      <c r="E570" s="72"/>
    </row>
    <row r="571" spans="1:5" ht="18" hidden="1" x14ac:dyDescent="0.3">
      <c r="A571" s="12" t="s">
        <v>232</v>
      </c>
      <c r="B571" s="68" t="s">
        <v>399</v>
      </c>
      <c r="C571" s="8"/>
      <c r="D571" s="71"/>
      <c r="E571" s="72"/>
    </row>
    <row r="572" spans="1:5" ht="18" hidden="1" x14ac:dyDescent="0.3">
      <c r="A572" s="10" t="s">
        <v>237</v>
      </c>
      <c r="B572" s="68" t="s">
        <v>390</v>
      </c>
      <c r="C572" s="8"/>
      <c r="D572" s="71"/>
      <c r="E572" s="72"/>
    </row>
    <row r="573" spans="1:5" ht="18" hidden="1" x14ac:dyDescent="0.3">
      <c r="A573" s="10" t="s">
        <v>238</v>
      </c>
      <c r="B573" s="68" t="s">
        <v>392</v>
      </c>
      <c r="C573" s="8"/>
      <c r="D573" s="71"/>
      <c r="E573" s="72"/>
    </row>
    <row r="574" spans="1:5" ht="18" hidden="1" x14ac:dyDescent="0.3">
      <c r="A574" s="14" t="s">
        <v>239</v>
      </c>
      <c r="B574" s="68" t="s">
        <v>396</v>
      </c>
      <c r="C574" s="8"/>
      <c r="D574" s="71"/>
      <c r="E574" s="72"/>
    </row>
    <row r="575" spans="1:5" ht="18" hidden="1" x14ac:dyDescent="0.3">
      <c r="A575" s="14" t="s">
        <v>240</v>
      </c>
      <c r="B575" s="68" t="s">
        <v>396</v>
      </c>
      <c r="C575" s="8"/>
      <c r="D575" s="71"/>
      <c r="E575" s="72"/>
    </row>
    <row r="576" spans="1:5" ht="18" hidden="1" x14ac:dyDescent="0.3">
      <c r="A576" s="37" t="s">
        <v>241</v>
      </c>
      <c r="B576" s="68" t="s">
        <v>393</v>
      </c>
      <c r="C576" s="8"/>
      <c r="D576" s="71"/>
      <c r="E576" s="72"/>
    </row>
    <row r="577" spans="1:5" ht="18" hidden="1" x14ac:dyDescent="0.3">
      <c r="A577" s="10" t="s">
        <v>242</v>
      </c>
      <c r="B577" s="68" t="s">
        <v>390</v>
      </c>
      <c r="C577" s="8"/>
      <c r="D577" s="71"/>
      <c r="E577" s="72"/>
    </row>
    <row r="578" spans="1:5" ht="18" hidden="1" x14ac:dyDescent="0.3">
      <c r="A578" s="10" t="s">
        <v>243</v>
      </c>
      <c r="B578" s="68" t="s">
        <v>393</v>
      </c>
      <c r="C578" s="8"/>
      <c r="D578" s="71"/>
      <c r="E578" s="72"/>
    </row>
    <row r="579" spans="1:5" ht="18" hidden="1" x14ac:dyDescent="0.3">
      <c r="A579" s="10" t="s">
        <v>244</v>
      </c>
      <c r="B579" s="68" t="s">
        <v>390</v>
      </c>
      <c r="C579" s="17"/>
      <c r="D579" s="71"/>
      <c r="E579" s="72"/>
    </row>
    <row r="580" spans="1:5" ht="18" hidden="1" x14ac:dyDescent="0.3">
      <c r="A580" s="37" t="s">
        <v>245</v>
      </c>
      <c r="B580" s="68" t="s">
        <v>393</v>
      </c>
      <c r="C580" s="8"/>
      <c r="D580" s="71"/>
      <c r="E580" s="72"/>
    </row>
    <row r="581" spans="1:5" ht="18" hidden="1" x14ac:dyDescent="0.3">
      <c r="A581" s="10" t="s">
        <v>246</v>
      </c>
      <c r="B581" s="68" t="s">
        <v>393</v>
      </c>
      <c r="C581" s="17"/>
      <c r="D581" s="71"/>
      <c r="E581" s="72"/>
    </row>
    <row r="582" spans="1:5" ht="18" hidden="1" x14ac:dyDescent="0.3">
      <c r="A582" s="10" t="s">
        <v>247</v>
      </c>
      <c r="B582" s="68" t="s">
        <v>390</v>
      </c>
      <c r="C582" s="8"/>
      <c r="D582" s="71"/>
      <c r="E582" s="72"/>
    </row>
    <row r="583" spans="1:5" ht="18" hidden="1" x14ac:dyDescent="0.3">
      <c r="A583" s="12" t="s">
        <v>249</v>
      </c>
      <c r="B583" s="68" t="s">
        <v>394</v>
      </c>
      <c r="C583" s="8"/>
      <c r="D583" s="71"/>
      <c r="E583" s="72"/>
    </row>
    <row r="584" spans="1:5" ht="18" hidden="1" x14ac:dyDescent="0.3">
      <c r="A584" s="10" t="s">
        <v>250</v>
      </c>
      <c r="B584" s="68" t="s">
        <v>390</v>
      </c>
      <c r="C584" s="8"/>
      <c r="D584" s="71"/>
      <c r="E584" s="72"/>
    </row>
    <row r="585" spans="1:5" ht="18" hidden="1" x14ac:dyDescent="0.3">
      <c r="A585" s="10" t="s">
        <v>251</v>
      </c>
      <c r="B585" s="68" t="s">
        <v>390</v>
      </c>
      <c r="C585" s="8"/>
      <c r="D585" s="71"/>
      <c r="E585" s="72"/>
    </row>
    <row r="586" spans="1:5" ht="18" hidden="1" x14ac:dyDescent="0.3">
      <c r="A586" s="10" t="s">
        <v>252</v>
      </c>
      <c r="B586" s="68" t="s">
        <v>392</v>
      </c>
      <c r="C586" s="8"/>
      <c r="D586" s="71"/>
      <c r="E586" s="72"/>
    </row>
    <row r="587" spans="1:5" ht="18" hidden="1" x14ac:dyDescent="0.3">
      <c r="A587" s="10" t="s">
        <v>253</v>
      </c>
      <c r="B587" s="68" t="s">
        <v>394</v>
      </c>
      <c r="C587" s="8"/>
      <c r="D587" s="71"/>
      <c r="E587" s="72"/>
    </row>
    <row r="588" spans="1:5" ht="18" hidden="1" x14ac:dyDescent="0.3">
      <c r="A588" s="10" t="s">
        <v>254</v>
      </c>
      <c r="B588" s="68" t="s">
        <v>390</v>
      </c>
      <c r="C588" s="8"/>
      <c r="D588" s="89"/>
      <c r="E588" s="72"/>
    </row>
    <row r="589" spans="1:5" ht="18" hidden="1" x14ac:dyDescent="0.3">
      <c r="A589" s="18" t="s">
        <v>255</v>
      </c>
      <c r="B589" s="68" t="s">
        <v>390</v>
      </c>
      <c r="C589" s="8"/>
      <c r="D589" s="89"/>
      <c r="E589" s="72"/>
    </row>
    <row r="590" spans="1:5" ht="18" hidden="1" x14ac:dyDescent="0.3">
      <c r="A590" s="23" t="s">
        <v>256</v>
      </c>
      <c r="B590" s="68" t="s">
        <v>390</v>
      </c>
      <c r="C590" s="8"/>
      <c r="D590" s="71"/>
      <c r="E590" s="72"/>
    </row>
    <row r="591" spans="1:5" ht="18" hidden="1" x14ac:dyDescent="0.3">
      <c r="A591" s="23" t="s">
        <v>257</v>
      </c>
      <c r="B591" s="68" t="s">
        <v>390</v>
      </c>
      <c r="C591" s="8"/>
      <c r="D591" s="71"/>
      <c r="E591" s="72"/>
    </row>
    <row r="592" spans="1:5" ht="18" hidden="1" x14ac:dyDescent="0.3">
      <c r="A592" s="10" t="s">
        <v>258</v>
      </c>
      <c r="B592" s="68" t="s">
        <v>390</v>
      </c>
      <c r="C592" s="8"/>
      <c r="D592" s="71"/>
      <c r="E592" s="72"/>
    </row>
    <row r="593" spans="1:5" ht="18" hidden="1" x14ac:dyDescent="0.3">
      <c r="A593" s="10" t="s">
        <v>259</v>
      </c>
      <c r="B593" s="68" t="s">
        <v>390</v>
      </c>
      <c r="C593" s="8"/>
      <c r="D593" s="71"/>
      <c r="E593" s="72"/>
    </row>
    <row r="594" spans="1:5" ht="18" hidden="1" x14ac:dyDescent="0.3">
      <c r="A594" s="10" t="s">
        <v>260</v>
      </c>
      <c r="B594" s="68" t="s">
        <v>392</v>
      </c>
      <c r="C594" s="8"/>
      <c r="D594" s="71"/>
      <c r="E594" s="72"/>
    </row>
    <row r="595" spans="1:5" ht="18" hidden="1" x14ac:dyDescent="0.3">
      <c r="A595" s="10" t="s">
        <v>261</v>
      </c>
      <c r="B595" s="68" t="s">
        <v>394</v>
      </c>
      <c r="C595" s="8"/>
      <c r="D595" s="71"/>
      <c r="E595" s="72"/>
    </row>
    <row r="596" spans="1:5" ht="18" hidden="1" x14ac:dyDescent="0.3">
      <c r="A596" s="10" t="s">
        <v>262</v>
      </c>
      <c r="B596" s="68" t="s">
        <v>390</v>
      </c>
      <c r="C596" s="8"/>
      <c r="D596" s="71"/>
      <c r="E596" s="72"/>
    </row>
    <row r="597" spans="1:5" ht="18" hidden="1" x14ac:dyDescent="0.3">
      <c r="A597" s="10" t="s">
        <v>263</v>
      </c>
      <c r="B597" s="68" t="s">
        <v>390</v>
      </c>
      <c r="C597" s="8"/>
      <c r="D597" s="71"/>
      <c r="E597" s="72"/>
    </row>
    <row r="598" spans="1:5" ht="18" hidden="1" x14ac:dyDescent="0.3">
      <c r="A598" s="10" t="s">
        <v>264</v>
      </c>
      <c r="B598" s="68" t="s">
        <v>392</v>
      </c>
      <c r="C598" s="8"/>
      <c r="D598" s="71"/>
      <c r="E598" s="72"/>
    </row>
    <row r="599" spans="1:5" ht="18" hidden="1" x14ac:dyDescent="0.3">
      <c r="A599" s="10" t="s">
        <v>265</v>
      </c>
      <c r="B599" s="68" t="s">
        <v>390</v>
      </c>
      <c r="C599" s="17"/>
      <c r="D599" s="71"/>
      <c r="E599" s="72"/>
    </row>
    <row r="600" spans="1:5" ht="18" hidden="1" x14ac:dyDescent="0.3">
      <c r="A600" s="14" t="s">
        <v>266</v>
      </c>
      <c r="B600" s="68" t="s">
        <v>390</v>
      </c>
      <c r="C600" s="8"/>
      <c r="D600" s="71"/>
      <c r="E600" s="72"/>
    </row>
    <row r="601" spans="1:5" ht="18" hidden="1" x14ac:dyDescent="0.3">
      <c r="A601" s="10" t="s">
        <v>267</v>
      </c>
      <c r="B601" s="68" t="s">
        <v>390</v>
      </c>
      <c r="C601" s="8"/>
      <c r="D601" s="71"/>
      <c r="E601" s="72"/>
    </row>
    <row r="602" spans="1:5" ht="18" hidden="1" x14ac:dyDescent="0.3">
      <c r="A602" s="12" t="s">
        <v>268</v>
      </c>
      <c r="B602" s="68" t="s">
        <v>390</v>
      </c>
      <c r="C602" s="8"/>
      <c r="D602" s="71"/>
      <c r="E602" s="72"/>
    </row>
    <row r="603" spans="1:5" ht="18" hidden="1" x14ac:dyDescent="0.3">
      <c r="A603" s="12" t="s">
        <v>269</v>
      </c>
      <c r="B603" s="68" t="s">
        <v>390</v>
      </c>
      <c r="C603" s="8"/>
      <c r="D603" s="71"/>
      <c r="E603" s="72"/>
    </row>
    <row r="604" spans="1:5" ht="18" hidden="1" x14ac:dyDescent="0.3">
      <c r="A604" s="10" t="s">
        <v>270</v>
      </c>
      <c r="B604" s="68" t="s">
        <v>393</v>
      </c>
      <c r="C604" s="8"/>
      <c r="D604" s="90"/>
      <c r="E604" s="72"/>
    </row>
    <row r="605" spans="1:5" ht="18" hidden="1" x14ac:dyDescent="0.3">
      <c r="A605" s="10" t="s">
        <v>358</v>
      </c>
      <c r="B605" s="68" t="s">
        <v>393</v>
      </c>
      <c r="C605" s="8"/>
      <c r="D605" s="90"/>
      <c r="E605" s="72"/>
    </row>
    <row r="606" spans="1:5" ht="18" hidden="1" x14ac:dyDescent="0.3">
      <c r="A606" s="10" t="s">
        <v>271</v>
      </c>
      <c r="B606" s="68" t="s">
        <v>390</v>
      </c>
      <c r="C606" s="8"/>
      <c r="D606" s="71"/>
      <c r="E606" s="72"/>
    </row>
    <row r="607" spans="1:5" ht="18" hidden="1" x14ac:dyDescent="0.3">
      <c r="A607" s="10" t="s">
        <v>359</v>
      </c>
      <c r="B607" s="68"/>
      <c r="C607" s="8"/>
      <c r="D607" s="71"/>
      <c r="E607" s="72"/>
    </row>
    <row r="608" spans="1:5" ht="18" hidden="1" x14ac:dyDescent="0.3">
      <c r="A608" s="10" t="s">
        <v>273</v>
      </c>
      <c r="B608" s="68" t="s">
        <v>396</v>
      </c>
      <c r="C608" s="8"/>
      <c r="D608" s="71"/>
      <c r="E608" s="72"/>
    </row>
    <row r="609" spans="1:5" ht="18" hidden="1" x14ac:dyDescent="0.3">
      <c r="A609" s="10" t="s">
        <v>274</v>
      </c>
      <c r="B609" s="68" t="s">
        <v>390</v>
      </c>
      <c r="C609" s="8"/>
      <c r="D609" s="71"/>
      <c r="E609" s="72"/>
    </row>
    <row r="610" spans="1:5" ht="18" hidden="1" x14ac:dyDescent="0.3">
      <c r="A610" s="10" t="s">
        <v>275</v>
      </c>
      <c r="B610" s="68" t="s">
        <v>395</v>
      </c>
      <c r="C610" s="8"/>
      <c r="D610" s="71"/>
      <c r="E610" s="72"/>
    </row>
    <row r="611" spans="1:5" ht="18" hidden="1" x14ac:dyDescent="0.3">
      <c r="A611" s="37" t="s">
        <v>277</v>
      </c>
      <c r="B611" s="68" t="s">
        <v>393</v>
      </c>
      <c r="C611" s="8"/>
      <c r="D611" s="71"/>
      <c r="E611" s="72"/>
    </row>
    <row r="612" spans="1:5" ht="18" hidden="1" x14ac:dyDescent="0.3">
      <c r="A612" s="10" t="s">
        <v>278</v>
      </c>
      <c r="B612" s="68" t="s">
        <v>393</v>
      </c>
      <c r="C612" s="8"/>
      <c r="D612" s="71"/>
      <c r="E612" s="72"/>
    </row>
    <row r="613" spans="1:5" ht="18" hidden="1" x14ac:dyDescent="0.3">
      <c r="A613" s="37" t="s">
        <v>279</v>
      </c>
      <c r="B613" s="68" t="s">
        <v>393</v>
      </c>
      <c r="C613" s="8"/>
      <c r="D613" s="71"/>
      <c r="E613" s="72"/>
    </row>
    <row r="614" spans="1:5" ht="18" hidden="1" x14ac:dyDescent="0.3">
      <c r="A614" s="12" t="s">
        <v>360</v>
      </c>
      <c r="B614" s="68" t="s">
        <v>390</v>
      </c>
      <c r="C614" s="8"/>
      <c r="D614" s="71"/>
      <c r="E614" s="72"/>
    </row>
    <row r="615" spans="1:5" ht="18" hidden="1" x14ac:dyDescent="0.3">
      <c r="A615" s="37" t="s">
        <v>280</v>
      </c>
      <c r="B615" s="68" t="s">
        <v>393</v>
      </c>
      <c r="C615" s="8"/>
      <c r="D615" s="71"/>
      <c r="E615" s="72"/>
    </row>
    <row r="616" spans="1:5" ht="18" hidden="1" x14ac:dyDescent="0.3">
      <c r="A616" s="13" t="s">
        <v>281</v>
      </c>
      <c r="B616" s="68" t="s">
        <v>390</v>
      </c>
      <c r="C616" s="17"/>
      <c r="D616" s="71"/>
      <c r="E616" s="72"/>
    </row>
    <row r="617" spans="1:5" ht="18" hidden="1" x14ac:dyDescent="0.3">
      <c r="A617" s="18" t="s">
        <v>284</v>
      </c>
      <c r="B617" s="68" t="s">
        <v>396</v>
      </c>
      <c r="C617" s="8"/>
      <c r="D617" s="71"/>
      <c r="E617" s="72"/>
    </row>
    <row r="618" spans="1:5" ht="18" hidden="1" x14ac:dyDescent="0.3">
      <c r="A618" s="18" t="s">
        <v>285</v>
      </c>
      <c r="B618" s="68" t="s">
        <v>394</v>
      </c>
      <c r="C618" s="8"/>
      <c r="D618" s="71"/>
      <c r="E618" s="72"/>
    </row>
    <row r="619" spans="1:5" ht="18" hidden="1" x14ac:dyDescent="0.3">
      <c r="A619" s="18" t="s">
        <v>286</v>
      </c>
      <c r="B619" s="68" t="s">
        <v>394</v>
      </c>
      <c r="C619" s="8"/>
      <c r="D619" s="71"/>
      <c r="E619" s="72"/>
    </row>
    <row r="620" spans="1:5" ht="18" hidden="1" x14ac:dyDescent="0.3">
      <c r="A620" s="10" t="s">
        <v>287</v>
      </c>
      <c r="B620" s="68" t="s">
        <v>390</v>
      </c>
      <c r="C620" s="8"/>
      <c r="D620" s="71"/>
      <c r="E620" s="72"/>
    </row>
    <row r="621" spans="1:5" ht="18" hidden="1" x14ac:dyDescent="0.3">
      <c r="A621" s="18" t="s">
        <v>288</v>
      </c>
      <c r="B621" s="68" t="s">
        <v>393</v>
      </c>
      <c r="C621" s="8"/>
      <c r="D621" s="71"/>
      <c r="E621" s="72"/>
    </row>
    <row r="622" spans="1:5" ht="18" hidden="1" x14ac:dyDescent="0.3">
      <c r="A622" s="10" t="s">
        <v>289</v>
      </c>
      <c r="B622" s="68" t="s">
        <v>390</v>
      </c>
      <c r="C622" s="8"/>
      <c r="D622" s="71"/>
      <c r="E622" s="72"/>
    </row>
    <row r="623" spans="1:5" ht="18" hidden="1" x14ac:dyDescent="0.3">
      <c r="A623" s="10" t="s">
        <v>290</v>
      </c>
      <c r="B623" s="68" t="s">
        <v>390</v>
      </c>
      <c r="C623" s="8"/>
      <c r="D623" s="77"/>
      <c r="E623" s="72"/>
    </row>
    <row r="624" spans="1:5" ht="18" hidden="1" x14ac:dyDescent="0.3">
      <c r="A624" s="18" t="s">
        <v>291</v>
      </c>
      <c r="B624" s="68" t="s">
        <v>394</v>
      </c>
      <c r="C624" s="8"/>
      <c r="D624" s="71"/>
      <c r="E624" s="72"/>
    </row>
    <row r="625" spans="1:5" ht="18" hidden="1" x14ac:dyDescent="0.3">
      <c r="A625" s="27" t="s">
        <v>292</v>
      </c>
      <c r="B625" s="68" t="s">
        <v>390</v>
      </c>
      <c r="C625" s="8"/>
      <c r="D625" s="71"/>
      <c r="E625" s="72"/>
    </row>
    <row r="626" spans="1:5" ht="18" hidden="1" x14ac:dyDescent="0.3">
      <c r="A626" s="10" t="s">
        <v>293</v>
      </c>
      <c r="B626" s="68" t="s">
        <v>390</v>
      </c>
      <c r="C626" s="8"/>
      <c r="D626" s="71"/>
      <c r="E626" s="72"/>
    </row>
    <row r="627" spans="1:5" ht="18" hidden="1" x14ac:dyDescent="0.3">
      <c r="A627" s="14" t="s">
        <v>294</v>
      </c>
      <c r="B627" s="68" t="s">
        <v>391</v>
      </c>
      <c r="C627" s="8"/>
      <c r="D627" s="71"/>
      <c r="E627" s="72"/>
    </row>
    <row r="628" spans="1:5" ht="18" hidden="1" x14ac:dyDescent="0.3">
      <c r="A628" s="13" t="s">
        <v>296</v>
      </c>
      <c r="B628" s="68" t="s">
        <v>390</v>
      </c>
      <c r="C628" s="8"/>
      <c r="D628" s="91"/>
      <c r="E628" s="72"/>
    </row>
    <row r="629" spans="1:5" ht="18" hidden="1" x14ac:dyDescent="0.3">
      <c r="A629" s="18" t="s">
        <v>297</v>
      </c>
      <c r="B629" s="68" t="s">
        <v>393</v>
      </c>
      <c r="C629" s="8"/>
      <c r="D629" s="71"/>
      <c r="E629" s="72"/>
    </row>
    <row r="630" spans="1:5" ht="18" hidden="1" x14ac:dyDescent="0.3">
      <c r="A630" s="14" t="s">
        <v>298</v>
      </c>
      <c r="B630" s="68" t="s">
        <v>393</v>
      </c>
      <c r="C630" s="8"/>
      <c r="D630" s="91"/>
      <c r="E630" s="72"/>
    </row>
    <row r="631" spans="1:5" ht="18" hidden="1" x14ac:dyDescent="0.3">
      <c r="A631" s="10" t="s">
        <v>299</v>
      </c>
      <c r="B631" s="68" t="s">
        <v>390</v>
      </c>
      <c r="C631" s="8"/>
      <c r="D631" s="71"/>
      <c r="E631" s="72"/>
    </row>
    <row r="632" spans="1:5" ht="18" hidden="1" x14ac:dyDescent="0.3">
      <c r="A632" s="18" t="s">
        <v>300</v>
      </c>
      <c r="B632" s="68" t="s">
        <v>396</v>
      </c>
      <c r="C632" s="8"/>
      <c r="D632" s="71"/>
      <c r="E632" s="72"/>
    </row>
    <row r="633" spans="1:5" ht="18" hidden="1" x14ac:dyDescent="0.3">
      <c r="A633" s="13" t="s">
        <v>361</v>
      </c>
      <c r="B633" s="68" t="s">
        <v>390</v>
      </c>
      <c r="C633" s="8"/>
      <c r="D633" s="71"/>
      <c r="E633" s="72"/>
    </row>
    <row r="634" spans="1:5" ht="18" hidden="1" x14ac:dyDescent="0.3">
      <c r="A634" s="10" t="s">
        <v>362</v>
      </c>
      <c r="B634" s="68" t="s">
        <v>390</v>
      </c>
      <c r="C634" s="8"/>
      <c r="D634" s="71"/>
      <c r="E634" s="72"/>
    </row>
    <row r="635" spans="1:5" ht="18" hidden="1" x14ac:dyDescent="0.3">
      <c r="A635" s="12" t="s">
        <v>303</v>
      </c>
      <c r="B635" s="68" t="s">
        <v>390</v>
      </c>
      <c r="C635" s="8"/>
      <c r="D635" s="71"/>
      <c r="E635" s="72"/>
    </row>
    <row r="636" spans="1:5" ht="18" hidden="1" x14ac:dyDescent="0.3">
      <c r="A636" s="10" t="s">
        <v>363</v>
      </c>
      <c r="B636" s="68" t="s">
        <v>390</v>
      </c>
      <c r="C636" s="8"/>
      <c r="D636" s="71"/>
      <c r="E636" s="72"/>
    </row>
    <row r="637" spans="1:5" ht="18" hidden="1" x14ac:dyDescent="0.3">
      <c r="A637" s="13" t="s">
        <v>304</v>
      </c>
      <c r="B637" s="68" t="s">
        <v>390</v>
      </c>
      <c r="C637" s="8"/>
      <c r="D637" s="88"/>
      <c r="E637" s="72"/>
    </row>
    <row r="638" spans="1:5" ht="18" hidden="1" x14ac:dyDescent="0.3">
      <c r="A638" s="13" t="s">
        <v>305</v>
      </c>
      <c r="B638" s="68" t="s">
        <v>390</v>
      </c>
      <c r="C638" s="8"/>
      <c r="D638" s="88"/>
      <c r="E638" s="72"/>
    </row>
    <row r="639" spans="1:5" ht="18" hidden="1" x14ac:dyDescent="0.3">
      <c r="A639" s="10" t="s">
        <v>306</v>
      </c>
      <c r="B639" s="68" t="s">
        <v>390</v>
      </c>
      <c r="C639" s="8"/>
      <c r="D639" s="71"/>
      <c r="E639" s="72"/>
    </row>
    <row r="640" spans="1:5" ht="18" hidden="1" x14ac:dyDescent="0.3">
      <c r="A640" s="10" t="s">
        <v>307</v>
      </c>
      <c r="B640" s="68" t="s">
        <v>397</v>
      </c>
      <c r="C640" s="8"/>
      <c r="D640" s="71"/>
      <c r="E640" s="72"/>
    </row>
    <row r="641" spans="1:5" ht="18" hidden="1" x14ac:dyDescent="0.3">
      <c r="A641" s="10" t="s">
        <v>308</v>
      </c>
      <c r="B641" s="68" t="s">
        <v>393</v>
      </c>
      <c r="C641" s="8"/>
      <c r="D641" s="71"/>
      <c r="E641" s="72"/>
    </row>
    <row r="642" spans="1:5" ht="18" hidden="1" x14ac:dyDescent="0.3">
      <c r="A642" s="14" t="s">
        <v>309</v>
      </c>
      <c r="B642" s="68" t="s">
        <v>390</v>
      </c>
      <c r="C642" s="8"/>
      <c r="D642" s="71"/>
      <c r="E642" s="72"/>
    </row>
    <row r="643" spans="1:5" ht="18" hidden="1" x14ac:dyDescent="0.3">
      <c r="A643" s="14" t="s">
        <v>310</v>
      </c>
      <c r="B643" s="68" t="s">
        <v>390</v>
      </c>
      <c r="C643" s="8"/>
      <c r="D643" s="71"/>
      <c r="E643" s="72"/>
    </row>
    <row r="644" spans="1:5" ht="18" hidden="1" x14ac:dyDescent="0.3">
      <c r="A644" s="23" t="s">
        <v>311</v>
      </c>
      <c r="B644" s="68" t="s">
        <v>390</v>
      </c>
      <c r="C644" s="8"/>
      <c r="D644" s="71"/>
      <c r="E644" s="72"/>
    </row>
    <row r="645" spans="1:5" ht="18" hidden="1" x14ac:dyDescent="0.3">
      <c r="A645" s="14" t="s">
        <v>312</v>
      </c>
      <c r="B645" s="68" t="s">
        <v>393</v>
      </c>
      <c r="C645" s="8"/>
      <c r="D645" s="71"/>
      <c r="E645" s="72"/>
    </row>
    <row r="646" spans="1:5" ht="18" hidden="1" x14ac:dyDescent="0.3">
      <c r="A646" s="10" t="s">
        <v>313</v>
      </c>
      <c r="B646" s="68" t="s">
        <v>395</v>
      </c>
      <c r="C646" s="8"/>
      <c r="D646" s="71"/>
      <c r="E646" s="72"/>
    </row>
    <row r="647" spans="1:5" ht="18" hidden="1" x14ac:dyDescent="0.3">
      <c r="A647" s="10" t="s">
        <v>314</v>
      </c>
      <c r="B647" s="68" t="s">
        <v>395</v>
      </c>
      <c r="C647" s="8"/>
      <c r="D647" s="71"/>
      <c r="E647" s="72"/>
    </row>
    <row r="648" spans="1:5" ht="18" hidden="1" x14ac:dyDescent="0.3">
      <c r="A648" s="10" t="s">
        <v>315</v>
      </c>
      <c r="B648" s="68" t="s">
        <v>397</v>
      </c>
      <c r="C648" s="8"/>
      <c r="D648" s="71"/>
      <c r="E648" s="72"/>
    </row>
    <row r="649" spans="1:5" ht="18" hidden="1" x14ac:dyDescent="0.3">
      <c r="A649" s="10" t="s">
        <v>316</v>
      </c>
      <c r="B649" s="68" t="s">
        <v>390</v>
      </c>
      <c r="C649" s="8"/>
      <c r="D649" s="71"/>
      <c r="E649" s="72"/>
    </row>
    <row r="650" spans="1:5" ht="18" hidden="1" x14ac:dyDescent="0.3">
      <c r="A650" s="23" t="s">
        <v>317</v>
      </c>
      <c r="B650" s="68" t="s">
        <v>390</v>
      </c>
      <c r="C650" s="8"/>
      <c r="D650" s="71"/>
      <c r="E650" s="72"/>
    </row>
    <row r="651" spans="1:5" ht="18" hidden="1" x14ac:dyDescent="0.3">
      <c r="A651" s="10" t="s">
        <v>318</v>
      </c>
      <c r="B651" s="68" t="s">
        <v>395</v>
      </c>
      <c r="C651" s="8"/>
      <c r="D651" s="71"/>
      <c r="E651" s="72"/>
    </row>
    <row r="652" spans="1:5" ht="18" hidden="1" x14ac:dyDescent="0.3">
      <c r="A652" s="10" t="s">
        <v>319</v>
      </c>
      <c r="B652" s="68" t="s">
        <v>390</v>
      </c>
      <c r="C652" s="8"/>
      <c r="D652" s="71"/>
      <c r="E652" s="72"/>
    </row>
    <row r="653" spans="1:5" ht="18" hidden="1" x14ac:dyDescent="0.3">
      <c r="A653" s="13" t="s">
        <v>320</v>
      </c>
      <c r="B653" s="68" t="s">
        <v>390</v>
      </c>
      <c r="C653" s="8"/>
      <c r="D653" s="71"/>
      <c r="E653" s="72"/>
    </row>
    <row r="654" spans="1:5" ht="18" hidden="1" x14ac:dyDescent="0.3">
      <c r="A654" s="10" t="s">
        <v>321</v>
      </c>
      <c r="B654" s="68" t="s">
        <v>390</v>
      </c>
      <c r="C654" s="42"/>
      <c r="D654" s="71"/>
      <c r="E654" s="72"/>
    </row>
    <row r="655" spans="1:5" ht="18" hidden="1" x14ac:dyDescent="0.3">
      <c r="A655" s="10" t="s">
        <v>322</v>
      </c>
      <c r="B655" s="68" t="s">
        <v>395</v>
      </c>
      <c r="C655" s="8"/>
      <c r="D655" s="71"/>
      <c r="E655" s="72"/>
    </row>
    <row r="656" spans="1:5" ht="18" hidden="1" x14ac:dyDescent="0.3">
      <c r="A656" s="10" t="s">
        <v>323</v>
      </c>
      <c r="B656" s="68" t="s">
        <v>393</v>
      </c>
      <c r="C656" s="8"/>
      <c r="D656" s="71"/>
      <c r="E656" s="72"/>
    </row>
    <row r="657" spans="1:5" ht="18" hidden="1" x14ac:dyDescent="0.3">
      <c r="A657" s="23" t="s">
        <v>324</v>
      </c>
      <c r="B657" s="68" t="s">
        <v>390</v>
      </c>
      <c r="C657" s="8"/>
      <c r="D657" s="71"/>
      <c r="E657" s="72"/>
    </row>
    <row r="658" spans="1:5" ht="18" hidden="1" x14ac:dyDescent="0.3">
      <c r="A658" s="23" t="s">
        <v>325</v>
      </c>
      <c r="B658" s="68" t="s">
        <v>390</v>
      </c>
      <c r="C658" s="8"/>
      <c r="D658" s="71"/>
      <c r="E658" s="72"/>
    </row>
    <row r="659" spans="1:5" ht="18" hidden="1" x14ac:dyDescent="0.3">
      <c r="A659" s="10" t="s">
        <v>326</v>
      </c>
      <c r="B659" s="68" t="s">
        <v>390</v>
      </c>
      <c r="C659" s="8"/>
      <c r="D659" s="71"/>
      <c r="E659" s="72"/>
    </row>
    <row r="660" spans="1:5" ht="18" hidden="1" x14ac:dyDescent="0.3">
      <c r="A660" s="10" t="s">
        <v>327</v>
      </c>
      <c r="B660" s="68" t="s">
        <v>390</v>
      </c>
      <c r="C660" s="8"/>
      <c r="D660" s="71"/>
      <c r="E660" s="72"/>
    </row>
    <row r="661" spans="1:5" ht="18" hidden="1" x14ac:dyDescent="0.3">
      <c r="A661" s="23" t="s">
        <v>328</v>
      </c>
      <c r="B661" s="68" t="s">
        <v>390</v>
      </c>
      <c r="C661" s="8"/>
      <c r="D661" s="71"/>
      <c r="E661" s="72"/>
    </row>
    <row r="662" spans="1:5" ht="18" hidden="1" x14ac:dyDescent="0.3">
      <c r="A662" s="10" t="s">
        <v>329</v>
      </c>
      <c r="B662" s="68" t="s">
        <v>395</v>
      </c>
      <c r="C662" s="8"/>
      <c r="D662" s="71"/>
      <c r="E662" s="72"/>
    </row>
    <row r="663" spans="1:5" ht="18" hidden="1" x14ac:dyDescent="0.3">
      <c r="A663" s="10" t="s">
        <v>330</v>
      </c>
      <c r="B663" s="68" t="s">
        <v>395</v>
      </c>
      <c r="C663" s="8"/>
      <c r="D663" s="71"/>
      <c r="E663" s="72"/>
    </row>
    <row r="664" spans="1:5" ht="18" hidden="1" x14ac:dyDescent="0.3">
      <c r="A664" s="10" t="s">
        <v>331</v>
      </c>
      <c r="B664" s="68" t="s">
        <v>395</v>
      </c>
      <c r="C664" s="8"/>
      <c r="D664" s="71"/>
      <c r="E664" s="72"/>
    </row>
    <row r="665" spans="1:5" ht="18" hidden="1" x14ac:dyDescent="0.3">
      <c r="A665" s="10" t="s">
        <v>332</v>
      </c>
      <c r="B665" s="68" t="s">
        <v>395</v>
      </c>
      <c r="C665" s="8"/>
      <c r="D665" s="71"/>
      <c r="E665" s="72"/>
    </row>
    <row r="666" spans="1:5" ht="18" hidden="1" x14ac:dyDescent="0.3">
      <c r="A666" s="10" t="s">
        <v>333</v>
      </c>
      <c r="B666" s="68" t="s">
        <v>395</v>
      </c>
      <c r="C666" s="8"/>
      <c r="D666" s="71"/>
      <c r="E666" s="72"/>
    </row>
    <row r="667" spans="1:5" ht="18" hidden="1" x14ac:dyDescent="0.3">
      <c r="A667" s="10" t="s">
        <v>334</v>
      </c>
      <c r="B667" s="68" t="s">
        <v>397</v>
      </c>
      <c r="C667" s="8"/>
      <c r="D667" s="71"/>
      <c r="E667" s="72"/>
    </row>
    <row r="668" spans="1:5" ht="18" hidden="1" x14ac:dyDescent="0.3">
      <c r="A668" s="10" t="s">
        <v>335</v>
      </c>
      <c r="B668" s="68" t="s">
        <v>390</v>
      </c>
      <c r="C668" s="8"/>
      <c r="D668" s="71"/>
      <c r="E668" s="72"/>
    </row>
    <row r="669" spans="1:5" ht="18" hidden="1" x14ac:dyDescent="0.3">
      <c r="A669" s="10" t="s">
        <v>336</v>
      </c>
      <c r="B669" s="68" t="s">
        <v>390</v>
      </c>
      <c r="C669" s="8"/>
      <c r="D669" s="71"/>
      <c r="E669" s="72"/>
    </row>
    <row r="670" spans="1:5" ht="18" hidden="1" x14ac:dyDescent="0.3">
      <c r="A670" s="12" t="s">
        <v>338</v>
      </c>
      <c r="B670" s="68" t="s">
        <v>390</v>
      </c>
      <c r="C670" s="8"/>
      <c r="D670" s="71"/>
      <c r="E670" s="72"/>
    </row>
    <row r="671" spans="1:5" ht="17.399999999999999" x14ac:dyDescent="0.3">
      <c r="A671" s="43"/>
      <c r="B671" s="46">
        <v>0</v>
      </c>
      <c r="C671" s="46">
        <v>4770</v>
      </c>
      <c r="D671" s="94"/>
      <c r="E671" s="92">
        <f>SUBTOTAL(9,E354:E555)</f>
        <v>61366200</v>
      </c>
    </row>
    <row r="672" spans="1:5" hidden="1" x14ac:dyDescent="0.3">
      <c r="E672" s="112">
        <f>+E341+E671</f>
        <v>152606200</v>
      </c>
    </row>
    <row r="673" spans="5:13" x14ac:dyDescent="0.3">
      <c r="E673" s="149">
        <f>+E671+E341</f>
        <v>152606200</v>
      </c>
      <c r="K673" s="95" t="s">
        <v>447</v>
      </c>
    </row>
    <row r="674" spans="5:13" x14ac:dyDescent="0.3">
      <c r="E674" s="98">
        <v>152606200</v>
      </c>
      <c r="G674"/>
      <c r="H674" s="145" t="s">
        <v>440</v>
      </c>
      <c r="I674" s="145" t="s">
        <v>441</v>
      </c>
      <c r="K674" s="145" t="s">
        <v>440</v>
      </c>
      <c r="L674" s="145" t="s">
        <v>441</v>
      </c>
    </row>
    <row r="675" spans="5:13" x14ac:dyDescent="0.3">
      <c r="G675" t="s">
        <v>444</v>
      </c>
      <c r="H675" s="146">
        <v>69505934</v>
      </c>
      <c r="I675" s="146">
        <v>137046900</v>
      </c>
      <c r="K675" s="146">
        <v>69505934</v>
      </c>
      <c r="L675" s="146">
        <v>137046900</v>
      </c>
    </row>
    <row r="676" spans="5:13" x14ac:dyDescent="0.3">
      <c r="G676" t="s">
        <v>442</v>
      </c>
      <c r="H676" s="148"/>
      <c r="I676" s="148">
        <v>7759673009</v>
      </c>
      <c r="K676" s="148"/>
      <c r="L676" s="148">
        <v>7754035609</v>
      </c>
      <c r="M676" s="95" t="s">
        <v>446</v>
      </c>
    </row>
    <row r="677" spans="5:13" x14ac:dyDescent="0.3">
      <c r="G677" t="s">
        <v>445</v>
      </c>
      <c r="H677" s="146">
        <v>62029488.09523809</v>
      </c>
      <c r="I677" s="146">
        <v>152606200</v>
      </c>
      <c r="K677" s="146">
        <v>62029488.09523809</v>
      </c>
      <c r="L677" s="146">
        <v>152606200</v>
      </c>
    </row>
    <row r="678" spans="5:13" x14ac:dyDescent="0.3">
      <c r="G678" t="s">
        <v>443</v>
      </c>
      <c r="H678" s="148"/>
      <c r="I678" s="148">
        <f>+H675+I675+I676-H677-I677</f>
        <v>7751590154.9047623</v>
      </c>
      <c r="K678" s="148"/>
      <c r="L678" s="148">
        <f>+K675+L675+L676-K677-L677</f>
        <v>7745952754.9047623</v>
      </c>
    </row>
    <row r="679" spans="5:13" x14ac:dyDescent="0.3">
      <c r="G679"/>
      <c r="H679" s="147"/>
      <c r="I679" s="147"/>
    </row>
    <row r="680" spans="5:13" x14ac:dyDescent="0.3">
      <c r="I680" s="150">
        <f>+H675+I675+I676-H677-I677</f>
        <v>7751590154.9047623</v>
      </c>
    </row>
    <row r="681" spans="5:13" x14ac:dyDescent="0.3">
      <c r="I681" s="150">
        <v>7751590154.9047623</v>
      </c>
      <c r="L681" s="150">
        <f>+L677+K677</f>
        <v>214635688.09523809</v>
      </c>
    </row>
    <row r="682" spans="5:13" x14ac:dyDescent="0.3">
      <c r="L682" s="150">
        <f>+I676-L676</f>
        <v>5637400</v>
      </c>
    </row>
    <row r="684" spans="5:13" x14ac:dyDescent="0.3">
      <c r="J684" s="151">
        <v>7754035609</v>
      </c>
    </row>
  </sheetData>
  <protectedRanges>
    <protectedRange password="CF71" sqref="C1:C340 C672:C65536" name="tho"/>
    <protectedRange password="CF71" sqref="C342:C670" name="tho_4"/>
  </protectedRanges>
  <autoFilter ref="A2:IT672" xr:uid="{00000000-0009-0000-0000-00001D000000}">
    <filterColumn colId="2">
      <customFilters>
        <customFilter operator="notEqual" val=" "/>
      </customFilters>
    </filterColumn>
  </autoFilter>
  <mergeCells count="2">
    <mergeCell ref="A2:A3"/>
    <mergeCell ref="A342:A3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1.6</vt:lpstr>
      <vt:lpstr>2.6</vt:lpstr>
      <vt:lpstr>3.6</vt:lpstr>
      <vt:lpstr>4.6</vt:lpstr>
      <vt:lpstr>5.6</vt:lpstr>
      <vt:lpstr>6.6</vt:lpstr>
      <vt:lpstr>7.6</vt:lpstr>
      <vt:lpstr>8.6</vt:lpstr>
      <vt:lpstr>9.6</vt:lpstr>
      <vt:lpstr>10.6</vt:lpstr>
      <vt:lpstr>11.6</vt:lpstr>
      <vt:lpstr>12.6</vt:lpstr>
      <vt:lpstr>13.6</vt:lpstr>
      <vt:lpstr>14.6</vt:lpstr>
      <vt:lpstr>15.6</vt:lpstr>
      <vt:lpstr>16.6</vt:lpstr>
      <vt:lpstr>17.6</vt:lpstr>
      <vt:lpstr>18.6</vt:lpstr>
      <vt:lpstr>19.6</vt:lpstr>
      <vt:lpstr>20.6</vt:lpstr>
      <vt:lpstr>21.6</vt:lpstr>
      <vt:lpstr>22.6</vt:lpstr>
      <vt:lpstr>23.6</vt:lpstr>
      <vt:lpstr>24.6</vt:lpstr>
      <vt:lpstr>25.6</vt:lpstr>
      <vt:lpstr>26.6</vt:lpstr>
      <vt:lpstr>27.6</vt:lpstr>
      <vt:lpstr>28.6</vt:lpstr>
      <vt:lpstr>29.6</vt:lpstr>
      <vt:lpstr>30.6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VuonRau</cp:lastModifiedBy>
  <dcterms:created xsi:type="dcterms:W3CDTF">2024-06-05T03:14:54Z</dcterms:created>
  <dcterms:modified xsi:type="dcterms:W3CDTF">2024-07-17T06:43:52Z</dcterms:modified>
</cp:coreProperties>
</file>