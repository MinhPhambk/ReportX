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3. GIÁ TRỊ HÀNG TỒN KHO\2024\"/>
    </mc:Choice>
  </mc:AlternateContent>
  <xr:revisionPtr revIDLastSave="0" documentId="13_ncr:1_{67867A31-D951-4D26-B1E5-BFB21093E634}" xr6:coauthVersionLast="47" xr6:coauthVersionMax="47" xr10:uidLastSave="{00000000-0000-0000-0000-000000000000}"/>
  <bookViews>
    <workbookView xWindow="-108" yWindow="-108" windowWidth="23256" windowHeight="12456" firstSheet="15" activeTab="20" xr2:uid="{00000000-000D-0000-FFFF-FFFF00000000}"/>
  </bookViews>
  <sheets>
    <sheet name="1.12" sheetId="1" r:id="rId1"/>
    <sheet name="2.12" sheetId="2" r:id="rId2"/>
    <sheet name="3.12" sheetId="3" r:id="rId3"/>
    <sheet name="4.12" sheetId="4" r:id="rId4"/>
    <sheet name="5.12" sheetId="5" r:id="rId5"/>
    <sheet name="6.12" sheetId="6" r:id="rId6"/>
    <sheet name="7.12" sheetId="7" r:id="rId7"/>
    <sheet name="8.12" sheetId="8" r:id="rId8"/>
    <sheet name="9.12" sheetId="9" r:id="rId9"/>
    <sheet name="10.12" sheetId="10" r:id="rId10"/>
    <sheet name="11.12" sheetId="11" r:id="rId11"/>
    <sheet name="12.12" sheetId="12" r:id="rId12"/>
    <sheet name="13.12" sheetId="13" r:id="rId13"/>
    <sheet name="14.12" sheetId="14" r:id="rId14"/>
    <sheet name="14.12." sheetId="15" r:id="rId15"/>
    <sheet name="15.12" sheetId="16" r:id="rId16"/>
    <sheet name="16.12" sheetId="17" r:id="rId17"/>
    <sheet name="17.12" sheetId="18" r:id="rId18"/>
    <sheet name="18.12" sheetId="19" r:id="rId19"/>
    <sheet name="19.12" sheetId="20" r:id="rId20"/>
    <sheet name="20.12" sheetId="21" r:id="rId21"/>
    <sheet name="21.12" sheetId="22" r:id="rId22"/>
    <sheet name="22.12" sheetId="23" r:id="rId23"/>
    <sheet name="23.12" sheetId="24" r:id="rId24"/>
    <sheet name="24.12" sheetId="25" r:id="rId25"/>
    <sheet name="25.12" sheetId="26" r:id="rId26"/>
    <sheet name="26.12" sheetId="27" r:id="rId27"/>
    <sheet name="27.12" sheetId="28" r:id="rId28"/>
    <sheet name="28.12" sheetId="29" r:id="rId29"/>
    <sheet name="29.12" sheetId="30" r:id="rId30"/>
    <sheet name="30.12" sheetId="31" r:id="rId31"/>
    <sheet name="31.12" sheetId="32" r:id="rId32"/>
  </sheets>
  <definedNames>
    <definedName name="_xlnm._FilterDatabase" localSheetId="0" hidden="1">'1.12'!$A$2:$E$148</definedName>
    <definedName name="_xlnm._FilterDatabase" localSheetId="9" hidden="1">'10.12'!$A$2:$E$161</definedName>
    <definedName name="_xlnm._FilterDatabase" localSheetId="10" hidden="1">'11.12'!$A$2:$E$142</definedName>
    <definedName name="_xlnm._FilterDatabase" localSheetId="11" hidden="1">'12.12'!$A$2:$F$181</definedName>
    <definedName name="_xlnm._FilterDatabase" localSheetId="12" hidden="1">'13.12'!$A$2:$E$155</definedName>
    <definedName name="_xlnm._FilterDatabase" localSheetId="13" hidden="1">'14.12'!$A$1:$E$156</definedName>
    <definedName name="_xlnm._FilterDatabase" localSheetId="14" hidden="1">'14.12.'!$A$3:$E$147</definedName>
    <definedName name="_xlnm._FilterDatabase" localSheetId="15" hidden="1">'15.12'!$A$3:$E$153</definedName>
    <definedName name="_xlnm._FilterDatabase" localSheetId="16" hidden="1">'16.12'!$A$2:$E$162</definedName>
    <definedName name="_xlnm._FilterDatabase" localSheetId="17" hidden="1">'17.12'!$A$2:$E$169</definedName>
    <definedName name="_xlnm._FilterDatabase" localSheetId="18" hidden="1">'18.12'!$A$2:$E$145</definedName>
    <definedName name="_xlnm._FilterDatabase" localSheetId="19" hidden="1">'19.12'!$A$2:$E$169</definedName>
    <definedName name="_xlnm._FilterDatabase" localSheetId="1" hidden="1">'2.12'!$A$2:$E$156</definedName>
    <definedName name="_xlnm._FilterDatabase" localSheetId="20" hidden="1">'20.12'!$A$2:$E$159</definedName>
    <definedName name="_xlnm._FilterDatabase" localSheetId="21" hidden="1">'21.12'!$A$3:$E$143</definedName>
    <definedName name="_xlnm._FilterDatabase" localSheetId="22" hidden="1">'22.12'!$A$2:$E$164</definedName>
    <definedName name="_xlnm._FilterDatabase" localSheetId="23" hidden="1">'23.12'!$A$2:$E$159</definedName>
    <definedName name="_xlnm._FilterDatabase" localSheetId="24" hidden="1">'24.12'!$A$2:$E$167</definedName>
    <definedName name="_xlnm._FilterDatabase" localSheetId="25" hidden="1">'25.12'!$A$2:$E$165</definedName>
    <definedName name="_xlnm._FilterDatabase" localSheetId="26" hidden="1">'26.12'!$A$2:$E$169</definedName>
    <definedName name="_xlnm._FilterDatabase" localSheetId="27" hidden="1">'27.12'!$A$2:$E$156</definedName>
    <definedName name="_xlnm._FilterDatabase" localSheetId="28" hidden="1">'28.12'!$A$2:$F$140</definedName>
    <definedName name="_xlnm._FilterDatabase" localSheetId="29" hidden="1">'29.12'!$A$2:$E$150</definedName>
    <definedName name="_xlnm._FilterDatabase" localSheetId="2" hidden="1">'3.12'!$A$2:$E$159</definedName>
    <definedName name="_xlnm._FilterDatabase" localSheetId="30" hidden="1">'30.12'!$A$2:$E$137</definedName>
    <definedName name="_xlnm._FilterDatabase" localSheetId="31" hidden="1">'31.12'!$A$2:$E$152</definedName>
    <definedName name="_xlnm._FilterDatabase" localSheetId="3" hidden="1">'4.12'!$A$3:$E$152</definedName>
    <definedName name="_xlnm._FilterDatabase" localSheetId="4" hidden="1">'5.12'!$A$1:$E$163</definedName>
    <definedName name="_xlnm._FilterDatabase" localSheetId="5" hidden="1">'6.12'!$A$1:$E$153</definedName>
    <definedName name="_xlnm._FilterDatabase" localSheetId="6" hidden="1">'7.12'!$A$1:$E$148</definedName>
    <definedName name="_xlnm._FilterDatabase" localSheetId="7" hidden="1">'8.12'!$A$1:$E$159</definedName>
    <definedName name="_xlnm._FilterDatabase" localSheetId="8" hidden="1">'9.12'!$A$2:$E$153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5" i="24" l="1"/>
  <c r="E157" i="26"/>
  <c r="E159" i="26"/>
  <c r="E79" i="17"/>
  <c r="E163" i="17"/>
  <c r="E154" i="32"/>
  <c r="E153" i="32"/>
  <c r="E139" i="31"/>
  <c r="E152" i="30"/>
  <c r="E4" i="32"/>
  <c r="E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E68" i="32"/>
  <c r="E69" i="32"/>
  <c r="E70" i="32"/>
  <c r="E71" i="32"/>
  <c r="E72" i="32"/>
  <c r="E73" i="32"/>
  <c r="E74" i="32"/>
  <c r="E75" i="32"/>
  <c r="E76" i="32"/>
  <c r="E77" i="32"/>
  <c r="E78" i="32"/>
  <c r="E79" i="32"/>
  <c r="E80" i="32"/>
  <c r="E81" i="32"/>
  <c r="E82" i="32"/>
  <c r="E83" i="32"/>
  <c r="E84" i="32"/>
  <c r="E85" i="32"/>
  <c r="E86" i="32"/>
  <c r="E87" i="32"/>
  <c r="E88" i="32"/>
  <c r="E89" i="32"/>
  <c r="E90" i="32"/>
  <c r="E91" i="32"/>
  <c r="E92" i="32"/>
  <c r="E93" i="32"/>
  <c r="E94" i="32"/>
  <c r="E95" i="32"/>
  <c r="E96" i="32"/>
  <c r="E97" i="32"/>
  <c r="E98" i="32"/>
  <c r="E99" i="32"/>
  <c r="E100" i="32"/>
  <c r="E101" i="32"/>
  <c r="E102" i="32"/>
  <c r="E103" i="32"/>
  <c r="E104" i="32"/>
  <c r="E105" i="32"/>
  <c r="E106" i="32"/>
  <c r="E107" i="32"/>
  <c r="E108" i="32"/>
  <c r="E109" i="32"/>
  <c r="E110" i="32"/>
  <c r="E111" i="32"/>
  <c r="E112" i="32"/>
  <c r="E113" i="32"/>
  <c r="E114" i="32"/>
  <c r="E115" i="32"/>
  <c r="E119" i="32"/>
  <c r="E120" i="32"/>
  <c r="E121" i="32"/>
  <c r="E122" i="32"/>
  <c r="E123" i="32"/>
  <c r="E124" i="32"/>
  <c r="E125" i="32"/>
  <c r="E126" i="32"/>
  <c r="E127" i="32"/>
  <c r="E128" i="32"/>
  <c r="E129" i="32"/>
  <c r="E130" i="32"/>
  <c r="E131" i="32"/>
  <c r="E132" i="32"/>
  <c r="E133" i="32"/>
  <c r="E134" i="32"/>
  <c r="E135" i="32"/>
  <c r="E136" i="32"/>
  <c r="E137" i="32"/>
  <c r="E138" i="32"/>
  <c r="E139" i="32"/>
  <c r="E140" i="32"/>
  <c r="E141" i="32"/>
  <c r="E142" i="32"/>
  <c r="E143" i="32"/>
  <c r="E144" i="32"/>
  <c r="E145" i="32"/>
  <c r="E146" i="32"/>
  <c r="E147" i="32"/>
  <c r="E148" i="32"/>
  <c r="E149" i="32"/>
  <c r="E150" i="32"/>
  <c r="E151" i="32"/>
  <c r="E152" i="32"/>
  <c r="E3" i="32"/>
  <c r="E116" i="32" s="1"/>
  <c r="E4" i="31" l="1"/>
  <c r="E5" i="31"/>
  <c r="E6" i="31"/>
  <c r="E7" i="31"/>
  <c r="E8" i="31"/>
  <c r="E9" i="31"/>
  <c r="E10" i="31"/>
  <c r="E11" i="31"/>
  <c r="E12" i="31"/>
  <c r="E13" i="31"/>
  <c r="E14" i="31"/>
  <c r="E15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3" i="31"/>
  <c r="E54" i="31"/>
  <c r="E55" i="31"/>
  <c r="E56" i="31"/>
  <c r="E57" i="31"/>
  <c r="E58" i="31"/>
  <c r="E59" i="31"/>
  <c r="E60" i="31"/>
  <c r="E61" i="31"/>
  <c r="E62" i="31"/>
  <c r="E63" i="31"/>
  <c r="E64" i="31"/>
  <c r="E65" i="31"/>
  <c r="E66" i="31"/>
  <c r="E67" i="31"/>
  <c r="E68" i="31"/>
  <c r="E69" i="31"/>
  <c r="E70" i="31"/>
  <c r="E71" i="31"/>
  <c r="E72" i="31"/>
  <c r="E73" i="31"/>
  <c r="E74" i="31"/>
  <c r="E75" i="31"/>
  <c r="E76" i="31"/>
  <c r="E77" i="31"/>
  <c r="E78" i="31"/>
  <c r="E79" i="31"/>
  <c r="E80" i="31"/>
  <c r="E81" i="31"/>
  <c r="E82" i="31"/>
  <c r="E83" i="31"/>
  <c r="E84" i="31"/>
  <c r="E85" i="31"/>
  <c r="E86" i="31"/>
  <c r="E87" i="31"/>
  <c r="E88" i="31"/>
  <c r="E89" i="31"/>
  <c r="E90" i="31"/>
  <c r="E91" i="31"/>
  <c r="E92" i="31"/>
  <c r="E93" i="31"/>
  <c r="E94" i="31"/>
  <c r="E95" i="31"/>
  <c r="E96" i="31"/>
  <c r="E97" i="31"/>
  <c r="E98" i="31"/>
  <c r="E102" i="31"/>
  <c r="E103" i="31"/>
  <c r="E104" i="31"/>
  <c r="E105" i="31"/>
  <c r="E106" i="31"/>
  <c r="E107" i="31"/>
  <c r="E108" i="31"/>
  <c r="E109" i="31"/>
  <c r="E110" i="31"/>
  <c r="E111" i="31"/>
  <c r="E112" i="31"/>
  <c r="E113" i="31"/>
  <c r="E114" i="31"/>
  <c r="E115" i="31"/>
  <c r="E116" i="31"/>
  <c r="E117" i="31"/>
  <c r="E118" i="31"/>
  <c r="E119" i="31"/>
  <c r="E120" i="31"/>
  <c r="E121" i="31"/>
  <c r="E122" i="31"/>
  <c r="E123" i="31"/>
  <c r="E124" i="31"/>
  <c r="E125" i="31"/>
  <c r="E126" i="31"/>
  <c r="E127" i="31"/>
  <c r="E128" i="31"/>
  <c r="E129" i="31"/>
  <c r="E130" i="31"/>
  <c r="E131" i="31"/>
  <c r="E132" i="31"/>
  <c r="E133" i="31"/>
  <c r="E134" i="31"/>
  <c r="E135" i="31"/>
  <c r="E136" i="31"/>
  <c r="E137" i="31"/>
  <c r="E3" i="31"/>
  <c r="E99" i="31" l="1"/>
  <c r="E138" i="31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38" i="30"/>
  <c r="E39" i="30"/>
  <c r="E40" i="30"/>
  <c r="E41" i="30"/>
  <c r="E42" i="30"/>
  <c r="E43" i="30"/>
  <c r="E44" i="30"/>
  <c r="E45" i="30"/>
  <c r="E46" i="30"/>
  <c r="E47" i="30"/>
  <c r="E48" i="30"/>
  <c r="E49" i="30"/>
  <c r="E50" i="30"/>
  <c r="E51" i="30"/>
  <c r="E52" i="30"/>
  <c r="E53" i="30"/>
  <c r="E54" i="30"/>
  <c r="E55" i="30"/>
  <c r="E56" i="30"/>
  <c r="E57" i="30"/>
  <c r="E58" i="30"/>
  <c r="E59" i="30"/>
  <c r="E60" i="30"/>
  <c r="E61" i="30"/>
  <c r="E62" i="30"/>
  <c r="E63" i="30"/>
  <c r="E64" i="30"/>
  <c r="E65" i="30"/>
  <c r="E66" i="30"/>
  <c r="E67" i="30"/>
  <c r="E68" i="30"/>
  <c r="E69" i="30"/>
  <c r="E70" i="30"/>
  <c r="E71" i="30"/>
  <c r="E72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85" i="30"/>
  <c r="E86" i="30"/>
  <c r="E87" i="30"/>
  <c r="E88" i="30"/>
  <c r="E89" i="30"/>
  <c r="E90" i="30"/>
  <c r="E91" i="30"/>
  <c r="E92" i="30"/>
  <c r="E93" i="30"/>
  <c r="E94" i="30"/>
  <c r="E95" i="30"/>
  <c r="E96" i="30"/>
  <c r="E97" i="30"/>
  <c r="E98" i="30"/>
  <c r="E99" i="30"/>
  <c r="E100" i="30"/>
  <c r="E101" i="30"/>
  <c r="E102" i="30"/>
  <c r="E103" i="30"/>
  <c r="E104" i="30"/>
  <c r="E105" i="30"/>
  <c r="E106" i="30"/>
  <c r="E110" i="30"/>
  <c r="E111" i="30"/>
  <c r="E112" i="30"/>
  <c r="E113" i="30"/>
  <c r="E114" i="30"/>
  <c r="E115" i="30"/>
  <c r="E116" i="30"/>
  <c r="E117" i="30"/>
  <c r="E118" i="30"/>
  <c r="E119" i="30"/>
  <c r="E120" i="30"/>
  <c r="E121" i="30"/>
  <c r="E122" i="30"/>
  <c r="E123" i="30"/>
  <c r="E124" i="30"/>
  <c r="E125" i="30"/>
  <c r="E126" i="30"/>
  <c r="E127" i="30"/>
  <c r="E128" i="30"/>
  <c r="E129" i="30"/>
  <c r="E130" i="30"/>
  <c r="E131" i="30"/>
  <c r="E132" i="30"/>
  <c r="E133" i="30"/>
  <c r="E134" i="30"/>
  <c r="E135" i="30"/>
  <c r="E136" i="30"/>
  <c r="E137" i="30"/>
  <c r="E138" i="30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3" i="30"/>
  <c r="E107" i="30" l="1"/>
  <c r="E151" i="30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5" i="29"/>
  <c r="E106" i="29"/>
  <c r="E107" i="29"/>
  <c r="E108" i="29"/>
  <c r="E109" i="29"/>
  <c r="E110" i="29"/>
  <c r="E111" i="29"/>
  <c r="E112" i="29"/>
  <c r="E113" i="29"/>
  <c r="E114" i="29"/>
  <c r="E115" i="29"/>
  <c r="E116" i="29"/>
  <c r="E117" i="29"/>
  <c r="E118" i="29"/>
  <c r="E119" i="29"/>
  <c r="E120" i="29"/>
  <c r="E121" i="29"/>
  <c r="E122" i="29"/>
  <c r="E123" i="29"/>
  <c r="E124" i="29"/>
  <c r="E125" i="29"/>
  <c r="E126" i="29"/>
  <c r="E127" i="29"/>
  <c r="E128" i="29"/>
  <c r="E129" i="29"/>
  <c r="E130" i="29"/>
  <c r="E131" i="29"/>
  <c r="E132" i="29"/>
  <c r="E133" i="29"/>
  <c r="E134" i="29"/>
  <c r="E135" i="29"/>
  <c r="E136" i="29"/>
  <c r="E137" i="29"/>
  <c r="E138" i="29"/>
  <c r="E139" i="29"/>
  <c r="E140" i="29"/>
  <c r="E3" i="29"/>
  <c r="E102" i="29" l="1"/>
  <c r="E141" i="29"/>
  <c r="E142" i="29" s="1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5" i="28"/>
  <c r="E116" i="28"/>
  <c r="E117" i="28"/>
  <c r="E118" i="28"/>
  <c r="E119" i="28"/>
  <c r="E120" i="28"/>
  <c r="E121" i="28"/>
  <c r="E122" i="28"/>
  <c r="E123" i="28"/>
  <c r="E124" i="28"/>
  <c r="E125" i="28"/>
  <c r="E126" i="28"/>
  <c r="E127" i="28"/>
  <c r="E128" i="28"/>
  <c r="E129" i="28"/>
  <c r="E130" i="28"/>
  <c r="E131" i="28"/>
  <c r="E132" i="28"/>
  <c r="E133" i="28"/>
  <c r="E134" i="28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3" i="28"/>
  <c r="E112" i="28" l="1"/>
  <c r="E157" i="28"/>
  <c r="E158" i="28" s="1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 l="1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3" i="27"/>
  <c r="E122" i="27" l="1"/>
  <c r="E169" i="27" s="1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8" i="26"/>
  <c r="E160" i="26"/>
  <c r="E161" i="26"/>
  <c r="E162" i="26"/>
  <c r="E163" i="26"/>
  <c r="E3" i="26"/>
  <c r="E4" i="25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104" i="25"/>
  <c r="E105" i="25"/>
  <c r="E106" i="25"/>
  <c r="E107" i="25"/>
  <c r="E108" i="25"/>
  <c r="E109" i="25"/>
  <c r="E110" i="25"/>
  <c r="E111" i="25"/>
  <c r="E112" i="25"/>
  <c r="E113" i="25"/>
  <c r="E114" i="25"/>
  <c r="E118" i="25"/>
  <c r="E119" i="25"/>
  <c r="E120" i="25"/>
  <c r="E121" i="25"/>
  <c r="E122" i="25"/>
  <c r="E123" i="25"/>
  <c r="E124" i="25"/>
  <c r="E125" i="25"/>
  <c r="E126" i="25"/>
  <c r="E127" i="25"/>
  <c r="E128" i="25"/>
  <c r="E129" i="25"/>
  <c r="E130" i="25"/>
  <c r="E131" i="25"/>
  <c r="E132" i="25"/>
  <c r="E133" i="25"/>
  <c r="E134" i="25"/>
  <c r="E135" i="25"/>
  <c r="E136" i="25"/>
  <c r="E137" i="25"/>
  <c r="E138" i="25"/>
  <c r="E139" i="25"/>
  <c r="E140" i="25"/>
  <c r="E141" i="25"/>
  <c r="E142" i="25"/>
  <c r="E143" i="25"/>
  <c r="E144" i="25"/>
  <c r="E145" i="25"/>
  <c r="E146" i="25"/>
  <c r="E147" i="25"/>
  <c r="E148" i="25"/>
  <c r="E149" i="25"/>
  <c r="E150" i="25"/>
  <c r="E151" i="25"/>
  <c r="E152" i="25"/>
  <c r="E153" i="25"/>
  <c r="E154" i="25"/>
  <c r="E155" i="25"/>
  <c r="E156" i="25"/>
  <c r="E157" i="25"/>
  <c r="E158" i="25"/>
  <c r="E159" i="25"/>
  <c r="E160" i="25"/>
  <c r="E161" i="25"/>
  <c r="E162" i="25"/>
  <c r="E163" i="25"/>
  <c r="E164" i="25"/>
  <c r="E165" i="25"/>
  <c r="E3" i="25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6" i="24"/>
  <c r="E97" i="24"/>
  <c r="E98" i="24"/>
  <c r="E99" i="24"/>
  <c r="E100" i="24"/>
  <c r="E101" i="24"/>
  <c r="E102" i="24"/>
  <c r="E103" i="24"/>
  <c r="E104" i="24"/>
  <c r="E105" i="24"/>
  <c r="E106" i="24"/>
  <c r="E110" i="24"/>
  <c r="E111" i="24"/>
  <c r="E112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25" i="24"/>
  <c r="E126" i="24"/>
  <c r="E127" i="24"/>
  <c r="E128" i="24"/>
  <c r="E129" i="24"/>
  <c r="E130" i="24"/>
  <c r="E131" i="24"/>
  <c r="E132" i="24"/>
  <c r="E133" i="24"/>
  <c r="E134" i="24"/>
  <c r="E135" i="24"/>
  <c r="E136" i="24"/>
  <c r="E137" i="24"/>
  <c r="E138" i="24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153" i="24"/>
  <c r="E154" i="24"/>
  <c r="E155" i="24"/>
  <c r="E156" i="24"/>
  <c r="E157" i="24"/>
  <c r="E3" i="24"/>
  <c r="E107" i="24" l="1"/>
  <c r="E166" i="25"/>
  <c r="E164" i="26"/>
  <c r="E115" i="26"/>
  <c r="E115" i="25"/>
  <c r="E158" i="24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E143" i="23"/>
  <c r="E144" i="23"/>
  <c r="E145" i="23"/>
  <c r="E146" i="23"/>
  <c r="E147" i="23"/>
  <c r="E148" i="23"/>
  <c r="E149" i="23"/>
  <c r="E150" i="23"/>
  <c r="E151" i="23"/>
  <c r="E152" i="23"/>
  <c r="E153" i="23"/>
  <c r="E154" i="23"/>
  <c r="E155" i="23"/>
  <c r="E156" i="23"/>
  <c r="E157" i="23"/>
  <c r="E158" i="23"/>
  <c r="E159" i="23"/>
  <c r="E160" i="23"/>
  <c r="E161" i="23"/>
  <c r="E162" i="23"/>
  <c r="E3" i="23"/>
  <c r="E159" i="24" l="1"/>
  <c r="E167" i="25"/>
  <c r="E165" i="26"/>
  <c r="E163" i="23"/>
  <c r="E113" i="23"/>
  <c r="E164" i="23" s="1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 l="1"/>
  <c r="E4" i="22"/>
  <c r="E91" i="22" s="1"/>
  <c r="E143" i="22" l="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3" i="21"/>
  <c r="E159" i="21" l="1"/>
  <c r="E110" i="21"/>
  <c r="E160" i="21" s="1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3" i="20"/>
  <c r="E168" i="20" l="1"/>
  <c r="E118" i="20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3" i="19"/>
  <c r="E96" i="19" s="1"/>
  <c r="E169" i="20" l="1"/>
  <c r="E144" i="19"/>
  <c r="E145" i="19" s="1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3" i="18"/>
  <c r="E168" i="18" l="1"/>
  <c r="E116" i="18"/>
  <c r="E169" i="18" s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3" i="17"/>
  <c r="E161" i="17" l="1"/>
  <c r="E108" i="17"/>
  <c r="E141" i="9"/>
  <c r="E162" i="17" l="1"/>
  <c r="E101" i="7"/>
  <c r="E148" i="7"/>
  <c r="C74" i="7"/>
  <c r="E74" i="7"/>
  <c r="E5" i="16" l="1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4" i="16"/>
  <c r="E106" i="16" l="1"/>
  <c r="E153" i="16"/>
  <c r="E154" i="16" s="1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5" i="15"/>
  <c r="E148" i="15" s="1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4" i="15"/>
  <c r="E102" i="15" l="1"/>
  <c r="E149" i="15" s="1"/>
  <c r="E89" i="14"/>
  <c r="E90" i="14"/>
  <c r="E78" i="14"/>
  <c r="E77" i="14"/>
  <c r="E76" i="14"/>
  <c r="E81" i="14"/>
  <c r="E75" i="14"/>
  <c r="E64" i="14"/>
  <c r="E66" i="14"/>
  <c r="E70" i="14"/>
  <c r="E71" i="14"/>
  <c r="E72" i="14"/>
  <c r="E73" i="14"/>
  <c r="E63" i="14"/>
  <c r="E149" i="14"/>
  <c r="E139" i="14"/>
  <c r="E138" i="14"/>
  <c r="E129" i="14"/>
  <c r="E124" i="14"/>
  <c r="E123" i="14"/>
  <c r="E122" i="14"/>
  <c r="E120" i="14"/>
  <c r="E111" i="14"/>
  <c r="E106" i="14"/>
  <c r="E102" i="14"/>
  <c r="E101" i="14"/>
  <c r="E98" i="14"/>
  <c r="E96" i="14"/>
  <c r="E94" i="14"/>
  <c r="E61" i="14"/>
  <c r="E60" i="14"/>
  <c r="E54" i="14"/>
  <c r="E50" i="14"/>
  <c r="E48" i="14"/>
  <c r="E47" i="14"/>
  <c r="E42" i="14"/>
  <c r="E40" i="14"/>
  <c r="E39" i="14"/>
  <c r="E36" i="14"/>
  <c r="E24" i="14"/>
  <c r="E21" i="14"/>
  <c r="E18" i="14"/>
  <c r="E6" i="14"/>
  <c r="E4" i="14"/>
  <c r="E3" i="14"/>
  <c r="E2" i="14"/>
  <c r="E148" i="14"/>
  <c r="E147" i="14"/>
  <c r="E146" i="14"/>
  <c r="E145" i="14"/>
  <c r="E143" i="14"/>
  <c r="E137" i="14"/>
  <c r="E136" i="14"/>
  <c r="E133" i="14"/>
  <c r="E130" i="14"/>
  <c r="E121" i="14"/>
  <c r="E119" i="14"/>
  <c r="E118" i="14"/>
  <c r="E112" i="14"/>
  <c r="E105" i="14"/>
  <c r="E100" i="14"/>
  <c r="E99" i="14"/>
  <c r="E92" i="14"/>
  <c r="E68" i="14"/>
  <c r="E67" i="14"/>
  <c r="E59" i="14"/>
  <c r="E57" i="14"/>
  <c r="E56" i="14"/>
  <c r="E55" i="14"/>
  <c r="E52" i="14"/>
  <c r="E46" i="14"/>
  <c r="E44" i="14"/>
  <c r="E43" i="14"/>
  <c r="E30" i="14"/>
  <c r="E28" i="14"/>
  <c r="E26" i="14"/>
  <c r="E25" i="14"/>
  <c r="E23" i="14"/>
  <c r="E15" i="14"/>
  <c r="E13" i="14"/>
  <c r="E9" i="14"/>
  <c r="E7" i="14"/>
  <c r="E5" i="14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3" i="13"/>
  <c r="E155" i="14" l="1"/>
  <c r="E156" i="13"/>
  <c r="E105" i="13"/>
  <c r="E107" i="14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36" i="12"/>
  <c r="E157" i="13" l="1"/>
  <c r="E182" i="12"/>
  <c r="E156" i="14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3" i="12"/>
  <c r="E133" i="12" l="1"/>
  <c r="E183" i="12" s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3" i="11"/>
  <c r="E143" i="11" l="1"/>
  <c r="E100" i="11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3" i="10"/>
  <c r="E162" i="10" l="1"/>
  <c r="E144" i="11"/>
  <c r="E114" i="10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3" i="9"/>
  <c r="E163" i="10" l="1"/>
  <c r="E106" i="9"/>
  <c r="E154" i="9"/>
  <c r="D26" i="6"/>
  <c r="E26" i="6" s="1"/>
  <c r="E106" i="6" s="1"/>
  <c r="E153" i="6" s="1"/>
  <c r="D25" i="7"/>
  <c r="E25" i="7" s="1"/>
  <c r="E75" i="8"/>
  <c r="D27" i="8"/>
  <c r="E27" i="8" s="1"/>
  <c r="E155" i="9" l="1"/>
  <c r="D58" i="5"/>
  <c r="D25" i="5"/>
  <c r="D17" i="5"/>
  <c r="E17" i="5" s="1"/>
  <c r="E156" i="5"/>
  <c r="E144" i="5"/>
  <c r="D137" i="5"/>
  <c r="E137" i="5" s="1"/>
  <c r="D136" i="5"/>
  <c r="E136" i="5" s="1"/>
  <c r="D133" i="5"/>
  <c r="E133" i="5" s="1"/>
  <c r="D132" i="5"/>
  <c r="E132" i="5" s="1"/>
  <c r="D129" i="5"/>
  <c r="E129" i="5" s="1"/>
  <c r="D128" i="5"/>
  <c r="E128" i="5" s="1"/>
  <c r="D127" i="5"/>
  <c r="E127" i="5" s="1"/>
  <c r="D125" i="5"/>
  <c r="E125" i="5" s="1"/>
  <c r="D122" i="5"/>
  <c r="E122" i="5" s="1"/>
  <c r="D119" i="5"/>
  <c r="E119" i="5" s="1"/>
  <c r="D116" i="5"/>
  <c r="E116" i="5" s="1"/>
  <c r="D103" i="5"/>
  <c r="E103" i="5" s="1"/>
  <c r="E101" i="5"/>
  <c r="D98" i="5"/>
  <c r="E98" i="5" s="1"/>
  <c r="D96" i="5"/>
  <c r="E96" i="5" s="1"/>
  <c r="D94" i="5"/>
  <c r="E94" i="5" s="1"/>
  <c r="D93" i="5"/>
  <c r="E93" i="5" s="1"/>
  <c r="D91" i="5"/>
  <c r="E91" i="5" s="1"/>
  <c r="E87" i="5"/>
  <c r="D83" i="5"/>
  <c r="E83" i="5" s="1"/>
  <c r="E81" i="5"/>
  <c r="D79" i="5"/>
  <c r="E79" i="5" s="1"/>
  <c r="E75" i="5"/>
  <c r="D73" i="5"/>
  <c r="E73" i="5" s="1"/>
  <c r="D71" i="5"/>
  <c r="E71" i="5" s="1"/>
  <c r="D70" i="5"/>
  <c r="E70" i="5" s="1"/>
  <c r="D69" i="5"/>
  <c r="E69" i="5" s="1"/>
  <c r="D68" i="5"/>
  <c r="E68" i="5" s="1"/>
  <c r="D66" i="5"/>
  <c r="E66" i="5" s="1"/>
  <c r="D61" i="5"/>
  <c r="E61" i="5" s="1"/>
  <c r="E60" i="5"/>
  <c r="D57" i="5"/>
  <c r="E57" i="5" s="1"/>
  <c r="D55" i="5"/>
  <c r="E55" i="5" s="1"/>
  <c r="D54" i="5"/>
  <c r="E54" i="5" s="1"/>
  <c r="D52" i="5"/>
  <c r="E52" i="5" s="1"/>
  <c r="D51" i="5"/>
  <c r="E51" i="5" s="1"/>
  <c r="D50" i="5"/>
  <c r="E50" i="5" s="1"/>
  <c r="D46" i="5"/>
  <c r="E46" i="5" s="1"/>
  <c r="D40" i="5"/>
  <c r="E40" i="5" s="1"/>
  <c r="D35" i="5"/>
  <c r="E35" i="5" s="1"/>
  <c r="D31" i="5"/>
  <c r="E31" i="5" s="1"/>
  <c r="D28" i="5"/>
  <c r="E28" i="5" s="1"/>
  <c r="D23" i="5"/>
  <c r="E23" i="5" s="1"/>
  <c r="D18" i="5"/>
  <c r="E18" i="5" s="1"/>
  <c r="D14" i="5"/>
  <c r="E14" i="5" s="1"/>
  <c r="D10" i="5"/>
  <c r="E10" i="5" s="1"/>
  <c r="D8" i="5"/>
  <c r="E8" i="5" s="1"/>
  <c r="D6" i="5"/>
  <c r="E6" i="5" s="1"/>
  <c r="D4" i="5"/>
  <c r="E4" i="5" s="1"/>
  <c r="D2" i="5"/>
  <c r="E2" i="5" s="1"/>
  <c r="E3" i="5"/>
  <c r="E5" i="5"/>
  <c r="E7" i="5"/>
  <c r="E9" i="5"/>
  <c r="E11" i="5"/>
  <c r="E12" i="5"/>
  <c r="E13" i="5"/>
  <c r="E15" i="5"/>
  <c r="E16" i="5"/>
  <c r="E19" i="5"/>
  <c r="E20" i="5"/>
  <c r="E21" i="5"/>
  <c r="E22" i="5"/>
  <c r="E24" i="5"/>
  <c r="E25" i="5"/>
  <c r="E26" i="5"/>
  <c r="E27" i="5"/>
  <c r="E29" i="5"/>
  <c r="E30" i="5"/>
  <c r="E32" i="5"/>
  <c r="E33" i="5"/>
  <c r="E34" i="5"/>
  <c r="E36" i="5"/>
  <c r="E37" i="5"/>
  <c r="E38" i="5"/>
  <c r="E39" i="5"/>
  <c r="E41" i="5"/>
  <c r="E42" i="5"/>
  <c r="E43" i="5"/>
  <c r="E44" i="5"/>
  <c r="E45" i="5"/>
  <c r="E47" i="5"/>
  <c r="E48" i="5"/>
  <c r="E49" i="5"/>
  <c r="E53" i="5"/>
  <c r="E56" i="5"/>
  <c r="E58" i="5"/>
  <c r="E59" i="5"/>
  <c r="E62" i="5"/>
  <c r="E63" i="5"/>
  <c r="E64" i="5"/>
  <c r="E65" i="5"/>
  <c r="E67" i="5"/>
  <c r="E72" i="5"/>
  <c r="E74" i="5"/>
  <c r="E76" i="5"/>
  <c r="E77" i="5"/>
  <c r="E78" i="5"/>
  <c r="E80" i="5"/>
  <c r="E82" i="5"/>
  <c r="E84" i="5"/>
  <c r="E85" i="5"/>
  <c r="E86" i="5"/>
  <c r="E88" i="5"/>
  <c r="E89" i="5"/>
  <c r="E90" i="5"/>
  <c r="E92" i="5"/>
  <c r="E95" i="5"/>
  <c r="E97" i="5"/>
  <c r="E99" i="5"/>
  <c r="E100" i="5"/>
  <c r="E102" i="5"/>
  <c r="E104" i="5"/>
  <c r="E105" i="5"/>
  <c r="E106" i="5"/>
  <c r="E107" i="5"/>
  <c r="E108" i="5"/>
  <c r="E109" i="5"/>
  <c r="E110" i="5"/>
  <c r="E111" i="5"/>
  <c r="E112" i="5"/>
  <c r="E113" i="5"/>
  <c r="E117" i="5"/>
  <c r="E118" i="5"/>
  <c r="E120" i="5"/>
  <c r="E121" i="5"/>
  <c r="E123" i="5"/>
  <c r="E124" i="5"/>
  <c r="E126" i="5"/>
  <c r="E130" i="5"/>
  <c r="E131" i="5"/>
  <c r="E134" i="5"/>
  <c r="E135" i="5"/>
  <c r="E138" i="5"/>
  <c r="E139" i="5"/>
  <c r="E140" i="5"/>
  <c r="E141" i="5"/>
  <c r="E142" i="5"/>
  <c r="E143" i="5"/>
  <c r="E145" i="5"/>
  <c r="E146" i="5"/>
  <c r="E147" i="5"/>
  <c r="E148" i="5"/>
  <c r="E149" i="5"/>
  <c r="E150" i="5"/>
  <c r="E151" i="5"/>
  <c r="E152" i="5"/>
  <c r="E153" i="5"/>
  <c r="E154" i="5"/>
  <c r="E155" i="5"/>
  <c r="E157" i="5"/>
  <c r="E158" i="5"/>
  <c r="E159" i="5"/>
  <c r="E160" i="5"/>
  <c r="E161" i="5"/>
  <c r="E162" i="5" l="1"/>
  <c r="E114" i="5"/>
  <c r="E152" i="2"/>
  <c r="E163" i="5" l="1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4" i="4"/>
  <c r="E151" i="4" l="1"/>
  <c r="E107" i="4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3" i="3"/>
  <c r="E111" i="3" l="1"/>
  <c r="E152" i="4"/>
  <c r="E158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3" i="2"/>
  <c r="E154" i="2"/>
  <c r="E3" i="2"/>
  <c r="E159" i="3" l="1"/>
  <c r="E106" i="2"/>
  <c r="E155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3" i="1"/>
  <c r="E108" i="1" l="1"/>
  <c r="E156" i="2"/>
  <c r="E149" i="1"/>
  <c r="E150" i="1" l="1"/>
</calcChain>
</file>

<file path=xl/sharedStrings.xml><?xml version="1.0" encoding="utf-8"?>
<sst xmlns="http://schemas.openxmlformats.org/spreadsheetml/2006/main" count="9966" uniqueCount="187">
  <si>
    <t>Tên Sản phẩm</t>
  </si>
  <si>
    <t>ĐVT</t>
  </si>
  <si>
    <t>Cà Rốt</t>
  </si>
  <si>
    <t>Kg</t>
  </si>
  <si>
    <t>Túi</t>
  </si>
  <si>
    <t>Cà Rốt Baby</t>
  </si>
  <si>
    <t>Vỉ</t>
  </si>
  <si>
    <t>Củ Cải Đỏ</t>
  </si>
  <si>
    <t>Hộp</t>
  </si>
  <si>
    <t>Củ Dền</t>
  </si>
  <si>
    <t>Củ Hành Tây</t>
  </si>
  <si>
    <t>Túi 300gr</t>
  </si>
  <si>
    <t>Củ Hành Tây Trung</t>
  </si>
  <si>
    <t>Củ Khoai Lang Mật Size 46</t>
  </si>
  <si>
    <t>Củ Khoai Lang Nhật</t>
  </si>
  <si>
    <t>Củ Khoai Tây Vàng</t>
  </si>
  <si>
    <t>Bông Cải Xanh Baby</t>
  </si>
  <si>
    <t>Bắp Cải Trắng</t>
  </si>
  <si>
    <t>Cải Bó Xôi</t>
  </si>
  <si>
    <t>Cải Kale</t>
  </si>
  <si>
    <t>Cải Thảo</t>
  </si>
  <si>
    <t>Cần Tây</t>
  </si>
  <si>
    <t>Cây</t>
  </si>
  <si>
    <t>Xà Lách Lolo Xanh T.C</t>
  </si>
  <si>
    <t>Bí Đỏ Tròn</t>
  </si>
  <si>
    <t>Bí Ngòi Xanh</t>
  </si>
  <si>
    <t>Trái</t>
  </si>
  <si>
    <t>Bí Non Nhật</t>
  </si>
  <si>
    <t>Cà Chua Beef</t>
  </si>
  <si>
    <t>Vỉ 650gr</t>
  </si>
  <si>
    <t>Cà Chua Thường</t>
  </si>
  <si>
    <t>Cà Chua Thường Trung</t>
  </si>
  <si>
    <t>Dưa Leo Baby</t>
  </si>
  <si>
    <t>Dưa Leo Thường</t>
  </si>
  <si>
    <t>Ớt Chuông Đỏ</t>
  </si>
  <si>
    <t>Ớt Chuông Vàng</t>
  </si>
  <si>
    <t>Ớt Chuông Xanh</t>
  </si>
  <si>
    <t>Bơ Booth</t>
  </si>
  <si>
    <t>Ớt Chuông Ba Màu</t>
  </si>
  <si>
    <t>Củ Khoai Lang Mật Size 23</t>
  </si>
  <si>
    <t>Cà Chua Bi Đỏ</t>
  </si>
  <si>
    <t>Hộp 300gr</t>
  </si>
  <si>
    <t>Củ Khoai Sâm</t>
  </si>
  <si>
    <t>Hạt Dẻ Ngố</t>
  </si>
  <si>
    <t>Bắp Cải Tím</t>
  </si>
  <si>
    <t>Bắp Cải Trái Tim</t>
  </si>
  <si>
    <t>Bông Cải Trắng</t>
  </si>
  <si>
    <t>Bông Cải Xanh 10Cm</t>
  </si>
  <si>
    <t>Cà Chua Beef Trung</t>
  </si>
  <si>
    <t>Vỉ 500gr</t>
  </si>
  <si>
    <t>Cà Chua Bi Mix</t>
  </si>
  <si>
    <t>Cà Chua Socola</t>
  </si>
  <si>
    <t>Hộp 250GR</t>
  </si>
  <si>
    <t>Cà Tím</t>
  </si>
  <si>
    <t>Cặp</t>
  </si>
  <si>
    <t>Cải Cầu Vồng</t>
  </si>
  <si>
    <t>Chuối Laba</t>
  </si>
  <si>
    <t>Củ Cải Trắng</t>
  </si>
  <si>
    <t>Củ Gừng</t>
  </si>
  <si>
    <t>Củ Su Hào</t>
  </si>
  <si>
    <t>Đậu Cove Nhật</t>
  </si>
  <si>
    <t>Đậu Cove Trắng</t>
  </si>
  <si>
    <t>Túi 500gr</t>
  </si>
  <si>
    <t>Đậu Đỏ</t>
  </si>
  <si>
    <t>Đậu Ngự</t>
  </si>
  <si>
    <t>Đậu Trắng</t>
  </si>
  <si>
    <t>Hành Paro</t>
  </si>
  <si>
    <t>Hồng Giòn Đà Lạt</t>
  </si>
  <si>
    <t>Lá Mè</t>
  </si>
  <si>
    <t>Lá Nha Đam</t>
  </si>
  <si>
    <t>Ớt Chuông Baby</t>
  </si>
  <si>
    <t>Ớt Sweet Palemo</t>
  </si>
  <si>
    <t>Trái Su Su</t>
  </si>
  <si>
    <t>Xà Lách Lolo Xanh</t>
  </si>
  <si>
    <t>Xà Lách Mỡ T.C</t>
  </si>
  <si>
    <t>Xà Lách Romaine T.C</t>
  </si>
  <si>
    <t>Xà Lách Thủy Tinh T.C</t>
  </si>
  <si>
    <t>Xà Lách Rocket</t>
  </si>
  <si>
    <t>Bí Ngòi Vàng</t>
  </si>
  <si>
    <t>Đậu Hà Lan Trái</t>
  </si>
  <si>
    <t>Xà Lách Carol</t>
  </si>
  <si>
    <t>Dưa Leo Nhật</t>
  </si>
  <si>
    <t>Bông Cải Xanh 7Cm</t>
  </si>
  <si>
    <t>Rau Bầu Đất</t>
  </si>
  <si>
    <t>Xà Lách Lolo Xanh T.C Cây</t>
  </si>
  <si>
    <t>Xà Lách Thủy Tinh T.C Cây</t>
  </si>
  <si>
    <t>Xà Lách Mỡ T.C Cây</t>
  </si>
  <si>
    <t>Củ Khoai Tây Vàng Trung</t>
  </si>
  <si>
    <t>Trái Cam Canh</t>
  </si>
  <si>
    <t>Củ Khoai Tây Bi Vàng</t>
  </si>
  <si>
    <t>Đậu Tươi Hỗn Hợp Túi 100gr</t>
  </si>
  <si>
    <t>Trái Khổ Qua</t>
  </si>
  <si>
    <t>Bí Đỏ Hồ Lô</t>
  </si>
  <si>
    <t>Củ Khoai Mỡ</t>
  </si>
  <si>
    <t>Bông Cải Xanh Cọng</t>
  </si>
  <si>
    <t>Bí Đao Xanh</t>
  </si>
  <si>
    <t>Chanh Dây Tím</t>
  </si>
  <si>
    <t>Cải Thảo Hỏa Tiễn</t>
  </si>
  <si>
    <t>Cải Thảo Kim Chi</t>
  </si>
  <si>
    <t>hàng tồn cuối ngày 1/12</t>
  </si>
  <si>
    <t>giá</t>
  </si>
  <si>
    <t>thành tiền</t>
  </si>
  <si>
    <t>tồn</t>
  </si>
  <si>
    <t>kq</t>
  </si>
  <si>
    <t>tòn</t>
  </si>
  <si>
    <t>Trái Bầu</t>
  </si>
  <si>
    <t>Củ Hành Tây Tím</t>
  </si>
  <si>
    <t>Củ Cải Muối</t>
  </si>
  <si>
    <t>Túi 1kg</t>
  </si>
  <si>
    <t>Củ Khoai Tây Hồng</t>
  </si>
  <si>
    <t>hàng tồn cuối ngày 2/12</t>
  </si>
  <si>
    <t>Rau Mầm</t>
  </si>
  <si>
    <t>Xà Lách Lolo Xanh Sushi</t>
  </si>
  <si>
    <t>hàng tồn cuối ngày 3/12 vr</t>
  </si>
  <si>
    <t xml:space="preserve">tồn </t>
  </si>
  <si>
    <t xml:space="preserve">giá </t>
  </si>
  <si>
    <t>Trái Bưởi Diễn</t>
  </si>
  <si>
    <t>Trái Mâm Xôi</t>
  </si>
  <si>
    <t>Ớt Chuông Đỏ Trung</t>
  </si>
  <si>
    <t>Ớt Chuông Xanh Trung</t>
  </si>
  <si>
    <t>hàng tồn cuối ngày 4/12 vr</t>
  </si>
  <si>
    <t>xanh lớn</t>
  </si>
  <si>
    <t>Tồn
ĐL
現在個</t>
  </si>
  <si>
    <t>Bông Cải Xanh 12Cm</t>
  </si>
  <si>
    <t>Tên Sản phẩm VR</t>
  </si>
  <si>
    <t>Gía nhập</t>
  </si>
  <si>
    <t>Thành tiền</t>
  </si>
  <si>
    <t>TỔNG VR</t>
  </si>
  <si>
    <t>TỔNG KQ</t>
  </si>
  <si>
    <t>2 tấn đi đường</t>
  </si>
  <si>
    <t>2 TẤN ĐI ĐG</t>
  </si>
  <si>
    <t>2 TẤN ĐI ĐƯỜNG ĐẶT NGÀY 30</t>
  </si>
  <si>
    <t>Tên Sản phẩm KQ</t>
  </si>
  <si>
    <t>Củ Khoai Lang Mật Size 78</t>
  </si>
  <si>
    <t>Ớt Chuông Vàng Trung</t>
  </si>
  <si>
    <t>hàng tồn cuối ngày 9/12 vr</t>
  </si>
  <si>
    <t>Bơ 034 L1</t>
  </si>
  <si>
    <t>Hồng Treo Gió</t>
  </si>
  <si>
    <t>hàng tồn cuối ngày 10/12 vr</t>
  </si>
  <si>
    <t>hàng tồn cuối ngày 11/12 vr</t>
  </si>
  <si>
    <t>giá 10 với 17</t>
  </si>
  <si>
    <t>Bí Ngô Mini</t>
  </si>
  <si>
    <t>Chanh Không Hạt</t>
  </si>
  <si>
    <t>Ớt Chuông Snack</t>
  </si>
  <si>
    <t>Trái Chanh Vàng</t>
  </si>
  <si>
    <t>Xà Lách Mỡ</t>
  </si>
  <si>
    <t>Xà Lách Mỹ</t>
  </si>
  <si>
    <t>Xà Lách Romaine</t>
  </si>
  <si>
    <t>hàng tồn cuối ngày 12/12 vr</t>
  </si>
  <si>
    <t>bọc xốp</t>
  </si>
  <si>
    <t>Trái Bưởi Đường</t>
  </si>
  <si>
    <t>hàng tồn cuối ngày 13/12 vr</t>
  </si>
  <si>
    <t>Củ Hành Đỏ</t>
  </si>
  <si>
    <t>Grand Total</t>
  </si>
  <si>
    <t>hàng tồn cuối ngày 14/12 vr</t>
  </si>
  <si>
    <t>hàng tồn cuối ngày 15/12</t>
  </si>
  <si>
    <t>Lá Giang</t>
  </si>
  <si>
    <t>hnagf tồn cuối ngày 16/12 vr</t>
  </si>
  <si>
    <t>túi</t>
  </si>
  <si>
    <t>Hộp 500gr</t>
  </si>
  <si>
    <t>hàng tồn cuối ngày 17/12 vr</t>
  </si>
  <si>
    <t>Củ Khoai Lang Mật Xô</t>
  </si>
  <si>
    <t>HỘP</t>
  </si>
  <si>
    <t>hàng tồn cuối ngày 18/12 vr</t>
  </si>
  <si>
    <t>Củ Khoai Lang Mật Size Xô</t>
  </si>
  <si>
    <t>hàng tồn cuối ngày 19/12 vr</t>
  </si>
  <si>
    <t>Củ Tỏi</t>
  </si>
  <si>
    <t>Cà tím</t>
  </si>
  <si>
    <t>Khổ qua</t>
  </si>
  <si>
    <t>hàng tồn cuối ngày 21/12 vr</t>
  </si>
  <si>
    <t>củ cải muối</t>
  </si>
  <si>
    <t>hàng tồn cuối ngày 22/12 vr</t>
  </si>
  <si>
    <t>Hạt Dẻ Tươi</t>
  </si>
  <si>
    <t>hàng tồn cuối ngày 23/12 vr</t>
  </si>
  <si>
    <t>hàng tồn cuối ngày 25/12 vr</t>
  </si>
  <si>
    <t>Trái 250gr</t>
  </si>
  <si>
    <t>Trái 150gr</t>
  </si>
  <si>
    <t>hàng tồn cuối ngày 26/12</t>
  </si>
  <si>
    <t>hàng tồn cuối ngày 27/12 vr</t>
  </si>
  <si>
    <t>hàng tồn cuối ngày 28/12 vr</t>
  </si>
  <si>
    <t>Tên Sản phẩm
VR</t>
  </si>
  <si>
    <t>hàng tồn cuối ngày 29/12 vr</t>
  </si>
  <si>
    <t>hàng tồn cuối ngày 30/12 vr</t>
  </si>
  <si>
    <t>Cai</t>
  </si>
  <si>
    <t>Trái Bưởi Diễn l2</t>
  </si>
  <si>
    <t>hàng tồn cuối ngày 31/12 vr</t>
  </si>
  <si>
    <t>Tên Sản phẩm
KQ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</si>
</sst>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2"/>
    </font>
    <font>
      <b/>
      <sz val="12"/>
      <color theme="1"/>
      <name val="Times New Roman"/>
      <family val="1"/>
      <charset val="163"/>
    </font>
    <font>
      <b/>
      <sz val="11"/>
      <color theme="1"/>
      <name val="Times New Roman"/>
      <family val="2"/>
    </font>
    <font>
      <sz val="12"/>
      <color theme="1"/>
      <name val="Times New Roman"/>
      <family val="1"/>
      <charset val="163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/>
    <xf numFmtId="0" fontId="3" fillId="3" borderId="1" xfId="0" applyFont="1" applyFill="1" applyBorder="1"/>
    <xf numFmtId="0" fontId="3" fillId="3" borderId="0" xfId="0" applyFont="1" applyFill="1"/>
    <xf numFmtId="0" fontId="2" fillId="2" borderId="1" xfId="0" applyFont="1" applyFill="1" applyBorder="1" applyAlignment="1">
      <alignment vertical="center"/>
    </xf>
    <xf numFmtId="165" fontId="2" fillId="3" borderId="1" xfId="1" applyNumberFormat="1" applyFont="1" applyFill="1" applyBorder="1" applyAlignment="1">
      <alignment vertical="center"/>
    </xf>
    <xf numFmtId="165" fontId="3" fillId="3" borderId="1" xfId="0" applyNumberFormat="1" applyFont="1" applyFill="1" applyBorder="1"/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65" fontId="2" fillId="5" borderId="1" xfId="1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165" fontId="2" fillId="7" borderId="1" xfId="1" applyNumberFormat="1" applyFont="1" applyFill="1" applyBorder="1" applyAlignment="1">
      <alignment vertical="center"/>
    </xf>
    <xf numFmtId="164" fontId="2" fillId="5" borderId="1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/>
    <xf numFmtId="164" fontId="3" fillId="3" borderId="0" xfId="1" applyNumberFormat="1" applyFont="1" applyFill="1"/>
    <xf numFmtId="164" fontId="2" fillId="7" borderId="1" xfId="1" applyNumberFormat="1" applyFont="1" applyFill="1" applyBorder="1"/>
    <xf numFmtId="165" fontId="2" fillId="7" borderId="1" xfId="0" applyNumberFormat="1" applyFont="1" applyFill="1" applyBorder="1"/>
    <xf numFmtId="0" fontId="2" fillId="7" borderId="1" xfId="0" applyFont="1" applyFill="1" applyBorder="1" applyAlignment="1">
      <alignment vertical="center"/>
    </xf>
    <xf numFmtId="0" fontId="2" fillId="8" borderId="0" xfId="0" applyFont="1" applyFill="1"/>
    <xf numFmtId="164" fontId="2" fillId="8" borderId="0" xfId="1" applyNumberFormat="1" applyFont="1" applyFill="1"/>
    <xf numFmtId="165" fontId="2" fillId="8" borderId="0" xfId="0" applyNumberFormat="1" applyFont="1" applyFill="1"/>
    <xf numFmtId="0" fontId="6" fillId="2" borderId="1" xfId="0" applyFont="1" applyFill="1" applyBorder="1" applyAlignment="1">
      <alignment vertical="center"/>
    </xf>
    <xf numFmtId="165" fontId="6" fillId="3" borderId="1" xfId="1" applyNumberFormat="1" applyFont="1" applyFill="1" applyBorder="1" applyAlignment="1">
      <alignment vertical="center"/>
    </xf>
    <xf numFmtId="0" fontId="0" fillId="3" borderId="1" xfId="0" applyFill="1" applyBorder="1"/>
    <xf numFmtId="0" fontId="0" fillId="3" borderId="0" xfId="0" applyFill="1"/>
    <xf numFmtId="0" fontId="5" fillId="2" borderId="1" xfId="2" applyFont="1" applyFill="1" applyBorder="1" applyAlignment="1">
      <alignment vertical="center"/>
    </xf>
    <xf numFmtId="0" fontId="7" fillId="3" borderId="1" xfId="2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164" fontId="2" fillId="7" borderId="1" xfId="1" applyNumberFormat="1" applyFont="1" applyFill="1" applyBorder="1" applyAlignment="1">
      <alignment vertical="center"/>
    </xf>
    <xf numFmtId="164" fontId="3" fillId="7" borderId="1" xfId="1" applyNumberFormat="1" applyFont="1" applyFill="1" applyBorder="1"/>
    <xf numFmtId="0" fontId="3" fillId="2" borderId="1" xfId="0" applyFont="1" applyFill="1" applyBorder="1" applyAlignment="1">
      <alignment vertical="center"/>
    </xf>
    <xf numFmtId="0" fontId="2" fillId="2" borderId="1" xfId="2" applyFont="1" applyFill="1" applyBorder="1" applyAlignment="1">
      <alignment vertical="center"/>
    </xf>
    <xf numFmtId="0" fontId="3" fillId="3" borderId="1" xfId="2" applyFont="1" applyFill="1" applyBorder="1" applyAlignment="1">
      <alignment vertical="center"/>
    </xf>
    <xf numFmtId="0" fontId="2" fillId="6" borderId="1" xfId="2" applyFont="1" applyFill="1" applyBorder="1" applyAlignment="1">
      <alignment vertical="center"/>
    </xf>
    <xf numFmtId="0" fontId="3" fillId="7" borderId="1" xfId="2" applyFont="1" applyFill="1" applyBorder="1" applyAlignment="1">
      <alignment vertical="center"/>
    </xf>
    <xf numFmtId="164" fontId="3" fillId="8" borderId="0" xfId="1" applyNumberFormat="1" applyFont="1" applyFill="1"/>
    <xf numFmtId="0" fontId="5" fillId="9" borderId="1" xfId="0" applyFont="1" applyFill="1" applyBorder="1" applyAlignment="1">
      <alignment horizontal="center" vertical="center"/>
    </xf>
    <xf numFmtId="165" fontId="5" fillId="10" borderId="1" xfId="1" applyNumberFormat="1" applyFont="1" applyFill="1" applyBorder="1" applyAlignment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165" fontId="5" fillId="0" borderId="1" xfId="1" applyNumberFormat="1" applyFont="1" applyFill="1" applyBorder="1" applyAlignment="1">
      <alignment vertical="center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0"/>
  <sheetViews>
    <sheetView topLeftCell="A36" workbookViewId="0">
      <selection activeCell="F56" sqref="F56"/>
    </sheetView>
  </sheetViews>
  <sheetFormatPr defaultRowHeight="14.4" x14ac:dyDescent="0.3"/>
  <cols>
    <col min="1" max="1" width="30.77734375" customWidth="1"/>
    <col min="3" max="3" width="11.21875" customWidth="1"/>
    <col min="4" max="4" width="12" style="2" customWidth="1"/>
    <col min="5" max="5" width="17.33203125" style="2" customWidth="1"/>
  </cols>
  <sheetData>
    <row r="1" spans="1:5" x14ac:dyDescent="0.3">
      <c r="A1" t="s">
        <v>99</v>
      </c>
    </row>
    <row r="2" spans="1:5" x14ac:dyDescent="0.3">
      <c r="A2" t="s">
        <v>0</v>
      </c>
      <c r="B2" t="s">
        <v>1</v>
      </c>
      <c r="C2" s="1" t="s">
        <v>102</v>
      </c>
      <c r="D2" s="2" t="s">
        <v>100</v>
      </c>
      <c r="E2" s="2" t="s">
        <v>101</v>
      </c>
    </row>
    <row r="3" spans="1:5" x14ac:dyDescent="0.3">
      <c r="A3" t="s">
        <v>2</v>
      </c>
      <c r="B3" t="s">
        <v>3</v>
      </c>
      <c r="C3">
        <v>315</v>
      </c>
      <c r="D3" s="2">
        <v>13500</v>
      </c>
      <c r="E3" s="2">
        <f>C3*D3</f>
        <v>4252500</v>
      </c>
    </row>
    <row r="4" spans="1:5" hidden="1" x14ac:dyDescent="0.3">
      <c r="A4" t="s">
        <v>2</v>
      </c>
      <c r="B4" t="s">
        <v>4</v>
      </c>
      <c r="C4">
        <v>0</v>
      </c>
      <c r="D4"/>
      <c r="E4">
        <f t="shared" ref="E4:E67" si="0">C4*D4</f>
        <v>0</v>
      </c>
    </row>
    <row r="5" spans="1:5" hidden="1" x14ac:dyDescent="0.3">
      <c r="A5" t="s">
        <v>5</v>
      </c>
      <c r="B5" t="s">
        <v>3</v>
      </c>
      <c r="C5">
        <v>0</v>
      </c>
      <c r="D5"/>
      <c r="E5">
        <f t="shared" si="0"/>
        <v>0</v>
      </c>
    </row>
    <row r="6" spans="1:5" x14ac:dyDescent="0.3">
      <c r="A6" t="s">
        <v>5</v>
      </c>
      <c r="B6" t="s">
        <v>6</v>
      </c>
      <c r="C6">
        <v>19</v>
      </c>
      <c r="D6" s="2">
        <v>8000</v>
      </c>
      <c r="E6" s="2">
        <f t="shared" si="0"/>
        <v>152000</v>
      </c>
    </row>
    <row r="7" spans="1:5" x14ac:dyDescent="0.3">
      <c r="A7" t="s">
        <v>7</v>
      </c>
      <c r="B7" t="s">
        <v>8</v>
      </c>
      <c r="C7">
        <v>3</v>
      </c>
      <c r="D7" s="2">
        <v>9500</v>
      </c>
      <c r="E7" s="2">
        <f t="shared" si="0"/>
        <v>28500</v>
      </c>
    </row>
    <row r="8" spans="1:5" hidden="1" x14ac:dyDescent="0.3">
      <c r="A8" t="s">
        <v>7</v>
      </c>
      <c r="B8" t="s">
        <v>3</v>
      </c>
      <c r="C8">
        <v>0</v>
      </c>
      <c r="D8"/>
      <c r="E8">
        <f t="shared" si="0"/>
        <v>0</v>
      </c>
    </row>
    <row r="9" spans="1:5" hidden="1" x14ac:dyDescent="0.3">
      <c r="A9" t="s">
        <v>9</v>
      </c>
      <c r="B9" t="s">
        <v>3</v>
      </c>
      <c r="C9">
        <v>0</v>
      </c>
      <c r="D9"/>
      <c r="E9">
        <f t="shared" si="0"/>
        <v>0</v>
      </c>
    </row>
    <row r="10" spans="1:5" hidden="1" x14ac:dyDescent="0.3">
      <c r="A10" t="s">
        <v>9</v>
      </c>
      <c r="B10" t="s">
        <v>4</v>
      </c>
      <c r="C10">
        <v>0</v>
      </c>
      <c r="D10"/>
      <c r="E10">
        <f t="shared" si="0"/>
        <v>0</v>
      </c>
    </row>
    <row r="11" spans="1:5" hidden="1" x14ac:dyDescent="0.3">
      <c r="A11" t="s">
        <v>10</v>
      </c>
      <c r="B11" t="s">
        <v>3</v>
      </c>
      <c r="C11">
        <v>0</v>
      </c>
      <c r="D11"/>
      <c r="E11">
        <f t="shared" si="0"/>
        <v>0</v>
      </c>
    </row>
    <row r="12" spans="1:5" hidden="1" x14ac:dyDescent="0.3">
      <c r="A12" t="s">
        <v>10</v>
      </c>
      <c r="B12" t="s">
        <v>11</v>
      </c>
      <c r="C12">
        <v>0</v>
      </c>
      <c r="D12"/>
      <c r="E12">
        <f t="shared" si="0"/>
        <v>0</v>
      </c>
    </row>
    <row r="13" spans="1:5" x14ac:dyDescent="0.3">
      <c r="A13" t="s">
        <v>12</v>
      </c>
      <c r="B13" t="s">
        <v>4</v>
      </c>
      <c r="C13">
        <v>430</v>
      </c>
      <c r="D13" s="2">
        <v>4500</v>
      </c>
      <c r="E13" s="2">
        <f t="shared" si="0"/>
        <v>1935000</v>
      </c>
    </row>
    <row r="14" spans="1:5" hidden="1" x14ac:dyDescent="0.3">
      <c r="A14" t="s">
        <v>13</v>
      </c>
      <c r="B14" t="s">
        <v>3</v>
      </c>
      <c r="C14">
        <v>0</v>
      </c>
      <c r="D14"/>
      <c r="E14">
        <f t="shared" si="0"/>
        <v>0</v>
      </c>
    </row>
    <row r="15" spans="1:5" hidden="1" x14ac:dyDescent="0.3">
      <c r="A15" t="s">
        <v>14</v>
      </c>
      <c r="B15" t="s">
        <v>3</v>
      </c>
      <c r="C15">
        <v>0</v>
      </c>
      <c r="D15"/>
      <c r="E15">
        <f t="shared" si="0"/>
        <v>0</v>
      </c>
    </row>
    <row r="16" spans="1:5" x14ac:dyDescent="0.3">
      <c r="A16" t="s">
        <v>15</v>
      </c>
      <c r="B16" t="s">
        <v>3</v>
      </c>
      <c r="C16">
        <v>290</v>
      </c>
      <c r="D16" s="2">
        <v>15000</v>
      </c>
      <c r="E16" s="2">
        <f t="shared" si="0"/>
        <v>4350000</v>
      </c>
    </row>
    <row r="17" spans="1:5" hidden="1" x14ac:dyDescent="0.3">
      <c r="A17" t="s">
        <v>15</v>
      </c>
      <c r="B17" t="s">
        <v>4</v>
      </c>
      <c r="C17">
        <v>0</v>
      </c>
      <c r="D17"/>
      <c r="E17">
        <f t="shared" si="0"/>
        <v>0</v>
      </c>
    </row>
    <row r="18" spans="1:5" hidden="1" x14ac:dyDescent="0.3">
      <c r="A18" t="s">
        <v>16</v>
      </c>
      <c r="B18" t="s">
        <v>6</v>
      </c>
      <c r="C18">
        <v>0</v>
      </c>
      <c r="D18"/>
      <c r="E18">
        <f t="shared" si="0"/>
        <v>0</v>
      </c>
    </row>
    <row r="19" spans="1:5" x14ac:dyDescent="0.3">
      <c r="A19" t="s">
        <v>17</v>
      </c>
      <c r="B19" t="s">
        <v>3</v>
      </c>
      <c r="C19">
        <v>450</v>
      </c>
      <c r="D19" s="2">
        <v>11000</v>
      </c>
      <c r="E19" s="2">
        <f t="shared" si="0"/>
        <v>4950000</v>
      </c>
    </row>
    <row r="20" spans="1:5" x14ac:dyDescent="0.3">
      <c r="A20" t="s">
        <v>18</v>
      </c>
      <c r="B20" t="s">
        <v>3</v>
      </c>
      <c r="C20">
        <v>10</v>
      </c>
      <c r="D20" s="2">
        <v>14000</v>
      </c>
      <c r="E20" s="2">
        <f t="shared" si="0"/>
        <v>140000</v>
      </c>
    </row>
    <row r="21" spans="1:5" hidden="1" x14ac:dyDescent="0.3">
      <c r="A21" t="s">
        <v>18</v>
      </c>
      <c r="B21" t="s">
        <v>4</v>
      </c>
      <c r="C21">
        <v>0</v>
      </c>
      <c r="D21"/>
      <c r="E21">
        <f t="shared" si="0"/>
        <v>0</v>
      </c>
    </row>
    <row r="22" spans="1:5" hidden="1" x14ac:dyDescent="0.3">
      <c r="A22" t="s">
        <v>19</v>
      </c>
      <c r="B22" t="s">
        <v>3</v>
      </c>
      <c r="C22">
        <v>0</v>
      </c>
      <c r="D22"/>
      <c r="E22">
        <f t="shared" si="0"/>
        <v>0</v>
      </c>
    </row>
    <row r="23" spans="1:5" hidden="1" x14ac:dyDescent="0.3">
      <c r="A23" t="s">
        <v>19</v>
      </c>
      <c r="B23" t="s">
        <v>4</v>
      </c>
      <c r="C23">
        <v>0</v>
      </c>
      <c r="D23"/>
      <c r="E23">
        <f t="shared" si="0"/>
        <v>0</v>
      </c>
    </row>
    <row r="24" spans="1:5" x14ac:dyDescent="0.3">
      <c r="A24" t="s">
        <v>20</v>
      </c>
      <c r="B24" t="s">
        <v>3</v>
      </c>
      <c r="C24">
        <v>350</v>
      </c>
      <c r="D24" s="2">
        <v>6000</v>
      </c>
      <c r="E24" s="2">
        <f t="shared" si="0"/>
        <v>2100000</v>
      </c>
    </row>
    <row r="25" spans="1:5" hidden="1" x14ac:dyDescent="0.3">
      <c r="A25" t="s">
        <v>21</v>
      </c>
      <c r="B25" t="s">
        <v>22</v>
      </c>
      <c r="C25">
        <v>0</v>
      </c>
      <c r="D25"/>
      <c r="E25">
        <f t="shared" si="0"/>
        <v>0</v>
      </c>
    </row>
    <row r="26" spans="1:5" x14ac:dyDescent="0.3">
      <c r="A26" t="s">
        <v>21</v>
      </c>
      <c r="B26" t="s">
        <v>3</v>
      </c>
      <c r="C26">
        <v>20</v>
      </c>
      <c r="D26" s="2">
        <v>17000</v>
      </c>
      <c r="E26" s="2">
        <f t="shared" si="0"/>
        <v>340000</v>
      </c>
    </row>
    <row r="27" spans="1:5" x14ac:dyDescent="0.3">
      <c r="A27" t="s">
        <v>23</v>
      </c>
      <c r="B27" t="s">
        <v>3</v>
      </c>
      <c r="C27">
        <v>6</v>
      </c>
      <c r="D27" s="2">
        <v>28000</v>
      </c>
      <c r="E27" s="2">
        <f t="shared" si="0"/>
        <v>168000</v>
      </c>
    </row>
    <row r="28" spans="1:5" x14ac:dyDescent="0.3">
      <c r="A28" t="s">
        <v>24</v>
      </c>
      <c r="B28" t="s">
        <v>3</v>
      </c>
      <c r="C28">
        <v>720</v>
      </c>
      <c r="D28" s="2">
        <v>4300</v>
      </c>
      <c r="E28" s="2">
        <f t="shared" si="0"/>
        <v>3096000</v>
      </c>
    </row>
    <row r="29" spans="1:5" x14ac:dyDescent="0.3">
      <c r="A29" t="s">
        <v>25</v>
      </c>
      <c r="B29" t="s">
        <v>3</v>
      </c>
      <c r="C29">
        <v>128</v>
      </c>
      <c r="D29" s="2">
        <v>8000</v>
      </c>
      <c r="E29" s="2">
        <f t="shared" si="0"/>
        <v>1024000</v>
      </c>
    </row>
    <row r="30" spans="1:5" hidden="1" x14ac:dyDescent="0.3">
      <c r="A30" t="s">
        <v>25</v>
      </c>
      <c r="B30" t="s">
        <v>26</v>
      </c>
      <c r="C30">
        <v>0</v>
      </c>
      <c r="D30"/>
      <c r="E30">
        <f t="shared" si="0"/>
        <v>0</v>
      </c>
    </row>
    <row r="31" spans="1:5" x14ac:dyDescent="0.3">
      <c r="A31" t="s">
        <v>27</v>
      </c>
      <c r="B31" t="s">
        <v>3</v>
      </c>
      <c r="C31">
        <v>98</v>
      </c>
      <c r="D31" s="2">
        <v>10000</v>
      </c>
      <c r="E31" s="2">
        <f t="shared" si="0"/>
        <v>980000</v>
      </c>
    </row>
    <row r="32" spans="1:5" hidden="1" x14ac:dyDescent="0.3">
      <c r="A32" t="s">
        <v>27</v>
      </c>
      <c r="B32" t="s">
        <v>26</v>
      </c>
      <c r="C32">
        <v>0</v>
      </c>
      <c r="D32"/>
      <c r="E32">
        <f t="shared" si="0"/>
        <v>0</v>
      </c>
    </row>
    <row r="33" spans="1:5" x14ac:dyDescent="0.3">
      <c r="A33" t="s">
        <v>28</v>
      </c>
      <c r="B33" t="s">
        <v>3</v>
      </c>
      <c r="C33">
        <v>21</v>
      </c>
      <c r="D33" s="2">
        <v>21000</v>
      </c>
      <c r="E33" s="2">
        <f t="shared" si="0"/>
        <v>441000</v>
      </c>
    </row>
    <row r="34" spans="1:5" hidden="1" x14ac:dyDescent="0.3">
      <c r="A34" t="s">
        <v>28</v>
      </c>
      <c r="B34" t="s">
        <v>6</v>
      </c>
      <c r="C34">
        <v>0</v>
      </c>
      <c r="D34"/>
      <c r="E34">
        <f t="shared" si="0"/>
        <v>0</v>
      </c>
    </row>
    <row r="35" spans="1:5" hidden="1" x14ac:dyDescent="0.3">
      <c r="A35" t="s">
        <v>28</v>
      </c>
      <c r="B35" t="s">
        <v>29</v>
      </c>
      <c r="C35">
        <v>0</v>
      </c>
      <c r="D35"/>
      <c r="E35">
        <f t="shared" si="0"/>
        <v>0</v>
      </c>
    </row>
    <row r="36" spans="1:5" x14ac:dyDescent="0.3">
      <c r="A36" t="s">
        <v>30</v>
      </c>
      <c r="B36" t="s">
        <v>3</v>
      </c>
      <c r="C36">
        <v>120</v>
      </c>
      <c r="D36" s="2">
        <v>20000</v>
      </c>
      <c r="E36" s="2">
        <f t="shared" si="0"/>
        <v>2400000</v>
      </c>
    </row>
    <row r="37" spans="1:5" hidden="1" x14ac:dyDescent="0.3">
      <c r="A37" t="s">
        <v>30</v>
      </c>
      <c r="B37" t="s">
        <v>6</v>
      </c>
      <c r="C37">
        <v>0</v>
      </c>
      <c r="D37"/>
      <c r="E37">
        <f t="shared" si="0"/>
        <v>0</v>
      </c>
    </row>
    <row r="38" spans="1:5" x14ac:dyDescent="0.3">
      <c r="A38" t="s">
        <v>31</v>
      </c>
      <c r="B38" t="s">
        <v>4</v>
      </c>
      <c r="C38">
        <v>80</v>
      </c>
      <c r="D38" s="2">
        <v>16000</v>
      </c>
      <c r="E38" s="2">
        <f t="shared" si="0"/>
        <v>1280000</v>
      </c>
    </row>
    <row r="39" spans="1:5" x14ac:dyDescent="0.3">
      <c r="A39" t="s">
        <v>32</v>
      </c>
      <c r="B39" t="s">
        <v>3</v>
      </c>
      <c r="C39">
        <v>31</v>
      </c>
      <c r="D39" s="2">
        <v>6000</v>
      </c>
      <c r="E39" s="2">
        <f t="shared" si="0"/>
        <v>186000</v>
      </c>
    </row>
    <row r="40" spans="1:5" x14ac:dyDescent="0.3">
      <c r="A40" t="s">
        <v>32</v>
      </c>
      <c r="B40" t="s">
        <v>6</v>
      </c>
      <c r="C40">
        <v>383</v>
      </c>
      <c r="D40" s="2">
        <v>5000</v>
      </c>
      <c r="E40" s="2">
        <f t="shared" si="0"/>
        <v>1915000</v>
      </c>
    </row>
    <row r="41" spans="1:5" x14ac:dyDescent="0.3">
      <c r="A41" t="s">
        <v>33</v>
      </c>
      <c r="B41" t="s">
        <v>3</v>
      </c>
      <c r="C41">
        <v>50</v>
      </c>
      <c r="D41" s="2">
        <v>5000</v>
      </c>
      <c r="E41" s="2">
        <f t="shared" si="0"/>
        <v>250000</v>
      </c>
    </row>
    <row r="42" spans="1:5" x14ac:dyDescent="0.3">
      <c r="A42" t="s">
        <v>34</v>
      </c>
      <c r="B42" t="s">
        <v>3</v>
      </c>
      <c r="C42">
        <v>83</v>
      </c>
      <c r="D42" s="2">
        <v>30000</v>
      </c>
      <c r="E42" s="2">
        <f t="shared" si="0"/>
        <v>2490000</v>
      </c>
    </row>
    <row r="43" spans="1:5" hidden="1" x14ac:dyDescent="0.3">
      <c r="A43" t="s">
        <v>34</v>
      </c>
      <c r="B43" t="s">
        <v>26</v>
      </c>
      <c r="C43">
        <v>0</v>
      </c>
      <c r="D43"/>
      <c r="E43">
        <f t="shared" si="0"/>
        <v>0</v>
      </c>
    </row>
    <row r="44" spans="1:5" x14ac:dyDescent="0.3">
      <c r="A44" t="s">
        <v>35</v>
      </c>
      <c r="B44" t="s">
        <v>3</v>
      </c>
      <c r="C44">
        <v>115</v>
      </c>
      <c r="D44" s="2">
        <v>15000</v>
      </c>
      <c r="E44" s="2">
        <f t="shared" si="0"/>
        <v>1725000</v>
      </c>
    </row>
    <row r="45" spans="1:5" hidden="1" x14ac:dyDescent="0.3">
      <c r="A45" t="s">
        <v>35</v>
      </c>
      <c r="B45" t="s">
        <v>26</v>
      </c>
      <c r="C45">
        <v>0</v>
      </c>
      <c r="D45"/>
      <c r="E45">
        <f t="shared" si="0"/>
        <v>0</v>
      </c>
    </row>
    <row r="46" spans="1:5" x14ac:dyDescent="0.3">
      <c r="A46" t="s">
        <v>36</v>
      </c>
      <c r="B46" t="s">
        <v>3</v>
      </c>
      <c r="C46">
        <v>83</v>
      </c>
      <c r="D46" s="2">
        <v>28000</v>
      </c>
      <c r="E46" s="2">
        <f t="shared" si="0"/>
        <v>2324000</v>
      </c>
    </row>
    <row r="47" spans="1:5" hidden="1" x14ac:dyDescent="0.3">
      <c r="A47" t="s">
        <v>36</v>
      </c>
      <c r="B47" t="s">
        <v>26</v>
      </c>
      <c r="C47">
        <v>0</v>
      </c>
      <c r="D47"/>
      <c r="E47">
        <f t="shared" si="0"/>
        <v>0</v>
      </c>
    </row>
    <row r="48" spans="1:5" hidden="1" x14ac:dyDescent="0.3">
      <c r="A48" t="s">
        <v>37</v>
      </c>
      <c r="B48" t="s">
        <v>3</v>
      </c>
      <c r="C48">
        <v>0</v>
      </c>
      <c r="D48"/>
      <c r="E48">
        <f t="shared" si="0"/>
        <v>0</v>
      </c>
    </row>
    <row r="49" spans="1:6" hidden="1" x14ac:dyDescent="0.3">
      <c r="A49" t="s">
        <v>38</v>
      </c>
      <c r="B49" t="s">
        <v>6</v>
      </c>
      <c r="C49">
        <v>0</v>
      </c>
      <c r="D49"/>
      <c r="E49">
        <f t="shared" si="0"/>
        <v>0</v>
      </c>
    </row>
    <row r="50" spans="1:6" hidden="1" x14ac:dyDescent="0.3">
      <c r="A50" t="s">
        <v>39</v>
      </c>
      <c r="B50" t="s">
        <v>3</v>
      </c>
      <c r="C50">
        <v>0</v>
      </c>
      <c r="D50"/>
      <c r="E50">
        <f t="shared" si="0"/>
        <v>0</v>
      </c>
    </row>
    <row r="51" spans="1:6" hidden="1" x14ac:dyDescent="0.3">
      <c r="A51" t="s">
        <v>40</v>
      </c>
      <c r="B51" t="s">
        <v>3</v>
      </c>
      <c r="C51">
        <v>0</v>
      </c>
      <c r="D51"/>
      <c r="E51">
        <f t="shared" si="0"/>
        <v>0</v>
      </c>
    </row>
    <row r="52" spans="1:6" x14ac:dyDescent="0.3">
      <c r="A52" t="s">
        <v>40</v>
      </c>
      <c r="B52" t="s">
        <v>41</v>
      </c>
      <c r="C52">
        <v>168</v>
      </c>
      <c r="D52" s="2">
        <v>8700</v>
      </c>
      <c r="E52" s="2">
        <f t="shared" si="0"/>
        <v>1461600</v>
      </c>
    </row>
    <row r="53" spans="1:6" hidden="1" x14ac:dyDescent="0.3">
      <c r="A53" t="s">
        <v>42</v>
      </c>
      <c r="B53" t="s">
        <v>3</v>
      </c>
      <c r="C53">
        <v>0</v>
      </c>
      <c r="D53"/>
      <c r="E53">
        <f t="shared" si="0"/>
        <v>0</v>
      </c>
    </row>
    <row r="54" spans="1:6" x14ac:dyDescent="0.3">
      <c r="A54" t="s">
        <v>43</v>
      </c>
      <c r="B54" t="s">
        <v>3</v>
      </c>
      <c r="C54">
        <v>2180</v>
      </c>
      <c r="D54" s="2">
        <v>27600</v>
      </c>
      <c r="E54" s="2">
        <f t="shared" si="0"/>
        <v>60168000</v>
      </c>
      <c r="F54" t="s">
        <v>131</v>
      </c>
    </row>
    <row r="55" spans="1:6" x14ac:dyDescent="0.3">
      <c r="A55" t="s">
        <v>44</v>
      </c>
      <c r="B55" t="s">
        <v>3</v>
      </c>
      <c r="C55">
        <v>52</v>
      </c>
      <c r="D55" s="2">
        <v>30000</v>
      </c>
      <c r="E55" s="2">
        <f t="shared" si="0"/>
        <v>1560000</v>
      </c>
    </row>
    <row r="56" spans="1:6" x14ac:dyDescent="0.3">
      <c r="A56" t="s">
        <v>45</v>
      </c>
      <c r="B56" t="s">
        <v>3</v>
      </c>
      <c r="C56">
        <v>275</v>
      </c>
      <c r="D56" s="2">
        <v>10000</v>
      </c>
      <c r="E56" s="2">
        <f t="shared" si="0"/>
        <v>2750000</v>
      </c>
    </row>
    <row r="57" spans="1:6" hidden="1" x14ac:dyDescent="0.3">
      <c r="A57" t="s">
        <v>46</v>
      </c>
      <c r="B57" t="s">
        <v>3</v>
      </c>
      <c r="C57">
        <v>0</v>
      </c>
      <c r="D57"/>
      <c r="E57">
        <f t="shared" si="0"/>
        <v>0</v>
      </c>
    </row>
    <row r="58" spans="1:6" x14ac:dyDescent="0.3">
      <c r="A58" t="s">
        <v>47</v>
      </c>
      <c r="B58" t="s">
        <v>3</v>
      </c>
      <c r="C58">
        <v>10</v>
      </c>
      <c r="D58" s="2">
        <v>26000</v>
      </c>
      <c r="E58" s="2">
        <f t="shared" si="0"/>
        <v>260000</v>
      </c>
    </row>
    <row r="59" spans="1:6" hidden="1" x14ac:dyDescent="0.3">
      <c r="A59" t="s">
        <v>48</v>
      </c>
      <c r="B59" t="s">
        <v>3</v>
      </c>
      <c r="C59">
        <v>0</v>
      </c>
      <c r="D59"/>
      <c r="E59">
        <f t="shared" si="0"/>
        <v>0</v>
      </c>
    </row>
    <row r="60" spans="1:6" hidden="1" x14ac:dyDescent="0.3">
      <c r="A60" t="s">
        <v>48</v>
      </c>
      <c r="B60" t="s">
        <v>49</v>
      </c>
      <c r="C60">
        <v>0</v>
      </c>
      <c r="D60"/>
      <c r="E60">
        <f t="shared" si="0"/>
        <v>0</v>
      </c>
    </row>
    <row r="61" spans="1:6" hidden="1" x14ac:dyDescent="0.3">
      <c r="A61" t="s">
        <v>50</v>
      </c>
      <c r="B61" t="s">
        <v>8</v>
      </c>
      <c r="C61">
        <v>0</v>
      </c>
      <c r="D61"/>
      <c r="E61">
        <f t="shared" si="0"/>
        <v>0</v>
      </c>
    </row>
    <row r="62" spans="1:6" x14ac:dyDescent="0.3">
      <c r="A62" t="s">
        <v>51</v>
      </c>
      <c r="B62" t="s">
        <v>3</v>
      </c>
      <c r="C62">
        <v>5</v>
      </c>
      <c r="D62" s="2">
        <v>34000</v>
      </c>
      <c r="E62" s="2">
        <f t="shared" si="0"/>
        <v>170000</v>
      </c>
    </row>
    <row r="63" spans="1:6" x14ac:dyDescent="0.3">
      <c r="A63" t="s">
        <v>51</v>
      </c>
      <c r="B63" t="s">
        <v>52</v>
      </c>
      <c r="C63">
        <v>102</v>
      </c>
      <c r="D63" s="2">
        <v>10000</v>
      </c>
      <c r="E63" s="2">
        <f t="shared" si="0"/>
        <v>1020000</v>
      </c>
    </row>
    <row r="64" spans="1:6" x14ac:dyDescent="0.3">
      <c r="A64" t="s">
        <v>53</v>
      </c>
      <c r="B64" t="s">
        <v>3</v>
      </c>
      <c r="C64">
        <v>60</v>
      </c>
      <c r="D64" s="2">
        <v>6000</v>
      </c>
      <c r="E64" s="2">
        <f t="shared" si="0"/>
        <v>360000</v>
      </c>
    </row>
    <row r="65" spans="1:5" hidden="1" x14ac:dyDescent="0.3">
      <c r="A65" t="s">
        <v>53</v>
      </c>
      <c r="B65" t="s">
        <v>54</v>
      </c>
      <c r="C65">
        <v>0</v>
      </c>
      <c r="D65"/>
      <c r="E65">
        <f t="shared" si="0"/>
        <v>0</v>
      </c>
    </row>
    <row r="66" spans="1:5" hidden="1" x14ac:dyDescent="0.3">
      <c r="A66" t="s">
        <v>55</v>
      </c>
      <c r="B66" t="s">
        <v>3</v>
      </c>
      <c r="C66">
        <v>0</v>
      </c>
      <c r="D66"/>
      <c r="E66">
        <f t="shared" si="0"/>
        <v>0</v>
      </c>
    </row>
    <row r="67" spans="1:5" x14ac:dyDescent="0.3">
      <c r="A67" t="s">
        <v>55</v>
      </c>
      <c r="B67" t="s">
        <v>4</v>
      </c>
      <c r="C67">
        <v>12</v>
      </c>
      <c r="D67" s="2">
        <v>6000</v>
      </c>
      <c r="E67" s="2">
        <f t="shared" si="0"/>
        <v>72000</v>
      </c>
    </row>
    <row r="68" spans="1:5" hidden="1" x14ac:dyDescent="0.3">
      <c r="A68" t="s">
        <v>56</v>
      </c>
      <c r="B68" t="s">
        <v>3</v>
      </c>
      <c r="C68">
        <v>0</v>
      </c>
      <c r="D68"/>
      <c r="E68">
        <f t="shared" ref="E68:E133" si="1">C68*D68</f>
        <v>0</v>
      </c>
    </row>
    <row r="69" spans="1:5" x14ac:dyDescent="0.3">
      <c r="A69" t="s">
        <v>57</v>
      </c>
      <c r="B69" t="s">
        <v>3</v>
      </c>
      <c r="C69">
        <v>160</v>
      </c>
      <c r="D69" s="2">
        <v>5000</v>
      </c>
      <c r="E69" s="2">
        <f t="shared" si="1"/>
        <v>800000</v>
      </c>
    </row>
    <row r="70" spans="1:5" x14ac:dyDescent="0.3">
      <c r="A70" t="s">
        <v>58</v>
      </c>
      <c r="B70" t="s">
        <v>3</v>
      </c>
      <c r="C70">
        <v>10</v>
      </c>
      <c r="D70" s="2">
        <v>39000</v>
      </c>
      <c r="E70" s="2">
        <f t="shared" si="1"/>
        <v>390000</v>
      </c>
    </row>
    <row r="71" spans="1:5" x14ac:dyDescent="0.3">
      <c r="A71" t="s">
        <v>59</v>
      </c>
      <c r="B71" t="s">
        <v>3</v>
      </c>
      <c r="C71">
        <v>60</v>
      </c>
      <c r="D71" s="2">
        <v>13000</v>
      </c>
      <c r="E71" s="2">
        <f t="shared" si="1"/>
        <v>780000</v>
      </c>
    </row>
    <row r="72" spans="1:5" hidden="1" x14ac:dyDescent="0.3">
      <c r="A72" t="s">
        <v>60</v>
      </c>
      <c r="B72" t="s">
        <v>4</v>
      </c>
      <c r="C72">
        <v>0</v>
      </c>
      <c r="D72"/>
      <c r="E72">
        <f t="shared" si="1"/>
        <v>0</v>
      </c>
    </row>
    <row r="73" spans="1:5" hidden="1" x14ac:dyDescent="0.3">
      <c r="A73" t="s">
        <v>61</v>
      </c>
      <c r="B73" t="s">
        <v>3</v>
      </c>
      <c r="C73">
        <v>0</v>
      </c>
      <c r="D73"/>
      <c r="E73">
        <f t="shared" si="1"/>
        <v>0</v>
      </c>
    </row>
    <row r="74" spans="1:5" x14ac:dyDescent="0.3">
      <c r="A74" t="s">
        <v>61</v>
      </c>
      <c r="B74" t="s">
        <v>62</v>
      </c>
      <c r="C74">
        <v>27</v>
      </c>
      <c r="D74" s="2">
        <v>9000</v>
      </c>
      <c r="E74" s="2">
        <f t="shared" si="1"/>
        <v>243000</v>
      </c>
    </row>
    <row r="75" spans="1:5" x14ac:dyDescent="0.3">
      <c r="A75" t="s">
        <v>63</v>
      </c>
      <c r="B75" t="s">
        <v>3</v>
      </c>
      <c r="C75">
        <v>2.5</v>
      </c>
      <c r="D75" s="2">
        <v>80000</v>
      </c>
      <c r="E75" s="2">
        <f t="shared" si="1"/>
        <v>200000</v>
      </c>
    </row>
    <row r="76" spans="1:5" x14ac:dyDescent="0.3">
      <c r="A76" t="s">
        <v>64</v>
      </c>
      <c r="B76" t="s">
        <v>3</v>
      </c>
      <c r="C76">
        <v>2</v>
      </c>
      <c r="D76" s="2">
        <v>70000</v>
      </c>
      <c r="E76" s="2">
        <f t="shared" si="1"/>
        <v>140000</v>
      </c>
    </row>
    <row r="77" spans="1:5" x14ac:dyDescent="0.3">
      <c r="A77" t="s">
        <v>65</v>
      </c>
      <c r="B77" t="s">
        <v>3</v>
      </c>
      <c r="C77">
        <v>2.5</v>
      </c>
      <c r="D77" s="2">
        <v>70000</v>
      </c>
      <c r="E77" s="2">
        <f t="shared" si="1"/>
        <v>175000</v>
      </c>
    </row>
    <row r="78" spans="1:5" hidden="1" x14ac:dyDescent="0.3">
      <c r="A78" t="s">
        <v>66</v>
      </c>
      <c r="B78" t="s">
        <v>22</v>
      </c>
      <c r="C78">
        <v>0</v>
      </c>
      <c r="D78"/>
      <c r="E78">
        <f t="shared" si="1"/>
        <v>0</v>
      </c>
    </row>
    <row r="79" spans="1:5" x14ac:dyDescent="0.3">
      <c r="A79" t="s">
        <v>66</v>
      </c>
      <c r="B79" t="s">
        <v>3</v>
      </c>
      <c r="C79">
        <v>8</v>
      </c>
      <c r="D79" s="2">
        <v>28000</v>
      </c>
      <c r="E79" s="2">
        <f t="shared" si="1"/>
        <v>224000</v>
      </c>
    </row>
    <row r="80" spans="1:5" hidden="1" x14ac:dyDescent="0.3">
      <c r="A80" t="s">
        <v>67</v>
      </c>
      <c r="B80" t="s">
        <v>3</v>
      </c>
      <c r="C80">
        <v>0</v>
      </c>
      <c r="D80"/>
      <c r="E80">
        <f t="shared" si="1"/>
        <v>0</v>
      </c>
    </row>
    <row r="81" spans="1:5" hidden="1" x14ac:dyDescent="0.3">
      <c r="A81" t="s">
        <v>68</v>
      </c>
      <c r="B81" t="s">
        <v>4</v>
      </c>
      <c r="C81">
        <v>0</v>
      </c>
      <c r="D81"/>
      <c r="E81">
        <f t="shared" si="1"/>
        <v>0</v>
      </c>
    </row>
    <row r="82" spans="1:5" x14ac:dyDescent="0.3">
      <c r="A82" t="s">
        <v>69</v>
      </c>
      <c r="B82" t="s">
        <v>3</v>
      </c>
      <c r="C82">
        <v>17</v>
      </c>
      <c r="D82" s="2">
        <v>14000</v>
      </c>
      <c r="E82" s="2">
        <f t="shared" si="1"/>
        <v>238000</v>
      </c>
    </row>
    <row r="83" spans="1:5" hidden="1" x14ac:dyDescent="0.3">
      <c r="A83" t="s">
        <v>70</v>
      </c>
      <c r="B83" t="s">
        <v>8</v>
      </c>
      <c r="C83">
        <v>0</v>
      </c>
      <c r="D83"/>
      <c r="E83">
        <f t="shared" si="1"/>
        <v>0</v>
      </c>
    </row>
    <row r="84" spans="1:5" x14ac:dyDescent="0.3">
      <c r="A84" t="s">
        <v>70</v>
      </c>
      <c r="B84" t="s">
        <v>3</v>
      </c>
      <c r="C84">
        <v>6</v>
      </c>
      <c r="D84" s="2">
        <v>44000</v>
      </c>
      <c r="E84" s="2">
        <f t="shared" si="1"/>
        <v>264000</v>
      </c>
    </row>
    <row r="85" spans="1:5" hidden="1" x14ac:dyDescent="0.3">
      <c r="A85" t="s">
        <v>71</v>
      </c>
      <c r="B85" t="s">
        <v>4</v>
      </c>
      <c r="C85">
        <v>0</v>
      </c>
      <c r="D85"/>
      <c r="E85">
        <f t="shared" si="1"/>
        <v>0</v>
      </c>
    </row>
    <row r="86" spans="1:5" x14ac:dyDescent="0.3">
      <c r="A86" t="s">
        <v>72</v>
      </c>
      <c r="B86" t="s">
        <v>3</v>
      </c>
      <c r="C86">
        <v>140</v>
      </c>
      <c r="D86" s="2">
        <v>6000</v>
      </c>
      <c r="E86" s="2">
        <f t="shared" si="1"/>
        <v>840000</v>
      </c>
    </row>
    <row r="87" spans="1:5" x14ac:dyDescent="0.3">
      <c r="A87" t="s">
        <v>73</v>
      </c>
      <c r="B87" t="s">
        <v>3</v>
      </c>
      <c r="C87">
        <v>4</v>
      </c>
      <c r="D87" s="2">
        <v>14000</v>
      </c>
      <c r="E87" s="2">
        <f t="shared" si="1"/>
        <v>56000</v>
      </c>
    </row>
    <row r="88" spans="1:5" hidden="1" x14ac:dyDescent="0.3">
      <c r="A88" t="s">
        <v>74</v>
      </c>
      <c r="B88" t="s">
        <v>3</v>
      </c>
      <c r="C88">
        <v>0</v>
      </c>
      <c r="D88"/>
      <c r="E88">
        <f t="shared" si="1"/>
        <v>0</v>
      </c>
    </row>
    <row r="89" spans="1:5" hidden="1" x14ac:dyDescent="0.3">
      <c r="A89" t="s">
        <v>75</v>
      </c>
      <c r="B89" t="s">
        <v>3</v>
      </c>
      <c r="C89">
        <v>0</v>
      </c>
      <c r="D89"/>
      <c r="E89">
        <f t="shared" si="1"/>
        <v>0</v>
      </c>
    </row>
    <row r="90" spans="1:5" hidden="1" x14ac:dyDescent="0.3">
      <c r="A90" t="s">
        <v>76</v>
      </c>
      <c r="B90" t="s">
        <v>3</v>
      </c>
      <c r="C90">
        <v>0</v>
      </c>
      <c r="D90"/>
      <c r="E90">
        <f t="shared" si="1"/>
        <v>0</v>
      </c>
    </row>
    <row r="91" spans="1:5" hidden="1" x14ac:dyDescent="0.3">
      <c r="A91" t="s">
        <v>77</v>
      </c>
      <c r="B91" t="s">
        <v>3</v>
      </c>
      <c r="C91">
        <v>0</v>
      </c>
      <c r="D91"/>
      <c r="E91">
        <f t="shared" si="1"/>
        <v>0</v>
      </c>
    </row>
    <row r="92" spans="1:5" hidden="1" x14ac:dyDescent="0.3">
      <c r="A92" t="s">
        <v>78</v>
      </c>
      <c r="B92" t="s">
        <v>3</v>
      </c>
      <c r="C92">
        <v>0</v>
      </c>
      <c r="D92"/>
      <c r="E92">
        <f t="shared" si="1"/>
        <v>0</v>
      </c>
    </row>
    <row r="93" spans="1:5" hidden="1" x14ac:dyDescent="0.3">
      <c r="A93" t="s">
        <v>79</v>
      </c>
      <c r="B93" t="s">
        <v>3</v>
      </c>
      <c r="C93">
        <v>0</v>
      </c>
      <c r="D93"/>
      <c r="E93">
        <f t="shared" si="1"/>
        <v>0</v>
      </c>
    </row>
    <row r="94" spans="1:5" hidden="1" x14ac:dyDescent="0.3">
      <c r="A94" t="s">
        <v>80</v>
      </c>
      <c r="B94" t="s">
        <v>3</v>
      </c>
      <c r="C94">
        <v>0</v>
      </c>
      <c r="D94"/>
      <c r="E94">
        <f t="shared" si="1"/>
        <v>0</v>
      </c>
    </row>
    <row r="95" spans="1:5" x14ac:dyDescent="0.3">
      <c r="A95" t="s">
        <v>81</v>
      </c>
      <c r="B95" t="s">
        <v>3</v>
      </c>
      <c r="C95">
        <v>14</v>
      </c>
      <c r="D95" s="2">
        <v>9000</v>
      </c>
      <c r="E95" s="2">
        <f t="shared" si="1"/>
        <v>126000</v>
      </c>
    </row>
    <row r="96" spans="1:5" hidden="1" x14ac:dyDescent="0.3">
      <c r="A96" t="s">
        <v>82</v>
      </c>
      <c r="B96" t="s">
        <v>3</v>
      </c>
      <c r="C96">
        <v>0</v>
      </c>
      <c r="D96"/>
      <c r="E96">
        <f t="shared" si="1"/>
        <v>0</v>
      </c>
    </row>
    <row r="97" spans="1:5" hidden="1" x14ac:dyDescent="0.3">
      <c r="A97" t="s">
        <v>83</v>
      </c>
      <c r="B97" t="s">
        <v>4</v>
      </c>
      <c r="C97">
        <v>0</v>
      </c>
      <c r="D97"/>
      <c r="E97">
        <f t="shared" si="1"/>
        <v>0</v>
      </c>
    </row>
    <row r="98" spans="1:5" hidden="1" x14ac:dyDescent="0.3">
      <c r="A98" t="s">
        <v>84</v>
      </c>
      <c r="B98" t="s">
        <v>22</v>
      </c>
      <c r="C98">
        <v>0</v>
      </c>
      <c r="D98"/>
      <c r="E98">
        <f t="shared" si="1"/>
        <v>0</v>
      </c>
    </row>
    <row r="99" spans="1:5" hidden="1" x14ac:dyDescent="0.3">
      <c r="A99" t="s">
        <v>85</v>
      </c>
      <c r="B99" t="s">
        <v>22</v>
      </c>
      <c r="C99">
        <v>0</v>
      </c>
      <c r="D99"/>
      <c r="E99">
        <f t="shared" si="1"/>
        <v>0</v>
      </c>
    </row>
    <row r="100" spans="1:5" hidden="1" x14ac:dyDescent="0.3">
      <c r="A100" t="s">
        <v>86</v>
      </c>
      <c r="B100" t="s">
        <v>22</v>
      </c>
      <c r="C100">
        <v>0</v>
      </c>
      <c r="D100"/>
      <c r="E100">
        <f t="shared" si="1"/>
        <v>0</v>
      </c>
    </row>
    <row r="101" spans="1:5" x14ac:dyDescent="0.3">
      <c r="A101" t="s">
        <v>87</v>
      </c>
      <c r="B101" t="s">
        <v>4</v>
      </c>
      <c r="C101">
        <v>270</v>
      </c>
      <c r="D101" s="2">
        <v>6000</v>
      </c>
      <c r="E101" s="2">
        <f t="shared" si="1"/>
        <v>1620000</v>
      </c>
    </row>
    <row r="102" spans="1:5" hidden="1" x14ac:dyDescent="0.3">
      <c r="A102" t="s">
        <v>88</v>
      </c>
      <c r="B102" t="s">
        <v>3</v>
      </c>
      <c r="C102">
        <v>0</v>
      </c>
      <c r="D102"/>
      <c r="E102">
        <f t="shared" si="1"/>
        <v>0</v>
      </c>
    </row>
    <row r="103" spans="1:5" hidden="1" x14ac:dyDescent="0.3">
      <c r="A103" t="s">
        <v>89</v>
      </c>
      <c r="B103" t="s">
        <v>4</v>
      </c>
      <c r="C103">
        <v>0</v>
      </c>
      <c r="D103"/>
      <c r="E103">
        <f t="shared" si="1"/>
        <v>0</v>
      </c>
    </row>
    <row r="104" spans="1:5" hidden="1" x14ac:dyDescent="0.3">
      <c r="A104" t="s">
        <v>90</v>
      </c>
      <c r="B104" t="s">
        <v>4</v>
      </c>
      <c r="C104">
        <v>0</v>
      </c>
      <c r="D104"/>
      <c r="E104">
        <f t="shared" si="1"/>
        <v>0</v>
      </c>
    </row>
    <row r="105" spans="1:5" hidden="1" x14ac:dyDescent="0.3">
      <c r="A105" t="s">
        <v>91</v>
      </c>
      <c r="B105" t="s">
        <v>3</v>
      </c>
      <c r="C105">
        <v>0</v>
      </c>
      <c r="D105"/>
      <c r="E105">
        <f t="shared" si="1"/>
        <v>0</v>
      </c>
    </row>
    <row r="106" spans="1:5" hidden="1" x14ac:dyDescent="0.3">
      <c r="A106" t="s">
        <v>92</v>
      </c>
      <c r="B106" t="s">
        <v>3</v>
      </c>
      <c r="C106">
        <v>0</v>
      </c>
      <c r="D106"/>
      <c r="E106">
        <f t="shared" si="1"/>
        <v>0</v>
      </c>
    </row>
    <row r="107" spans="1:5" hidden="1" x14ac:dyDescent="0.3">
      <c r="A107" t="s">
        <v>93</v>
      </c>
      <c r="B107" t="s">
        <v>3</v>
      </c>
      <c r="C107">
        <v>0</v>
      </c>
      <c r="D107"/>
      <c r="E107">
        <f t="shared" si="1"/>
        <v>0</v>
      </c>
    </row>
    <row r="108" spans="1:5" x14ac:dyDescent="0.3">
      <c r="E108" s="2">
        <f>SUM(E3:E101)</f>
        <v>110444600</v>
      </c>
    </row>
    <row r="109" spans="1:5" x14ac:dyDescent="0.3">
      <c r="A109" t="s">
        <v>103</v>
      </c>
    </row>
    <row r="110" spans="1:5" x14ac:dyDescent="0.3">
      <c r="A110" t="s">
        <v>0</v>
      </c>
      <c r="B110" t="s">
        <v>1</v>
      </c>
      <c r="C110" t="s">
        <v>104</v>
      </c>
      <c r="D110" s="2" t="s">
        <v>100</v>
      </c>
      <c r="E110" s="2" t="s">
        <v>101</v>
      </c>
    </row>
    <row r="111" spans="1:5" hidden="1" x14ac:dyDescent="0.3">
      <c r="A111" t="s">
        <v>2</v>
      </c>
      <c r="B111" t="s">
        <v>3</v>
      </c>
      <c r="D111"/>
      <c r="E111">
        <f t="shared" si="1"/>
        <v>0</v>
      </c>
    </row>
    <row r="112" spans="1:5" hidden="1" x14ac:dyDescent="0.3">
      <c r="A112" t="s">
        <v>57</v>
      </c>
      <c r="B112" t="s">
        <v>3</v>
      </c>
      <c r="D112"/>
      <c r="E112">
        <f t="shared" si="1"/>
        <v>0</v>
      </c>
    </row>
    <row r="113" spans="1:5" x14ac:dyDescent="0.3">
      <c r="A113" t="s">
        <v>9</v>
      </c>
      <c r="B113" t="s">
        <v>3</v>
      </c>
      <c r="C113">
        <v>73</v>
      </c>
      <c r="D113" s="2">
        <v>18000</v>
      </c>
      <c r="E113" s="2">
        <f t="shared" si="1"/>
        <v>1314000</v>
      </c>
    </row>
    <row r="114" spans="1:5" x14ac:dyDescent="0.3">
      <c r="A114" t="s">
        <v>10</v>
      </c>
      <c r="B114" t="s">
        <v>3</v>
      </c>
      <c r="C114">
        <v>60</v>
      </c>
      <c r="D114" s="2">
        <v>22500</v>
      </c>
      <c r="E114" s="2">
        <f t="shared" si="1"/>
        <v>1350000</v>
      </c>
    </row>
    <row r="115" spans="1:5" hidden="1" x14ac:dyDescent="0.3">
      <c r="A115" t="s">
        <v>13</v>
      </c>
      <c r="B115" t="s">
        <v>4</v>
      </c>
      <c r="D115"/>
      <c r="E115">
        <f t="shared" si="1"/>
        <v>0</v>
      </c>
    </row>
    <row r="116" spans="1:5" x14ac:dyDescent="0.3">
      <c r="A116" t="s">
        <v>14</v>
      </c>
      <c r="B116" t="s">
        <v>3</v>
      </c>
      <c r="C116">
        <v>210</v>
      </c>
      <c r="D116" s="2">
        <v>17000</v>
      </c>
      <c r="E116" s="2">
        <f t="shared" si="1"/>
        <v>3570000</v>
      </c>
    </row>
    <row r="117" spans="1:5" hidden="1" x14ac:dyDescent="0.3">
      <c r="A117" t="s">
        <v>89</v>
      </c>
      <c r="B117" t="s">
        <v>4</v>
      </c>
      <c r="D117"/>
      <c r="E117">
        <f t="shared" si="1"/>
        <v>0</v>
      </c>
    </row>
    <row r="118" spans="1:5" x14ac:dyDescent="0.3">
      <c r="A118" t="s">
        <v>15</v>
      </c>
      <c r="B118" t="s">
        <v>3</v>
      </c>
      <c r="C118">
        <v>200</v>
      </c>
      <c r="D118" s="2">
        <v>15000</v>
      </c>
      <c r="E118" s="2">
        <f t="shared" si="1"/>
        <v>3000000</v>
      </c>
    </row>
    <row r="119" spans="1:5" hidden="1" x14ac:dyDescent="0.3">
      <c r="A119" t="s">
        <v>59</v>
      </c>
      <c r="B119" t="s">
        <v>3</v>
      </c>
      <c r="D119"/>
      <c r="E119">
        <f t="shared" si="1"/>
        <v>0</v>
      </c>
    </row>
    <row r="120" spans="1:5" hidden="1" x14ac:dyDescent="0.3">
      <c r="A120" t="s">
        <v>46</v>
      </c>
      <c r="B120" t="s">
        <v>3</v>
      </c>
      <c r="D120"/>
      <c r="E120">
        <f t="shared" si="1"/>
        <v>0</v>
      </c>
    </row>
    <row r="121" spans="1:5" x14ac:dyDescent="0.3">
      <c r="A121" t="s">
        <v>94</v>
      </c>
      <c r="B121" t="s">
        <v>3</v>
      </c>
      <c r="C121">
        <v>40</v>
      </c>
      <c r="D121" s="2">
        <v>23000</v>
      </c>
      <c r="E121" s="2">
        <f t="shared" si="1"/>
        <v>920000</v>
      </c>
    </row>
    <row r="122" spans="1:5" hidden="1" x14ac:dyDescent="0.3">
      <c r="A122" t="s">
        <v>44</v>
      </c>
      <c r="B122" t="s">
        <v>3</v>
      </c>
      <c r="D122"/>
      <c r="E122">
        <f t="shared" si="1"/>
        <v>0</v>
      </c>
    </row>
    <row r="123" spans="1:5" hidden="1" x14ac:dyDescent="0.3">
      <c r="A123" t="s">
        <v>17</v>
      </c>
      <c r="B123" t="s">
        <v>3</v>
      </c>
      <c r="D123"/>
      <c r="E123">
        <f t="shared" si="1"/>
        <v>0</v>
      </c>
    </row>
    <row r="124" spans="1:5" x14ac:dyDescent="0.3">
      <c r="A124" t="s">
        <v>20</v>
      </c>
      <c r="B124" t="s">
        <v>3</v>
      </c>
      <c r="C124">
        <v>350</v>
      </c>
      <c r="D124" s="2">
        <v>6000</v>
      </c>
      <c r="E124" s="2">
        <f t="shared" si="1"/>
        <v>2100000</v>
      </c>
    </row>
    <row r="125" spans="1:5" hidden="1" x14ac:dyDescent="0.3">
      <c r="A125" t="s">
        <v>21</v>
      </c>
      <c r="B125" t="s">
        <v>3</v>
      </c>
      <c r="D125"/>
      <c r="E125">
        <f t="shared" si="1"/>
        <v>0</v>
      </c>
    </row>
    <row r="126" spans="1:5" hidden="1" x14ac:dyDescent="0.3">
      <c r="A126" t="s">
        <v>66</v>
      </c>
      <c r="B126" t="s">
        <v>3</v>
      </c>
      <c r="D126"/>
      <c r="E126">
        <f t="shared" si="1"/>
        <v>0</v>
      </c>
    </row>
    <row r="127" spans="1:5" hidden="1" x14ac:dyDescent="0.3">
      <c r="A127" t="s">
        <v>84</v>
      </c>
      <c r="B127" t="s">
        <v>22</v>
      </c>
      <c r="D127"/>
      <c r="E127">
        <f t="shared" si="1"/>
        <v>0</v>
      </c>
    </row>
    <row r="128" spans="1:5" hidden="1" x14ac:dyDescent="0.3">
      <c r="A128" t="s">
        <v>86</v>
      </c>
      <c r="B128" t="s">
        <v>22</v>
      </c>
      <c r="D128"/>
      <c r="E128">
        <f t="shared" si="1"/>
        <v>0</v>
      </c>
    </row>
    <row r="129" spans="1:5" hidden="1" x14ac:dyDescent="0.3">
      <c r="A129" t="s">
        <v>85</v>
      </c>
      <c r="B129" t="s">
        <v>22</v>
      </c>
      <c r="D129"/>
      <c r="E129">
        <f t="shared" si="1"/>
        <v>0</v>
      </c>
    </row>
    <row r="130" spans="1:5" x14ac:dyDescent="0.3">
      <c r="A130" t="s">
        <v>95</v>
      </c>
      <c r="B130" t="s">
        <v>3</v>
      </c>
      <c r="C130">
        <v>50</v>
      </c>
      <c r="D130" s="2">
        <v>7500</v>
      </c>
      <c r="E130" s="2">
        <f t="shared" si="1"/>
        <v>375000</v>
      </c>
    </row>
    <row r="131" spans="1:5" x14ac:dyDescent="0.3">
      <c r="A131" t="s">
        <v>24</v>
      </c>
      <c r="B131" t="s">
        <v>3</v>
      </c>
      <c r="C131">
        <v>1000</v>
      </c>
      <c r="D131" s="2">
        <v>4300</v>
      </c>
      <c r="E131" s="2">
        <f t="shared" si="1"/>
        <v>4300000</v>
      </c>
    </row>
    <row r="132" spans="1:5" x14ac:dyDescent="0.3">
      <c r="A132" t="s">
        <v>28</v>
      </c>
      <c r="B132" t="s">
        <v>3</v>
      </c>
      <c r="C132">
        <v>35</v>
      </c>
      <c r="D132" s="2">
        <v>22000</v>
      </c>
      <c r="E132" s="2">
        <f t="shared" si="1"/>
        <v>770000</v>
      </c>
    </row>
    <row r="133" spans="1:5" x14ac:dyDescent="0.3">
      <c r="A133" t="s">
        <v>30</v>
      </c>
      <c r="B133" t="s">
        <v>3</v>
      </c>
      <c r="C133">
        <v>200</v>
      </c>
      <c r="D133" s="2">
        <v>20000</v>
      </c>
      <c r="E133" s="2">
        <f t="shared" si="1"/>
        <v>4000000</v>
      </c>
    </row>
    <row r="134" spans="1:5" hidden="1" x14ac:dyDescent="0.3">
      <c r="A134" t="s">
        <v>53</v>
      </c>
      <c r="B134" t="s">
        <v>3</v>
      </c>
      <c r="D134"/>
      <c r="E134">
        <f t="shared" ref="E134:E148" si="2">C134*D134</f>
        <v>0</v>
      </c>
    </row>
    <row r="135" spans="1:5" x14ac:dyDescent="0.3">
      <c r="A135" t="s">
        <v>34</v>
      </c>
      <c r="B135" t="s">
        <v>3</v>
      </c>
      <c r="C135">
        <v>40</v>
      </c>
      <c r="D135" s="2">
        <v>30000</v>
      </c>
      <c r="E135" s="2">
        <f t="shared" si="2"/>
        <v>1200000</v>
      </c>
    </row>
    <row r="136" spans="1:5" x14ac:dyDescent="0.3">
      <c r="A136" t="s">
        <v>35</v>
      </c>
      <c r="B136" t="s">
        <v>3</v>
      </c>
      <c r="C136">
        <v>20</v>
      </c>
      <c r="D136" s="2">
        <v>15000</v>
      </c>
      <c r="E136" s="2">
        <f t="shared" si="2"/>
        <v>300000</v>
      </c>
    </row>
    <row r="137" spans="1:5" x14ac:dyDescent="0.3">
      <c r="A137" t="s">
        <v>36</v>
      </c>
      <c r="B137" t="s">
        <v>3</v>
      </c>
      <c r="C137">
        <v>20</v>
      </c>
      <c r="D137" s="2">
        <v>28000</v>
      </c>
      <c r="E137" s="2">
        <f t="shared" si="2"/>
        <v>560000</v>
      </c>
    </row>
    <row r="138" spans="1:5" hidden="1" x14ac:dyDescent="0.3">
      <c r="A138" t="s">
        <v>72</v>
      </c>
      <c r="B138" t="s">
        <v>3</v>
      </c>
      <c r="D138"/>
      <c r="E138">
        <f t="shared" si="2"/>
        <v>0</v>
      </c>
    </row>
    <row r="139" spans="1:5" x14ac:dyDescent="0.3">
      <c r="A139" t="s">
        <v>56</v>
      </c>
      <c r="B139" t="s">
        <v>3</v>
      </c>
      <c r="C139">
        <v>55</v>
      </c>
      <c r="D139" s="2">
        <v>13000</v>
      </c>
      <c r="E139" s="2">
        <f t="shared" si="2"/>
        <v>715000</v>
      </c>
    </row>
    <row r="140" spans="1:5" x14ac:dyDescent="0.3">
      <c r="A140" t="s">
        <v>96</v>
      </c>
      <c r="B140" t="s">
        <v>3</v>
      </c>
      <c r="C140">
        <v>29</v>
      </c>
      <c r="D140" s="2">
        <v>28000</v>
      </c>
      <c r="E140" s="2">
        <f t="shared" si="2"/>
        <v>812000</v>
      </c>
    </row>
    <row r="141" spans="1:5" x14ac:dyDescent="0.3">
      <c r="A141" t="s">
        <v>97</v>
      </c>
      <c r="B141" t="s">
        <v>3</v>
      </c>
      <c r="C141">
        <v>1</v>
      </c>
      <c r="D141" s="2">
        <v>16000</v>
      </c>
      <c r="E141" s="2">
        <f t="shared" si="2"/>
        <v>16000</v>
      </c>
    </row>
    <row r="142" spans="1:5" hidden="1" x14ac:dyDescent="0.3">
      <c r="A142" t="s">
        <v>32</v>
      </c>
      <c r="B142" t="s">
        <v>6</v>
      </c>
      <c r="D142"/>
      <c r="E142">
        <f t="shared" si="2"/>
        <v>0</v>
      </c>
    </row>
    <row r="143" spans="1:5" x14ac:dyDescent="0.3">
      <c r="A143" t="s">
        <v>43</v>
      </c>
      <c r="B143" t="s">
        <v>3</v>
      </c>
      <c r="C143">
        <v>500</v>
      </c>
      <c r="D143" s="2">
        <v>27600</v>
      </c>
      <c r="E143" s="2">
        <f t="shared" si="2"/>
        <v>13800000</v>
      </c>
    </row>
    <row r="144" spans="1:5" x14ac:dyDescent="0.3">
      <c r="A144" t="s">
        <v>60</v>
      </c>
      <c r="B144" t="s">
        <v>4</v>
      </c>
      <c r="C144">
        <v>25</v>
      </c>
      <c r="D144" s="2">
        <v>6000</v>
      </c>
      <c r="E144" s="2">
        <f t="shared" si="2"/>
        <v>150000</v>
      </c>
    </row>
    <row r="145" spans="1:5" x14ac:dyDescent="0.3">
      <c r="A145" t="s">
        <v>61</v>
      </c>
      <c r="B145" t="s">
        <v>4</v>
      </c>
      <c r="C145">
        <v>79</v>
      </c>
      <c r="D145" s="2">
        <v>9000</v>
      </c>
      <c r="E145" s="2">
        <f t="shared" si="2"/>
        <v>711000</v>
      </c>
    </row>
    <row r="146" spans="1:5" hidden="1" x14ac:dyDescent="0.3">
      <c r="A146" t="s">
        <v>37</v>
      </c>
      <c r="B146" t="s">
        <v>3</v>
      </c>
      <c r="D146"/>
      <c r="E146">
        <f t="shared" si="2"/>
        <v>0</v>
      </c>
    </row>
    <row r="147" spans="1:5" hidden="1" x14ac:dyDescent="0.3">
      <c r="A147" t="s">
        <v>67</v>
      </c>
      <c r="B147" t="s">
        <v>3</v>
      </c>
      <c r="D147"/>
      <c r="E147">
        <f t="shared" si="2"/>
        <v>0</v>
      </c>
    </row>
    <row r="148" spans="1:5" x14ac:dyDescent="0.3">
      <c r="A148" t="s">
        <v>98</v>
      </c>
      <c r="B148" t="s">
        <v>3</v>
      </c>
      <c r="C148">
        <v>200</v>
      </c>
      <c r="D148" s="2">
        <v>4000</v>
      </c>
      <c r="E148" s="2">
        <f t="shared" si="2"/>
        <v>800000</v>
      </c>
    </row>
    <row r="149" spans="1:5" x14ac:dyDescent="0.3">
      <c r="E149" s="2">
        <f>SUM(E113:E148)</f>
        <v>40763000</v>
      </c>
    </row>
    <row r="150" spans="1:5" x14ac:dyDescent="0.3">
      <c r="E150" s="2">
        <f>SUM(E108,E149)</f>
        <v>151207600</v>
      </c>
    </row>
  </sheetData>
  <autoFilter ref="A2:E148" xr:uid="{00000000-0009-0000-0000-000000000000}">
    <filterColumn colId="2">
      <filters>
        <filter val="1"/>
        <filter val="10"/>
        <filter val="1000"/>
        <filter val="102"/>
        <filter val="115"/>
        <filter val="12"/>
        <filter val="120"/>
        <filter val="128"/>
        <filter val="14"/>
        <filter val="140"/>
        <filter val="160"/>
        <filter val="168"/>
        <filter val="17"/>
        <filter val="180"/>
        <filter val="19"/>
        <filter val="2"/>
        <filter val="2.5"/>
        <filter val="20"/>
        <filter val="200"/>
        <filter val="21"/>
        <filter val="210"/>
        <filter val="25"/>
        <filter val="27"/>
        <filter val="270"/>
        <filter val="275"/>
        <filter val="29"/>
        <filter val="290"/>
        <filter val="3"/>
        <filter val="31"/>
        <filter val="315"/>
        <filter val="35"/>
        <filter val="350"/>
        <filter val="383"/>
        <filter val="4"/>
        <filter val="40"/>
        <filter val="430"/>
        <filter val="450"/>
        <filter val="5"/>
        <filter val="50"/>
        <filter val="500"/>
        <filter val="52"/>
        <filter val="55"/>
        <filter val="6"/>
        <filter val="60"/>
        <filter val="720"/>
        <filter val="73"/>
        <filter val="79"/>
        <filter val="8"/>
        <filter val="80"/>
        <filter val="83"/>
        <filter val="98"/>
        <filter val="Tồn_x000a_ĐL_x000a__x000a_現在庫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156"/>
  <sheetViews>
    <sheetView topLeftCell="A37" workbookViewId="0">
      <selection activeCell="C52" sqref="C52"/>
    </sheetView>
  </sheetViews>
  <sheetFormatPr defaultRowHeight="14.4" x14ac:dyDescent="0.3"/>
  <cols>
    <col min="1" max="1" width="32" customWidth="1"/>
    <col min="5" max="5" width="18.5546875" style="2" customWidth="1"/>
  </cols>
  <sheetData>
    <row r="1" spans="1:5" x14ac:dyDescent="0.3">
      <c r="A1" t="s">
        <v>110</v>
      </c>
    </row>
    <row r="2" spans="1:5" x14ac:dyDescent="0.3">
      <c r="A2" t="s">
        <v>0</v>
      </c>
      <c r="B2" t="s">
        <v>1</v>
      </c>
      <c r="C2" t="s">
        <v>102</v>
      </c>
      <c r="D2" t="s">
        <v>100</v>
      </c>
      <c r="E2" s="2" t="s">
        <v>101</v>
      </c>
    </row>
    <row r="3" spans="1:5" x14ac:dyDescent="0.3">
      <c r="A3" t="s">
        <v>2</v>
      </c>
      <c r="B3" t="s">
        <v>3</v>
      </c>
      <c r="C3">
        <v>320</v>
      </c>
      <c r="D3">
        <v>13500</v>
      </c>
      <c r="E3" s="2">
        <f>C3*D3</f>
        <v>4320000</v>
      </c>
    </row>
    <row r="4" spans="1:5" hidden="1" x14ac:dyDescent="0.3">
      <c r="A4" t="s">
        <v>2</v>
      </c>
      <c r="B4" t="s">
        <v>4</v>
      </c>
      <c r="C4">
        <v>0</v>
      </c>
      <c r="E4">
        <f t="shared" ref="E4:E67" si="0">C4*D4</f>
        <v>0</v>
      </c>
    </row>
    <row r="5" spans="1:5" hidden="1" x14ac:dyDescent="0.3">
      <c r="A5" t="s">
        <v>5</v>
      </c>
      <c r="B5" t="s">
        <v>6</v>
      </c>
      <c r="C5">
        <v>0</v>
      </c>
      <c r="E5">
        <f t="shared" si="0"/>
        <v>0</v>
      </c>
    </row>
    <row r="6" spans="1:5" x14ac:dyDescent="0.3">
      <c r="A6" t="s">
        <v>7</v>
      </c>
      <c r="B6" t="s">
        <v>8</v>
      </c>
      <c r="C6">
        <v>23</v>
      </c>
      <c r="D6">
        <v>9500</v>
      </c>
      <c r="E6" s="2">
        <f t="shared" si="0"/>
        <v>218500</v>
      </c>
    </row>
    <row r="7" spans="1:5" hidden="1" x14ac:dyDescent="0.3">
      <c r="A7" t="s">
        <v>9</v>
      </c>
      <c r="B7" t="s">
        <v>3</v>
      </c>
      <c r="C7">
        <v>0</v>
      </c>
      <c r="E7">
        <f t="shared" si="0"/>
        <v>0</v>
      </c>
    </row>
    <row r="8" spans="1:5" hidden="1" x14ac:dyDescent="0.3">
      <c r="A8" t="s">
        <v>9</v>
      </c>
      <c r="B8" t="s">
        <v>4</v>
      </c>
      <c r="C8">
        <v>0</v>
      </c>
      <c r="E8">
        <f t="shared" si="0"/>
        <v>0</v>
      </c>
    </row>
    <row r="9" spans="1:5" x14ac:dyDescent="0.3">
      <c r="A9" t="s">
        <v>10</v>
      </c>
      <c r="B9" t="s">
        <v>3</v>
      </c>
      <c r="C9">
        <v>440</v>
      </c>
      <c r="D9">
        <v>22500</v>
      </c>
      <c r="E9" s="2">
        <f t="shared" si="0"/>
        <v>9900000</v>
      </c>
    </row>
    <row r="10" spans="1:5" hidden="1" x14ac:dyDescent="0.3">
      <c r="A10" t="s">
        <v>10</v>
      </c>
      <c r="B10" t="s">
        <v>11</v>
      </c>
      <c r="C10">
        <v>0</v>
      </c>
      <c r="E10">
        <f t="shared" si="0"/>
        <v>0</v>
      </c>
    </row>
    <row r="11" spans="1:5" x14ac:dyDescent="0.3">
      <c r="A11" t="s">
        <v>12</v>
      </c>
      <c r="B11" t="s">
        <v>4</v>
      </c>
      <c r="C11">
        <v>360</v>
      </c>
      <c r="D11">
        <v>4500</v>
      </c>
      <c r="E11" s="2">
        <f t="shared" si="0"/>
        <v>1620000</v>
      </c>
    </row>
    <row r="12" spans="1:5" x14ac:dyDescent="0.3">
      <c r="A12" t="s">
        <v>13</v>
      </c>
      <c r="B12" t="s">
        <v>3</v>
      </c>
      <c r="C12">
        <v>45</v>
      </c>
      <c r="D12">
        <v>31000</v>
      </c>
      <c r="E12" s="2">
        <f t="shared" si="0"/>
        <v>1395000</v>
      </c>
    </row>
    <row r="13" spans="1:5" hidden="1" x14ac:dyDescent="0.3">
      <c r="A13" t="s">
        <v>14</v>
      </c>
      <c r="B13" t="s">
        <v>3</v>
      </c>
      <c r="C13">
        <v>0</v>
      </c>
      <c r="E13">
        <f t="shared" si="0"/>
        <v>0</v>
      </c>
    </row>
    <row r="14" spans="1:5" x14ac:dyDescent="0.3">
      <c r="A14" t="s">
        <v>15</v>
      </c>
      <c r="B14" t="s">
        <v>3</v>
      </c>
      <c r="C14">
        <v>190</v>
      </c>
      <c r="D14">
        <v>15000</v>
      </c>
      <c r="E14" s="2">
        <f t="shared" si="0"/>
        <v>2850000</v>
      </c>
    </row>
    <row r="15" spans="1:5" hidden="1" x14ac:dyDescent="0.3">
      <c r="A15" t="s">
        <v>15</v>
      </c>
      <c r="B15" t="s">
        <v>4</v>
      </c>
      <c r="C15">
        <v>0</v>
      </c>
      <c r="E15">
        <f t="shared" si="0"/>
        <v>0</v>
      </c>
    </row>
    <row r="16" spans="1:5" hidden="1" x14ac:dyDescent="0.3">
      <c r="A16" t="s">
        <v>16</v>
      </c>
      <c r="B16" t="s">
        <v>6</v>
      </c>
      <c r="C16">
        <v>0</v>
      </c>
      <c r="E16">
        <f t="shared" si="0"/>
        <v>0</v>
      </c>
    </row>
    <row r="17" spans="1:5" x14ac:dyDescent="0.3">
      <c r="A17" t="s">
        <v>17</v>
      </c>
      <c r="B17" t="s">
        <v>3</v>
      </c>
      <c r="C17">
        <v>1115</v>
      </c>
      <c r="D17">
        <v>11000</v>
      </c>
      <c r="E17" s="2">
        <f t="shared" si="0"/>
        <v>12265000</v>
      </c>
    </row>
    <row r="18" spans="1:5" hidden="1" x14ac:dyDescent="0.3">
      <c r="A18" t="s">
        <v>18</v>
      </c>
      <c r="B18" t="s">
        <v>3</v>
      </c>
      <c r="C18">
        <v>0</v>
      </c>
      <c r="E18">
        <f t="shared" si="0"/>
        <v>0</v>
      </c>
    </row>
    <row r="19" spans="1:5" hidden="1" x14ac:dyDescent="0.3">
      <c r="A19" t="s">
        <v>18</v>
      </c>
      <c r="B19" t="s">
        <v>4</v>
      </c>
      <c r="C19">
        <v>0</v>
      </c>
      <c r="E19">
        <f t="shared" si="0"/>
        <v>0</v>
      </c>
    </row>
    <row r="20" spans="1:5" x14ac:dyDescent="0.3">
      <c r="A20" t="s">
        <v>19</v>
      </c>
      <c r="B20" t="s">
        <v>3</v>
      </c>
      <c r="C20">
        <v>1</v>
      </c>
      <c r="D20">
        <v>23000</v>
      </c>
      <c r="E20" s="2">
        <f t="shared" si="0"/>
        <v>23000</v>
      </c>
    </row>
    <row r="21" spans="1:5" hidden="1" x14ac:dyDescent="0.3">
      <c r="A21" t="s">
        <v>19</v>
      </c>
      <c r="B21" t="s">
        <v>4</v>
      </c>
      <c r="C21">
        <v>0</v>
      </c>
      <c r="E21">
        <f t="shared" si="0"/>
        <v>0</v>
      </c>
    </row>
    <row r="22" spans="1:5" x14ac:dyDescent="0.3">
      <c r="A22" t="s">
        <v>20</v>
      </c>
      <c r="B22" t="s">
        <v>3</v>
      </c>
      <c r="C22">
        <v>400</v>
      </c>
      <c r="D22">
        <v>6000</v>
      </c>
      <c r="E22" s="2">
        <f t="shared" si="0"/>
        <v>2400000</v>
      </c>
    </row>
    <row r="23" spans="1:5" hidden="1" x14ac:dyDescent="0.3">
      <c r="A23" t="s">
        <v>21</v>
      </c>
      <c r="B23" t="s">
        <v>22</v>
      </c>
      <c r="C23">
        <v>0</v>
      </c>
      <c r="E23">
        <f t="shared" si="0"/>
        <v>0</v>
      </c>
    </row>
    <row r="24" spans="1:5" x14ac:dyDescent="0.3">
      <c r="A24" t="s">
        <v>21</v>
      </c>
      <c r="B24" t="s">
        <v>3</v>
      </c>
      <c r="C24">
        <v>80</v>
      </c>
      <c r="D24">
        <v>17000</v>
      </c>
      <c r="E24" s="2">
        <f t="shared" si="0"/>
        <v>1360000</v>
      </c>
    </row>
    <row r="25" spans="1:5" hidden="1" x14ac:dyDescent="0.3">
      <c r="A25" t="s">
        <v>23</v>
      </c>
      <c r="B25" t="s">
        <v>3</v>
      </c>
      <c r="C25">
        <v>0</v>
      </c>
      <c r="E25">
        <f t="shared" si="0"/>
        <v>0</v>
      </c>
    </row>
    <row r="26" spans="1:5" hidden="1" x14ac:dyDescent="0.3">
      <c r="A26" t="s">
        <v>24</v>
      </c>
      <c r="B26" t="s">
        <v>3</v>
      </c>
      <c r="C26">
        <v>0</v>
      </c>
      <c r="E26">
        <f t="shared" si="0"/>
        <v>0</v>
      </c>
    </row>
    <row r="27" spans="1:5" x14ac:dyDescent="0.3">
      <c r="A27" t="s">
        <v>25</v>
      </c>
      <c r="B27" t="s">
        <v>3</v>
      </c>
      <c r="C27">
        <v>45</v>
      </c>
      <c r="D27">
        <v>8000</v>
      </c>
      <c r="E27" s="2">
        <f t="shared" si="0"/>
        <v>360000</v>
      </c>
    </row>
    <row r="28" spans="1:5" hidden="1" x14ac:dyDescent="0.3">
      <c r="A28" t="s">
        <v>25</v>
      </c>
      <c r="B28" t="s">
        <v>26</v>
      </c>
      <c r="C28">
        <v>0</v>
      </c>
      <c r="E28">
        <f t="shared" si="0"/>
        <v>0</v>
      </c>
    </row>
    <row r="29" spans="1:5" x14ac:dyDescent="0.3">
      <c r="A29" t="s">
        <v>27</v>
      </c>
      <c r="B29" t="s">
        <v>3</v>
      </c>
      <c r="C29">
        <v>73</v>
      </c>
      <c r="D29">
        <v>10000</v>
      </c>
      <c r="E29" s="2">
        <f t="shared" si="0"/>
        <v>730000</v>
      </c>
    </row>
    <row r="30" spans="1:5" hidden="1" x14ac:dyDescent="0.3">
      <c r="A30" t="s">
        <v>27</v>
      </c>
      <c r="B30" t="s">
        <v>26</v>
      </c>
      <c r="C30">
        <v>0</v>
      </c>
      <c r="E30">
        <f t="shared" si="0"/>
        <v>0</v>
      </c>
    </row>
    <row r="31" spans="1:5" x14ac:dyDescent="0.3">
      <c r="A31" t="s">
        <v>28</v>
      </c>
      <c r="B31" t="s">
        <v>3</v>
      </c>
      <c r="C31">
        <v>145</v>
      </c>
      <c r="D31">
        <v>21000</v>
      </c>
      <c r="E31" s="2">
        <f t="shared" si="0"/>
        <v>3045000</v>
      </c>
    </row>
    <row r="32" spans="1:5" hidden="1" x14ac:dyDescent="0.3">
      <c r="A32" t="s">
        <v>28</v>
      </c>
      <c r="B32" t="s">
        <v>6</v>
      </c>
      <c r="C32">
        <v>0</v>
      </c>
      <c r="E32">
        <f t="shared" si="0"/>
        <v>0</v>
      </c>
    </row>
    <row r="33" spans="1:5" hidden="1" x14ac:dyDescent="0.3">
      <c r="A33" t="s">
        <v>28</v>
      </c>
      <c r="B33" t="s">
        <v>29</v>
      </c>
      <c r="C33">
        <v>0</v>
      </c>
      <c r="E33">
        <f t="shared" si="0"/>
        <v>0</v>
      </c>
    </row>
    <row r="34" spans="1:5" x14ac:dyDescent="0.3">
      <c r="A34" t="s">
        <v>30</v>
      </c>
      <c r="B34" t="s">
        <v>3</v>
      </c>
      <c r="C34">
        <v>300</v>
      </c>
      <c r="D34">
        <v>20000</v>
      </c>
      <c r="E34" s="2">
        <f t="shared" si="0"/>
        <v>6000000</v>
      </c>
    </row>
    <row r="35" spans="1:5" hidden="1" x14ac:dyDescent="0.3">
      <c r="A35" t="s">
        <v>30</v>
      </c>
      <c r="B35" t="s">
        <v>6</v>
      </c>
      <c r="C35">
        <v>0</v>
      </c>
      <c r="E35">
        <f t="shared" si="0"/>
        <v>0</v>
      </c>
    </row>
    <row r="36" spans="1:5" x14ac:dyDescent="0.3">
      <c r="A36" t="s">
        <v>31</v>
      </c>
      <c r="B36" t="s">
        <v>4</v>
      </c>
      <c r="C36">
        <v>40</v>
      </c>
      <c r="D36">
        <v>16000</v>
      </c>
      <c r="E36" s="2">
        <f t="shared" si="0"/>
        <v>640000</v>
      </c>
    </row>
    <row r="37" spans="1:5" x14ac:dyDescent="0.3">
      <c r="A37" t="s">
        <v>32</v>
      </c>
      <c r="B37" t="s">
        <v>3</v>
      </c>
      <c r="C37">
        <v>45</v>
      </c>
      <c r="D37">
        <v>6000</v>
      </c>
      <c r="E37" s="2">
        <f t="shared" si="0"/>
        <v>270000</v>
      </c>
    </row>
    <row r="38" spans="1:5" x14ac:dyDescent="0.3">
      <c r="A38" t="s">
        <v>32</v>
      </c>
      <c r="B38" t="s">
        <v>6</v>
      </c>
      <c r="C38">
        <v>227</v>
      </c>
      <c r="D38">
        <v>5000</v>
      </c>
      <c r="E38" s="2">
        <f t="shared" si="0"/>
        <v>1135000</v>
      </c>
    </row>
    <row r="39" spans="1:5" x14ac:dyDescent="0.3">
      <c r="A39" t="s">
        <v>33</v>
      </c>
      <c r="B39" t="s">
        <v>3</v>
      </c>
      <c r="C39">
        <v>43</v>
      </c>
      <c r="D39">
        <v>5000</v>
      </c>
      <c r="E39" s="2">
        <f t="shared" si="0"/>
        <v>215000</v>
      </c>
    </row>
    <row r="40" spans="1:5" x14ac:dyDescent="0.3">
      <c r="A40" t="s">
        <v>34</v>
      </c>
      <c r="B40" t="s">
        <v>3</v>
      </c>
      <c r="C40">
        <v>35</v>
      </c>
      <c r="D40">
        <v>30000</v>
      </c>
      <c r="E40" s="2">
        <f t="shared" si="0"/>
        <v>1050000</v>
      </c>
    </row>
    <row r="41" spans="1:5" hidden="1" x14ac:dyDescent="0.3">
      <c r="A41" t="s">
        <v>34</v>
      </c>
      <c r="B41" t="s">
        <v>26</v>
      </c>
      <c r="C41">
        <v>0</v>
      </c>
      <c r="E41">
        <f t="shared" si="0"/>
        <v>0</v>
      </c>
    </row>
    <row r="42" spans="1:5" x14ac:dyDescent="0.3">
      <c r="A42" t="s">
        <v>35</v>
      </c>
      <c r="B42" t="s">
        <v>3</v>
      </c>
      <c r="C42">
        <v>108</v>
      </c>
      <c r="D42">
        <v>15000</v>
      </c>
      <c r="E42" s="2">
        <f t="shared" si="0"/>
        <v>1620000</v>
      </c>
    </row>
    <row r="43" spans="1:5" hidden="1" x14ac:dyDescent="0.3">
      <c r="A43" t="s">
        <v>35</v>
      </c>
      <c r="B43" t="s">
        <v>26</v>
      </c>
      <c r="C43">
        <v>0</v>
      </c>
      <c r="E43">
        <f t="shared" si="0"/>
        <v>0</v>
      </c>
    </row>
    <row r="44" spans="1:5" x14ac:dyDescent="0.3">
      <c r="A44" t="s">
        <v>36</v>
      </c>
      <c r="B44" t="s">
        <v>3</v>
      </c>
      <c r="C44">
        <v>40</v>
      </c>
      <c r="D44">
        <v>28000</v>
      </c>
      <c r="E44" s="2">
        <f t="shared" si="0"/>
        <v>1120000</v>
      </c>
    </row>
    <row r="45" spans="1:5" hidden="1" x14ac:dyDescent="0.3">
      <c r="A45" t="s">
        <v>36</v>
      </c>
      <c r="B45" t="s">
        <v>26</v>
      </c>
      <c r="C45">
        <v>0</v>
      </c>
      <c r="E45">
        <f t="shared" si="0"/>
        <v>0</v>
      </c>
    </row>
    <row r="46" spans="1:5" hidden="1" x14ac:dyDescent="0.3">
      <c r="A46" t="s">
        <v>37</v>
      </c>
      <c r="B46" t="s">
        <v>3</v>
      </c>
      <c r="C46">
        <v>0</v>
      </c>
      <c r="E46">
        <f t="shared" si="0"/>
        <v>0</v>
      </c>
    </row>
    <row r="47" spans="1:5" hidden="1" x14ac:dyDescent="0.3">
      <c r="A47" t="s">
        <v>38</v>
      </c>
      <c r="B47" t="s">
        <v>6</v>
      </c>
      <c r="C47">
        <v>0</v>
      </c>
      <c r="E47">
        <f t="shared" si="0"/>
        <v>0</v>
      </c>
    </row>
    <row r="48" spans="1:5" x14ac:dyDescent="0.3">
      <c r="A48" t="s">
        <v>39</v>
      </c>
      <c r="B48" t="s">
        <v>3</v>
      </c>
      <c r="C48">
        <v>20</v>
      </c>
      <c r="D48">
        <v>31000</v>
      </c>
      <c r="E48" s="2">
        <f t="shared" si="0"/>
        <v>620000</v>
      </c>
    </row>
    <row r="49" spans="1:5" hidden="1" x14ac:dyDescent="0.3">
      <c r="A49" t="s">
        <v>40</v>
      </c>
      <c r="B49" t="s">
        <v>3</v>
      </c>
      <c r="C49">
        <v>0</v>
      </c>
      <c r="E49">
        <f t="shared" si="0"/>
        <v>0</v>
      </c>
    </row>
    <row r="50" spans="1:5" x14ac:dyDescent="0.3">
      <c r="A50" t="s">
        <v>40</v>
      </c>
      <c r="B50" t="s">
        <v>41</v>
      </c>
      <c r="C50">
        <v>52</v>
      </c>
      <c r="D50">
        <v>9900</v>
      </c>
      <c r="E50" s="2">
        <f t="shared" si="0"/>
        <v>514800</v>
      </c>
    </row>
    <row r="51" spans="1:5" hidden="1" x14ac:dyDescent="0.3">
      <c r="A51" t="s">
        <v>42</v>
      </c>
      <c r="B51" t="s">
        <v>3</v>
      </c>
      <c r="C51">
        <v>0</v>
      </c>
      <c r="E51">
        <f t="shared" si="0"/>
        <v>0</v>
      </c>
    </row>
    <row r="52" spans="1:5" x14ac:dyDescent="0.3">
      <c r="A52" t="s">
        <v>43</v>
      </c>
      <c r="B52" t="s">
        <v>3</v>
      </c>
      <c r="C52">
        <v>3488</v>
      </c>
      <c r="D52">
        <v>27600</v>
      </c>
      <c r="E52" s="2">
        <f t="shared" si="0"/>
        <v>96268800</v>
      </c>
    </row>
    <row r="53" spans="1:5" x14ac:dyDescent="0.3">
      <c r="A53" t="s">
        <v>44</v>
      </c>
      <c r="B53" t="s">
        <v>3</v>
      </c>
      <c r="C53">
        <v>46</v>
      </c>
      <c r="D53">
        <v>30000</v>
      </c>
      <c r="E53" s="2">
        <f t="shared" si="0"/>
        <v>1380000</v>
      </c>
    </row>
    <row r="54" spans="1:5" x14ac:dyDescent="0.3">
      <c r="A54" t="s">
        <v>45</v>
      </c>
      <c r="B54" t="s">
        <v>3</v>
      </c>
      <c r="C54">
        <v>122</v>
      </c>
      <c r="D54">
        <v>10000</v>
      </c>
      <c r="E54" s="2">
        <f t="shared" si="0"/>
        <v>1220000</v>
      </c>
    </row>
    <row r="55" spans="1:5" hidden="1" x14ac:dyDescent="0.3">
      <c r="A55" t="s">
        <v>46</v>
      </c>
      <c r="B55" t="s">
        <v>3</v>
      </c>
      <c r="C55">
        <v>0</v>
      </c>
      <c r="E55">
        <f t="shared" si="0"/>
        <v>0</v>
      </c>
    </row>
    <row r="56" spans="1:5" x14ac:dyDescent="0.3">
      <c r="A56" t="s">
        <v>47</v>
      </c>
      <c r="B56" t="s">
        <v>3</v>
      </c>
      <c r="C56">
        <v>10</v>
      </c>
      <c r="D56">
        <v>26000</v>
      </c>
      <c r="E56" s="2">
        <f t="shared" si="0"/>
        <v>260000</v>
      </c>
    </row>
    <row r="57" spans="1:5" hidden="1" x14ac:dyDescent="0.3">
      <c r="A57" t="s">
        <v>48</v>
      </c>
      <c r="B57" t="s">
        <v>3</v>
      </c>
      <c r="C57">
        <v>0</v>
      </c>
      <c r="E57">
        <f t="shared" si="0"/>
        <v>0</v>
      </c>
    </row>
    <row r="58" spans="1:5" hidden="1" x14ac:dyDescent="0.3">
      <c r="A58" t="s">
        <v>48</v>
      </c>
      <c r="B58" t="s">
        <v>49</v>
      </c>
      <c r="C58">
        <v>0</v>
      </c>
      <c r="E58">
        <f t="shared" si="0"/>
        <v>0</v>
      </c>
    </row>
    <row r="59" spans="1:5" hidden="1" x14ac:dyDescent="0.3">
      <c r="A59" t="s">
        <v>50</v>
      </c>
      <c r="B59" t="s">
        <v>8</v>
      </c>
      <c r="C59">
        <v>0</v>
      </c>
      <c r="E59">
        <f t="shared" si="0"/>
        <v>0</v>
      </c>
    </row>
    <row r="60" spans="1:5" x14ac:dyDescent="0.3">
      <c r="A60" t="s">
        <v>50</v>
      </c>
      <c r="B60" t="s">
        <v>41</v>
      </c>
      <c r="C60">
        <v>5</v>
      </c>
      <c r="D60">
        <v>17000</v>
      </c>
      <c r="E60" s="2">
        <f t="shared" si="0"/>
        <v>85000</v>
      </c>
    </row>
    <row r="61" spans="1:5" x14ac:dyDescent="0.3">
      <c r="A61" t="s">
        <v>51</v>
      </c>
      <c r="B61" t="s">
        <v>3</v>
      </c>
      <c r="C61">
        <v>8</v>
      </c>
      <c r="D61">
        <v>34000</v>
      </c>
      <c r="E61" s="2">
        <f t="shared" si="0"/>
        <v>272000</v>
      </c>
    </row>
    <row r="62" spans="1:5" x14ac:dyDescent="0.3">
      <c r="A62" t="s">
        <v>51</v>
      </c>
      <c r="B62" t="s">
        <v>52</v>
      </c>
      <c r="C62">
        <v>107</v>
      </c>
      <c r="D62">
        <v>10000</v>
      </c>
      <c r="E62" s="2">
        <f t="shared" si="0"/>
        <v>1070000</v>
      </c>
    </row>
    <row r="63" spans="1:5" x14ac:dyDescent="0.3">
      <c r="A63" t="s">
        <v>53</v>
      </c>
      <c r="B63" t="s">
        <v>3</v>
      </c>
      <c r="C63">
        <v>60</v>
      </c>
      <c r="D63">
        <v>6000</v>
      </c>
      <c r="E63" s="2">
        <f t="shared" si="0"/>
        <v>360000</v>
      </c>
    </row>
    <row r="64" spans="1:5" hidden="1" x14ac:dyDescent="0.3">
      <c r="A64" t="s">
        <v>53</v>
      </c>
      <c r="B64" t="s">
        <v>54</v>
      </c>
      <c r="C64">
        <v>0</v>
      </c>
      <c r="E64">
        <f t="shared" si="0"/>
        <v>0</v>
      </c>
    </row>
    <row r="65" spans="1:5" x14ac:dyDescent="0.3">
      <c r="A65" t="s">
        <v>55</v>
      </c>
      <c r="B65" t="s">
        <v>4</v>
      </c>
      <c r="C65">
        <v>14</v>
      </c>
      <c r="D65">
        <v>6000</v>
      </c>
      <c r="E65" s="2">
        <f t="shared" si="0"/>
        <v>84000</v>
      </c>
    </row>
    <row r="66" spans="1:5" hidden="1" x14ac:dyDescent="0.3">
      <c r="A66" t="s">
        <v>56</v>
      </c>
      <c r="B66" t="s">
        <v>3</v>
      </c>
      <c r="C66">
        <v>0</v>
      </c>
      <c r="E66">
        <f t="shared" si="0"/>
        <v>0</v>
      </c>
    </row>
    <row r="67" spans="1:5" x14ac:dyDescent="0.3">
      <c r="A67" t="s">
        <v>57</v>
      </c>
      <c r="B67" t="s">
        <v>3</v>
      </c>
      <c r="C67">
        <v>69</v>
      </c>
      <c r="D67">
        <v>5000</v>
      </c>
      <c r="E67" s="2">
        <f t="shared" si="0"/>
        <v>345000</v>
      </c>
    </row>
    <row r="68" spans="1:5" x14ac:dyDescent="0.3">
      <c r="A68" t="s">
        <v>58</v>
      </c>
      <c r="B68" t="s">
        <v>3</v>
      </c>
      <c r="C68">
        <v>10</v>
      </c>
      <c r="D68">
        <v>39000</v>
      </c>
      <c r="E68" s="2">
        <f t="shared" ref="E68:E133" si="1">C68*D68</f>
        <v>390000</v>
      </c>
    </row>
    <row r="69" spans="1:5" x14ac:dyDescent="0.3">
      <c r="A69" t="s">
        <v>59</v>
      </c>
      <c r="B69" t="s">
        <v>3</v>
      </c>
      <c r="C69">
        <v>28</v>
      </c>
      <c r="D69">
        <v>13000</v>
      </c>
      <c r="E69" s="2">
        <f t="shared" si="1"/>
        <v>364000</v>
      </c>
    </row>
    <row r="70" spans="1:5" x14ac:dyDescent="0.3">
      <c r="A70" t="s">
        <v>60</v>
      </c>
      <c r="B70" t="s">
        <v>4</v>
      </c>
      <c r="C70">
        <v>25</v>
      </c>
      <c r="D70">
        <v>6000</v>
      </c>
      <c r="E70" s="2">
        <f t="shared" si="1"/>
        <v>150000</v>
      </c>
    </row>
    <row r="71" spans="1:5" hidden="1" x14ac:dyDescent="0.3">
      <c r="A71" t="s">
        <v>61</v>
      </c>
      <c r="B71" t="s">
        <v>3</v>
      </c>
      <c r="C71">
        <v>0</v>
      </c>
      <c r="E71">
        <f t="shared" si="1"/>
        <v>0</v>
      </c>
    </row>
    <row r="72" spans="1:5" x14ac:dyDescent="0.3">
      <c r="A72" t="s">
        <v>61</v>
      </c>
      <c r="B72" t="s">
        <v>11</v>
      </c>
      <c r="C72">
        <v>20</v>
      </c>
      <c r="D72">
        <v>9000</v>
      </c>
      <c r="E72" s="2">
        <f t="shared" si="1"/>
        <v>180000</v>
      </c>
    </row>
    <row r="73" spans="1:5" hidden="1" x14ac:dyDescent="0.3">
      <c r="A73" t="s">
        <v>61</v>
      </c>
      <c r="B73" t="s">
        <v>62</v>
      </c>
      <c r="C73">
        <v>0</v>
      </c>
      <c r="E73">
        <f t="shared" si="1"/>
        <v>0</v>
      </c>
    </row>
    <row r="74" spans="1:5" x14ac:dyDescent="0.3">
      <c r="A74" t="s">
        <v>63</v>
      </c>
      <c r="B74" t="s">
        <v>3</v>
      </c>
      <c r="C74">
        <v>0.5</v>
      </c>
      <c r="D74">
        <v>80000</v>
      </c>
      <c r="E74" s="2">
        <f t="shared" si="1"/>
        <v>40000</v>
      </c>
    </row>
    <row r="75" spans="1:5" x14ac:dyDescent="0.3">
      <c r="A75" t="s">
        <v>64</v>
      </c>
      <c r="B75" t="s">
        <v>3</v>
      </c>
      <c r="C75">
        <v>1</v>
      </c>
      <c r="D75">
        <v>70000</v>
      </c>
      <c r="E75" s="2">
        <f t="shared" si="1"/>
        <v>70000</v>
      </c>
    </row>
    <row r="76" spans="1:5" x14ac:dyDescent="0.3">
      <c r="A76" t="s">
        <v>65</v>
      </c>
      <c r="B76" t="s">
        <v>3</v>
      </c>
      <c r="C76">
        <v>0.5</v>
      </c>
      <c r="D76">
        <v>70000</v>
      </c>
      <c r="E76" s="2">
        <f t="shared" si="1"/>
        <v>35000</v>
      </c>
    </row>
    <row r="77" spans="1:5" hidden="1" x14ac:dyDescent="0.3">
      <c r="A77" t="s">
        <v>66</v>
      </c>
      <c r="B77" t="s">
        <v>22</v>
      </c>
      <c r="C77">
        <v>0</v>
      </c>
      <c r="E77">
        <f t="shared" si="1"/>
        <v>0</v>
      </c>
    </row>
    <row r="78" spans="1:5" hidden="1" x14ac:dyDescent="0.3">
      <c r="A78" t="s">
        <v>66</v>
      </c>
      <c r="B78" t="s">
        <v>3</v>
      </c>
      <c r="C78">
        <v>0</v>
      </c>
      <c r="E78">
        <f t="shared" si="1"/>
        <v>0</v>
      </c>
    </row>
    <row r="79" spans="1:5" hidden="1" x14ac:dyDescent="0.3">
      <c r="A79" t="s">
        <v>67</v>
      </c>
      <c r="B79" t="s">
        <v>3</v>
      </c>
      <c r="C79">
        <v>0</v>
      </c>
      <c r="E79">
        <f t="shared" si="1"/>
        <v>0</v>
      </c>
    </row>
    <row r="80" spans="1:5" hidden="1" x14ac:dyDescent="0.3">
      <c r="A80" t="s">
        <v>68</v>
      </c>
      <c r="B80" t="s">
        <v>4</v>
      </c>
      <c r="C80">
        <v>0</v>
      </c>
      <c r="E80">
        <f t="shared" si="1"/>
        <v>0</v>
      </c>
    </row>
    <row r="81" spans="1:5" x14ac:dyDescent="0.3">
      <c r="A81" t="s">
        <v>69</v>
      </c>
      <c r="B81" t="s">
        <v>3</v>
      </c>
      <c r="C81">
        <v>7</v>
      </c>
      <c r="D81">
        <v>14000</v>
      </c>
      <c r="E81" s="2">
        <f t="shared" si="1"/>
        <v>98000</v>
      </c>
    </row>
    <row r="82" spans="1:5" hidden="1" x14ac:dyDescent="0.3">
      <c r="A82" t="s">
        <v>70</v>
      </c>
      <c r="B82" t="s">
        <v>8</v>
      </c>
      <c r="C82">
        <v>0</v>
      </c>
      <c r="E82">
        <f t="shared" si="1"/>
        <v>0</v>
      </c>
    </row>
    <row r="83" spans="1:5" x14ac:dyDescent="0.3">
      <c r="A83" t="s">
        <v>70</v>
      </c>
      <c r="B83" t="s">
        <v>3</v>
      </c>
      <c r="C83">
        <v>6</v>
      </c>
      <c r="D83">
        <v>44000</v>
      </c>
      <c r="E83" s="2">
        <f t="shared" si="1"/>
        <v>264000</v>
      </c>
    </row>
    <row r="84" spans="1:5" x14ac:dyDescent="0.3">
      <c r="A84" t="s">
        <v>71</v>
      </c>
      <c r="B84" t="s">
        <v>4</v>
      </c>
      <c r="C84">
        <v>96</v>
      </c>
      <c r="D84">
        <v>20000</v>
      </c>
      <c r="E84" s="2">
        <f t="shared" si="1"/>
        <v>1920000</v>
      </c>
    </row>
    <row r="85" spans="1:5" x14ac:dyDescent="0.3">
      <c r="A85" t="s">
        <v>72</v>
      </c>
      <c r="B85" t="s">
        <v>3</v>
      </c>
      <c r="C85">
        <v>237</v>
      </c>
      <c r="D85">
        <v>6000</v>
      </c>
      <c r="E85" s="2">
        <f t="shared" si="1"/>
        <v>1422000</v>
      </c>
    </row>
    <row r="86" spans="1:5" hidden="1" x14ac:dyDescent="0.3">
      <c r="A86" t="s">
        <v>73</v>
      </c>
      <c r="B86" t="s">
        <v>3</v>
      </c>
      <c r="C86">
        <v>0</v>
      </c>
      <c r="E86">
        <f t="shared" si="1"/>
        <v>0</v>
      </c>
    </row>
    <row r="87" spans="1:5" hidden="1" x14ac:dyDescent="0.3">
      <c r="A87" t="s">
        <v>74</v>
      </c>
      <c r="B87" t="s">
        <v>3</v>
      </c>
      <c r="C87">
        <v>0</v>
      </c>
      <c r="E87">
        <f t="shared" si="1"/>
        <v>0</v>
      </c>
    </row>
    <row r="88" spans="1:5" hidden="1" x14ac:dyDescent="0.3">
      <c r="A88" t="s">
        <v>75</v>
      </c>
      <c r="B88" t="s">
        <v>3</v>
      </c>
      <c r="C88">
        <v>0</v>
      </c>
      <c r="E88">
        <f t="shared" si="1"/>
        <v>0</v>
      </c>
    </row>
    <row r="89" spans="1:5" hidden="1" x14ac:dyDescent="0.3">
      <c r="A89" t="s">
        <v>76</v>
      </c>
      <c r="B89" t="s">
        <v>3</v>
      </c>
      <c r="C89">
        <v>0</v>
      </c>
      <c r="E89">
        <f t="shared" si="1"/>
        <v>0</v>
      </c>
    </row>
    <row r="90" spans="1:5" hidden="1" x14ac:dyDescent="0.3">
      <c r="A90" t="s">
        <v>83</v>
      </c>
      <c r="B90" t="s">
        <v>4</v>
      </c>
      <c r="C90">
        <v>0</v>
      </c>
      <c r="E90">
        <f t="shared" si="1"/>
        <v>0</v>
      </c>
    </row>
    <row r="91" spans="1:5" x14ac:dyDescent="0.3">
      <c r="A91" t="s">
        <v>84</v>
      </c>
      <c r="B91" t="s">
        <v>22</v>
      </c>
      <c r="C91">
        <v>13</v>
      </c>
      <c r="D91">
        <v>6800</v>
      </c>
      <c r="E91" s="2">
        <f t="shared" si="1"/>
        <v>88400</v>
      </c>
    </row>
    <row r="92" spans="1:5" hidden="1" x14ac:dyDescent="0.3">
      <c r="A92" t="s">
        <v>85</v>
      </c>
      <c r="B92" t="s">
        <v>22</v>
      </c>
      <c r="C92">
        <v>0</v>
      </c>
      <c r="E92">
        <f t="shared" si="1"/>
        <v>0</v>
      </c>
    </row>
    <row r="93" spans="1:5" x14ac:dyDescent="0.3">
      <c r="A93" t="s">
        <v>82</v>
      </c>
      <c r="B93" t="s">
        <v>3</v>
      </c>
      <c r="C93">
        <v>30</v>
      </c>
      <c r="D93">
        <v>32000</v>
      </c>
      <c r="E93" s="2">
        <f t="shared" si="1"/>
        <v>960000</v>
      </c>
    </row>
    <row r="94" spans="1:5" x14ac:dyDescent="0.3">
      <c r="A94" t="s">
        <v>86</v>
      </c>
      <c r="B94" t="s">
        <v>22</v>
      </c>
      <c r="C94">
        <v>10</v>
      </c>
      <c r="D94">
        <v>6800</v>
      </c>
      <c r="E94" s="2">
        <f t="shared" si="1"/>
        <v>68000</v>
      </c>
    </row>
    <row r="95" spans="1:5" hidden="1" x14ac:dyDescent="0.3">
      <c r="A95" t="s">
        <v>92</v>
      </c>
      <c r="B95" t="s">
        <v>3</v>
      </c>
      <c r="C95">
        <v>0</v>
      </c>
      <c r="E95">
        <f t="shared" si="1"/>
        <v>0</v>
      </c>
    </row>
    <row r="96" spans="1:5" x14ac:dyDescent="0.3">
      <c r="A96" t="s">
        <v>87</v>
      </c>
      <c r="B96" t="s">
        <v>4</v>
      </c>
      <c r="C96">
        <v>240</v>
      </c>
      <c r="D96">
        <v>6000</v>
      </c>
      <c r="E96" s="2">
        <f t="shared" si="1"/>
        <v>1440000</v>
      </c>
    </row>
    <row r="97" spans="1:5" x14ac:dyDescent="0.3">
      <c r="A97" t="s">
        <v>88</v>
      </c>
      <c r="B97" t="s">
        <v>3</v>
      </c>
      <c r="C97">
        <v>30</v>
      </c>
      <c r="D97">
        <v>41000</v>
      </c>
      <c r="E97" s="2">
        <f t="shared" si="1"/>
        <v>1230000</v>
      </c>
    </row>
    <row r="98" spans="1:5" hidden="1" x14ac:dyDescent="0.3">
      <c r="A98" t="s">
        <v>89</v>
      </c>
      <c r="B98" t="s">
        <v>4</v>
      </c>
      <c r="C98">
        <v>0</v>
      </c>
      <c r="E98">
        <f t="shared" si="1"/>
        <v>0</v>
      </c>
    </row>
    <row r="99" spans="1:5" hidden="1" x14ac:dyDescent="0.3">
      <c r="A99" t="s">
        <v>91</v>
      </c>
      <c r="B99" t="s">
        <v>3</v>
      </c>
      <c r="C99">
        <v>0</v>
      </c>
      <c r="E99">
        <f t="shared" si="1"/>
        <v>0</v>
      </c>
    </row>
    <row r="100" spans="1:5" hidden="1" x14ac:dyDescent="0.3">
      <c r="A100" t="s">
        <v>105</v>
      </c>
      <c r="B100" t="s">
        <v>3</v>
      </c>
      <c r="C100">
        <v>0</v>
      </c>
      <c r="E100">
        <f t="shared" si="1"/>
        <v>0</v>
      </c>
    </row>
    <row r="101" spans="1:5" x14ac:dyDescent="0.3">
      <c r="A101" t="s">
        <v>81</v>
      </c>
      <c r="B101" t="s">
        <v>3</v>
      </c>
      <c r="C101">
        <v>10</v>
      </c>
      <c r="D101">
        <v>9000</v>
      </c>
      <c r="E101" s="2">
        <f t="shared" si="1"/>
        <v>90000</v>
      </c>
    </row>
    <row r="102" spans="1:5" hidden="1" x14ac:dyDescent="0.3">
      <c r="A102" t="s">
        <v>93</v>
      </c>
      <c r="B102" t="s">
        <v>3</v>
      </c>
      <c r="C102">
        <v>0</v>
      </c>
      <c r="E102">
        <f t="shared" si="1"/>
        <v>0</v>
      </c>
    </row>
    <row r="103" spans="1:5" x14ac:dyDescent="0.3">
      <c r="A103" t="s">
        <v>106</v>
      </c>
      <c r="B103" t="s">
        <v>3</v>
      </c>
      <c r="C103">
        <v>8</v>
      </c>
      <c r="D103">
        <v>20000</v>
      </c>
      <c r="E103" s="2">
        <f t="shared" si="1"/>
        <v>160000</v>
      </c>
    </row>
    <row r="104" spans="1:5" x14ac:dyDescent="0.3">
      <c r="A104" t="s">
        <v>79</v>
      </c>
      <c r="B104" t="s">
        <v>3</v>
      </c>
      <c r="C104">
        <v>1</v>
      </c>
      <c r="D104">
        <v>80000</v>
      </c>
      <c r="E104" s="2">
        <f t="shared" si="1"/>
        <v>80000</v>
      </c>
    </row>
    <row r="105" spans="1:5" hidden="1" x14ac:dyDescent="0.3">
      <c r="E105">
        <f t="shared" si="1"/>
        <v>0</v>
      </c>
    </row>
    <row r="106" spans="1:5" x14ac:dyDescent="0.3">
      <c r="E106" s="2">
        <f>SUM(E3:E104)</f>
        <v>164065500</v>
      </c>
    </row>
    <row r="107" spans="1:5" hidden="1" x14ac:dyDescent="0.3">
      <c r="A107" t="s">
        <v>103</v>
      </c>
      <c r="E107"/>
    </row>
    <row r="108" spans="1:5" x14ac:dyDescent="0.3">
      <c r="A108" t="s">
        <v>0</v>
      </c>
      <c r="B108" t="s">
        <v>1</v>
      </c>
      <c r="C108" t="s">
        <v>102</v>
      </c>
      <c r="D108" t="s">
        <v>100</v>
      </c>
      <c r="E108" s="2" t="s">
        <v>101</v>
      </c>
    </row>
    <row r="109" spans="1:5" hidden="1" x14ac:dyDescent="0.3">
      <c r="A109" t="s">
        <v>2</v>
      </c>
      <c r="B109" t="s">
        <v>3</v>
      </c>
      <c r="C109">
        <v>0</v>
      </c>
      <c r="E109">
        <f t="shared" si="1"/>
        <v>0</v>
      </c>
    </row>
    <row r="110" spans="1:5" hidden="1" x14ac:dyDescent="0.3">
      <c r="A110" t="s">
        <v>107</v>
      </c>
      <c r="B110" t="s">
        <v>6</v>
      </c>
      <c r="C110">
        <v>0</v>
      </c>
      <c r="E110">
        <f t="shared" si="1"/>
        <v>0</v>
      </c>
    </row>
    <row r="111" spans="1:5" hidden="1" x14ac:dyDescent="0.3">
      <c r="A111" t="s">
        <v>57</v>
      </c>
      <c r="B111" t="s">
        <v>3</v>
      </c>
      <c r="C111">
        <v>0</v>
      </c>
      <c r="E111">
        <f t="shared" si="1"/>
        <v>0</v>
      </c>
    </row>
    <row r="112" spans="1:5" x14ac:dyDescent="0.3">
      <c r="A112" t="s">
        <v>9</v>
      </c>
      <c r="B112" t="s">
        <v>3</v>
      </c>
      <c r="C112">
        <v>75</v>
      </c>
      <c r="D112">
        <v>18000</v>
      </c>
      <c r="E112" s="2">
        <f t="shared" si="1"/>
        <v>1350000</v>
      </c>
    </row>
    <row r="113" spans="1:5" x14ac:dyDescent="0.3">
      <c r="A113" t="s">
        <v>10</v>
      </c>
      <c r="B113" t="s">
        <v>3</v>
      </c>
      <c r="C113">
        <v>200</v>
      </c>
      <c r="D113">
        <v>22500</v>
      </c>
      <c r="E113" s="2">
        <f t="shared" si="1"/>
        <v>4500000</v>
      </c>
    </row>
    <row r="114" spans="1:5" hidden="1" x14ac:dyDescent="0.3">
      <c r="A114" t="s">
        <v>13</v>
      </c>
      <c r="B114" t="s">
        <v>4</v>
      </c>
      <c r="C114">
        <v>0</v>
      </c>
      <c r="E114">
        <f t="shared" si="1"/>
        <v>0</v>
      </c>
    </row>
    <row r="115" spans="1:5" x14ac:dyDescent="0.3">
      <c r="A115" t="s">
        <v>14</v>
      </c>
      <c r="B115" t="s">
        <v>3</v>
      </c>
      <c r="C115">
        <v>230</v>
      </c>
      <c r="D115">
        <v>17000</v>
      </c>
      <c r="E115" s="2">
        <f t="shared" si="1"/>
        <v>3910000</v>
      </c>
    </row>
    <row r="116" spans="1:5" hidden="1" x14ac:dyDescent="0.3">
      <c r="A116" t="s">
        <v>89</v>
      </c>
      <c r="B116" t="s">
        <v>4</v>
      </c>
      <c r="C116">
        <v>0</v>
      </c>
      <c r="E116">
        <f t="shared" si="1"/>
        <v>0</v>
      </c>
    </row>
    <row r="117" spans="1:5" x14ac:dyDescent="0.3">
      <c r="A117" t="s">
        <v>15</v>
      </c>
      <c r="B117" t="s">
        <v>3</v>
      </c>
      <c r="C117">
        <v>200</v>
      </c>
      <c r="D117">
        <v>15000</v>
      </c>
      <c r="E117" s="2">
        <f t="shared" si="1"/>
        <v>3000000</v>
      </c>
    </row>
    <row r="118" spans="1:5" hidden="1" x14ac:dyDescent="0.3">
      <c r="A118" t="s">
        <v>15</v>
      </c>
      <c r="B118" t="s">
        <v>108</v>
      </c>
      <c r="C118">
        <v>0</v>
      </c>
      <c r="E118">
        <f t="shared" si="1"/>
        <v>0</v>
      </c>
    </row>
    <row r="119" spans="1:5" hidden="1" x14ac:dyDescent="0.3">
      <c r="A119" t="s">
        <v>59</v>
      </c>
      <c r="B119" t="s">
        <v>3</v>
      </c>
      <c r="C119">
        <v>0</v>
      </c>
      <c r="E119">
        <f t="shared" si="1"/>
        <v>0</v>
      </c>
    </row>
    <row r="120" spans="1:5" hidden="1" x14ac:dyDescent="0.3">
      <c r="A120" t="s">
        <v>46</v>
      </c>
      <c r="B120" t="s">
        <v>3</v>
      </c>
      <c r="C120">
        <v>0</v>
      </c>
      <c r="E120">
        <f t="shared" si="1"/>
        <v>0</v>
      </c>
    </row>
    <row r="121" spans="1:5" hidden="1" x14ac:dyDescent="0.3">
      <c r="A121" t="s">
        <v>94</v>
      </c>
      <c r="B121" t="s">
        <v>3</v>
      </c>
      <c r="C121">
        <v>0</v>
      </c>
      <c r="E121">
        <f t="shared" si="1"/>
        <v>0</v>
      </c>
    </row>
    <row r="122" spans="1:5" hidden="1" x14ac:dyDescent="0.3">
      <c r="A122" t="s">
        <v>44</v>
      </c>
      <c r="B122" t="s">
        <v>3</v>
      </c>
      <c r="C122">
        <v>0</v>
      </c>
      <c r="E122">
        <f t="shared" si="1"/>
        <v>0</v>
      </c>
    </row>
    <row r="123" spans="1:5" hidden="1" x14ac:dyDescent="0.3">
      <c r="A123" t="s">
        <v>45</v>
      </c>
      <c r="B123" t="s">
        <v>3</v>
      </c>
      <c r="C123">
        <v>0</v>
      </c>
      <c r="E123">
        <f t="shared" si="1"/>
        <v>0</v>
      </c>
    </row>
    <row r="124" spans="1:5" x14ac:dyDescent="0.3">
      <c r="A124" t="s">
        <v>17</v>
      </c>
      <c r="B124" t="s">
        <v>3</v>
      </c>
      <c r="C124">
        <v>300</v>
      </c>
      <c r="D124">
        <v>11000</v>
      </c>
      <c r="E124" s="2">
        <f t="shared" si="1"/>
        <v>3300000</v>
      </c>
    </row>
    <row r="125" spans="1:5" x14ac:dyDescent="0.3">
      <c r="A125" t="s">
        <v>20</v>
      </c>
      <c r="B125" t="s">
        <v>3</v>
      </c>
      <c r="C125">
        <v>200</v>
      </c>
      <c r="D125">
        <v>6000</v>
      </c>
      <c r="E125" s="2">
        <f t="shared" si="1"/>
        <v>1200000</v>
      </c>
    </row>
    <row r="126" spans="1:5" hidden="1" x14ac:dyDescent="0.3">
      <c r="A126" t="s">
        <v>21</v>
      </c>
      <c r="B126" t="s">
        <v>3</v>
      </c>
      <c r="C126">
        <v>0</v>
      </c>
      <c r="E126">
        <f t="shared" si="1"/>
        <v>0</v>
      </c>
    </row>
    <row r="127" spans="1:5" hidden="1" x14ac:dyDescent="0.3">
      <c r="A127" t="s">
        <v>66</v>
      </c>
      <c r="B127" t="s">
        <v>3</v>
      </c>
      <c r="C127">
        <v>0</v>
      </c>
      <c r="E127">
        <f t="shared" si="1"/>
        <v>0</v>
      </c>
    </row>
    <row r="128" spans="1:5" x14ac:dyDescent="0.3">
      <c r="A128" t="s">
        <v>84</v>
      </c>
      <c r="B128" t="s">
        <v>22</v>
      </c>
      <c r="C128">
        <v>25</v>
      </c>
      <c r="D128">
        <v>6800</v>
      </c>
      <c r="E128" s="2">
        <f t="shared" si="1"/>
        <v>170000</v>
      </c>
    </row>
    <row r="129" spans="1:5" x14ac:dyDescent="0.3">
      <c r="A129" t="s">
        <v>86</v>
      </c>
      <c r="B129" t="s">
        <v>22</v>
      </c>
      <c r="C129">
        <v>10</v>
      </c>
      <c r="D129">
        <v>6800</v>
      </c>
      <c r="E129" s="2">
        <f t="shared" si="1"/>
        <v>68000</v>
      </c>
    </row>
    <row r="130" spans="1:5" x14ac:dyDescent="0.3">
      <c r="A130" t="s">
        <v>85</v>
      </c>
      <c r="B130" t="s">
        <v>22</v>
      </c>
      <c r="C130">
        <v>30</v>
      </c>
      <c r="D130">
        <v>6500</v>
      </c>
      <c r="E130" s="2">
        <f t="shared" si="1"/>
        <v>195000</v>
      </c>
    </row>
    <row r="131" spans="1:5" x14ac:dyDescent="0.3">
      <c r="A131" t="s">
        <v>95</v>
      </c>
      <c r="B131" t="s">
        <v>3</v>
      </c>
      <c r="C131">
        <v>40</v>
      </c>
      <c r="D131">
        <v>7000</v>
      </c>
      <c r="E131" s="2">
        <f t="shared" si="1"/>
        <v>280000</v>
      </c>
    </row>
    <row r="132" spans="1:5" x14ac:dyDescent="0.3">
      <c r="A132" t="s">
        <v>24</v>
      </c>
      <c r="B132" t="s">
        <v>3</v>
      </c>
      <c r="C132">
        <v>1440</v>
      </c>
      <c r="D132">
        <v>4300</v>
      </c>
      <c r="E132" s="2">
        <f t="shared" si="1"/>
        <v>6192000</v>
      </c>
    </row>
    <row r="133" spans="1:5" x14ac:dyDescent="0.3">
      <c r="A133" t="s">
        <v>25</v>
      </c>
      <c r="B133" t="s">
        <v>3</v>
      </c>
      <c r="C133">
        <v>60</v>
      </c>
      <c r="D133">
        <v>8000</v>
      </c>
      <c r="E133" s="2">
        <f t="shared" si="1"/>
        <v>480000</v>
      </c>
    </row>
    <row r="134" spans="1:5" x14ac:dyDescent="0.3">
      <c r="A134" t="s">
        <v>28</v>
      </c>
      <c r="B134" t="s">
        <v>3</v>
      </c>
      <c r="C134">
        <v>45</v>
      </c>
      <c r="D134">
        <v>22000</v>
      </c>
      <c r="E134" s="2">
        <f t="shared" ref="E134:E154" si="2">C134*D134</f>
        <v>990000</v>
      </c>
    </row>
    <row r="135" spans="1:5" x14ac:dyDescent="0.3">
      <c r="A135" t="s">
        <v>30</v>
      </c>
      <c r="B135" t="s">
        <v>3</v>
      </c>
      <c r="C135">
        <v>200</v>
      </c>
      <c r="D135">
        <v>20000</v>
      </c>
      <c r="E135" s="2">
        <f t="shared" si="2"/>
        <v>4000000</v>
      </c>
    </row>
    <row r="136" spans="1:5" hidden="1" x14ac:dyDescent="0.3">
      <c r="A136" t="s">
        <v>53</v>
      </c>
      <c r="B136" t="s">
        <v>3</v>
      </c>
      <c r="C136">
        <v>0</v>
      </c>
      <c r="E136">
        <f t="shared" si="2"/>
        <v>0</v>
      </c>
    </row>
    <row r="137" spans="1:5" x14ac:dyDescent="0.3">
      <c r="A137" t="s">
        <v>34</v>
      </c>
      <c r="B137" t="s">
        <v>3</v>
      </c>
      <c r="C137">
        <v>40</v>
      </c>
      <c r="D137">
        <v>30000</v>
      </c>
      <c r="E137" s="2">
        <f t="shared" si="2"/>
        <v>1200000</v>
      </c>
    </row>
    <row r="138" spans="1:5" x14ac:dyDescent="0.3">
      <c r="A138" t="s">
        <v>35</v>
      </c>
      <c r="B138" t="s">
        <v>3</v>
      </c>
      <c r="C138">
        <v>20</v>
      </c>
      <c r="D138">
        <v>15000</v>
      </c>
      <c r="E138" s="2">
        <f t="shared" si="2"/>
        <v>300000</v>
      </c>
    </row>
    <row r="139" spans="1:5" x14ac:dyDescent="0.3">
      <c r="A139" t="s">
        <v>36</v>
      </c>
      <c r="B139" t="s">
        <v>3</v>
      </c>
      <c r="C139">
        <v>20</v>
      </c>
      <c r="D139">
        <v>28000</v>
      </c>
      <c r="E139" s="2">
        <f t="shared" si="2"/>
        <v>560000</v>
      </c>
    </row>
    <row r="140" spans="1:5" hidden="1" x14ac:dyDescent="0.3">
      <c r="A140" t="s">
        <v>72</v>
      </c>
      <c r="B140" t="s">
        <v>3</v>
      </c>
      <c r="C140">
        <v>0</v>
      </c>
      <c r="E140">
        <f t="shared" si="2"/>
        <v>0</v>
      </c>
    </row>
    <row r="141" spans="1:5" x14ac:dyDescent="0.3">
      <c r="A141" t="s">
        <v>56</v>
      </c>
      <c r="B141" t="s">
        <v>3</v>
      </c>
      <c r="C141">
        <v>110</v>
      </c>
      <c r="D141">
        <v>13000</v>
      </c>
      <c r="E141" s="2">
        <f t="shared" si="2"/>
        <v>1430000</v>
      </c>
    </row>
    <row r="142" spans="1:5" x14ac:dyDescent="0.3">
      <c r="A142" t="s">
        <v>96</v>
      </c>
      <c r="B142" t="s">
        <v>3</v>
      </c>
      <c r="C142">
        <v>28</v>
      </c>
      <c r="D142">
        <v>28000</v>
      </c>
      <c r="E142" s="2">
        <f t="shared" si="2"/>
        <v>784000</v>
      </c>
    </row>
    <row r="143" spans="1:5" x14ac:dyDescent="0.3">
      <c r="A143" t="s">
        <v>97</v>
      </c>
      <c r="B143" t="s">
        <v>3</v>
      </c>
      <c r="C143">
        <v>10</v>
      </c>
      <c r="D143">
        <v>16000</v>
      </c>
      <c r="E143" s="2">
        <f t="shared" si="2"/>
        <v>160000</v>
      </c>
    </row>
    <row r="144" spans="1:5" hidden="1" x14ac:dyDescent="0.3">
      <c r="A144" t="s">
        <v>78</v>
      </c>
      <c r="B144" t="s">
        <v>3</v>
      </c>
      <c r="C144">
        <v>0</v>
      </c>
      <c r="E144">
        <f t="shared" si="2"/>
        <v>0</v>
      </c>
    </row>
    <row r="145" spans="1:5" hidden="1" x14ac:dyDescent="0.3">
      <c r="A145" t="s">
        <v>109</v>
      </c>
      <c r="B145" t="s">
        <v>3</v>
      </c>
      <c r="C145">
        <v>0</v>
      </c>
      <c r="E145">
        <f t="shared" si="2"/>
        <v>0</v>
      </c>
    </row>
    <row r="146" spans="1:5" x14ac:dyDescent="0.3">
      <c r="A146" t="s">
        <v>32</v>
      </c>
      <c r="B146" t="s">
        <v>6</v>
      </c>
      <c r="C146">
        <v>93</v>
      </c>
      <c r="D146">
        <v>5000</v>
      </c>
      <c r="E146" s="2">
        <f t="shared" si="2"/>
        <v>465000</v>
      </c>
    </row>
    <row r="147" spans="1:5" x14ac:dyDescent="0.3">
      <c r="A147" t="s">
        <v>43</v>
      </c>
      <c r="B147" t="s">
        <v>3</v>
      </c>
      <c r="C147">
        <v>500</v>
      </c>
      <c r="D147">
        <v>27600</v>
      </c>
      <c r="E147" s="2">
        <f t="shared" si="2"/>
        <v>13800000</v>
      </c>
    </row>
    <row r="148" spans="1:5" x14ac:dyDescent="0.3">
      <c r="A148" t="s">
        <v>60</v>
      </c>
      <c r="B148" t="s">
        <v>4</v>
      </c>
      <c r="C148">
        <v>22</v>
      </c>
      <c r="D148">
        <v>6000</v>
      </c>
      <c r="E148" s="2">
        <f t="shared" si="2"/>
        <v>132000</v>
      </c>
    </row>
    <row r="149" spans="1:5" x14ac:dyDescent="0.3">
      <c r="A149" t="s">
        <v>61</v>
      </c>
      <c r="B149" t="s">
        <v>4</v>
      </c>
      <c r="C149">
        <v>60</v>
      </c>
      <c r="D149">
        <v>9000</v>
      </c>
      <c r="E149" s="2">
        <f t="shared" si="2"/>
        <v>540000</v>
      </c>
    </row>
    <row r="150" spans="1:5" hidden="1" x14ac:dyDescent="0.3">
      <c r="A150" t="s">
        <v>37</v>
      </c>
      <c r="B150" t="s">
        <v>3</v>
      </c>
      <c r="C150">
        <v>0</v>
      </c>
      <c r="E150">
        <f t="shared" si="2"/>
        <v>0</v>
      </c>
    </row>
    <row r="151" spans="1:5" hidden="1" x14ac:dyDescent="0.3">
      <c r="A151" t="s">
        <v>67</v>
      </c>
      <c r="B151" t="s">
        <v>3</v>
      </c>
      <c r="C151">
        <v>0</v>
      </c>
      <c r="E151">
        <f t="shared" si="2"/>
        <v>0</v>
      </c>
    </row>
    <row r="152" spans="1:5" x14ac:dyDescent="0.3">
      <c r="A152" t="s">
        <v>98</v>
      </c>
      <c r="B152" t="s">
        <v>3</v>
      </c>
      <c r="C152">
        <v>500</v>
      </c>
      <c r="D152">
        <v>4000</v>
      </c>
      <c r="E152" s="2">
        <f>C152*D152</f>
        <v>2000000</v>
      </c>
    </row>
    <row r="153" spans="1:5" hidden="1" x14ac:dyDescent="0.3">
      <c r="A153" t="s">
        <v>40</v>
      </c>
      <c r="B153" t="s">
        <v>41</v>
      </c>
      <c r="C153">
        <v>0</v>
      </c>
      <c r="E153">
        <f t="shared" si="2"/>
        <v>0</v>
      </c>
    </row>
    <row r="154" spans="1:5" hidden="1" x14ac:dyDescent="0.3">
      <c r="A154" t="s">
        <v>23</v>
      </c>
      <c r="B154" t="s">
        <v>22</v>
      </c>
      <c r="C154">
        <v>0</v>
      </c>
      <c r="E154">
        <f t="shared" si="2"/>
        <v>0</v>
      </c>
    </row>
    <row r="155" spans="1:5" x14ac:dyDescent="0.3">
      <c r="E155" s="2">
        <f>SUM(E112:E152)</f>
        <v>51006000</v>
      </c>
    </row>
    <row r="156" spans="1:5" x14ac:dyDescent="0.3">
      <c r="E156" s="2">
        <f>SUM(E155,E106)</f>
        <v>215071500</v>
      </c>
    </row>
  </sheetData>
  <autoFilter ref="A2:E156" xr:uid="{00000000-0009-0000-0000-000001000000}">
    <filterColumn colId="4">
      <filters>
        <filter val="1,050,000"/>
        <filter val="1,070,000"/>
        <filter val="1,120,000"/>
        <filter val="1,135,000"/>
        <filter val="1,200,000"/>
        <filter val="1,220,000"/>
        <filter val="1,230,000"/>
        <filter val="1,350,000"/>
        <filter val="1,360,000"/>
        <filter val="1,380,000"/>
        <filter val="1,395,000"/>
        <filter val="1,422,000"/>
        <filter val="1,430,000"/>
        <filter val="1,440,000"/>
        <filter val="1,620,000"/>
        <filter val="1,920,000"/>
        <filter val="12,265,000"/>
        <filter val="13,800,000"/>
        <filter val="132,000"/>
        <filter val="150,000"/>
        <filter val="160,000"/>
        <filter val="164,065,500"/>
        <filter val="170,000"/>
        <filter val="180,000"/>
        <filter val="195,000"/>
        <filter val="2,000,000"/>
        <filter val="2,400,000"/>
        <filter val="2,850,000"/>
        <filter val="215,000"/>
        <filter val="215,071,500"/>
        <filter val="218,500"/>
        <filter val="23,000"/>
        <filter val="260,000"/>
        <filter val="264,000"/>
        <filter val="270,000"/>
        <filter val="272,000"/>
        <filter val="280,000"/>
        <filter val="3,000,000"/>
        <filter val="3,045,000"/>
        <filter val="3,300,000"/>
        <filter val="3,910,000"/>
        <filter val="300,000"/>
        <filter val="345,000"/>
        <filter val="35,000"/>
        <filter val="360,000"/>
        <filter val="364,000"/>
        <filter val="390,000"/>
        <filter val="4,000,000"/>
        <filter val="4,320,000"/>
        <filter val="4,500,000"/>
        <filter val="40,000"/>
        <filter val="465,000"/>
        <filter val="480,000"/>
        <filter val="51,006,000"/>
        <filter val="514,800"/>
        <filter val="540,000"/>
        <filter val="560,000"/>
        <filter val="6,000,000"/>
        <filter val="6,192,000"/>
        <filter val="620,000"/>
        <filter val="640,000"/>
        <filter val="68,000"/>
        <filter val="70,000"/>
        <filter val="730,000"/>
        <filter val="784,000"/>
        <filter val="80,000"/>
        <filter val="84,000"/>
        <filter val="85,000"/>
        <filter val="88,400"/>
        <filter val="9,900,000"/>
        <filter val="90,000"/>
        <filter val="96,268,800"/>
        <filter val="960,000"/>
        <filter val="98,000"/>
        <filter val="990,000"/>
        <filter val="thành tiề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159"/>
  <sheetViews>
    <sheetView topLeftCell="A66" workbookViewId="0">
      <selection activeCell="I100" sqref="I100"/>
    </sheetView>
  </sheetViews>
  <sheetFormatPr defaultRowHeight="14.4" x14ac:dyDescent="0.3"/>
  <cols>
    <col min="1" max="1" width="26.88671875" customWidth="1"/>
    <col min="3" max="3" width="9.88671875" customWidth="1"/>
    <col min="4" max="4" width="11" customWidth="1"/>
    <col min="5" max="5" width="19" customWidth="1"/>
  </cols>
  <sheetData>
    <row r="1" spans="1:5" x14ac:dyDescent="0.3">
      <c r="A1" t="s">
        <v>113</v>
      </c>
    </row>
    <row r="2" spans="1:5" x14ac:dyDescent="0.3">
      <c r="A2" t="s">
        <v>0</v>
      </c>
      <c r="B2" t="s">
        <v>1</v>
      </c>
      <c r="C2" t="s">
        <v>114</v>
      </c>
      <c r="D2" t="s">
        <v>100</v>
      </c>
      <c r="E2" t="s">
        <v>101</v>
      </c>
    </row>
    <row r="3" spans="1:5" x14ac:dyDescent="0.3">
      <c r="A3" t="s">
        <v>44</v>
      </c>
      <c r="B3" t="s">
        <v>3</v>
      </c>
      <c r="C3">
        <v>25</v>
      </c>
      <c r="D3">
        <v>30000</v>
      </c>
      <c r="E3">
        <f>C3*D3</f>
        <v>750000</v>
      </c>
    </row>
    <row r="4" spans="1:5" x14ac:dyDescent="0.3">
      <c r="A4" t="s">
        <v>45</v>
      </c>
      <c r="B4" t="s">
        <v>3</v>
      </c>
      <c r="C4">
        <v>45</v>
      </c>
      <c r="D4">
        <v>10000</v>
      </c>
      <c r="E4">
        <f t="shared" ref="E4:E67" si="0">C4*D4</f>
        <v>450000</v>
      </c>
    </row>
    <row r="5" spans="1:5" x14ac:dyDescent="0.3">
      <c r="A5" t="s">
        <v>17</v>
      </c>
      <c r="B5" t="s">
        <v>3</v>
      </c>
      <c r="C5">
        <v>645</v>
      </c>
      <c r="D5">
        <v>10000</v>
      </c>
      <c r="E5">
        <f t="shared" si="0"/>
        <v>6450000</v>
      </c>
    </row>
    <row r="6" spans="1:5" hidden="1" x14ac:dyDescent="0.3">
      <c r="A6" t="s">
        <v>92</v>
      </c>
      <c r="B6" t="s">
        <v>3</v>
      </c>
      <c r="C6">
        <v>0</v>
      </c>
      <c r="E6">
        <f t="shared" si="0"/>
        <v>0</v>
      </c>
    </row>
    <row r="7" spans="1:5" x14ac:dyDescent="0.3">
      <c r="A7" t="s">
        <v>24</v>
      </c>
      <c r="B7" t="s">
        <v>3</v>
      </c>
      <c r="C7">
        <v>1100</v>
      </c>
      <c r="D7">
        <v>5500</v>
      </c>
      <c r="E7">
        <f t="shared" si="0"/>
        <v>6050000</v>
      </c>
    </row>
    <row r="8" spans="1:5" hidden="1" x14ac:dyDescent="0.3">
      <c r="A8" t="s">
        <v>78</v>
      </c>
      <c r="B8" t="s">
        <v>3</v>
      </c>
      <c r="C8">
        <v>0</v>
      </c>
      <c r="E8">
        <f t="shared" si="0"/>
        <v>0</v>
      </c>
    </row>
    <row r="9" spans="1:5" x14ac:dyDescent="0.3">
      <c r="A9" t="s">
        <v>25</v>
      </c>
      <c r="B9" t="s">
        <v>3</v>
      </c>
      <c r="C9">
        <v>138</v>
      </c>
      <c r="D9">
        <v>9000</v>
      </c>
      <c r="E9">
        <f t="shared" si="0"/>
        <v>1242000</v>
      </c>
    </row>
    <row r="10" spans="1:5" hidden="1" x14ac:dyDescent="0.3">
      <c r="A10" t="s">
        <v>25</v>
      </c>
      <c r="B10" t="s">
        <v>26</v>
      </c>
      <c r="C10">
        <v>0</v>
      </c>
      <c r="E10">
        <f t="shared" si="0"/>
        <v>0</v>
      </c>
    </row>
    <row r="11" spans="1:5" x14ac:dyDescent="0.3">
      <c r="A11" t="s">
        <v>27</v>
      </c>
      <c r="B11" t="s">
        <v>3</v>
      </c>
      <c r="C11">
        <v>74</v>
      </c>
      <c r="D11">
        <v>10000</v>
      </c>
      <c r="E11">
        <f t="shared" si="0"/>
        <v>740000</v>
      </c>
    </row>
    <row r="12" spans="1:5" hidden="1" x14ac:dyDescent="0.3">
      <c r="A12" t="s">
        <v>27</v>
      </c>
      <c r="B12" t="s">
        <v>26</v>
      </c>
      <c r="C12">
        <v>0</v>
      </c>
      <c r="E12">
        <f t="shared" si="0"/>
        <v>0</v>
      </c>
    </row>
    <row r="13" spans="1:5" hidden="1" x14ac:dyDescent="0.3">
      <c r="A13" t="s">
        <v>37</v>
      </c>
      <c r="B13" t="s">
        <v>3</v>
      </c>
      <c r="C13">
        <v>0</v>
      </c>
      <c r="E13">
        <f t="shared" si="0"/>
        <v>0</v>
      </c>
    </row>
    <row r="14" spans="1:5" x14ac:dyDescent="0.3">
      <c r="A14" t="s">
        <v>46</v>
      </c>
      <c r="B14" t="s">
        <v>3</v>
      </c>
      <c r="C14">
        <v>2</v>
      </c>
      <c r="D14">
        <v>15000</v>
      </c>
      <c r="E14">
        <f t="shared" si="0"/>
        <v>30000</v>
      </c>
    </row>
    <row r="15" spans="1:5" x14ac:dyDescent="0.3">
      <c r="A15" t="s">
        <v>47</v>
      </c>
      <c r="B15" t="s">
        <v>3</v>
      </c>
      <c r="C15">
        <v>76</v>
      </c>
      <c r="D15">
        <v>26000</v>
      </c>
      <c r="E15">
        <f t="shared" si="0"/>
        <v>1976000</v>
      </c>
    </row>
    <row r="16" spans="1:5" x14ac:dyDescent="0.3">
      <c r="A16" t="s">
        <v>82</v>
      </c>
      <c r="B16" t="s">
        <v>3</v>
      </c>
      <c r="C16">
        <v>3</v>
      </c>
      <c r="D16">
        <v>30000</v>
      </c>
      <c r="E16">
        <f t="shared" si="0"/>
        <v>90000</v>
      </c>
    </row>
    <row r="17" spans="1:5" x14ac:dyDescent="0.3">
      <c r="A17" t="s">
        <v>16</v>
      </c>
      <c r="B17" t="s">
        <v>6</v>
      </c>
      <c r="C17">
        <v>12</v>
      </c>
      <c r="D17">
        <v>7000</v>
      </c>
      <c r="E17">
        <f t="shared" si="0"/>
        <v>84000</v>
      </c>
    </row>
    <row r="18" spans="1:5" x14ac:dyDescent="0.3">
      <c r="A18" t="s">
        <v>28</v>
      </c>
      <c r="B18" t="s">
        <v>3</v>
      </c>
      <c r="C18">
        <v>30</v>
      </c>
      <c r="D18">
        <v>22000</v>
      </c>
      <c r="E18">
        <f t="shared" si="0"/>
        <v>660000</v>
      </c>
    </row>
    <row r="19" spans="1:5" hidden="1" x14ac:dyDescent="0.3">
      <c r="A19" t="s">
        <v>28</v>
      </c>
      <c r="B19" t="s">
        <v>6</v>
      </c>
      <c r="C19">
        <v>0</v>
      </c>
      <c r="E19">
        <f t="shared" si="0"/>
        <v>0</v>
      </c>
    </row>
    <row r="20" spans="1:5" hidden="1" x14ac:dyDescent="0.3">
      <c r="A20" t="s">
        <v>28</v>
      </c>
      <c r="B20" t="s">
        <v>29</v>
      </c>
      <c r="C20">
        <v>0</v>
      </c>
      <c r="E20">
        <f t="shared" si="0"/>
        <v>0</v>
      </c>
    </row>
    <row r="21" spans="1:5" hidden="1" x14ac:dyDescent="0.3">
      <c r="A21" t="s">
        <v>48</v>
      </c>
      <c r="B21" t="s">
        <v>3</v>
      </c>
      <c r="C21">
        <v>0</v>
      </c>
      <c r="E21">
        <f t="shared" si="0"/>
        <v>0</v>
      </c>
    </row>
    <row r="22" spans="1:5" hidden="1" x14ac:dyDescent="0.3">
      <c r="A22" t="s">
        <v>48</v>
      </c>
      <c r="B22" t="s">
        <v>49</v>
      </c>
      <c r="C22">
        <v>0</v>
      </c>
      <c r="E22">
        <f t="shared" si="0"/>
        <v>0</v>
      </c>
    </row>
    <row r="23" spans="1:5" x14ac:dyDescent="0.3">
      <c r="A23" t="s">
        <v>40</v>
      </c>
      <c r="B23" t="s">
        <v>3</v>
      </c>
      <c r="C23">
        <v>15</v>
      </c>
      <c r="D23">
        <v>30000</v>
      </c>
      <c r="E23">
        <f t="shared" si="0"/>
        <v>450000</v>
      </c>
    </row>
    <row r="24" spans="1:5" x14ac:dyDescent="0.3">
      <c r="A24" t="s">
        <v>40</v>
      </c>
      <c r="B24" t="s">
        <v>41</v>
      </c>
      <c r="C24">
        <v>18</v>
      </c>
      <c r="D24">
        <v>9000</v>
      </c>
      <c r="E24">
        <f t="shared" si="0"/>
        <v>162000</v>
      </c>
    </row>
    <row r="25" spans="1:5" x14ac:dyDescent="0.3">
      <c r="A25" t="s">
        <v>50</v>
      </c>
      <c r="B25" t="s">
        <v>8</v>
      </c>
      <c r="C25">
        <v>5</v>
      </c>
      <c r="D25">
        <v>17000</v>
      </c>
      <c r="E25">
        <f t="shared" si="0"/>
        <v>85000</v>
      </c>
    </row>
    <row r="26" spans="1:5" x14ac:dyDescent="0.3">
      <c r="A26" t="s">
        <v>51</v>
      </c>
      <c r="B26" t="s">
        <v>3</v>
      </c>
      <c r="C26">
        <v>5</v>
      </c>
      <c r="D26">
        <v>34000</v>
      </c>
      <c r="E26">
        <f t="shared" si="0"/>
        <v>170000</v>
      </c>
    </row>
    <row r="27" spans="1:5" x14ac:dyDescent="0.3">
      <c r="A27" t="s">
        <v>51</v>
      </c>
      <c r="B27" t="s">
        <v>52</v>
      </c>
      <c r="C27">
        <v>225</v>
      </c>
      <c r="D27">
        <v>10000</v>
      </c>
      <c r="E27">
        <f t="shared" si="0"/>
        <v>2250000</v>
      </c>
    </row>
    <row r="28" spans="1:5" x14ac:dyDescent="0.3">
      <c r="A28" t="s">
        <v>30</v>
      </c>
      <c r="B28" t="s">
        <v>3</v>
      </c>
      <c r="C28">
        <v>460</v>
      </c>
      <c r="D28">
        <v>22000</v>
      </c>
      <c r="E28">
        <f t="shared" si="0"/>
        <v>10120000</v>
      </c>
    </row>
    <row r="29" spans="1:5" hidden="1" x14ac:dyDescent="0.3">
      <c r="A29" t="s">
        <v>30</v>
      </c>
      <c r="B29" t="s">
        <v>6</v>
      </c>
      <c r="C29">
        <v>0</v>
      </c>
      <c r="E29">
        <f t="shared" si="0"/>
        <v>0</v>
      </c>
    </row>
    <row r="30" spans="1:5" x14ac:dyDescent="0.3">
      <c r="A30" t="s">
        <v>31</v>
      </c>
      <c r="B30" t="s">
        <v>4</v>
      </c>
      <c r="C30">
        <v>110</v>
      </c>
      <c r="D30">
        <v>16000</v>
      </c>
      <c r="E30">
        <f t="shared" si="0"/>
        <v>1760000</v>
      </c>
    </row>
    <row r="31" spans="1:5" x14ac:dyDescent="0.3">
      <c r="A31" t="s">
        <v>2</v>
      </c>
      <c r="B31" t="s">
        <v>3</v>
      </c>
      <c r="C31">
        <v>85</v>
      </c>
      <c r="D31">
        <v>13500</v>
      </c>
      <c r="E31">
        <f t="shared" si="0"/>
        <v>1147500</v>
      </c>
    </row>
    <row r="32" spans="1:5" hidden="1" x14ac:dyDescent="0.3">
      <c r="A32" t="s">
        <v>2</v>
      </c>
      <c r="B32" t="s">
        <v>4</v>
      </c>
      <c r="C32">
        <v>0</v>
      </c>
      <c r="E32">
        <f t="shared" si="0"/>
        <v>0</v>
      </c>
    </row>
    <row r="33" spans="1:5" x14ac:dyDescent="0.3">
      <c r="A33" t="s">
        <v>5</v>
      </c>
      <c r="B33" t="s">
        <v>6</v>
      </c>
      <c r="C33">
        <v>10</v>
      </c>
      <c r="D33">
        <v>10000</v>
      </c>
      <c r="E33">
        <f t="shared" si="0"/>
        <v>100000</v>
      </c>
    </row>
    <row r="34" spans="1:5" x14ac:dyDescent="0.3">
      <c r="A34" t="s">
        <v>53</v>
      </c>
      <c r="B34" t="s">
        <v>3</v>
      </c>
      <c r="C34">
        <v>20</v>
      </c>
      <c r="D34">
        <v>6000</v>
      </c>
      <c r="E34">
        <f t="shared" si="0"/>
        <v>120000</v>
      </c>
    </row>
    <row r="35" spans="1:5" hidden="1" x14ac:dyDescent="0.3">
      <c r="A35" t="s">
        <v>53</v>
      </c>
      <c r="B35" t="s">
        <v>54</v>
      </c>
      <c r="C35">
        <v>0</v>
      </c>
      <c r="E35">
        <f t="shared" si="0"/>
        <v>0</v>
      </c>
    </row>
    <row r="36" spans="1:5" hidden="1" x14ac:dyDescent="0.3">
      <c r="A36" t="s">
        <v>18</v>
      </c>
      <c r="B36" t="s">
        <v>3</v>
      </c>
      <c r="C36">
        <v>0</v>
      </c>
      <c r="E36">
        <f t="shared" si="0"/>
        <v>0</v>
      </c>
    </row>
    <row r="37" spans="1:5" x14ac:dyDescent="0.3">
      <c r="A37" t="s">
        <v>18</v>
      </c>
      <c r="B37" t="s">
        <v>4</v>
      </c>
      <c r="C37">
        <v>43</v>
      </c>
      <c r="D37">
        <v>6000</v>
      </c>
      <c r="E37">
        <f t="shared" si="0"/>
        <v>258000</v>
      </c>
    </row>
    <row r="38" spans="1:5" hidden="1" x14ac:dyDescent="0.3">
      <c r="A38" t="s">
        <v>55</v>
      </c>
      <c r="B38" t="s">
        <v>3</v>
      </c>
      <c r="C38">
        <v>0</v>
      </c>
      <c r="E38">
        <f t="shared" si="0"/>
        <v>0</v>
      </c>
    </row>
    <row r="39" spans="1:5" x14ac:dyDescent="0.3">
      <c r="A39" t="s">
        <v>55</v>
      </c>
      <c r="B39" t="s">
        <v>4</v>
      </c>
      <c r="C39">
        <v>10</v>
      </c>
      <c r="D39">
        <v>6000</v>
      </c>
      <c r="E39">
        <f t="shared" si="0"/>
        <v>60000</v>
      </c>
    </row>
    <row r="40" spans="1:5" x14ac:dyDescent="0.3">
      <c r="A40" t="s">
        <v>19</v>
      </c>
      <c r="B40" t="s">
        <v>3</v>
      </c>
      <c r="C40">
        <v>1</v>
      </c>
      <c r="D40">
        <v>23000</v>
      </c>
      <c r="E40">
        <f t="shared" si="0"/>
        <v>23000</v>
      </c>
    </row>
    <row r="41" spans="1:5" hidden="1" x14ac:dyDescent="0.3">
      <c r="A41" t="s">
        <v>19</v>
      </c>
      <c r="B41" t="s">
        <v>4</v>
      </c>
      <c r="C41">
        <v>0</v>
      </c>
      <c r="E41">
        <f t="shared" si="0"/>
        <v>0</v>
      </c>
    </row>
    <row r="42" spans="1:5" x14ac:dyDescent="0.3">
      <c r="A42" t="s">
        <v>20</v>
      </c>
      <c r="B42" t="s">
        <v>3</v>
      </c>
      <c r="C42">
        <v>100</v>
      </c>
      <c r="D42">
        <v>6000</v>
      </c>
      <c r="E42">
        <f t="shared" si="0"/>
        <v>600000</v>
      </c>
    </row>
    <row r="43" spans="1:5" hidden="1" x14ac:dyDescent="0.3">
      <c r="A43" t="s">
        <v>21</v>
      </c>
      <c r="B43" t="s">
        <v>22</v>
      </c>
      <c r="C43">
        <v>0</v>
      </c>
      <c r="E43">
        <f t="shared" si="0"/>
        <v>0</v>
      </c>
    </row>
    <row r="44" spans="1:5" hidden="1" x14ac:dyDescent="0.3">
      <c r="A44" t="s">
        <v>21</v>
      </c>
      <c r="B44" t="s">
        <v>3</v>
      </c>
      <c r="C44">
        <v>0</v>
      </c>
      <c r="E44">
        <f t="shared" si="0"/>
        <v>0</v>
      </c>
    </row>
    <row r="45" spans="1:5" hidden="1" x14ac:dyDescent="0.3">
      <c r="A45" t="s">
        <v>56</v>
      </c>
      <c r="B45" t="s">
        <v>3</v>
      </c>
      <c r="C45">
        <v>0</v>
      </c>
      <c r="E45">
        <f t="shared" si="0"/>
        <v>0</v>
      </c>
    </row>
    <row r="46" spans="1:5" x14ac:dyDescent="0.3">
      <c r="A46" t="s">
        <v>7</v>
      </c>
      <c r="B46" t="s">
        <v>8</v>
      </c>
      <c r="C46">
        <v>20</v>
      </c>
      <c r="D46">
        <v>9500</v>
      </c>
      <c r="E46">
        <f t="shared" si="0"/>
        <v>190000</v>
      </c>
    </row>
    <row r="47" spans="1:5" hidden="1" x14ac:dyDescent="0.3">
      <c r="A47" t="s">
        <v>7</v>
      </c>
      <c r="B47" t="s">
        <v>3</v>
      </c>
      <c r="C47">
        <v>0</v>
      </c>
      <c r="E47">
        <f t="shared" si="0"/>
        <v>0</v>
      </c>
    </row>
    <row r="48" spans="1:5" x14ac:dyDescent="0.3">
      <c r="A48" t="s">
        <v>57</v>
      </c>
      <c r="B48" t="s">
        <v>3</v>
      </c>
      <c r="C48">
        <v>5</v>
      </c>
      <c r="D48">
        <v>5000</v>
      </c>
      <c r="E48">
        <f t="shared" si="0"/>
        <v>25000</v>
      </c>
    </row>
    <row r="49" spans="1:5" x14ac:dyDescent="0.3">
      <c r="A49" t="s">
        <v>9</v>
      </c>
      <c r="B49" t="s">
        <v>3</v>
      </c>
      <c r="C49">
        <v>40</v>
      </c>
      <c r="D49">
        <v>17000</v>
      </c>
      <c r="E49">
        <f t="shared" si="0"/>
        <v>680000</v>
      </c>
    </row>
    <row r="50" spans="1:5" hidden="1" x14ac:dyDescent="0.3">
      <c r="A50" t="s">
        <v>9</v>
      </c>
      <c r="B50" t="s">
        <v>4</v>
      </c>
      <c r="C50">
        <v>0</v>
      </c>
      <c r="E50">
        <f t="shared" si="0"/>
        <v>0</v>
      </c>
    </row>
    <row r="51" spans="1:5" x14ac:dyDescent="0.3">
      <c r="A51" t="s">
        <v>58</v>
      </c>
      <c r="B51" t="s">
        <v>3</v>
      </c>
      <c r="C51">
        <v>23</v>
      </c>
      <c r="D51">
        <v>30000</v>
      </c>
      <c r="E51">
        <f t="shared" si="0"/>
        <v>690000</v>
      </c>
    </row>
    <row r="52" spans="1:5" x14ac:dyDescent="0.3">
      <c r="A52" t="s">
        <v>10</v>
      </c>
      <c r="B52" t="s">
        <v>3</v>
      </c>
      <c r="C52">
        <v>215</v>
      </c>
      <c r="D52">
        <v>22500</v>
      </c>
      <c r="E52">
        <f t="shared" si="0"/>
        <v>4837500</v>
      </c>
    </row>
    <row r="53" spans="1:5" hidden="1" x14ac:dyDescent="0.3">
      <c r="A53" t="s">
        <v>10</v>
      </c>
      <c r="B53" t="s">
        <v>11</v>
      </c>
      <c r="C53">
        <v>0</v>
      </c>
      <c r="E53">
        <f t="shared" si="0"/>
        <v>0</v>
      </c>
    </row>
    <row r="54" spans="1:5" x14ac:dyDescent="0.3">
      <c r="A54" t="s">
        <v>106</v>
      </c>
      <c r="B54" t="s">
        <v>3</v>
      </c>
      <c r="C54">
        <v>8</v>
      </c>
      <c r="D54">
        <v>20000</v>
      </c>
      <c r="E54">
        <f t="shared" si="0"/>
        <v>160000</v>
      </c>
    </row>
    <row r="55" spans="1:5" x14ac:dyDescent="0.3">
      <c r="A55" t="s">
        <v>12</v>
      </c>
      <c r="B55" t="s">
        <v>4</v>
      </c>
      <c r="C55">
        <v>330</v>
      </c>
      <c r="D55">
        <v>4500</v>
      </c>
      <c r="E55">
        <f t="shared" si="0"/>
        <v>1485000</v>
      </c>
    </row>
    <row r="56" spans="1:5" hidden="1" x14ac:dyDescent="0.3">
      <c r="A56" t="s">
        <v>39</v>
      </c>
      <c r="B56" t="s">
        <v>3</v>
      </c>
      <c r="C56">
        <v>0</v>
      </c>
      <c r="E56">
        <f t="shared" si="0"/>
        <v>0</v>
      </c>
    </row>
    <row r="57" spans="1:5" x14ac:dyDescent="0.3">
      <c r="A57" t="s">
        <v>13</v>
      </c>
      <c r="B57" t="s">
        <v>3</v>
      </c>
      <c r="C57">
        <v>25</v>
      </c>
      <c r="D57">
        <v>27000</v>
      </c>
      <c r="E57">
        <f t="shared" si="0"/>
        <v>675000</v>
      </c>
    </row>
    <row r="58" spans="1:5" x14ac:dyDescent="0.3">
      <c r="A58" t="s">
        <v>14</v>
      </c>
      <c r="B58" t="s">
        <v>3</v>
      </c>
      <c r="C58">
        <v>160</v>
      </c>
      <c r="D58">
        <v>17000</v>
      </c>
      <c r="E58">
        <f t="shared" si="0"/>
        <v>2720000</v>
      </c>
    </row>
    <row r="59" spans="1:5" x14ac:dyDescent="0.3">
      <c r="A59" t="s">
        <v>93</v>
      </c>
      <c r="B59" t="s">
        <v>3</v>
      </c>
      <c r="C59">
        <v>30</v>
      </c>
      <c r="D59">
        <v>25000</v>
      </c>
      <c r="E59">
        <f t="shared" si="0"/>
        <v>750000</v>
      </c>
    </row>
    <row r="60" spans="1:5" hidden="1" x14ac:dyDescent="0.3">
      <c r="A60" t="s">
        <v>42</v>
      </c>
      <c r="B60" t="s">
        <v>3</v>
      </c>
      <c r="C60">
        <v>0</v>
      </c>
      <c r="E60">
        <f t="shared" si="0"/>
        <v>0</v>
      </c>
    </row>
    <row r="61" spans="1:5" hidden="1" x14ac:dyDescent="0.3">
      <c r="A61" t="s">
        <v>89</v>
      </c>
      <c r="B61" t="s">
        <v>3</v>
      </c>
      <c r="C61">
        <v>0</v>
      </c>
      <c r="E61">
        <f t="shared" si="0"/>
        <v>0</v>
      </c>
    </row>
    <row r="62" spans="1:5" hidden="1" x14ac:dyDescent="0.3">
      <c r="A62" t="s">
        <v>89</v>
      </c>
      <c r="B62" t="s">
        <v>4</v>
      </c>
      <c r="C62">
        <v>0</v>
      </c>
      <c r="E62">
        <f t="shared" si="0"/>
        <v>0</v>
      </c>
    </row>
    <row r="63" spans="1:5" x14ac:dyDescent="0.3">
      <c r="A63" t="s">
        <v>15</v>
      </c>
      <c r="B63" t="s">
        <v>3</v>
      </c>
      <c r="C63">
        <v>300</v>
      </c>
      <c r="D63">
        <v>18000</v>
      </c>
      <c r="E63">
        <f t="shared" si="0"/>
        <v>5400000</v>
      </c>
    </row>
    <row r="64" spans="1:5" hidden="1" x14ac:dyDescent="0.3">
      <c r="A64" t="s">
        <v>15</v>
      </c>
      <c r="B64" t="s">
        <v>4</v>
      </c>
      <c r="C64">
        <v>0</v>
      </c>
      <c r="E64">
        <f t="shared" si="0"/>
        <v>0</v>
      </c>
    </row>
    <row r="65" spans="1:5" x14ac:dyDescent="0.3">
      <c r="A65" t="s">
        <v>87</v>
      </c>
      <c r="B65" t="s">
        <v>4</v>
      </c>
      <c r="C65">
        <v>230</v>
      </c>
      <c r="D65">
        <v>6000</v>
      </c>
      <c r="E65">
        <f t="shared" si="0"/>
        <v>1380000</v>
      </c>
    </row>
    <row r="66" spans="1:5" x14ac:dyDescent="0.3">
      <c r="A66" t="s">
        <v>59</v>
      </c>
      <c r="B66" t="s">
        <v>3</v>
      </c>
      <c r="C66">
        <v>34</v>
      </c>
      <c r="D66">
        <v>11000</v>
      </c>
      <c r="E66">
        <f t="shared" si="0"/>
        <v>374000</v>
      </c>
    </row>
    <row r="67" spans="1:5" hidden="1" x14ac:dyDescent="0.3">
      <c r="A67" t="s">
        <v>60</v>
      </c>
      <c r="B67" t="s">
        <v>4</v>
      </c>
      <c r="C67">
        <v>0</v>
      </c>
      <c r="E67">
        <f t="shared" si="0"/>
        <v>0</v>
      </c>
    </row>
    <row r="68" spans="1:5" hidden="1" x14ac:dyDescent="0.3">
      <c r="A68" t="s">
        <v>61</v>
      </c>
      <c r="B68" t="s">
        <v>3</v>
      </c>
      <c r="C68">
        <v>0</v>
      </c>
      <c r="E68">
        <f t="shared" ref="E68:E133" si="1">C68*D68</f>
        <v>0</v>
      </c>
    </row>
    <row r="69" spans="1:5" x14ac:dyDescent="0.3">
      <c r="A69" t="s">
        <v>61</v>
      </c>
      <c r="B69" t="s">
        <v>11</v>
      </c>
      <c r="C69">
        <v>30</v>
      </c>
      <c r="D69">
        <v>6500</v>
      </c>
      <c r="E69">
        <f t="shared" si="1"/>
        <v>195000</v>
      </c>
    </row>
    <row r="70" spans="1:5" hidden="1" x14ac:dyDescent="0.3">
      <c r="A70" t="s">
        <v>61</v>
      </c>
      <c r="B70" t="s">
        <v>62</v>
      </c>
      <c r="C70">
        <v>0</v>
      </c>
      <c r="E70">
        <f t="shared" si="1"/>
        <v>0</v>
      </c>
    </row>
    <row r="71" spans="1:5" x14ac:dyDescent="0.3">
      <c r="A71" t="s">
        <v>63</v>
      </c>
      <c r="B71" t="s">
        <v>3</v>
      </c>
      <c r="C71">
        <v>0.5</v>
      </c>
      <c r="D71">
        <v>80000</v>
      </c>
      <c r="E71">
        <f t="shared" si="1"/>
        <v>40000</v>
      </c>
    </row>
    <row r="72" spans="1:5" x14ac:dyDescent="0.3">
      <c r="A72" t="s">
        <v>79</v>
      </c>
      <c r="B72" t="s">
        <v>3</v>
      </c>
      <c r="C72">
        <v>1</v>
      </c>
      <c r="D72">
        <v>80000</v>
      </c>
      <c r="E72">
        <f t="shared" si="1"/>
        <v>80000</v>
      </c>
    </row>
    <row r="73" spans="1:5" x14ac:dyDescent="0.3">
      <c r="A73" t="s">
        <v>64</v>
      </c>
      <c r="B73" t="s">
        <v>3</v>
      </c>
      <c r="C73">
        <v>1</v>
      </c>
      <c r="D73">
        <v>70000</v>
      </c>
      <c r="E73">
        <f t="shared" si="1"/>
        <v>70000</v>
      </c>
    </row>
    <row r="74" spans="1:5" x14ac:dyDescent="0.3">
      <c r="A74" t="s">
        <v>65</v>
      </c>
      <c r="B74" t="s">
        <v>3</v>
      </c>
      <c r="C74">
        <v>0.5</v>
      </c>
      <c r="D74">
        <v>70000</v>
      </c>
      <c r="E74">
        <f t="shared" si="1"/>
        <v>35000</v>
      </c>
    </row>
    <row r="75" spans="1:5" hidden="1" x14ac:dyDescent="0.3">
      <c r="A75" t="s">
        <v>90</v>
      </c>
      <c r="B75" t="s">
        <v>4</v>
      </c>
      <c r="C75">
        <v>0</v>
      </c>
      <c r="E75">
        <f t="shared" si="1"/>
        <v>0</v>
      </c>
    </row>
    <row r="76" spans="1:5" x14ac:dyDescent="0.3">
      <c r="A76" t="s">
        <v>32</v>
      </c>
      <c r="B76" t="s">
        <v>3</v>
      </c>
      <c r="C76">
        <v>26</v>
      </c>
      <c r="D76">
        <v>10000</v>
      </c>
      <c r="E76">
        <f t="shared" si="1"/>
        <v>260000</v>
      </c>
    </row>
    <row r="77" spans="1:5" x14ac:dyDescent="0.3">
      <c r="A77" t="s">
        <v>32</v>
      </c>
      <c r="B77" t="s">
        <v>6</v>
      </c>
      <c r="C77">
        <v>370</v>
      </c>
      <c r="D77">
        <v>5000</v>
      </c>
      <c r="E77">
        <f t="shared" si="1"/>
        <v>1850000</v>
      </c>
    </row>
    <row r="78" spans="1:5" x14ac:dyDescent="0.3">
      <c r="A78" t="s">
        <v>81</v>
      </c>
      <c r="B78" t="s">
        <v>3</v>
      </c>
      <c r="C78">
        <v>10</v>
      </c>
      <c r="D78">
        <v>9000</v>
      </c>
      <c r="E78">
        <f t="shared" si="1"/>
        <v>90000</v>
      </c>
    </row>
    <row r="79" spans="1:5" x14ac:dyDescent="0.3">
      <c r="A79" t="s">
        <v>33</v>
      </c>
      <c r="B79" t="s">
        <v>3</v>
      </c>
      <c r="C79">
        <v>38</v>
      </c>
      <c r="D79">
        <v>6000</v>
      </c>
      <c r="E79">
        <f t="shared" si="1"/>
        <v>228000</v>
      </c>
    </row>
    <row r="80" spans="1:5" hidden="1" x14ac:dyDescent="0.3">
      <c r="A80" t="s">
        <v>66</v>
      </c>
      <c r="B80" t="s">
        <v>22</v>
      </c>
      <c r="C80">
        <v>0</v>
      </c>
      <c r="E80">
        <f t="shared" si="1"/>
        <v>0</v>
      </c>
    </row>
    <row r="81" spans="1:6" hidden="1" x14ac:dyDescent="0.3">
      <c r="A81" t="s">
        <v>66</v>
      </c>
      <c r="B81" t="s">
        <v>3</v>
      </c>
      <c r="C81">
        <v>0</v>
      </c>
      <c r="E81">
        <f t="shared" si="1"/>
        <v>0</v>
      </c>
    </row>
    <row r="82" spans="1:6" x14ac:dyDescent="0.3">
      <c r="A82" t="s">
        <v>43</v>
      </c>
      <c r="B82" t="s">
        <v>3</v>
      </c>
      <c r="C82">
        <v>3063</v>
      </c>
      <c r="D82">
        <v>27600</v>
      </c>
      <c r="E82">
        <f t="shared" si="1"/>
        <v>84538800</v>
      </c>
      <c r="F82" t="s">
        <v>129</v>
      </c>
    </row>
    <row r="83" spans="1:6" hidden="1" x14ac:dyDescent="0.3">
      <c r="A83" t="s">
        <v>67</v>
      </c>
      <c r="B83" t="s">
        <v>3</v>
      </c>
      <c r="C83">
        <v>0</v>
      </c>
      <c r="E83">
        <f t="shared" si="1"/>
        <v>0</v>
      </c>
    </row>
    <row r="84" spans="1:6" hidden="1" x14ac:dyDescent="0.3">
      <c r="A84" t="s">
        <v>68</v>
      </c>
      <c r="B84" t="s">
        <v>4</v>
      </c>
      <c r="C84">
        <v>0</v>
      </c>
      <c r="E84">
        <f t="shared" si="1"/>
        <v>0</v>
      </c>
    </row>
    <row r="85" spans="1:6" x14ac:dyDescent="0.3">
      <c r="A85" t="s">
        <v>69</v>
      </c>
      <c r="B85" t="s">
        <v>3</v>
      </c>
      <c r="C85">
        <v>20</v>
      </c>
      <c r="D85">
        <v>14000</v>
      </c>
      <c r="E85">
        <f t="shared" si="1"/>
        <v>280000</v>
      </c>
    </row>
    <row r="86" spans="1:6" hidden="1" x14ac:dyDescent="0.3">
      <c r="A86" t="s">
        <v>38</v>
      </c>
      <c r="B86" t="s">
        <v>6</v>
      </c>
      <c r="C86">
        <v>0</v>
      </c>
      <c r="E86">
        <f t="shared" si="1"/>
        <v>0</v>
      </c>
    </row>
    <row r="87" spans="1:6" hidden="1" x14ac:dyDescent="0.3">
      <c r="A87" t="s">
        <v>70</v>
      </c>
      <c r="B87" t="s">
        <v>8</v>
      </c>
      <c r="C87">
        <v>0</v>
      </c>
      <c r="E87">
        <f t="shared" si="1"/>
        <v>0</v>
      </c>
    </row>
    <row r="88" spans="1:6" x14ac:dyDescent="0.3">
      <c r="A88" t="s">
        <v>70</v>
      </c>
      <c r="B88" t="s">
        <v>3</v>
      </c>
      <c r="C88">
        <v>19</v>
      </c>
      <c r="D88">
        <v>44000</v>
      </c>
      <c r="E88">
        <f t="shared" si="1"/>
        <v>836000</v>
      </c>
    </row>
    <row r="89" spans="1:6" x14ac:dyDescent="0.3">
      <c r="A89" t="s">
        <v>34</v>
      </c>
      <c r="B89" t="s">
        <v>3</v>
      </c>
      <c r="C89">
        <v>133</v>
      </c>
      <c r="D89">
        <v>30000</v>
      </c>
      <c r="E89">
        <f t="shared" si="1"/>
        <v>3990000</v>
      </c>
    </row>
    <row r="90" spans="1:6" hidden="1" x14ac:dyDescent="0.3">
      <c r="A90" t="s">
        <v>34</v>
      </c>
      <c r="B90" t="s">
        <v>26</v>
      </c>
      <c r="C90">
        <v>0</v>
      </c>
      <c r="E90">
        <f t="shared" si="1"/>
        <v>0</v>
      </c>
    </row>
    <row r="91" spans="1:6" x14ac:dyDescent="0.3">
      <c r="A91" t="s">
        <v>35</v>
      </c>
      <c r="B91" t="s">
        <v>3</v>
      </c>
      <c r="C91">
        <v>112</v>
      </c>
      <c r="D91">
        <v>15000</v>
      </c>
      <c r="E91">
        <f t="shared" si="1"/>
        <v>1680000</v>
      </c>
    </row>
    <row r="92" spans="1:6" hidden="1" x14ac:dyDescent="0.3">
      <c r="A92" t="s">
        <v>35</v>
      </c>
      <c r="B92" t="s">
        <v>26</v>
      </c>
      <c r="C92">
        <v>0</v>
      </c>
      <c r="E92">
        <f t="shared" si="1"/>
        <v>0</v>
      </c>
    </row>
    <row r="93" spans="1:6" x14ac:dyDescent="0.3">
      <c r="A93" t="s">
        <v>36</v>
      </c>
      <c r="B93" t="s">
        <v>3</v>
      </c>
      <c r="C93">
        <v>45</v>
      </c>
      <c r="D93">
        <v>28000</v>
      </c>
      <c r="E93">
        <f t="shared" si="1"/>
        <v>1260000</v>
      </c>
    </row>
    <row r="94" spans="1:6" hidden="1" x14ac:dyDescent="0.3">
      <c r="A94" t="s">
        <v>36</v>
      </c>
      <c r="B94" t="s">
        <v>26</v>
      </c>
      <c r="C94">
        <v>0</v>
      </c>
      <c r="E94">
        <f t="shared" si="1"/>
        <v>0</v>
      </c>
    </row>
    <row r="95" spans="1:6" x14ac:dyDescent="0.3">
      <c r="A95" t="s">
        <v>71</v>
      </c>
      <c r="B95" t="s">
        <v>4</v>
      </c>
      <c r="C95">
        <v>81</v>
      </c>
      <c r="D95">
        <v>18000</v>
      </c>
      <c r="E95">
        <f t="shared" si="1"/>
        <v>1458000</v>
      </c>
    </row>
    <row r="96" spans="1:6" hidden="1" x14ac:dyDescent="0.3">
      <c r="A96" t="s">
        <v>111</v>
      </c>
      <c r="B96" t="s">
        <v>3</v>
      </c>
      <c r="C96">
        <v>0</v>
      </c>
      <c r="E96">
        <f t="shared" si="1"/>
        <v>0</v>
      </c>
    </row>
    <row r="97" spans="1:5" hidden="1" x14ac:dyDescent="0.3">
      <c r="A97" t="s">
        <v>105</v>
      </c>
      <c r="B97" t="s">
        <v>3</v>
      </c>
      <c r="C97">
        <v>0</v>
      </c>
      <c r="E97">
        <f t="shared" si="1"/>
        <v>0</v>
      </c>
    </row>
    <row r="98" spans="1:5" hidden="1" x14ac:dyDescent="0.3">
      <c r="A98" t="s">
        <v>88</v>
      </c>
      <c r="B98" t="s">
        <v>3</v>
      </c>
      <c r="C98">
        <v>0</v>
      </c>
      <c r="E98">
        <f t="shared" si="1"/>
        <v>0</v>
      </c>
    </row>
    <row r="99" spans="1:5" hidden="1" x14ac:dyDescent="0.3">
      <c r="A99" t="s">
        <v>91</v>
      </c>
      <c r="B99" t="s">
        <v>3</v>
      </c>
      <c r="C99">
        <v>0</v>
      </c>
      <c r="E99">
        <f t="shared" si="1"/>
        <v>0</v>
      </c>
    </row>
    <row r="100" spans="1:5" x14ac:dyDescent="0.3">
      <c r="A100" t="s">
        <v>72</v>
      </c>
      <c r="B100" t="s">
        <v>3</v>
      </c>
      <c r="C100">
        <v>82</v>
      </c>
      <c r="D100">
        <v>7000</v>
      </c>
      <c r="E100">
        <f t="shared" si="1"/>
        <v>574000</v>
      </c>
    </row>
    <row r="101" spans="1:5" x14ac:dyDescent="0.3">
      <c r="A101" t="s">
        <v>73</v>
      </c>
      <c r="B101" t="s">
        <v>3</v>
      </c>
      <c r="C101">
        <v>3</v>
      </c>
      <c r="D101">
        <v>14000</v>
      </c>
      <c r="E101">
        <f t="shared" si="1"/>
        <v>42000</v>
      </c>
    </row>
    <row r="102" spans="1:5" hidden="1" x14ac:dyDescent="0.3">
      <c r="A102" t="s">
        <v>112</v>
      </c>
      <c r="B102" t="s">
        <v>3</v>
      </c>
      <c r="C102">
        <v>0</v>
      </c>
      <c r="E102">
        <f t="shared" si="1"/>
        <v>0</v>
      </c>
    </row>
    <row r="103" spans="1:5" x14ac:dyDescent="0.3">
      <c r="A103" t="s">
        <v>23</v>
      </c>
      <c r="B103" t="s">
        <v>3</v>
      </c>
      <c r="C103">
        <v>13</v>
      </c>
      <c r="D103">
        <v>28000</v>
      </c>
      <c r="E103">
        <f t="shared" si="1"/>
        <v>364000</v>
      </c>
    </row>
    <row r="104" spans="1:5" hidden="1" x14ac:dyDescent="0.3">
      <c r="A104" t="s">
        <v>84</v>
      </c>
      <c r="B104" t="s">
        <v>22</v>
      </c>
      <c r="C104">
        <v>0</v>
      </c>
      <c r="E104">
        <f t="shared" si="1"/>
        <v>0</v>
      </c>
    </row>
    <row r="105" spans="1:5" hidden="1" x14ac:dyDescent="0.3">
      <c r="A105" t="s">
        <v>74</v>
      </c>
      <c r="B105" t="s">
        <v>3</v>
      </c>
      <c r="C105">
        <v>0</v>
      </c>
      <c r="E105">
        <f t="shared" si="1"/>
        <v>0</v>
      </c>
    </row>
    <row r="106" spans="1:5" hidden="1" x14ac:dyDescent="0.3">
      <c r="A106" t="s">
        <v>86</v>
      </c>
      <c r="B106" t="s">
        <v>22</v>
      </c>
      <c r="C106">
        <v>0</v>
      </c>
      <c r="E106">
        <f t="shared" si="1"/>
        <v>0</v>
      </c>
    </row>
    <row r="107" spans="1:5" hidden="1" x14ac:dyDescent="0.3">
      <c r="A107" t="s">
        <v>77</v>
      </c>
      <c r="B107" t="s">
        <v>3</v>
      </c>
      <c r="C107">
        <v>0</v>
      </c>
      <c r="E107">
        <f t="shared" si="1"/>
        <v>0</v>
      </c>
    </row>
    <row r="108" spans="1:5" hidden="1" x14ac:dyDescent="0.3">
      <c r="A108" t="s">
        <v>75</v>
      </c>
      <c r="B108" t="s">
        <v>3</v>
      </c>
      <c r="C108">
        <v>0</v>
      </c>
      <c r="E108">
        <f t="shared" si="1"/>
        <v>0</v>
      </c>
    </row>
    <row r="109" spans="1:5" hidden="1" x14ac:dyDescent="0.3">
      <c r="A109" t="s">
        <v>76</v>
      </c>
      <c r="B109" t="s">
        <v>3</v>
      </c>
      <c r="C109">
        <v>0</v>
      </c>
      <c r="E109">
        <f t="shared" si="1"/>
        <v>0</v>
      </c>
    </row>
    <row r="110" spans="1:5" hidden="1" x14ac:dyDescent="0.3">
      <c r="A110" t="s">
        <v>85</v>
      </c>
      <c r="B110" t="s">
        <v>22</v>
      </c>
      <c r="C110">
        <v>0</v>
      </c>
      <c r="E110">
        <f t="shared" si="1"/>
        <v>0</v>
      </c>
    </row>
    <row r="111" spans="1:5" x14ac:dyDescent="0.3">
      <c r="E111">
        <f>SUM(E3:E103)</f>
        <v>153064800</v>
      </c>
    </row>
    <row r="112" spans="1:5" hidden="1" x14ac:dyDescent="0.3">
      <c r="A112" t="s">
        <v>103</v>
      </c>
    </row>
    <row r="113" spans="1:5" x14ac:dyDescent="0.3">
      <c r="A113" t="s">
        <v>0</v>
      </c>
      <c r="B113" t="s">
        <v>1</v>
      </c>
      <c r="C113" t="s">
        <v>102</v>
      </c>
      <c r="D113" t="s">
        <v>115</v>
      </c>
      <c r="E113" t="s">
        <v>101</v>
      </c>
    </row>
    <row r="114" spans="1:5" hidden="1" x14ac:dyDescent="0.3">
      <c r="A114" t="s">
        <v>44</v>
      </c>
      <c r="B114" t="s">
        <v>3</v>
      </c>
      <c r="E114">
        <f t="shared" si="1"/>
        <v>0</v>
      </c>
    </row>
    <row r="115" spans="1:5" hidden="1" x14ac:dyDescent="0.3">
      <c r="A115" t="s">
        <v>45</v>
      </c>
      <c r="B115" t="s">
        <v>3</v>
      </c>
      <c r="E115">
        <f t="shared" si="1"/>
        <v>0</v>
      </c>
    </row>
    <row r="116" spans="1:5" x14ac:dyDescent="0.3">
      <c r="A116" t="s">
        <v>17</v>
      </c>
      <c r="B116" t="s">
        <v>3</v>
      </c>
      <c r="C116">
        <v>240</v>
      </c>
      <c r="D116">
        <v>10000</v>
      </c>
      <c r="E116">
        <f t="shared" si="1"/>
        <v>2400000</v>
      </c>
    </row>
    <row r="117" spans="1:5" x14ac:dyDescent="0.3">
      <c r="A117" t="s">
        <v>95</v>
      </c>
      <c r="B117" t="s">
        <v>3</v>
      </c>
      <c r="C117">
        <v>22</v>
      </c>
      <c r="D117">
        <v>7000</v>
      </c>
      <c r="E117">
        <f t="shared" si="1"/>
        <v>154000</v>
      </c>
    </row>
    <row r="118" spans="1:5" x14ac:dyDescent="0.3">
      <c r="A118" t="s">
        <v>24</v>
      </c>
      <c r="B118" t="s">
        <v>3</v>
      </c>
      <c r="C118">
        <v>1050</v>
      </c>
      <c r="D118">
        <v>4300</v>
      </c>
      <c r="E118">
        <f t="shared" si="1"/>
        <v>4515000</v>
      </c>
    </row>
    <row r="119" spans="1:5" hidden="1" x14ac:dyDescent="0.3">
      <c r="A119" t="s">
        <v>78</v>
      </c>
      <c r="B119" t="s">
        <v>3</v>
      </c>
      <c r="E119">
        <f t="shared" si="1"/>
        <v>0</v>
      </c>
    </row>
    <row r="120" spans="1:5" x14ac:dyDescent="0.3">
      <c r="A120" t="s">
        <v>25</v>
      </c>
      <c r="B120" t="s">
        <v>3</v>
      </c>
      <c r="C120">
        <v>75</v>
      </c>
      <c r="D120">
        <v>9000</v>
      </c>
      <c r="E120">
        <f t="shared" si="1"/>
        <v>675000</v>
      </c>
    </row>
    <row r="121" spans="1:5" hidden="1" x14ac:dyDescent="0.3">
      <c r="A121" t="s">
        <v>37</v>
      </c>
      <c r="B121" t="s">
        <v>3</v>
      </c>
      <c r="E121">
        <f t="shared" si="1"/>
        <v>0</v>
      </c>
    </row>
    <row r="122" spans="1:5" hidden="1" x14ac:dyDescent="0.3">
      <c r="A122" t="s">
        <v>46</v>
      </c>
      <c r="B122" t="s">
        <v>3</v>
      </c>
      <c r="E122">
        <f t="shared" si="1"/>
        <v>0</v>
      </c>
    </row>
    <row r="123" spans="1:5" hidden="1" x14ac:dyDescent="0.3">
      <c r="A123" t="s">
        <v>94</v>
      </c>
      <c r="B123" t="s">
        <v>3</v>
      </c>
      <c r="E123">
        <f t="shared" si="1"/>
        <v>0</v>
      </c>
    </row>
    <row r="124" spans="1:5" x14ac:dyDescent="0.3">
      <c r="A124" t="s">
        <v>28</v>
      </c>
      <c r="B124" t="s">
        <v>3</v>
      </c>
      <c r="C124">
        <v>25</v>
      </c>
      <c r="D124">
        <v>24500</v>
      </c>
      <c r="E124">
        <f t="shared" si="1"/>
        <v>612500</v>
      </c>
    </row>
    <row r="125" spans="1:5" hidden="1" x14ac:dyDescent="0.3">
      <c r="A125" t="s">
        <v>40</v>
      </c>
      <c r="B125" t="s">
        <v>41</v>
      </c>
      <c r="E125">
        <f t="shared" si="1"/>
        <v>0</v>
      </c>
    </row>
    <row r="126" spans="1:5" hidden="1" x14ac:dyDescent="0.3">
      <c r="A126" t="s">
        <v>30</v>
      </c>
      <c r="B126" t="s">
        <v>3</v>
      </c>
      <c r="E126">
        <f t="shared" si="1"/>
        <v>0</v>
      </c>
    </row>
    <row r="127" spans="1:5" x14ac:dyDescent="0.3">
      <c r="A127" t="s">
        <v>2</v>
      </c>
      <c r="B127" t="s">
        <v>3</v>
      </c>
      <c r="C127">
        <v>270</v>
      </c>
      <c r="D127">
        <v>13500</v>
      </c>
      <c r="E127">
        <f t="shared" si="1"/>
        <v>3645000</v>
      </c>
    </row>
    <row r="128" spans="1:5" x14ac:dyDescent="0.3">
      <c r="A128" t="s">
        <v>53</v>
      </c>
      <c r="B128" t="s">
        <v>3</v>
      </c>
      <c r="C128">
        <v>80</v>
      </c>
      <c r="D128">
        <v>6000</v>
      </c>
      <c r="E128">
        <f t="shared" si="1"/>
        <v>480000</v>
      </c>
    </row>
    <row r="129" spans="1:5" hidden="1" x14ac:dyDescent="0.3">
      <c r="A129" t="s">
        <v>20</v>
      </c>
      <c r="B129" t="s">
        <v>3</v>
      </c>
      <c r="E129">
        <f t="shared" si="1"/>
        <v>0</v>
      </c>
    </row>
    <row r="130" spans="1:5" x14ac:dyDescent="0.3">
      <c r="A130" t="s">
        <v>97</v>
      </c>
      <c r="B130" t="s">
        <v>3</v>
      </c>
      <c r="C130">
        <v>8</v>
      </c>
      <c r="D130">
        <v>16000</v>
      </c>
      <c r="E130">
        <f t="shared" si="1"/>
        <v>128000</v>
      </c>
    </row>
    <row r="131" spans="1:5" x14ac:dyDescent="0.3">
      <c r="A131" t="s">
        <v>98</v>
      </c>
      <c r="B131" t="s">
        <v>3</v>
      </c>
      <c r="C131">
        <v>700</v>
      </c>
      <c r="D131">
        <v>3500</v>
      </c>
      <c r="E131">
        <f t="shared" si="1"/>
        <v>2450000</v>
      </c>
    </row>
    <row r="132" spans="1:5" x14ac:dyDescent="0.3">
      <c r="A132" t="s">
        <v>21</v>
      </c>
      <c r="B132" t="s">
        <v>3</v>
      </c>
      <c r="C132">
        <v>85</v>
      </c>
      <c r="D132">
        <v>16000</v>
      </c>
      <c r="E132">
        <f t="shared" si="1"/>
        <v>1360000</v>
      </c>
    </row>
    <row r="133" spans="1:5" x14ac:dyDescent="0.3">
      <c r="A133" t="s">
        <v>96</v>
      </c>
      <c r="B133" t="s">
        <v>3</v>
      </c>
      <c r="C133">
        <v>39</v>
      </c>
      <c r="D133">
        <v>28000</v>
      </c>
      <c r="E133">
        <f t="shared" si="1"/>
        <v>1092000</v>
      </c>
    </row>
    <row r="134" spans="1:5" hidden="1" x14ac:dyDescent="0.3">
      <c r="A134" t="s">
        <v>56</v>
      </c>
      <c r="B134" t="s">
        <v>3</v>
      </c>
      <c r="E134">
        <f t="shared" ref="E134:E157" si="2">C134*D134</f>
        <v>0</v>
      </c>
    </row>
    <row r="135" spans="1:5" x14ac:dyDescent="0.3">
      <c r="A135" t="s">
        <v>57</v>
      </c>
      <c r="B135" t="s">
        <v>3</v>
      </c>
      <c r="C135">
        <v>85</v>
      </c>
      <c r="D135">
        <v>5000</v>
      </c>
      <c r="E135">
        <f t="shared" si="2"/>
        <v>425000</v>
      </c>
    </row>
    <row r="136" spans="1:5" x14ac:dyDescent="0.3">
      <c r="A136" t="s">
        <v>9</v>
      </c>
      <c r="B136" t="s">
        <v>3</v>
      </c>
      <c r="C136">
        <v>50</v>
      </c>
      <c r="D136">
        <v>17000</v>
      </c>
      <c r="E136">
        <f t="shared" si="2"/>
        <v>850000</v>
      </c>
    </row>
    <row r="137" spans="1:5" x14ac:dyDescent="0.3">
      <c r="A137" t="s">
        <v>10</v>
      </c>
      <c r="B137" t="s">
        <v>3</v>
      </c>
      <c r="C137">
        <v>50</v>
      </c>
      <c r="D137">
        <v>22500</v>
      </c>
      <c r="E137">
        <f t="shared" si="2"/>
        <v>1125000</v>
      </c>
    </row>
    <row r="138" spans="1:5" hidden="1" x14ac:dyDescent="0.3">
      <c r="A138" t="s">
        <v>13</v>
      </c>
      <c r="B138" t="s">
        <v>4</v>
      </c>
      <c r="E138">
        <f t="shared" si="2"/>
        <v>0</v>
      </c>
    </row>
    <row r="139" spans="1:5" x14ac:dyDescent="0.3">
      <c r="A139" t="s">
        <v>14</v>
      </c>
      <c r="B139" t="s">
        <v>3</v>
      </c>
      <c r="C139">
        <v>70</v>
      </c>
      <c r="D139">
        <v>17000</v>
      </c>
      <c r="E139">
        <f t="shared" si="2"/>
        <v>1190000</v>
      </c>
    </row>
    <row r="140" spans="1:5" hidden="1" x14ac:dyDescent="0.3">
      <c r="A140" t="s">
        <v>89</v>
      </c>
      <c r="B140" t="s">
        <v>4</v>
      </c>
      <c r="E140">
        <f t="shared" si="2"/>
        <v>0</v>
      </c>
    </row>
    <row r="141" spans="1:5" hidden="1" x14ac:dyDescent="0.3">
      <c r="A141" t="s">
        <v>109</v>
      </c>
      <c r="B141" t="s">
        <v>3</v>
      </c>
      <c r="E141">
        <f t="shared" si="2"/>
        <v>0</v>
      </c>
    </row>
    <row r="142" spans="1:5" x14ac:dyDescent="0.3">
      <c r="A142" t="s">
        <v>15</v>
      </c>
      <c r="B142" t="s">
        <v>3</v>
      </c>
      <c r="C142">
        <v>200</v>
      </c>
      <c r="D142">
        <v>18000</v>
      </c>
      <c r="E142">
        <f t="shared" si="2"/>
        <v>3600000</v>
      </c>
    </row>
    <row r="143" spans="1:5" x14ac:dyDescent="0.3">
      <c r="A143" t="s">
        <v>59</v>
      </c>
      <c r="B143" t="s">
        <v>3</v>
      </c>
      <c r="C143">
        <v>20</v>
      </c>
      <c r="D143">
        <v>11000</v>
      </c>
      <c r="E143">
        <f t="shared" si="2"/>
        <v>220000</v>
      </c>
    </row>
    <row r="144" spans="1:5" x14ac:dyDescent="0.3">
      <c r="A144" t="s">
        <v>60</v>
      </c>
      <c r="B144" t="s">
        <v>4</v>
      </c>
      <c r="C144">
        <v>25</v>
      </c>
      <c r="D144">
        <v>6000</v>
      </c>
      <c r="E144">
        <f t="shared" si="2"/>
        <v>150000</v>
      </c>
    </row>
    <row r="145" spans="1:5" x14ac:dyDescent="0.3">
      <c r="A145" t="s">
        <v>61</v>
      </c>
      <c r="B145" t="s">
        <v>4</v>
      </c>
      <c r="C145">
        <v>105</v>
      </c>
      <c r="D145">
        <v>9000</v>
      </c>
      <c r="E145">
        <f t="shared" si="2"/>
        <v>945000</v>
      </c>
    </row>
    <row r="146" spans="1:5" x14ac:dyDescent="0.3">
      <c r="A146" t="s">
        <v>32</v>
      </c>
      <c r="B146" t="s">
        <v>6</v>
      </c>
      <c r="C146">
        <v>790</v>
      </c>
      <c r="D146">
        <v>5000</v>
      </c>
      <c r="E146">
        <f t="shared" si="2"/>
        <v>3950000</v>
      </c>
    </row>
    <row r="147" spans="1:5" hidden="1" x14ac:dyDescent="0.3">
      <c r="A147" t="s">
        <v>66</v>
      </c>
      <c r="B147" t="s">
        <v>3</v>
      </c>
      <c r="E147">
        <f t="shared" si="2"/>
        <v>0</v>
      </c>
    </row>
    <row r="148" spans="1:5" hidden="1" x14ac:dyDescent="0.3">
      <c r="A148" t="s">
        <v>43</v>
      </c>
      <c r="B148" t="s">
        <v>3</v>
      </c>
      <c r="E148">
        <f t="shared" si="2"/>
        <v>0</v>
      </c>
    </row>
    <row r="149" spans="1:5" hidden="1" x14ac:dyDescent="0.3">
      <c r="A149" t="s">
        <v>67</v>
      </c>
      <c r="B149" t="s">
        <v>3</v>
      </c>
      <c r="E149">
        <f t="shared" si="2"/>
        <v>0</v>
      </c>
    </row>
    <row r="150" spans="1:5" x14ac:dyDescent="0.3">
      <c r="A150" t="s">
        <v>34</v>
      </c>
      <c r="B150" t="s">
        <v>3</v>
      </c>
      <c r="C150">
        <v>40</v>
      </c>
      <c r="D150">
        <v>30000</v>
      </c>
      <c r="E150">
        <f t="shared" si="2"/>
        <v>1200000</v>
      </c>
    </row>
    <row r="151" spans="1:5" x14ac:dyDescent="0.3">
      <c r="A151" t="s">
        <v>35</v>
      </c>
      <c r="B151" t="s">
        <v>3</v>
      </c>
      <c r="C151">
        <v>30</v>
      </c>
      <c r="D151">
        <v>15000</v>
      </c>
      <c r="E151">
        <f t="shared" si="2"/>
        <v>450000</v>
      </c>
    </row>
    <row r="152" spans="1:5" x14ac:dyDescent="0.3">
      <c r="A152" t="s">
        <v>36</v>
      </c>
      <c r="B152" t="s">
        <v>3</v>
      </c>
      <c r="C152">
        <v>30</v>
      </c>
      <c r="D152">
        <v>25000</v>
      </c>
      <c r="E152">
        <f t="shared" si="2"/>
        <v>750000</v>
      </c>
    </row>
    <row r="153" spans="1:5" x14ac:dyDescent="0.3">
      <c r="A153" t="s">
        <v>72</v>
      </c>
      <c r="B153" t="s">
        <v>3</v>
      </c>
      <c r="C153">
        <v>65</v>
      </c>
      <c r="D153">
        <v>7000</v>
      </c>
      <c r="E153">
        <f t="shared" si="2"/>
        <v>455000</v>
      </c>
    </row>
    <row r="154" spans="1:5" hidden="1" x14ac:dyDescent="0.3">
      <c r="A154" t="s">
        <v>23</v>
      </c>
      <c r="B154" t="s">
        <v>22</v>
      </c>
      <c r="E154">
        <f t="shared" si="2"/>
        <v>0</v>
      </c>
    </row>
    <row r="155" spans="1:5" hidden="1" x14ac:dyDescent="0.3">
      <c r="A155" t="s">
        <v>84</v>
      </c>
      <c r="B155" t="s">
        <v>22</v>
      </c>
      <c r="E155">
        <f t="shared" si="2"/>
        <v>0</v>
      </c>
    </row>
    <row r="156" spans="1:5" hidden="1" x14ac:dyDescent="0.3">
      <c r="A156" t="s">
        <v>86</v>
      </c>
      <c r="B156" t="s">
        <v>22</v>
      </c>
      <c r="E156">
        <f t="shared" si="2"/>
        <v>0</v>
      </c>
    </row>
    <row r="157" spans="1:5" hidden="1" x14ac:dyDescent="0.3">
      <c r="A157" t="s">
        <v>85</v>
      </c>
      <c r="B157" t="s">
        <v>22</v>
      </c>
      <c r="E157">
        <f t="shared" si="2"/>
        <v>0</v>
      </c>
    </row>
    <row r="158" spans="1:5" x14ac:dyDescent="0.3">
      <c r="E158">
        <f>SUM(E116:E153)</f>
        <v>32821500</v>
      </c>
    </row>
    <row r="159" spans="1:5" x14ac:dyDescent="0.3">
      <c r="E159">
        <f>SUM(E158,E111)</f>
        <v>185886300</v>
      </c>
    </row>
  </sheetData>
  <autoFilter ref="A2:E159" xr:uid="{00000000-0009-0000-0000-000002000000}">
    <filterColumn colId="4">
      <filters>
        <filter val="100000"/>
        <filter val="10120000"/>
        <filter val="1092000"/>
        <filter val="1125000"/>
        <filter val="1147500"/>
        <filter val="1190000"/>
        <filter val="120000"/>
        <filter val="1200000"/>
        <filter val="1242000"/>
        <filter val="1260000"/>
        <filter val="128000"/>
        <filter val="1360000"/>
        <filter val="1380000"/>
        <filter val="1458000"/>
        <filter val="1485000"/>
        <filter val="150000"/>
        <filter val="153064800"/>
        <filter val="154000"/>
        <filter val="160000"/>
        <filter val="162000"/>
        <filter val="1680000"/>
        <filter val="170000"/>
        <filter val="1760000"/>
        <filter val="1850000"/>
        <filter val="185886300"/>
        <filter val="190000"/>
        <filter val="195000"/>
        <filter val="1976000"/>
        <filter val="220000"/>
        <filter val="2250000"/>
        <filter val="228000"/>
        <filter val="23000"/>
        <filter val="2400000"/>
        <filter val="2450000"/>
        <filter val="25000"/>
        <filter val="258000"/>
        <filter val="260000"/>
        <filter val="2720000"/>
        <filter val="280000"/>
        <filter val="30000"/>
        <filter val="32821500"/>
        <filter val="35000"/>
        <filter val="3600000"/>
        <filter val="364000"/>
        <filter val="3645000"/>
        <filter val="374000"/>
        <filter val="3950000"/>
        <filter val="3990000"/>
        <filter val="40000"/>
        <filter val="42000"/>
        <filter val="425000"/>
        <filter val="450000"/>
        <filter val="4515000"/>
        <filter val="455000"/>
        <filter val="480000"/>
        <filter val="4837500"/>
        <filter val="5400000"/>
        <filter val="574000"/>
        <filter val="60000"/>
        <filter val="600000"/>
        <filter val="6050000"/>
        <filter val="612500"/>
        <filter val="6450000"/>
        <filter val="660000"/>
        <filter val="675000"/>
        <filter val="680000"/>
        <filter val="690000"/>
        <filter val="70000"/>
        <filter val="740000"/>
        <filter val="750000"/>
        <filter val="80000"/>
        <filter val="836000"/>
        <filter val="84000"/>
        <filter val="84538800"/>
        <filter val="85000"/>
        <filter val="850000"/>
        <filter val="90000"/>
        <filter val="945000"/>
        <filter val="thành tiền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2:F152"/>
  <sheetViews>
    <sheetView workbookViewId="0">
      <selection activeCell="H14" sqref="H14"/>
    </sheetView>
  </sheetViews>
  <sheetFormatPr defaultRowHeight="14.4" x14ac:dyDescent="0.3"/>
  <cols>
    <col min="1" max="1" width="29.33203125" customWidth="1"/>
    <col min="3" max="3" width="9.88671875" customWidth="1"/>
    <col min="4" max="4" width="13.44140625" customWidth="1"/>
    <col min="5" max="5" width="17.109375" customWidth="1"/>
  </cols>
  <sheetData>
    <row r="2" spans="1:5" x14ac:dyDescent="0.3">
      <c r="A2" t="s">
        <v>120</v>
      </c>
    </row>
    <row r="3" spans="1:5" x14ac:dyDescent="0.3">
      <c r="A3" t="s">
        <v>0</v>
      </c>
      <c r="B3" t="s">
        <v>1</v>
      </c>
      <c r="C3" t="s">
        <v>102</v>
      </c>
      <c r="D3" t="s">
        <v>100</v>
      </c>
      <c r="E3" t="s">
        <v>101</v>
      </c>
    </row>
    <row r="4" spans="1:5" x14ac:dyDescent="0.3">
      <c r="A4" t="s">
        <v>2</v>
      </c>
      <c r="B4" t="s">
        <v>3</v>
      </c>
      <c r="C4">
        <v>216</v>
      </c>
      <c r="D4">
        <v>13000</v>
      </c>
      <c r="E4">
        <f>C4*D4</f>
        <v>2808000</v>
      </c>
    </row>
    <row r="5" spans="1:5" hidden="1" x14ac:dyDescent="0.3">
      <c r="A5" t="s">
        <v>2</v>
      </c>
      <c r="B5" t="s">
        <v>4</v>
      </c>
      <c r="C5">
        <v>0</v>
      </c>
      <c r="E5">
        <f t="shared" ref="E5:E68" si="0">C5*D5</f>
        <v>0</v>
      </c>
    </row>
    <row r="6" spans="1:5" hidden="1" x14ac:dyDescent="0.3">
      <c r="A6" t="s">
        <v>5</v>
      </c>
      <c r="B6" t="s">
        <v>6</v>
      </c>
      <c r="C6">
        <v>0</v>
      </c>
      <c r="E6">
        <f t="shared" si="0"/>
        <v>0</v>
      </c>
    </row>
    <row r="7" spans="1:5" x14ac:dyDescent="0.3">
      <c r="A7" t="s">
        <v>7</v>
      </c>
      <c r="B7" t="s">
        <v>8</v>
      </c>
      <c r="C7">
        <v>30</v>
      </c>
      <c r="D7">
        <v>8500</v>
      </c>
      <c r="E7">
        <f t="shared" si="0"/>
        <v>255000</v>
      </c>
    </row>
    <row r="8" spans="1:5" x14ac:dyDescent="0.3">
      <c r="A8" t="s">
        <v>9</v>
      </c>
      <c r="B8" t="s">
        <v>3</v>
      </c>
      <c r="C8">
        <v>15</v>
      </c>
      <c r="D8">
        <v>17000</v>
      </c>
      <c r="E8">
        <f t="shared" si="0"/>
        <v>255000</v>
      </c>
    </row>
    <row r="9" spans="1:5" hidden="1" x14ac:dyDescent="0.3">
      <c r="A9" t="s">
        <v>9</v>
      </c>
      <c r="B9" t="s">
        <v>4</v>
      </c>
      <c r="C9">
        <v>0</v>
      </c>
      <c r="E9">
        <f t="shared" si="0"/>
        <v>0</v>
      </c>
    </row>
    <row r="10" spans="1:5" x14ac:dyDescent="0.3">
      <c r="A10" t="s">
        <v>10</v>
      </c>
      <c r="B10" t="s">
        <v>3</v>
      </c>
      <c r="C10">
        <v>55</v>
      </c>
      <c r="D10">
        <v>22500</v>
      </c>
      <c r="E10">
        <f t="shared" si="0"/>
        <v>1237500</v>
      </c>
    </row>
    <row r="11" spans="1:5" hidden="1" x14ac:dyDescent="0.3">
      <c r="A11" t="s">
        <v>10</v>
      </c>
      <c r="B11" t="s">
        <v>11</v>
      </c>
      <c r="C11">
        <v>0</v>
      </c>
      <c r="E11">
        <f t="shared" si="0"/>
        <v>0</v>
      </c>
    </row>
    <row r="12" spans="1:5" x14ac:dyDescent="0.3">
      <c r="A12" t="s">
        <v>12</v>
      </c>
      <c r="B12" t="s">
        <v>4</v>
      </c>
      <c r="C12">
        <v>250</v>
      </c>
      <c r="D12">
        <v>4500</v>
      </c>
      <c r="E12">
        <f t="shared" si="0"/>
        <v>1125000</v>
      </c>
    </row>
    <row r="13" spans="1:5" hidden="1" x14ac:dyDescent="0.3">
      <c r="A13" t="s">
        <v>13</v>
      </c>
      <c r="B13" t="s">
        <v>3</v>
      </c>
      <c r="C13">
        <v>0</v>
      </c>
      <c r="E13">
        <f t="shared" si="0"/>
        <v>0</v>
      </c>
    </row>
    <row r="14" spans="1:5" x14ac:dyDescent="0.3">
      <c r="A14" t="s">
        <v>14</v>
      </c>
      <c r="B14" t="s">
        <v>3</v>
      </c>
      <c r="C14">
        <v>50</v>
      </c>
      <c r="D14">
        <v>17000</v>
      </c>
      <c r="E14">
        <f t="shared" si="0"/>
        <v>850000</v>
      </c>
    </row>
    <row r="15" spans="1:5" x14ac:dyDescent="0.3">
      <c r="A15" t="s">
        <v>15</v>
      </c>
      <c r="B15" t="s">
        <v>3</v>
      </c>
      <c r="C15">
        <v>190</v>
      </c>
      <c r="D15">
        <v>18000</v>
      </c>
      <c r="E15">
        <f t="shared" si="0"/>
        <v>3420000</v>
      </c>
    </row>
    <row r="16" spans="1:5" hidden="1" x14ac:dyDescent="0.3">
      <c r="A16" t="s">
        <v>15</v>
      </c>
      <c r="B16" t="s">
        <v>4</v>
      </c>
      <c r="C16">
        <v>0</v>
      </c>
      <c r="E16">
        <f t="shared" si="0"/>
        <v>0</v>
      </c>
    </row>
    <row r="17" spans="1:5" x14ac:dyDescent="0.3">
      <c r="A17" t="s">
        <v>16</v>
      </c>
      <c r="B17" t="s">
        <v>6</v>
      </c>
      <c r="C17">
        <v>12</v>
      </c>
      <c r="D17">
        <v>8000</v>
      </c>
      <c r="E17">
        <f t="shared" si="0"/>
        <v>96000</v>
      </c>
    </row>
    <row r="18" spans="1:5" x14ac:dyDescent="0.3">
      <c r="A18" t="s">
        <v>17</v>
      </c>
      <c r="B18" t="s">
        <v>3</v>
      </c>
      <c r="C18">
        <v>1495</v>
      </c>
      <c r="D18">
        <v>8000</v>
      </c>
      <c r="E18">
        <f t="shared" si="0"/>
        <v>11960000</v>
      </c>
    </row>
    <row r="19" spans="1:5" hidden="1" x14ac:dyDescent="0.3">
      <c r="A19" t="s">
        <v>18</v>
      </c>
      <c r="B19" t="s">
        <v>3</v>
      </c>
      <c r="C19">
        <v>0</v>
      </c>
      <c r="E19">
        <f t="shared" si="0"/>
        <v>0</v>
      </c>
    </row>
    <row r="20" spans="1:5" hidden="1" x14ac:dyDescent="0.3">
      <c r="A20" t="s">
        <v>18</v>
      </c>
      <c r="B20" t="s">
        <v>4</v>
      </c>
      <c r="C20">
        <v>0</v>
      </c>
      <c r="E20">
        <f t="shared" si="0"/>
        <v>0</v>
      </c>
    </row>
    <row r="21" spans="1:5" x14ac:dyDescent="0.3">
      <c r="A21" t="s">
        <v>19</v>
      </c>
      <c r="B21" t="s">
        <v>4</v>
      </c>
      <c r="C21">
        <v>11</v>
      </c>
      <c r="D21">
        <v>8000</v>
      </c>
      <c r="E21">
        <f t="shared" si="0"/>
        <v>88000</v>
      </c>
    </row>
    <row r="22" spans="1:5" hidden="1" x14ac:dyDescent="0.3">
      <c r="A22" t="s">
        <v>20</v>
      </c>
      <c r="B22" t="s">
        <v>3</v>
      </c>
      <c r="C22">
        <v>0</v>
      </c>
      <c r="E22">
        <f t="shared" si="0"/>
        <v>0</v>
      </c>
    </row>
    <row r="23" spans="1:5" hidden="1" x14ac:dyDescent="0.3">
      <c r="A23" t="s">
        <v>21</v>
      </c>
      <c r="B23" t="s">
        <v>22</v>
      </c>
      <c r="C23">
        <v>0</v>
      </c>
      <c r="E23">
        <f t="shared" si="0"/>
        <v>0</v>
      </c>
    </row>
    <row r="24" spans="1:5" x14ac:dyDescent="0.3">
      <c r="A24" t="s">
        <v>21</v>
      </c>
      <c r="B24" t="s">
        <v>3</v>
      </c>
      <c r="C24">
        <v>20</v>
      </c>
      <c r="D24">
        <v>16000</v>
      </c>
      <c r="E24">
        <f t="shared" si="0"/>
        <v>320000</v>
      </c>
    </row>
    <row r="25" spans="1:5" hidden="1" x14ac:dyDescent="0.3">
      <c r="A25" t="s">
        <v>23</v>
      </c>
      <c r="B25" t="s">
        <v>3</v>
      </c>
      <c r="C25">
        <v>0</v>
      </c>
      <c r="E25">
        <f t="shared" si="0"/>
        <v>0</v>
      </c>
    </row>
    <row r="26" spans="1:5" x14ac:dyDescent="0.3">
      <c r="A26" t="s">
        <v>24</v>
      </c>
      <c r="B26" t="s">
        <v>3</v>
      </c>
      <c r="C26">
        <v>2000</v>
      </c>
      <c r="D26">
        <v>5500</v>
      </c>
      <c r="E26">
        <f t="shared" si="0"/>
        <v>11000000</v>
      </c>
    </row>
    <row r="27" spans="1:5" x14ac:dyDescent="0.3">
      <c r="A27" t="s">
        <v>25</v>
      </c>
      <c r="B27" t="s">
        <v>3</v>
      </c>
      <c r="C27">
        <v>43</v>
      </c>
      <c r="D27">
        <v>10000</v>
      </c>
      <c r="E27">
        <f t="shared" si="0"/>
        <v>430000</v>
      </c>
    </row>
    <row r="28" spans="1:5" hidden="1" x14ac:dyDescent="0.3">
      <c r="A28" t="s">
        <v>25</v>
      </c>
      <c r="B28" t="s">
        <v>26</v>
      </c>
      <c r="C28">
        <v>0</v>
      </c>
      <c r="E28">
        <f t="shared" si="0"/>
        <v>0</v>
      </c>
    </row>
    <row r="29" spans="1:5" x14ac:dyDescent="0.3">
      <c r="A29" t="s">
        <v>27</v>
      </c>
      <c r="B29" t="s">
        <v>3</v>
      </c>
      <c r="C29">
        <v>53</v>
      </c>
      <c r="D29">
        <v>10000</v>
      </c>
      <c r="E29">
        <f t="shared" si="0"/>
        <v>530000</v>
      </c>
    </row>
    <row r="30" spans="1:5" hidden="1" x14ac:dyDescent="0.3">
      <c r="A30" t="s">
        <v>27</v>
      </c>
      <c r="B30" t="s">
        <v>26</v>
      </c>
      <c r="C30">
        <v>0</v>
      </c>
      <c r="E30">
        <f t="shared" si="0"/>
        <v>0</v>
      </c>
    </row>
    <row r="31" spans="1:5" x14ac:dyDescent="0.3">
      <c r="A31" t="s">
        <v>28</v>
      </c>
      <c r="B31" t="s">
        <v>3</v>
      </c>
      <c r="C31">
        <v>7</v>
      </c>
      <c r="D31">
        <v>22000</v>
      </c>
      <c r="E31">
        <f t="shared" si="0"/>
        <v>154000</v>
      </c>
    </row>
    <row r="32" spans="1:5" hidden="1" x14ac:dyDescent="0.3">
      <c r="A32" t="s">
        <v>28</v>
      </c>
      <c r="B32" t="s">
        <v>6</v>
      </c>
      <c r="C32">
        <v>0</v>
      </c>
      <c r="E32">
        <f t="shared" si="0"/>
        <v>0</v>
      </c>
    </row>
    <row r="33" spans="1:5" hidden="1" x14ac:dyDescent="0.3">
      <c r="A33" t="s">
        <v>28</v>
      </c>
      <c r="B33" t="s">
        <v>29</v>
      </c>
      <c r="C33">
        <v>0</v>
      </c>
      <c r="E33">
        <f t="shared" si="0"/>
        <v>0</v>
      </c>
    </row>
    <row r="34" spans="1:5" x14ac:dyDescent="0.3">
      <c r="A34" t="s">
        <v>30</v>
      </c>
      <c r="B34" t="s">
        <v>3</v>
      </c>
      <c r="C34">
        <v>180</v>
      </c>
      <c r="D34">
        <v>22000</v>
      </c>
      <c r="E34">
        <f t="shared" si="0"/>
        <v>3960000</v>
      </c>
    </row>
    <row r="35" spans="1:5" hidden="1" x14ac:dyDescent="0.3">
      <c r="A35" t="s">
        <v>30</v>
      </c>
      <c r="B35" t="s">
        <v>6</v>
      </c>
      <c r="C35">
        <v>0</v>
      </c>
      <c r="E35">
        <f t="shared" si="0"/>
        <v>0</v>
      </c>
    </row>
    <row r="36" spans="1:5" hidden="1" x14ac:dyDescent="0.3">
      <c r="A36" t="s">
        <v>31</v>
      </c>
      <c r="B36" t="s">
        <v>4</v>
      </c>
      <c r="C36">
        <v>0</v>
      </c>
      <c r="E36">
        <f t="shared" si="0"/>
        <v>0</v>
      </c>
    </row>
    <row r="37" spans="1:5" x14ac:dyDescent="0.3">
      <c r="A37" t="s">
        <v>32</v>
      </c>
      <c r="B37" t="s">
        <v>3</v>
      </c>
      <c r="C37">
        <v>45</v>
      </c>
      <c r="D37">
        <v>10000</v>
      </c>
      <c r="E37">
        <f t="shared" si="0"/>
        <v>450000</v>
      </c>
    </row>
    <row r="38" spans="1:5" x14ac:dyDescent="0.3">
      <c r="A38" t="s">
        <v>32</v>
      </c>
      <c r="B38" t="s">
        <v>6</v>
      </c>
      <c r="C38">
        <v>990</v>
      </c>
      <c r="D38">
        <v>5000</v>
      </c>
      <c r="E38">
        <f t="shared" si="0"/>
        <v>4950000</v>
      </c>
    </row>
    <row r="39" spans="1:5" x14ac:dyDescent="0.3">
      <c r="A39" t="s">
        <v>33</v>
      </c>
      <c r="B39" t="s">
        <v>3</v>
      </c>
      <c r="C39">
        <v>17</v>
      </c>
      <c r="D39">
        <v>6000</v>
      </c>
      <c r="E39">
        <f t="shared" si="0"/>
        <v>102000</v>
      </c>
    </row>
    <row r="40" spans="1:5" x14ac:dyDescent="0.3">
      <c r="A40" t="s">
        <v>34</v>
      </c>
      <c r="B40" t="s">
        <v>3</v>
      </c>
      <c r="C40">
        <v>77</v>
      </c>
      <c r="D40">
        <v>27000</v>
      </c>
      <c r="E40">
        <f t="shared" si="0"/>
        <v>2079000</v>
      </c>
    </row>
    <row r="41" spans="1:5" hidden="1" x14ac:dyDescent="0.3">
      <c r="A41" t="s">
        <v>34</v>
      </c>
      <c r="B41" t="s">
        <v>26</v>
      </c>
      <c r="C41">
        <v>0</v>
      </c>
      <c r="E41">
        <f t="shared" si="0"/>
        <v>0</v>
      </c>
    </row>
    <row r="42" spans="1:5" x14ac:dyDescent="0.3">
      <c r="A42" t="s">
        <v>35</v>
      </c>
      <c r="B42" t="s">
        <v>3</v>
      </c>
      <c r="C42">
        <v>63</v>
      </c>
      <c r="D42">
        <v>15000</v>
      </c>
      <c r="E42">
        <f t="shared" si="0"/>
        <v>945000</v>
      </c>
    </row>
    <row r="43" spans="1:5" hidden="1" x14ac:dyDescent="0.3">
      <c r="A43" t="s">
        <v>35</v>
      </c>
      <c r="B43" t="s">
        <v>26</v>
      </c>
      <c r="C43">
        <v>0</v>
      </c>
      <c r="E43">
        <f t="shared" si="0"/>
        <v>0</v>
      </c>
    </row>
    <row r="44" spans="1:5" x14ac:dyDescent="0.3">
      <c r="A44" t="s">
        <v>36</v>
      </c>
      <c r="B44" t="s">
        <v>3</v>
      </c>
      <c r="C44">
        <v>122</v>
      </c>
      <c r="D44">
        <v>25000</v>
      </c>
      <c r="E44">
        <f t="shared" si="0"/>
        <v>3050000</v>
      </c>
    </row>
    <row r="45" spans="1:5" hidden="1" x14ac:dyDescent="0.3">
      <c r="A45" t="s">
        <v>36</v>
      </c>
      <c r="B45" t="s">
        <v>26</v>
      </c>
      <c r="C45">
        <v>0</v>
      </c>
      <c r="E45">
        <f t="shared" si="0"/>
        <v>0</v>
      </c>
    </row>
    <row r="46" spans="1:5" hidden="1" x14ac:dyDescent="0.3">
      <c r="A46" t="s">
        <v>37</v>
      </c>
      <c r="B46" t="s">
        <v>3</v>
      </c>
      <c r="C46">
        <v>0</v>
      </c>
      <c r="E46">
        <f t="shared" si="0"/>
        <v>0</v>
      </c>
    </row>
    <row r="47" spans="1:5" hidden="1" x14ac:dyDescent="0.3">
      <c r="A47" t="s">
        <v>38</v>
      </c>
      <c r="B47" t="s">
        <v>6</v>
      </c>
      <c r="C47">
        <v>0</v>
      </c>
      <c r="E47">
        <f t="shared" si="0"/>
        <v>0</v>
      </c>
    </row>
    <row r="48" spans="1:5" hidden="1" x14ac:dyDescent="0.3">
      <c r="A48" t="s">
        <v>39</v>
      </c>
      <c r="B48" t="s">
        <v>3</v>
      </c>
      <c r="C48">
        <v>0</v>
      </c>
      <c r="E48">
        <f t="shared" si="0"/>
        <v>0</v>
      </c>
    </row>
    <row r="49" spans="1:6" x14ac:dyDescent="0.3">
      <c r="A49" t="s">
        <v>40</v>
      </c>
      <c r="B49" t="s">
        <v>3</v>
      </c>
      <c r="C49">
        <v>5</v>
      </c>
      <c r="D49">
        <v>30000</v>
      </c>
      <c r="E49">
        <f t="shared" si="0"/>
        <v>150000</v>
      </c>
    </row>
    <row r="50" spans="1:6" x14ac:dyDescent="0.3">
      <c r="A50" t="s">
        <v>40</v>
      </c>
      <c r="B50" t="s">
        <v>41</v>
      </c>
      <c r="C50">
        <v>78</v>
      </c>
      <c r="D50">
        <v>9000</v>
      </c>
      <c r="E50">
        <f t="shared" si="0"/>
        <v>702000</v>
      </c>
    </row>
    <row r="51" spans="1:6" hidden="1" x14ac:dyDescent="0.3">
      <c r="A51" t="s">
        <v>42</v>
      </c>
      <c r="B51" t="s">
        <v>3</v>
      </c>
      <c r="C51">
        <v>0</v>
      </c>
      <c r="E51">
        <f t="shared" si="0"/>
        <v>0</v>
      </c>
    </row>
    <row r="52" spans="1:6" x14ac:dyDescent="0.3">
      <c r="A52" t="s">
        <v>43</v>
      </c>
      <c r="B52" t="s">
        <v>3</v>
      </c>
      <c r="C52">
        <v>2358</v>
      </c>
      <c r="D52">
        <v>27600</v>
      </c>
      <c r="E52">
        <f t="shared" si="0"/>
        <v>65080800</v>
      </c>
      <c r="F52" t="s">
        <v>130</v>
      </c>
    </row>
    <row r="53" spans="1:6" x14ac:dyDescent="0.3">
      <c r="A53" t="s">
        <v>44</v>
      </c>
      <c r="B53" t="s">
        <v>3</v>
      </c>
      <c r="C53">
        <v>30</v>
      </c>
      <c r="D53">
        <v>36000</v>
      </c>
      <c r="E53">
        <f t="shared" si="0"/>
        <v>1080000</v>
      </c>
    </row>
    <row r="54" spans="1:6" x14ac:dyDescent="0.3">
      <c r="A54" t="s">
        <v>45</v>
      </c>
      <c r="B54" t="s">
        <v>3</v>
      </c>
      <c r="C54">
        <v>98</v>
      </c>
      <c r="D54">
        <v>10000</v>
      </c>
      <c r="E54">
        <f t="shared" si="0"/>
        <v>980000</v>
      </c>
    </row>
    <row r="55" spans="1:6" hidden="1" x14ac:dyDescent="0.3">
      <c r="A55" t="s">
        <v>46</v>
      </c>
      <c r="B55" t="s">
        <v>3</v>
      </c>
      <c r="C55">
        <v>0</v>
      </c>
      <c r="E55">
        <f t="shared" si="0"/>
        <v>0</v>
      </c>
    </row>
    <row r="56" spans="1:6" x14ac:dyDescent="0.3">
      <c r="A56" t="s">
        <v>47</v>
      </c>
      <c r="B56" t="s">
        <v>3</v>
      </c>
      <c r="C56">
        <v>18</v>
      </c>
      <c r="D56">
        <v>26000</v>
      </c>
      <c r="E56">
        <f t="shared" si="0"/>
        <v>468000</v>
      </c>
    </row>
    <row r="57" spans="1:6" hidden="1" x14ac:dyDescent="0.3">
      <c r="A57" t="s">
        <v>48</v>
      </c>
      <c r="B57" t="s">
        <v>3</v>
      </c>
      <c r="C57">
        <v>0</v>
      </c>
      <c r="E57">
        <f t="shared" si="0"/>
        <v>0</v>
      </c>
    </row>
    <row r="58" spans="1:6" hidden="1" x14ac:dyDescent="0.3">
      <c r="A58" t="s">
        <v>48</v>
      </c>
      <c r="B58" t="s">
        <v>49</v>
      </c>
      <c r="C58">
        <v>0</v>
      </c>
      <c r="E58">
        <f t="shared" si="0"/>
        <v>0</v>
      </c>
    </row>
    <row r="59" spans="1:6" hidden="1" x14ac:dyDescent="0.3">
      <c r="A59" t="s">
        <v>50</v>
      </c>
      <c r="B59" t="s">
        <v>8</v>
      </c>
      <c r="C59">
        <v>0</v>
      </c>
      <c r="E59">
        <f t="shared" si="0"/>
        <v>0</v>
      </c>
    </row>
    <row r="60" spans="1:6" x14ac:dyDescent="0.3">
      <c r="A60" t="s">
        <v>50</v>
      </c>
      <c r="B60" t="s">
        <v>41</v>
      </c>
      <c r="C60">
        <v>7</v>
      </c>
      <c r="D60">
        <v>17000</v>
      </c>
      <c r="E60">
        <f t="shared" si="0"/>
        <v>119000</v>
      </c>
    </row>
    <row r="61" spans="1:6" hidden="1" x14ac:dyDescent="0.3">
      <c r="A61" t="s">
        <v>51</v>
      </c>
      <c r="B61" t="s">
        <v>3</v>
      </c>
      <c r="C61">
        <v>0</v>
      </c>
      <c r="E61">
        <f t="shared" si="0"/>
        <v>0</v>
      </c>
    </row>
    <row r="62" spans="1:6" hidden="1" x14ac:dyDescent="0.3">
      <c r="A62" t="s">
        <v>51</v>
      </c>
      <c r="B62" t="s">
        <v>52</v>
      </c>
      <c r="C62">
        <v>0</v>
      </c>
      <c r="E62">
        <f t="shared" si="0"/>
        <v>0</v>
      </c>
    </row>
    <row r="63" spans="1:6" x14ac:dyDescent="0.3">
      <c r="A63" t="s">
        <v>53</v>
      </c>
      <c r="B63" t="s">
        <v>3</v>
      </c>
      <c r="C63">
        <v>66</v>
      </c>
      <c r="D63">
        <v>6500</v>
      </c>
      <c r="E63">
        <f t="shared" si="0"/>
        <v>429000</v>
      </c>
    </row>
    <row r="64" spans="1:6" hidden="1" x14ac:dyDescent="0.3">
      <c r="A64" t="s">
        <v>53</v>
      </c>
      <c r="B64" t="s">
        <v>54</v>
      </c>
      <c r="C64">
        <v>0</v>
      </c>
      <c r="E64">
        <f t="shared" si="0"/>
        <v>0</v>
      </c>
    </row>
    <row r="65" spans="1:5" x14ac:dyDescent="0.3">
      <c r="A65" t="s">
        <v>55</v>
      </c>
      <c r="B65" t="s">
        <v>4</v>
      </c>
      <c r="C65">
        <v>3</v>
      </c>
      <c r="D65">
        <v>5000</v>
      </c>
      <c r="E65">
        <f t="shared" si="0"/>
        <v>15000</v>
      </c>
    </row>
    <row r="66" spans="1:5" hidden="1" x14ac:dyDescent="0.3">
      <c r="A66" t="s">
        <v>56</v>
      </c>
      <c r="B66" t="s">
        <v>3</v>
      </c>
      <c r="C66">
        <v>0</v>
      </c>
      <c r="E66">
        <f t="shared" si="0"/>
        <v>0</v>
      </c>
    </row>
    <row r="67" spans="1:5" x14ac:dyDescent="0.3">
      <c r="A67" t="s">
        <v>57</v>
      </c>
      <c r="B67" t="s">
        <v>3</v>
      </c>
      <c r="C67">
        <v>85</v>
      </c>
      <c r="D67">
        <v>4500</v>
      </c>
      <c r="E67">
        <f t="shared" si="0"/>
        <v>382500</v>
      </c>
    </row>
    <row r="68" spans="1:5" x14ac:dyDescent="0.3">
      <c r="A68" t="s">
        <v>58</v>
      </c>
      <c r="B68" t="s">
        <v>3</v>
      </c>
      <c r="C68">
        <v>11</v>
      </c>
      <c r="D68">
        <v>30000</v>
      </c>
      <c r="E68">
        <f t="shared" si="0"/>
        <v>330000</v>
      </c>
    </row>
    <row r="69" spans="1:5" x14ac:dyDescent="0.3">
      <c r="A69" t="s">
        <v>59</v>
      </c>
      <c r="B69" t="s">
        <v>3</v>
      </c>
      <c r="C69">
        <v>14</v>
      </c>
      <c r="D69">
        <v>11000</v>
      </c>
      <c r="E69">
        <f t="shared" ref="E69:E134" si="1">C69*D69</f>
        <v>154000</v>
      </c>
    </row>
    <row r="70" spans="1:5" hidden="1" x14ac:dyDescent="0.3">
      <c r="A70" t="s">
        <v>60</v>
      </c>
      <c r="B70" t="s">
        <v>4</v>
      </c>
      <c r="C70">
        <v>0</v>
      </c>
      <c r="E70">
        <f t="shared" si="1"/>
        <v>0</v>
      </c>
    </row>
    <row r="71" spans="1:5" hidden="1" x14ac:dyDescent="0.3">
      <c r="A71" t="s">
        <v>61</v>
      </c>
      <c r="B71" t="s">
        <v>3</v>
      </c>
      <c r="C71">
        <v>0</v>
      </c>
      <c r="E71">
        <f t="shared" si="1"/>
        <v>0</v>
      </c>
    </row>
    <row r="72" spans="1:5" x14ac:dyDescent="0.3">
      <c r="A72" t="s">
        <v>61</v>
      </c>
      <c r="B72" t="s">
        <v>62</v>
      </c>
      <c r="C72">
        <v>68</v>
      </c>
      <c r="D72">
        <v>9000</v>
      </c>
      <c r="E72">
        <f t="shared" si="1"/>
        <v>612000</v>
      </c>
    </row>
    <row r="73" spans="1:5" hidden="1" x14ac:dyDescent="0.3">
      <c r="A73" t="s">
        <v>63</v>
      </c>
      <c r="B73" t="s">
        <v>3</v>
      </c>
      <c r="C73">
        <v>0</v>
      </c>
      <c r="E73">
        <f t="shared" si="1"/>
        <v>0</v>
      </c>
    </row>
    <row r="74" spans="1:5" x14ac:dyDescent="0.3">
      <c r="A74" t="s">
        <v>64</v>
      </c>
      <c r="B74" t="s">
        <v>3</v>
      </c>
      <c r="C74">
        <v>1.2</v>
      </c>
      <c r="D74">
        <v>70000</v>
      </c>
      <c r="E74">
        <f t="shared" si="1"/>
        <v>84000</v>
      </c>
    </row>
    <row r="75" spans="1:5" hidden="1" x14ac:dyDescent="0.3">
      <c r="A75" t="s">
        <v>65</v>
      </c>
      <c r="B75" t="s">
        <v>3</v>
      </c>
      <c r="C75">
        <v>0</v>
      </c>
      <c r="E75">
        <f t="shared" si="1"/>
        <v>0</v>
      </c>
    </row>
    <row r="76" spans="1:5" hidden="1" x14ac:dyDescent="0.3">
      <c r="A76" t="s">
        <v>66</v>
      </c>
      <c r="B76" t="s">
        <v>22</v>
      </c>
      <c r="C76">
        <v>0</v>
      </c>
      <c r="E76">
        <f t="shared" si="1"/>
        <v>0</v>
      </c>
    </row>
    <row r="77" spans="1:5" x14ac:dyDescent="0.3">
      <c r="A77" t="s">
        <v>66</v>
      </c>
      <c r="B77" t="s">
        <v>3</v>
      </c>
      <c r="C77">
        <v>16</v>
      </c>
      <c r="D77">
        <v>27000</v>
      </c>
      <c r="E77">
        <f t="shared" si="1"/>
        <v>432000</v>
      </c>
    </row>
    <row r="78" spans="1:5" hidden="1" x14ac:dyDescent="0.3">
      <c r="A78" t="s">
        <v>67</v>
      </c>
      <c r="B78" t="s">
        <v>3</v>
      </c>
      <c r="C78">
        <v>0</v>
      </c>
      <c r="E78">
        <f t="shared" si="1"/>
        <v>0</v>
      </c>
    </row>
    <row r="79" spans="1:5" hidden="1" x14ac:dyDescent="0.3">
      <c r="A79" t="s">
        <v>68</v>
      </c>
      <c r="B79" t="s">
        <v>4</v>
      </c>
      <c r="C79">
        <v>0</v>
      </c>
      <c r="E79">
        <f t="shared" si="1"/>
        <v>0</v>
      </c>
    </row>
    <row r="80" spans="1:5" x14ac:dyDescent="0.3">
      <c r="A80" t="s">
        <v>69</v>
      </c>
      <c r="B80" t="s">
        <v>3</v>
      </c>
      <c r="C80">
        <v>12</v>
      </c>
      <c r="D80">
        <v>14000</v>
      </c>
      <c r="E80">
        <f t="shared" si="1"/>
        <v>168000</v>
      </c>
    </row>
    <row r="81" spans="1:5" hidden="1" x14ac:dyDescent="0.3">
      <c r="A81" t="s">
        <v>70</v>
      </c>
      <c r="B81" t="s">
        <v>8</v>
      </c>
      <c r="C81">
        <v>0</v>
      </c>
      <c r="E81">
        <f t="shared" si="1"/>
        <v>0</v>
      </c>
    </row>
    <row r="82" spans="1:5" x14ac:dyDescent="0.3">
      <c r="A82" t="s">
        <v>70</v>
      </c>
      <c r="B82" t="s">
        <v>3</v>
      </c>
      <c r="C82">
        <v>2</v>
      </c>
      <c r="D82">
        <v>44000</v>
      </c>
      <c r="E82">
        <f t="shared" si="1"/>
        <v>88000</v>
      </c>
    </row>
    <row r="83" spans="1:5" x14ac:dyDescent="0.3">
      <c r="A83" t="s">
        <v>71</v>
      </c>
      <c r="B83" t="s">
        <v>4</v>
      </c>
      <c r="C83">
        <v>97</v>
      </c>
      <c r="D83">
        <v>18000</v>
      </c>
      <c r="E83">
        <f t="shared" si="1"/>
        <v>1746000</v>
      </c>
    </row>
    <row r="84" spans="1:5" x14ac:dyDescent="0.3">
      <c r="A84" t="s">
        <v>72</v>
      </c>
      <c r="B84" t="s">
        <v>3</v>
      </c>
      <c r="C84">
        <v>125</v>
      </c>
      <c r="D84">
        <v>7000</v>
      </c>
      <c r="E84">
        <f t="shared" si="1"/>
        <v>875000</v>
      </c>
    </row>
    <row r="85" spans="1:5" hidden="1" x14ac:dyDescent="0.3">
      <c r="A85" t="s">
        <v>73</v>
      </c>
      <c r="B85" t="s">
        <v>3</v>
      </c>
      <c r="C85">
        <v>0</v>
      </c>
      <c r="E85">
        <f t="shared" si="1"/>
        <v>0</v>
      </c>
    </row>
    <row r="86" spans="1:5" hidden="1" x14ac:dyDescent="0.3">
      <c r="A86" t="s">
        <v>74</v>
      </c>
      <c r="B86" t="s">
        <v>3</v>
      </c>
      <c r="C86">
        <v>0</v>
      </c>
      <c r="E86">
        <f t="shared" si="1"/>
        <v>0</v>
      </c>
    </row>
    <row r="87" spans="1:5" hidden="1" x14ac:dyDescent="0.3">
      <c r="A87" t="s">
        <v>75</v>
      </c>
      <c r="B87" t="s">
        <v>3</v>
      </c>
      <c r="C87">
        <v>0</v>
      </c>
      <c r="E87">
        <f t="shared" si="1"/>
        <v>0</v>
      </c>
    </row>
    <row r="88" spans="1:5" hidden="1" x14ac:dyDescent="0.3">
      <c r="A88" t="s">
        <v>76</v>
      </c>
      <c r="B88" t="s">
        <v>3</v>
      </c>
      <c r="C88">
        <v>0</v>
      </c>
      <c r="E88">
        <f t="shared" si="1"/>
        <v>0</v>
      </c>
    </row>
    <row r="89" spans="1:5" hidden="1" x14ac:dyDescent="0.3">
      <c r="A89" t="s">
        <v>82</v>
      </c>
      <c r="B89" t="s">
        <v>3</v>
      </c>
      <c r="C89">
        <v>0</v>
      </c>
      <c r="E89">
        <f t="shared" si="1"/>
        <v>0</v>
      </c>
    </row>
    <row r="90" spans="1:5" hidden="1" x14ac:dyDescent="0.3">
      <c r="A90" t="s">
        <v>84</v>
      </c>
      <c r="B90" t="s">
        <v>22</v>
      </c>
      <c r="C90">
        <v>0</v>
      </c>
      <c r="E90">
        <f t="shared" si="1"/>
        <v>0</v>
      </c>
    </row>
    <row r="91" spans="1:5" x14ac:dyDescent="0.3">
      <c r="A91" t="s">
        <v>85</v>
      </c>
      <c r="B91" t="s">
        <v>22</v>
      </c>
      <c r="C91">
        <v>40</v>
      </c>
      <c r="D91">
        <v>6800</v>
      </c>
      <c r="E91">
        <f t="shared" si="1"/>
        <v>272000</v>
      </c>
    </row>
    <row r="92" spans="1:5" x14ac:dyDescent="0.3">
      <c r="A92" t="s">
        <v>116</v>
      </c>
      <c r="B92" t="s">
        <v>26</v>
      </c>
      <c r="C92">
        <v>406</v>
      </c>
      <c r="D92">
        <v>10000</v>
      </c>
      <c r="E92">
        <f t="shared" si="1"/>
        <v>4060000</v>
      </c>
    </row>
    <row r="93" spans="1:5" hidden="1" x14ac:dyDescent="0.3">
      <c r="A93" t="s">
        <v>117</v>
      </c>
      <c r="B93" t="s">
        <v>8</v>
      </c>
      <c r="C93">
        <v>0</v>
      </c>
      <c r="E93">
        <f t="shared" si="1"/>
        <v>0</v>
      </c>
    </row>
    <row r="94" spans="1:5" x14ac:dyDescent="0.3">
      <c r="A94" t="s">
        <v>88</v>
      </c>
      <c r="B94" t="s">
        <v>3</v>
      </c>
      <c r="C94">
        <v>110</v>
      </c>
      <c r="D94">
        <v>36000</v>
      </c>
      <c r="E94">
        <f t="shared" si="1"/>
        <v>3960000</v>
      </c>
    </row>
    <row r="95" spans="1:5" x14ac:dyDescent="0.3">
      <c r="A95" t="s">
        <v>86</v>
      </c>
      <c r="B95" t="s">
        <v>22</v>
      </c>
      <c r="C95">
        <v>30</v>
      </c>
      <c r="D95">
        <v>6800</v>
      </c>
      <c r="E95">
        <f t="shared" si="1"/>
        <v>204000</v>
      </c>
    </row>
    <row r="96" spans="1:5" hidden="1" x14ac:dyDescent="0.3">
      <c r="A96" t="s">
        <v>92</v>
      </c>
      <c r="B96" t="s">
        <v>3</v>
      </c>
      <c r="C96">
        <v>0</v>
      </c>
      <c r="E96">
        <f t="shared" si="1"/>
        <v>0</v>
      </c>
    </row>
    <row r="97" spans="1:6" x14ac:dyDescent="0.3">
      <c r="A97" t="s">
        <v>87</v>
      </c>
      <c r="B97" t="s">
        <v>4</v>
      </c>
      <c r="C97">
        <v>204</v>
      </c>
      <c r="D97">
        <v>6000</v>
      </c>
      <c r="E97">
        <f t="shared" si="1"/>
        <v>1224000</v>
      </c>
    </row>
    <row r="98" spans="1:6" x14ac:dyDescent="0.3">
      <c r="A98" t="s">
        <v>91</v>
      </c>
      <c r="B98" t="s">
        <v>3</v>
      </c>
      <c r="C98">
        <v>70</v>
      </c>
      <c r="D98">
        <v>9000</v>
      </c>
      <c r="E98">
        <f t="shared" si="1"/>
        <v>630000</v>
      </c>
    </row>
    <row r="99" spans="1:6" x14ac:dyDescent="0.3">
      <c r="A99" t="s">
        <v>81</v>
      </c>
      <c r="B99" t="s">
        <v>3</v>
      </c>
      <c r="C99">
        <v>10</v>
      </c>
      <c r="D99">
        <v>9000</v>
      </c>
      <c r="E99">
        <f t="shared" si="1"/>
        <v>90000</v>
      </c>
    </row>
    <row r="100" spans="1:6" x14ac:dyDescent="0.3">
      <c r="A100" t="s">
        <v>93</v>
      </c>
      <c r="B100" t="s">
        <v>3</v>
      </c>
      <c r="C100">
        <v>30</v>
      </c>
      <c r="D100">
        <v>25000</v>
      </c>
      <c r="E100">
        <f t="shared" si="1"/>
        <v>750000</v>
      </c>
    </row>
    <row r="101" spans="1:6" x14ac:dyDescent="0.3">
      <c r="A101" t="s">
        <v>95</v>
      </c>
      <c r="B101" t="s">
        <v>3</v>
      </c>
      <c r="C101">
        <v>20</v>
      </c>
      <c r="D101">
        <v>7000</v>
      </c>
      <c r="E101">
        <f t="shared" si="1"/>
        <v>140000</v>
      </c>
    </row>
    <row r="102" spans="1:6" x14ac:dyDescent="0.3">
      <c r="A102" t="s">
        <v>97</v>
      </c>
      <c r="B102" t="s">
        <v>3</v>
      </c>
      <c r="C102">
        <v>8</v>
      </c>
      <c r="D102">
        <v>16000</v>
      </c>
      <c r="E102">
        <f t="shared" si="1"/>
        <v>128000</v>
      </c>
    </row>
    <row r="103" spans="1:6" x14ac:dyDescent="0.3">
      <c r="A103" t="s">
        <v>107</v>
      </c>
      <c r="B103" t="s">
        <v>3</v>
      </c>
      <c r="C103">
        <v>1</v>
      </c>
      <c r="D103">
        <v>16000</v>
      </c>
      <c r="E103">
        <f t="shared" si="1"/>
        <v>16000</v>
      </c>
    </row>
    <row r="104" spans="1:6" x14ac:dyDescent="0.3">
      <c r="A104" t="s">
        <v>106</v>
      </c>
      <c r="B104" t="s">
        <v>3</v>
      </c>
      <c r="C104">
        <v>8</v>
      </c>
      <c r="D104">
        <v>20000</v>
      </c>
      <c r="E104">
        <f t="shared" si="1"/>
        <v>160000</v>
      </c>
    </row>
    <row r="105" spans="1:6" x14ac:dyDescent="0.3">
      <c r="A105" t="s">
        <v>118</v>
      </c>
      <c r="B105" t="s">
        <v>3</v>
      </c>
      <c r="C105">
        <v>5</v>
      </c>
      <c r="D105">
        <v>20000</v>
      </c>
      <c r="E105">
        <f t="shared" si="1"/>
        <v>100000</v>
      </c>
    </row>
    <row r="106" spans="1:6" x14ac:dyDescent="0.3">
      <c r="A106" t="s">
        <v>119</v>
      </c>
      <c r="B106" t="s">
        <v>3</v>
      </c>
      <c r="C106">
        <v>20</v>
      </c>
      <c r="D106">
        <v>25000</v>
      </c>
      <c r="E106">
        <f t="shared" si="1"/>
        <v>500000</v>
      </c>
      <c r="F106" t="s">
        <v>121</v>
      </c>
    </row>
    <row r="107" spans="1:6" x14ac:dyDescent="0.3">
      <c r="E107">
        <f>SUM(E4:E106)</f>
        <v>136193800</v>
      </c>
    </row>
    <row r="108" spans="1:6" hidden="1" x14ac:dyDescent="0.3">
      <c r="A108" t="s">
        <v>103</v>
      </c>
    </row>
    <row r="109" spans="1:6" x14ac:dyDescent="0.3">
      <c r="A109" t="s">
        <v>0</v>
      </c>
      <c r="B109" t="s">
        <v>1</v>
      </c>
      <c r="C109" t="s">
        <v>102</v>
      </c>
      <c r="D109" t="s">
        <v>100</v>
      </c>
      <c r="E109" t="s">
        <v>101</v>
      </c>
    </row>
    <row r="110" spans="1:6" x14ac:dyDescent="0.3">
      <c r="A110" t="s">
        <v>44</v>
      </c>
      <c r="B110" t="s">
        <v>3</v>
      </c>
      <c r="C110">
        <v>40</v>
      </c>
      <c r="D110">
        <v>36000</v>
      </c>
      <c r="E110">
        <f t="shared" si="1"/>
        <v>1440000</v>
      </c>
    </row>
    <row r="111" spans="1:6" hidden="1" x14ac:dyDescent="0.3">
      <c r="A111" t="s">
        <v>45</v>
      </c>
      <c r="B111" t="s">
        <v>3</v>
      </c>
      <c r="C111">
        <v>0</v>
      </c>
      <c r="E111">
        <f t="shared" si="1"/>
        <v>0</v>
      </c>
    </row>
    <row r="112" spans="1:6" x14ac:dyDescent="0.3">
      <c r="A112" t="s">
        <v>17</v>
      </c>
      <c r="B112" t="s">
        <v>3</v>
      </c>
      <c r="C112">
        <v>90</v>
      </c>
      <c r="D112">
        <v>8000</v>
      </c>
      <c r="E112">
        <f t="shared" si="1"/>
        <v>720000</v>
      </c>
    </row>
    <row r="113" spans="1:5" x14ac:dyDescent="0.3">
      <c r="A113" t="s">
        <v>95</v>
      </c>
      <c r="B113" t="s">
        <v>3</v>
      </c>
      <c r="C113">
        <v>40</v>
      </c>
      <c r="D113">
        <v>7000</v>
      </c>
      <c r="E113">
        <f t="shared" si="1"/>
        <v>280000</v>
      </c>
    </row>
    <row r="114" spans="1:5" hidden="1" x14ac:dyDescent="0.3">
      <c r="A114" t="s">
        <v>24</v>
      </c>
      <c r="B114" t="s">
        <v>3</v>
      </c>
      <c r="C114">
        <v>0</v>
      </c>
      <c r="E114">
        <f t="shared" si="1"/>
        <v>0</v>
      </c>
    </row>
    <row r="115" spans="1:5" hidden="1" x14ac:dyDescent="0.3">
      <c r="A115" t="s">
        <v>78</v>
      </c>
      <c r="B115" t="s">
        <v>3</v>
      </c>
      <c r="C115">
        <v>0</v>
      </c>
      <c r="E115">
        <f t="shared" si="1"/>
        <v>0</v>
      </c>
    </row>
    <row r="116" spans="1:5" x14ac:dyDescent="0.3">
      <c r="A116" t="s">
        <v>25</v>
      </c>
      <c r="B116" t="s">
        <v>3</v>
      </c>
      <c r="C116">
        <v>60</v>
      </c>
      <c r="D116">
        <v>10000</v>
      </c>
      <c r="E116">
        <f t="shared" si="1"/>
        <v>600000</v>
      </c>
    </row>
    <row r="117" spans="1:5" hidden="1" x14ac:dyDescent="0.3">
      <c r="A117" t="s">
        <v>37</v>
      </c>
      <c r="B117" t="s">
        <v>3</v>
      </c>
      <c r="C117">
        <v>0</v>
      </c>
      <c r="E117">
        <f t="shared" si="1"/>
        <v>0</v>
      </c>
    </row>
    <row r="118" spans="1:5" hidden="1" x14ac:dyDescent="0.3">
      <c r="A118" t="s">
        <v>46</v>
      </c>
      <c r="B118" t="s">
        <v>3</v>
      </c>
      <c r="C118">
        <v>0</v>
      </c>
      <c r="E118">
        <f t="shared" si="1"/>
        <v>0</v>
      </c>
    </row>
    <row r="119" spans="1:5" x14ac:dyDescent="0.3">
      <c r="A119" t="s">
        <v>94</v>
      </c>
      <c r="B119" t="s">
        <v>3</v>
      </c>
      <c r="C119">
        <v>15</v>
      </c>
      <c r="D119">
        <v>19000</v>
      </c>
      <c r="E119">
        <f t="shared" si="1"/>
        <v>285000</v>
      </c>
    </row>
    <row r="120" spans="1:5" hidden="1" x14ac:dyDescent="0.3">
      <c r="A120" t="s">
        <v>28</v>
      </c>
      <c r="B120" t="s">
        <v>3</v>
      </c>
      <c r="C120">
        <v>0</v>
      </c>
      <c r="E120">
        <f t="shared" si="1"/>
        <v>0</v>
      </c>
    </row>
    <row r="121" spans="1:5" hidden="1" x14ac:dyDescent="0.3">
      <c r="A121" t="s">
        <v>40</v>
      </c>
      <c r="B121" t="s">
        <v>41</v>
      </c>
      <c r="C121">
        <v>0</v>
      </c>
      <c r="E121">
        <f t="shared" si="1"/>
        <v>0</v>
      </c>
    </row>
    <row r="122" spans="1:5" x14ac:dyDescent="0.3">
      <c r="A122" t="s">
        <v>30</v>
      </c>
      <c r="B122" t="s">
        <v>3</v>
      </c>
      <c r="C122">
        <v>150</v>
      </c>
      <c r="D122">
        <v>22000</v>
      </c>
      <c r="E122">
        <f t="shared" si="1"/>
        <v>3300000</v>
      </c>
    </row>
    <row r="123" spans="1:5" x14ac:dyDescent="0.3">
      <c r="A123" t="s">
        <v>2</v>
      </c>
      <c r="B123" t="s">
        <v>3</v>
      </c>
      <c r="C123">
        <v>160</v>
      </c>
      <c r="D123">
        <v>13000</v>
      </c>
      <c r="E123">
        <f t="shared" si="1"/>
        <v>2080000</v>
      </c>
    </row>
    <row r="124" spans="1:5" x14ac:dyDescent="0.3">
      <c r="A124" t="s">
        <v>53</v>
      </c>
      <c r="B124" t="s">
        <v>3</v>
      </c>
      <c r="C124">
        <v>20</v>
      </c>
      <c r="D124">
        <v>6500</v>
      </c>
      <c r="E124">
        <f t="shared" si="1"/>
        <v>130000</v>
      </c>
    </row>
    <row r="125" spans="1:5" hidden="1" x14ac:dyDescent="0.3">
      <c r="A125" t="s">
        <v>20</v>
      </c>
      <c r="B125" t="s">
        <v>3</v>
      </c>
      <c r="C125">
        <v>0</v>
      </c>
      <c r="E125">
        <f t="shared" si="1"/>
        <v>0</v>
      </c>
    </row>
    <row r="126" spans="1:5" hidden="1" x14ac:dyDescent="0.3">
      <c r="A126" t="s">
        <v>97</v>
      </c>
      <c r="B126" t="s">
        <v>3</v>
      </c>
      <c r="C126">
        <v>0</v>
      </c>
      <c r="E126">
        <f t="shared" si="1"/>
        <v>0</v>
      </c>
    </row>
    <row r="127" spans="1:5" x14ac:dyDescent="0.3">
      <c r="A127" t="s">
        <v>21</v>
      </c>
      <c r="B127" t="s">
        <v>3</v>
      </c>
      <c r="C127">
        <v>30</v>
      </c>
      <c r="D127">
        <v>16000</v>
      </c>
      <c r="E127">
        <f t="shared" si="1"/>
        <v>480000</v>
      </c>
    </row>
    <row r="128" spans="1:5" x14ac:dyDescent="0.3">
      <c r="A128" t="s">
        <v>96</v>
      </c>
      <c r="B128" t="s">
        <v>3</v>
      </c>
      <c r="C128">
        <v>42</v>
      </c>
      <c r="D128">
        <v>28000</v>
      </c>
      <c r="E128">
        <f t="shared" si="1"/>
        <v>1176000</v>
      </c>
    </row>
    <row r="129" spans="1:5" x14ac:dyDescent="0.3">
      <c r="A129" t="s">
        <v>56</v>
      </c>
      <c r="B129" t="s">
        <v>3</v>
      </c>
      <c r="C129">
        <v>50</v>
      </c>
      <c r="D129">
        <v>13000</v>
      </c>
      <c r="E129">
        <f t="shared" si="1"/>
        <v>650000</v>
      </c>
    </row>
    <row r="130" spans="1:5" x14ac:dyDescent="0.3">
      <c r="A130" t="s">
        <v>57</v>
      </c>
      <c r="B130" t="s">
        <v>3</v>
      </c>
      <c r="C130">
        <v>75</v>
      </c>
      <c r="D130">
        <v>5000</v>
      </c>
      <c r="E130">
        <f t="shared" si="1"/>
        <v>375000</v>
      </c>
    </row>
    <row r="131" spans="1:5" x14ac:dyDescent="0.3">
      <c r="A131" t="s">
        <v>9</v>
      </c>
      <c r="B131" t="s">
        <v>3</v>
      </c>
      <c r="C131">
        <v>50</v>
      </c>
      <c r="D131">
        <v>17000</v>
      </c>
      <c r="E131">
        <f t="shared" si="1"/>
        <v>850000</v>
      </c>
    </row>
    <row r="132" spans="1:5" x14ac:dyDescent="0.3">
      <c r="A132" t="s">
        <v>10</v>
      </c>
      <c r="B132" t="s">
        <v>3</v>
      </c>
      <c r="C132">
        <v>50</v>
      </c>
      <c r="D132">
        <v>22500</v>
      </c>
      <c r="E132">
        <f t="shared" si="1"/>
        <v>1125000</v>
      </c>
    </row>
    <row r="133" spans="1:5" hidden="1" x14ac:dyDescent="0.3">
      <c r="A133" t="s">
        <v>13</v>
      </c>
      <c r="B133" t="s">
        <v>4</v>
      </c>
      <c r="C133">
        <v>0</v>
      </c>
      <c r="E133">
        <f t="shared" si="1"/>
        <v>0</v>
      </c>
    </row>
    <row r="134" spans="1:5" x14ac:dyDescent="0.3">
      <c r="A134" t="s">
        <v>14</v>
      </c>
      <c r="B134" t="s">
        <v>3</v>
      </c>
      <c r="C134">
        <v>220</v>
      </c>
      <c r="D134">
        <v>17000</v>
      </c>
      <c r="E134">
        <f t="shared" si="1"/>
        <v>3740000</v>
      </c>
    </row>
    <row r="135" spans="1:5" hidden="1" x14ac:dyDescent="0.3">
      <c r="A135" t="s">
        <v>89</v>
      </c>
      <c r="B135" t="s">
        <v>4</v>
      </c>
      <c r="C135">
        <v>0</v>
      </c>
      <c r="E135">
        <f t="shared" ref="E135:E150" si="2">C135*D135</f>
        <v>0</v>
      </c>
    </row>
    <row r="136" spans="1:5" x14ac:dyDescent="0.3">
      <c r="A136" t="s">
        <v>15</v>
      </c>
      <c r="B136" t="s">
        <v>3</v>
      </c>
      <c r="C136">
        <v>200</v>
      </c>
      <c r="D136">
        <v>18000</v>
      </c>
      <c r="E136">
        <f t="shared" si="2"/>
        <v>3600000</v>
      </c>
    </row>
    <row r="137" spans="1:5" hidden="1" x14ac:dyDescent="0.3">
      <c r="A137" t="s">
        <v>15</v>
      </c>
      <c r="B137" t="s">
        <v>108</v>
      </c>
      <c r="C137">
        <v>0</v>
      </c>
      <c r="E137">
        <f t="shared" si="2"/>
        <v>0</v>
      </c>
    </row>
    <row r="138" spans="1:5" x14ac:dyDescent="0.3">
      <c r="A138" t="s">
        <v>59</v>
      </c>
      <c r="B138" t="s">
        <v>3</v>
      </c>
      <c r="C138">
        <v>30</v>
      </c>
      <c r="D138">
        <v>11000</v>
      </c>
      <c r="E138">
        <f t="shared" si="2"/>
        <v>330000</v>
      </c>
    </row>
    <row r="139" spans="1:5" x14ac:dyDescent="0.3">
      <c r="A139" t="s">
        <v>60</v>
      </c>
      <c r="B139" t="s">
        <v>4</v>
      </c>
      <c r="C139">
        <v>20</v>
      </c>
      <c r="D139">
        <v>6000</v>
      </c>
      <c r="E139">
        <f t="shared" si="2"/>
        <v>120000</v>
      </c>
    </row>
    <row r="140" spans="1:5" x14ac:dyDescent="0.3">
      <c r="A140" t="s">
        <v>61</v>
      </c>
      <c r="B140" t="s">
        <v>4</v>
      </c>
      <c r="C140">
        <v>120</v>
      </c>
      <c r="D140">
        <v>9000</v>
      </c>
      <c r="E140">
        <f t="shared" si="2"/>
        <v>1080000</v>
      </c>
    </row>
    <row r="141" spans="1:5" x14ac:dyDescent="0.3">
      <c r="A141" t="s">
        <v>32</v>
      </c>
      <c r="B141" t="s">
        <v>6</v>
      </c>
      <c r="C141">
        <v>160</v>
      </c>
      <c r="D141">
        <v>5000</v>
      </c>
      <c r="E141">
        <f t="shared" si="2"/>
        <v>800000</v>
      </c>
    </row>
    <row r="142" spans="1:5" x14ac:dyDescent="0.3">
      <c r="A142" t="s">
        <v>66</v>
      </c>
      <c r="B142" t="s">
        <v>3</v>
      </c>
      <c r="C142">
        <v>8</v>
      </c>
      <c r="D142">
        <v>27000</v>
      </c>
      <c r="E142">
        <f t="shared" si="2"/>
        <v>216000</v>
      </c>
    </row>
    <row r="143" spans="1:5" hidden="1" x14ac:dyDescent="0.3">
      <c r="A143" t="s">
        <v>43</v>
      </c>
      <c r="B143" t="s">
        <v>3</v>
      </c>
      <c r="C143">
        <v>0</v>
      </c>
      <c r="E143">
        <f t="shared" si="2"/>
        <v>0</v>
      </c>
    </row>
    <row r="144" spans="1:5" x14ac:dyDescent="0.3">
      <c r="A144" t="s">
        <v>34</v>
      </c>
      <c r="B144" t="s">
        <v>3</v>
      </c>
      <c r="C144">
        <v>45</v>
      </c>
      <c r="D144">
        <v>27000</v>
      </c>
      <c r="E144">
        <f t="shared" si="2"/>
        <v>1215000</v>
      </c>
    </row>
    <row r="145" spans="1:5" x14ac:dyDescent="0.3">
      <c r="A145" t="s">
        <v>35</v>
      </c>
      <c r="B145" t="s">
        <v>3</v>
      </c>
      <c r="C145">
        <v>30</v>
      </c>
      <c r="D145">
        <v>15000</v>
      </c>
      <c r="E145">
        <f t="shared" si="2"/>
        <v>450000</v>
      </c>
    </row>
    <row r="146" spans="1:5" x14ac:dyDescent="0.3">
      <c r="A146" t="s">
        <v>36</v>
      </c>
      <c r="B146" t="s">
        <v>3</v>
      </c>
      <c r="C146">
        <v>30</v>
      </c>
      <c r="D146">
        <v>25000</v>
      </c>
      <c r="E146">
        <f t="shared" si="2"/>
        <v>750000</v>
      </c>
    </row>
    <row r="147" spans="1:5" x14ac:dyDescent="0.3">
      <c r="A147" t="s">
        <v>72</v>
      </c>
      <c r="B147" t="s">
        <v>3</v>
      </c>
      <c r="C147">
        <v>15</v>
      </c>
      <c r="D147">
        <v>7000</v>
      </c>
      <c r="E147">
        <f t="shared" si="2"/>
        <v>105000</v>
      </c>
    </row>
    <row r="148" spans="1:5" hidden="1" x14ac:dyDescent="0.3">
      <c r="A148" t="s">
        <v>84</v>
      </c>
      <c r="B148" t="s">
        <v>22</v>
      </c>
      <c r="C148">
        <v>0</v>
      </c>
      <c r="E148">
        <f t="shared" si="2"/>
        <v>0</v>
      </c>
    </row>
    <row r="149" spans="1:5" hidden="1" x14ac:dyDescent="0.3">
      <c r="A149" t="s">
        <v>86</v>
      </c>
      <c r="B149" t="s">
        <v>22</v>
      </c>
      <c r="C149">
        <v>0</v>
      </c>
      <c r="E149">
        <f t="shared" si="2"/>
        <v>0</v>
      </c>
    </row>
    <row r="150" spans="1:5" hidden="1" x14ac:dyDescent="0.3">
      <c r="A150" t="s">
        <v>85</v>
      </c>
      <c r="B150" t="s">
        <v>22</v>
      </c>
      <c r="C150">
        <v>0</v>
      </c>
      <c r="E150">
        <f t="shared" si="2"/>
        <v>0</v>
      </c>
    </row>
    <row r="151" spans="1:5" x14ac:dyDescent="0.3">
      <c r="E151">
        <f>SUM(E110:E147)</f>
        <v>25897000</v>
      </c>
    </row>
    <row r="152" spans="1:5" x14ac:dyDescent="0.3">
      <c r="E152" s="2">
        <f>SUM(E151,E107)</f>
        <v>162090800</v>
      </c>
    </row>
  </sheetData>
  <autoFilter ref="A3:E152" xr:uid="{00000000-0009-0000-0000-000003000000}">
    <filterColumn colId="4">
      <filters>
        <filter val="100000"/>
        <filter val="102000"/>
        <filter val="105000"/>
        <filter val="1080000"/>
        <filter val="11000000"/>
        <filter val="1125000"/>
        <filter val="1176000"/>
        <filter val="119000"/>
        <filter val="11960000"/>
        <filter val="120000"/>
        <filter val="1215000"/>
        <filter val="1224000"/>
        <filter val="1237500"/>
        <filter val="128000"/>
        <filter val="130000"/>
        <filter val="136193800"/>
        <filter val="140000"/>
        <filter val="1440000"/>
        <filter val="15000"/>
        <filter val="150000"/>
        <filter val="154000"/>
        <filter val="16000"/>
        <filter val="160000"/>
        <filter val="162,090,800"/>
        <filter val="168000"/>
        <filter val="1746000"/>
        <filter val="204000"/>
        <filter val="2079000"/>
        <filter val="2080000"/>
        <filter val="216000"/>
        <filter val="255000"/>
        <filter val="25897000"/>
        <filter val="272000"/>
        <filter val="280000"/>
        <filter val="2808000"/>
        <filter val="285000"/>
        <filter val="3050000"/>
        <filter val="320000"/>
        <filter val="330000"/>
        <filter val="3300000"/>
        <filter val="3420000"/>
        <filter val="3600000"/>
        <filter val="3740000"/>
        <filter val="375000"/>
        <filter val="382500"/>
        <filter val="3960000"/>
        <filter val="4060000"/>
        <filter val="429000"/>
        <filter val="430000"/>
        <filter val="432000"/>
        <filter val="450000"/>
        <filter val="468000"/>
        <filter val="480000"/>
        <filter val="4950000"/>
        <filter val="500000"/>
        <filter val="530000"/>
        <filter val="600000"/>
        <filter val="612000"/>
        <filter val="630000"/>
        <filter val="650000"/>
        <filter val="65080800"/>
        <filter val="702000"/>
        <filter val="720000"/>
        <filter val="750000"/>
        <filter val="800000"/>
        <filter val="84000"/>
        <filter val="850000"/>
        <filter val="875000"/>
        <filter val="88000"/>
        <filter val="90000"/>
        <filter val="945000"/>
        <filter val="96000"/>
        <filter val="980000"/>
        <filter val="thành tiền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16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6" sqref="I16"/>
    </sheetView>
  </sheetViews>
  <sheetFormatPr defaultRowHeight="15.6" x14ac:dyDescent="0.3"/>
  <cols>
    <col min="1" max="1" width="26.21875" style="4" bestFit="1" customWidth="1"/>
    <col min="2" max="3" width="8.88671875" style="4"/>
    <col min="4" max="4" width="17.109375" style="16" customWidth="1"/>
    <col min="5" max="5" width="22.109375" style="4" customWidth="1"/>
    <col min="6" max="16384" width="8.88671875" style="4"/>
  </cols>
  <sheetData>
    <row r="1" spans="1:5" ht="38.4" customHeight="1" x14ac:dyDescent="0.3">
      <c r="A1" s="9" t="s">
        <v>124</v>
      </c>
      <c r="B1" s="9" t="s">
        <v>1</v>
      </c>
      <c r="C1" s="10" t="s">
        <v>122</v>
      </c>
      <c r="D1" s="14" t="s">
        <v>125</v>
      </c>
      <c r="E1" s="11" t="s">
        <v>126</v>
      </c>
    </row>
    <row r="2" spans="1:5" x14ac:dyDescent="0.3">
      <c r="A2" s="5" t="s">
        <v>44</v>
      </c>
      <c r="B2" s="5" t="s">
        <v>3</v>
      </c>
      <c r="C2" s="6">
        <v>18</v>
      </c>
      <c r="D2" s="15">
        <f>VLOOKUP(A2,'4.12'!A4:D106,4,)</f>
        <v>36000</v>
      </c>
      <c r="E2" s="7">
        <f>+D2*C2</f>
        <v>648000</v>
      </c>
    </row>
    <row r="3" spans="1:5" hidden="1" x14ac:dyDescent="0.3">
      <c r="A3" s="5" t="s">
        <v>45</v>
      </c>
      <c r="B3" s="5" t="s">
        <v>3</v>
      </c>
      <c r="C3" s="6">
        <v>0</v>
      </c>
      <c r="D3" s="3"/>
      <c r="E3" s="7">
        <f t="shared" ref="E3:E66" si="0">+D3*C3</f>
        <v>0</v>
      </c>
    </row>
    <row r="4" spans="1:5" x14ac:dyDescent="0.3">
      <c r="A4" s="5" t="s">
        <v>17</v>
      </c>
      <c r="B4" s="5" t="s">
        <v>3</v>
      </c>
      <c r="C4" s="6">
        <v>611</v>
      </c>
      <c r="D4" s="15">
        <f>VLOOKUP(A4,'4.12'!A6:D108,4,)</f>
        <v>8000</v>
      </c>
      <c r="E4" s="7">
        <f t="shared" si="0"/>
        <v>4888000</v>
      </c>
    </row>
    <row r="5" spans="1:5" hidden="1" x14ac:dyDescent="0.3">
      <c r="A5" s="5" t="s">
        <v>92</v>
      </c>
      <c r="B5" s="5" t="s">
        <v>3</v>
      </c>
      <c r="C5" s="6">
        <v>0</v>
      </c>
      <c r="D5" s="3"/>
      <c r="E5" s="7">
        <f t="shared" si="0"/>
        <v>0</v>
      </c>
    </row>
    <row r="6" spans="1:5" hidden="1" x14ac:dyDescent="0.3">
      <c r="A6" s="5" t="s">
        <v>24</v>
      </c>
      <c r="B6" s="5" t="s">
        <v>3</v>
      </c>
      <c r="C6" s="6">
        <v>1905</v>
      </c>
      <c r="D6" s="15">
        <f>VLOOKUP(A6,'4.12'!A8:D110,4,)</f>
        <v>5500</v>
      </c>
      <c r="E6" s="7">
        <f t="shared" si="0"/>
        <v>10477500</v>
      </c>
    </row>
    <row r="7" spans="1:5" hidden="1" x14ac:dyDescent="0.3">
      <c r="A7" s="5" t="s">
        <v>78</v>
      </c>
      <c r="B7" s="5" t="s">
        <v>3</v>
      </c>
      <c r="C7" s="6">
        <v>0</v>
      </c>
      <c r="D7" s="3"/>
      <c r="E7" s="7">
        <f t="shared" si="0"/>
        <v>0</v>
      </c>
    </row>
    <row r="8" spans="1:5" x14ac:dyDescent="0.3">
      <c r="A8" s="5" t="s">
        <v>25</v>
      </c>
      <c r="B8" s="5" t="s">
        <v>3</v>
      </c>
      <c r="C8" s="6">
        <v>138</v>
      </c>
      <c r="D8" s="15">
        <f>VLOOKUP(A8,'4.12'!A10:D112,4,)</f>
        <v>10000</v>
      </c>
      <c r="E8" s="7">
        <f t="shared" si="0"/>
        <v>1380000</v>
      </c>
    </row>
    <row r="9" spans="1:5" hidden="1" x14ac:dyDescent="0.3">
      <c r="A9" s="5" t="s">
        <v>25</v>
      </c>
      <c r="B9" s="5" t="s">
        <v>26</v>
      </c>
      <c r="C9" s="6">
        <v>0</v>
      </c>
      <c r="D9" s="3"/>
      <c r="E9" s="7">
        <f t="shared" si="0"/>
        <v>0</v>
      </c>
    </row>
    <row r="10" spans="1:5" x14ac:dyDescent="0.3">
      <c r="A10" s="5" t="s">
        <v>27</v>
      </c>
      <c r="B10" s="5" t="s">
        <v>3</v>
      </c>
      <c r="C10" s="6">
        <v>18</v>
      </c>
      <c r="D10" s="15">
        <f>VLOOKUP(A10,'4.12'!A12:D114,4,)</f>
        <v>10000</v>
      </c>
      <c r="E10" s="7">
        <f t="shared" si="0"/>
        <v>180000</v>
      </c>
    </row>
    <row r="11" spans="1:5" hidden="1" x14ac:dyDescent="0.3">
      <c r="A11" s="5" t="s">
        <v>27</v>
      </c>
      <c r="B11" s="5" t="s">
        <v>26</v>
      </c>
      <c r="C11" s="6">
        <v>0</v>
      </c>
      <c r="D11" s="3"/>
      <c r="E11" s="7">
        <f t="shared" si="0"/>
        <v>0</v>
      </c>
    </row>
    <row r="12" spans="1:5" hidden="1" x14ac:dyDescent="0.3">
      <c r="A12" s="5" t="s">
        <v>37</v>
      </c>
      <c r="B12" s="5" t="s">
        <v>3</v>
      </c>
      <c r="C12" s="6">
        <v>0</v>
      </c>
      <c r="D12" s="3"/>
      <c r="E12" s="7">
        <f t="shared" si="0"/>
        <v>0</v>
      </c>
    </row>
    <row r="13" spans="1:5" hidden="1" x14ac:dyDescent="0.3">
      <c r="A13" s="5" t="s">
        <v>46</v>
      </c>
      <c r="B13" s="5" t="s">
        <v>3</v>
      </c>
      <c r="C13" s="6">
        <v>0</v>
      </c>
      <c r="D13" s="3"/>
      <c r="E13" s="7">
        <f t="shared" si="0"/>
        <v>0</v>
      </c>
    </row>
    <row r="14" spans="1:5" x14ac:dyDescent="0.3">
      <c r="A14" s="5" t="s">
        <v>47</v>
      </c>
      <c r="B14" s="5" t="s">
        <v>3</v>
      </c>
      <c r="C14" s="6">
        <v>17</v>
      </c>
      <c r="D14" s="15">
        <f>VLOOKUP(A14,'4.12'!A16:D118,4,)</f>
        <v>26000</v>
      </c>
      <c r="E14" s="7">
        <f t="shared" si="0"/>
        <v>442000</v>
      </c>
    </row>
    <row r="15" spans="1:5" hidden="1" x14ac:dyDescent="0.3">
      <c r="A15" s="5" t="s">
        <v>123</v>
      </c>
      <c r="B15" s="5" t="s">
        <v>3</v>
      </c>
      <c r="C15" s="6">
        <v>0</v>
      </c>
      <c r="D15" s="3"/>
      <c r="E15" s="7">
        <f t="shared" si="0"/>
        <v>0</v>
      </c>
    </row>
    <row r="16" spans="1:5" x14ac:dyDescent="0.3">
      <c r="A16" s="5" t="s">
        <v>82</v>
      </c>
      <c r="B16" s="5" t="s">
        <v>3</v>
      </c>
      <c r="C16" s="6">
        <v>50</v>
      </c>
      <c r="D16" s="15">
        <v>28000</v>
      </c>
      <c r="E16" s="7">
        <f t="shared" si="0"/>
        <v>1400000</v>
      </c>
    </row>
    <row r="17" spans="1:5" x14ac:dyDescent="0.3">
      <c r="A17" s="5" t="s">
        <v>16</v>
      </c>
      <c r="B17" s="5" t="s">
        <v>6</v>
      </c>
      <c r="C17" s="6">
        <v>7</v>
      </c>
      <c r="D17" s="15">
        <f>40000/5</f>
        <v>8000</v>
      </c>
      <c r="E17" s="7">
        <f t="shared" si="0"/>
        <v>56000</v>
      </c>
    </row>
    <row r="18" spans="1:5" x14ac:dyDescent="0.3">
      <c r="A18" s="5" t="s">
        <v>28</v>
      </c>
      <c r="B18" s="5" t="s">
        <v>3</v>
      </c>
      <c r="C18" s="6">
        <v>30</v>
      </c>
      <c r="D18" s="15">
        <f>VLOOKUP(A18,'4.12'!A20:D122,4,)</f>
        <v>22000</v>
      </c>
      <c r="E18" s="7">
        <f t="shared" si="0"/>
        <v>660000</v>
      </c>
    </row>
    <row r="19" spans="1:5" hidden="1" x14ac:dyDescent="0.3">
      <c r="A19" s="5" t="s">
        <v>28</v>
      </c>
      <c r="B19" s="5" t="s">
        <v>6</v>
      </c>
      <c r="C19" s="6">
        <v>0</v>
      </c>
      <c r="D19" s="3"/>
      <c r="E19" s="7">
        <f t="shared" si="0"/>
        <v>0</v>
      </c>
    </row>
    <row r="20" spans="1:5" hidden="1" x14ac:dyDescent="0.3">
      <c r="A20" s="5" t="s">
        <v>28</v>
      </c>
      <c r="B20" s="5" t="s">
        <v>29</v>
      </c>
      <c r="C20" s="6">
        <v>0</v>
      </c>
      <c r="D20" s="3"/>
      <c r="E20" s="7">
        <f t="shared" si="0"/>
        <v>0</v>
      </c>
    </row>
    <row r="21" spans="1:5" x14ac:dyDescent="0.3">
      <c r="A21" s="5" t="s">
        <v>48</v>
      </c>
      <c r="B21" s="5" t="s">
        <v>3</v>
      </c>
      <c r="C21" s="6">
        <v>50</v>
      </c>
      <c r="D21" s="15">
        <v>18000</v>
      </c>
      <c r="E21" s="7">
        <f t="shared" si="0"/>
        <v>900000</v>
      </c>
    </row>
    <row r="22" spans="1:5" hidden="1" x14ac:dyDescent="0.3">
      <c r="A22" s="5" t="s">
        <v>48</v>
      </c>
      <c r="B22" s="5" t="s">
        <v>49</v>
      </c>
      <c r="C22" s="6">
        <v>0</v>
      </c>
      <c r="D22" s="3"/>
      <c r="E22" s="7">
        <f t="shared" si="0"/>
        <v>0</v>
      </c>
    </row>
    <row r="23" spans="1:5" x14ac:dyDescent="0.3">
      <c r="A23" s="5" t="s">
        <v>40</v>
      </c>
      <c r="B23" s="5" t="s">
        <v>3</v>
      </c>
      <c r="C23" s="6">
        <v>16</v>
      </c>
      <c r="D23" s="15">
        <f>VLOOKUP(A23,'4.12'!A25:D127,4,)</f>
        <v>30000</v>
      </c>
      <c r="E23" s="7">
        <f t="shared" si="0"/>
        <v>480000</v>
      </c>
    </row>
    <row r="24" spans="1:5" x14ac:dyDescent="0.3">
      <c r="A24" s="5" t="s">
        <v>40</v>
      </c>
      <c r="B24" s="5" t="s">
        <v>41</v>
      </c>
      <c r="C24" s="6">
        <v>69</v>
      </c>
      <c r="D24" s="15">
        <v>9900</v>
      </c>
      <c r="E24" s="7">
        <f t="shared" si="0"/>
        <v>683100</v>
      </c>
    </row>
    <row r="25" spans="1:5" x14ac:dyDescent="0.3">
      <c r="A25" s="5" t="s">
        <v>50</v>
      </c>
      <c r="B25" s="5" t="s">
        <v>8</v>
      </c>
      <c r="C25" s="6">
        <v>8</v>
      </c>
      <c r="D25" s="15">
        <f>54000/4</f>
        <v>13500</v>
      </c>
      <c r="E25" s="7">
        <f t="shared" si="0"/>
        <v>108000</v>
      </c>
    </row>
    <row r="26" spans="1:5" hidden="1" x14ac:dyDescent="0.3">
      <c r="A26" s="5" t="s">
        <v>51</v>
      </c>
      <c r="B26" s="5" t="s">
        <v>3</v>
      </c>
      <c r="C26" s="6">
        <v>0</v>
      </c>
      <c r="D26" s="3"/>
      <c r="E26" s="7">
        <f t="shared" si="0"/>
        <v>0</v>
      </c>
    </row>
    <row r="27" spans="1:5" hidden="1" x14ac:dyDescent="0.3">
      <c r="A27" s="5" t="s">
        <v>51</v>
      </c>
      <c r="B27" s="5" t="s">
        <v>52</v>
      </c>
      <c r="C27" s="6">
        <v>0</v>
      </c>
      <c r="D27" s="3"/>
      <c r="E27" s="7">
        <f t="shared" si="0"/>
        <v>0</v>
      </c>
    </row>
    <row r="28" spans="1:5" x14ac:dyDescent="0.3">
      <c r="A28" s="5" t="s">
        <v>30</v>
      </c>
      <c r="B28" s="5" t="s">
        <v>3</v>
      </c>
      <c r="C28" s="6">
        <v>370</v>
      </c>
      <c r="D28" s="15">
        <f>VLOOKUP(A28,'4.12'!A30:D132,4,)</f>
        <v>22000</v>
      </c>
      <c r="E28" s="7">
        <f t="shared" si="0"/>
        <v>8140000</v>
      </c>
    </row>
    <row r="29" spans="1:5" hidden="1" x14ac:dyDescent="0.3">
      <c r="A29" s="5" t="s">
        <v>30</v>
      </c>
      <c r="B29" s="5" t="s">
        <v>6</v>
      </c>
      <c r="C29" s="6">
        <v>0</v>
      </c>
      <c r="D29" s="3"/>
      <c r="E29" s="7">
        <f t="shared" si="0"/>
        <v>0</v>
      </c>
    </row>
    <row r="30" spans="1:5" x14ac:dyDescent="0.3">
      <c r="A30" s="5" t="s">
        <v>31</v>
      </c>
      <c r="B30" s="5" t="s">
        <v>4</v>
      </c>
      <c r="C30" s="6">
        <v>50</v>
      </c>
      <c r="D30" s="15">
        <v>16000</v>
      </c>
      <c r="E30" s="7">
        <f t="shared" si="0"/>
        <v>800000</v>
      </c>
    </row>
    <row r="31" spans="1:5" x14ac:dyDescent="0.3">
      <c r="A31" s="5" t="s">
        <v>2</v>
      </c>
      <c r="B31" s="5" t="s">
        <v>3</v>
      </c>
      <c r="C31" s="6">
        <v>144</v>
      </c>
      <c r="D31" s="15">
        <f>VLOOKUP(A31,'4.12'!A33:D135,4,)</f>
        <v>13000</v>
      </c>
      <c r="E31" s="7">
        <f t="shared" si="0"/>
        <v>1872000</v>
      </c>
    </row>
    <row r="32" spans="1:5" hidden="1" x14ac:dyDescent="0.3">
      <c r="A32" s="5" t="s">
        <v>2</v>
      </c>
      <c r="B32" s="5" t="s">
        <v>4</v>
      </c>
      <c r="C32" s="6">
        <v>0</v>
      </c>
      <c r="D32" s="3"/>
      <c r="E32" s="7">
        <f t="shared" si="0"/>
        <v>0</v>
      </c>
    </row>
    <row r="33" spans="1:5" hidden="1" x14ac:dyDescent="0.3">
      <c r="A33" s="5" t="s">
        <v>5</v>
      </c>
      <c r="B33" s="5" t="s">
        <v>3</v>
      </c>
      <c r="C33" s="6">
        <v>0</v>
      </c>
      <c r="D33" s="3"/>
      <c r="E33" s="7">
        <f t="shared" si="0"/>
        <v>0</v>
      </c>
    </row>
    <row r="34" spans="1:5" x14ac:dyDescent="0.3">
      <c r="A34" s="5" t="s">
        <v>5</v>
      </c>
      <c r="B34" s="5" t="s">
        <v>6</v>
      </c>
      <c r="C34" s="6">
        <v>17</v>
      </c>
      <c r="D34" s="15">
        <v>19400</v>
      </c>
      <c r="E34" s="7">
        <f t="shared" si="0"/>
        <v>329800</v>
      </c>
    </row>
    <row r="35" spans="1:5" x14ac:dyDescent="0.3">
      <c r="A35" s="5" t="s">
        <v>53</v>
      </c>
      <c r="B35" s="5" t="s">
        <v>3</v>
      </c>
      <c r="C35" s="6">
        <v>37</v>
      </c>
      <c r="D35" s="15">
        <f>VLOOKUP(A35,'4.12'!A37:D139,4,)</f>
        <v>6500</v>
      </c>
      <c r="E35" s="7">
        <f t="shared" si="0"/>
        <v>240500</v>
      </c>
    </row>
    <row r="36" spans="1:5" hidden="1" x14ac:dyDescent="0.3">
      <c r="A36" s="5" t="s">
        <v>53</v>
      </c>
      <c r="B36" s="5" t="s">
        <v>54</v>
      </c>
      <c r="C36" s="6">
        <v>0</v>
      </c>
      <c r="D36" s="3"/>
      <c r="E36" s="7">
        <f t="shared" si="0"/>
        <v>0</v>
      </c>
    </row>
    <row r="37" spans="1:5" x14ac:dyDescent="0.3">
      <c r="A37" s="5" t="s">
        <v>18</v>
      </c>
      <c r="B37" s="5" t="s">
        <v>3</v>
      </c>
      <c r="C37" s="6">
        <v>50</v>
      </c>
      <c r="D37" s="15">
        <v>17000</v>
      </c>
      <c r="E37" s="7">
        <f t="shared" si="0"/>
        <v>850000</v>
      </c>
    </row>
    <row r="38" spans="1:5" hidden="1" x14ac:dyDescent="0.3">
      <c r="A38" s="5" t="s">
        <v>18</v>
      </c>
      <c r="B38" s="5" t="s">
        <v>4</v>
      </c>
      <c r="C38" s="6">
        <v>0</v>
      </c>
      <c r="D38" s="3"/>
      <c r="E38" s="7">
        <f t="shared" si="0"/>
        <v>0</v>
      </c>
    </row>
    <row r="39" spans="1:5" hidden="1" x14ac:dyDescent="0.3">
      <c r="A39" s="5" t="s">
        <v>55</v>
      </c>
      <c r="B39" s="5" t="s">
        <v>3</v>
      </c>
      <c r="C39" s="6">
        <v>0</v>
      </c>
      <c r="D39" s="3"/>
      <c r="E39" s="7">
        <f t="shared" si="0"/>
        <v>0</v>
      </c>
    </row>
    <row r="40" spans="1:5" x14ac:dyDescent="0.3">
      <c r="A40" s="5" t="s">
        <v>55</v>
      </c>
      <c r="B40" s="5" t="s">
        <v>4</v>
      </c>
      <c r="C40" s="6">
        <v>3</v>
      </c>
      <c r="D40" s="15">
        <f>VLOOKUP(A40,'4.12'!A42:D144,4,)</f>
        <v>5000</v>
      </c>
      <c r="E40" s="7">
        <f t="shared" si="0"/>
        <v>15000</v>
      </c>
    </row>
    <row r="41" spans="1:5" hidden="1" x14ac:dyDescent="0.3">
      <c r="A41" s="5" t="s">
        <v>19</v>
      </c>
      <c r="B41" s="5" t="s">
        <v>3</v>
      </c>
      <c r="C41" s="6">
        <v>0</v>
      </c>
      <c r="D41" s="3"/>
      <c r="E41" s="7">
        <f t="shared" si="0"/>
        <v>0</v>
      </c>
    </row>
    <row r="42" spans="1:5" x14ac:dyDescent="0.3">
      <c r="A42" s="5" t="s">
        <v>19</v>
      </c>
      <c r="B42" s="5" t="s">
        <v>4</v>
      </c>
      <c r="C42" s="6">
        <v>10</v>
      </c>
      <c r="D42" s="15">
        <v>7800</v>
      </c>
      <c r="E42" s="7">
        <f t="shared" si="0"/>
        <v>78000</v>
      </c>
    </row>
    <row r="43" spans="1:5" hidden="1" x14ac:dyDescent="0.3">
      <c r="A43" s="5" t="s">
        <v>20</v>
      </c>
      <c r="B43" s="5" t="s">
        <v>3</v>
      </c>
      <c r="C43" s="6">
        <v>0</v>
      </c>
      <c r="D43" s="3"/>
      <c r="E43" s="7">
        <f t="shared" si="0"/>
        <v>0</v>
      </c>
    </row>
    <row r="44" spans="1:5" hidden="1" x14ac:dyDescent="0.3">
      <c r="A44" s="5" t="s">
        <v>97</v>
      </c>
      <c r="B44" s="5" t="s">
        <v>3</v>
      </c>
      <c r="C44" s="6">
        <v>0</v>
      </c>
      <c r="D44" s="3"/>
      <c r="E44" s="7">
        <f t="shared" si="0"/>
        <v>0</v>
      </c>
    </row>
    <row r="45" spans="1:5" hidden="1" x14ac:dyDescent="0.3">
      <c r="A45" s="5" t="s">
        <v>21</v>
      </c>
      <c r="B45" s="5" t="s">
        <v>22</v>
      </c>
      <c r="C45" s="6">
        <v>0</v>
      </c>
      <c r="D45" s="3"/>
      <c r="E45" s="7">
        <f t="shared" si="0"/>
        <v>0</v>
      </c>
    </row>
    <row r="46" spans="1:5" x14ac:dyDescent="0.3">
      <c r="A46" s="5" t="s">
        <v>21</v>
      </c>
      <c r="B46" s="5" t="s">
        <v>3</v>
      </c>
      <c r="C46" s="6">
        <v>8</v>
      </c>
      <c r="D46" s="15">
        <f>VLOOKUP(A46,'4.12'!A48:D150,4,)</f>
        <v>16000</v>
      </c>
      <c r="E46" s="7">
        <f t="shared" si="0"/>
        <v>128000</v>
      </c>
    </row>
    <row r="47" spans="1:5" hidden="1" x14ac:dyDescent="0.3">
      <c r="A47" s="5" t="s">
        <v>56</v>
      </c>
      <c r="B47" s="5" t="s">
        <v>3</v>
      </c>
      <c r="C47" s="6">
        <v>0</v>
      </c>
      <c r="D47" s="3"/>
      <c r="E47" s="7">
        <f t="shared" si="0"/>
        <v>0</v>
      </c>
    </row>
    <row r="48" spans="1:5" hidden="1" x14ac:dyDescent="0.3">
      <c r="A48" s="5" t="s">
        <v>7</v>
      </c>
      <c r="B48" s="5" t="s">
        <v>8</v>
      </c>
      <c r="C48" s="6">
        <v>0</v>
      </c>
      <c r="D48" s="3"/>
      <c r="E48" s="7">
        <f t="shared" si="0"/>
        <v>0</v>
      </c>
    </row>
    <row r="49" spans="1:5" x14ac:dyDescent="0.3">
      <c r="A49" s="5" t="s">
        <v>7</v>
      </c>
      <c r="B49" s="5" t="s">
        <v>3</v>
      </c>
      <c r="C49" s="6">
        <v>3</v>
      </c>
      <c r="D49" s="15">
        <v>7000</v>
      </c>
      <c r="E49" s="7">
        <f t="shared" si="0"/>
        <v>21000</v>
      </c>
    </row>
    <row r="50" spans="1:5" x14ac:dyDescent="0.3">
      <c r="A50" s="5" t="s">
        <v>107</v>
      </c>
      <c r="B50" s="5" t="s">
        <v>3</v>
      </c>
      <c r="C50" s="6">
        <v>2</v>
      </c>
      <c r="D50" s="15">
        <f>VLOOKUP(A50,'4.12'!A52:D154,4,)</f>
        <v>16000</v>
      </c>
      <c r="E50" s="7">
        <f t="shared" si="0"/>
        <v>32000</v>
      </c>
    </row>
    <row r="51" spans="1:5" x14ac:dyDescent="0.3">
      <c r="A51" s="5" t="s">
        <v>57</v>
      </c>
      <c r="B51" s="5" t="s">
        <v>3</v>
      </c>
      <c r="C51" s="6">
        <v>64</v>
      </c>
      <c r="D51" s="15">
        <f>VLOOKUP(A51,'4.12'!A53:D155,4,)</f>
        <v>4500</v>
      </c>
      <c r="E51" s="7">
        <f t="shared" si="0"/>
        <v>288000</v>
      </c>
    </row>
    <row r="52" spans="1:5" x14ac:dyDescent="0.3">
      <c r="A52" s="5" t="s">
        <v>9</v>
      </c>
      <c r="B52" s="5" t="s">
        <v>3</v>
      </c>
      <c r="C52" s="6">
        <v>25</v>
      </c>
      <c r="D52" s="15">
        <f>VLOOKUP(A52,'4.12'!A54:D156,4,)</f>
        <v>17000</v>
      </c>
      <c r="E52" s="7">
        <f t="shared" si="0"/>
        <v>425000</v>
      </c>
    </row>
    <row r="53" spans="1:5" hidden="1" x14ac:dyDescent="0.3">
      <c r="A53" s="5" t="s">
        <v>9</v>
      </c>
      <c r="B53" s="5" t="s">
        <v>4</v>
      </c>
      <c r="C53" s="6">
        <v>0</v>
      </c>
      <c r="D53" s="3"/>
      <c r="E53" s="7">
        <f t="shared" si="0"/>
        <v>0</v>
      </c>
    </row>
    <row r="54" spans="1:5" x14ac:dyDescent="0.3">
      <c r="A54" s="5" t="s">
        <v>58</v>
      </c>
      <c r="B54" s="5" t="s">
        <v>3</v>
      </c>
      <c r="C54" s="6">
        <v>18</v>
      </c>
      <c r="D54" s="15">
        <f>VLOOKUP(A54,'4.12'!A56:D158,4,)</f>
        <v>30000</v>
      </c>
      <c r="E54" s="7">
        <f t="shared" si="0"/>
        <v>540000</v>
      </c>
    </row>
    <row r="55" spans="1:5" x14ac:dyDescent="0.3">
      <c r="A55" s="5" t="s">
        <v>10</v>
      </c>
      <c r="B55" s="5" t="s">
        <v>3</v>
      </c>
      <c r="C55" s="6">
        <v>330</v>
      </c>
      <c r="D55" s="15">
        <f>VLOOKUP(A55,'4.12'!A57:D159,4,)</f>
        <v>22500</v>
      </c>
      <c r="E55" s="7">
        <f t="shared" si="0"/>
        <v>7425000</v>
      </c>
    </row>
    <row r="56" spans="1:5" hidden="1" x14ac:dyDescent="0.3">
      <c r="A56" s="5" t="s">
        <v>10</v>
      </c>
      <c r="B56" s="5" t="s">
        <v>11</v>
      </c>
      <c r="C56" s="6">
        <v>0</v>
      </c>
      <c r="D56" s="3"/>
      <c r="E56" s="7">
        <f t="shared" si="0"/>
        <v>0</v>
      </c>
    </row>
    <row r="57" spans="1:5" x14ac:dyDescent="0.3">
      <c r="A57" s="5" t="s">
        <v>106</v>
      </c>
      <c r="B57" s="5" t="s">
        <v>3</v>
      </c>
      <c r="C57" s="6">
        <v>8</v>
      </c>
      <c r="D57" s="15">
        <f>VLOOKUP(A57,'4.12'!A59:D161,4,)</f>
        <v>20000</v>
      </c>
      <c r="E57" s="7">
        <f t="shared" si="0"/>
        <v>160000</v>
      </c>
    </row>
    <row r="58" spans="1:5" x14ac:dyDescent="0.3">
      <c r="A58" s="5" t="s">
        <v>12</v>
      </c>
      <c r="B58" s="5" t="s">
        <v>4</v>
      </c>
      <c r="C58" s="6">
        <v>367</v>
      </c>
      <c r="D58" s="15">
        <f>16000*0.3</f>
        <v>4800</v>
      </c>
      <c r="E58" s="7">
        <f t="shared" si="0"/>
        <v>1761600</v>
      </c>
    </row>
    <row r="59" spans="1:5" x14ac:dyDescent="0.3">
      <c r="A59" s="5" t="s">
        <v>39</v>
      </c>
      <c r="B59" s="5" t="s">
        <v>3</v>
      </c>
      <c r="C59" s="6">
        <v>150</v>
      </c>
      <c r="D59" s="15">
        <v>28000</v>
      </c>
      <c r="E59" s="7">
        <f t="shared" si="0"/>
        <v>4200000</v>
      </c>
    </row>
    <row r="60" spans="1:5" x14ac:dyDescent="0.3">
      <c r="A60" s="5" t="s">
        <v>13</v>
      </c>
      <c r="B60" s="5" t="s">
        <v>3</v>
      </c>
      <c r="C60" s="6">
        <v>675</v>
      </c>
      <c r="D60" s="15">
        <v>27000</v>
      </c>
      <c r="E60" s="7">
        <f t="shared" si="0"/>
        <v>18225000</v>
      </c>
    </row>
    <row r="61" spans="1:5" x14ac:dyDescent="0.3">
      <c r="A61" s="5" t="s">
        <v>14</v>
      </c>
      <c r="B61" s="5" t="s">
        <v>3</v>
      </c>
      <c r="C61" s="6">
        <v>180</v>
      </c>
      <c r="D61" s="15">
        <f>VLOOKUP(A61,'4.12'!A63:D165,4,)</f>
        <v>17000</v>
      </c>
      <c r="E61" s="7">
        <f t="shared" si="0"/>
        <v>3060000</v>
      </c>
    </row>
    <row r="62" spans="1:5" hidden="1" x14ac:dyDescent="0.3">
      <c r="A62" s="5" t="s">
        <v>93</v>
      </c>
      <c r="B62" s="5" t="s">
        <v>3</v>
      </c>
      <c r="C62" s="6">
        <v>0</v>
      </c>
      <c r="D62" s="3"/>
      <c r="E62" s="7">
        <f t="shared" si="0"/>
        <v>0</v>
      </c>
    </row>
    <row r="63" spans="1:5" hidden="1" x14ac:dyDescent="0.3">
      <c r="A63" s="5" t="s">
        <v>42</v>
      </c>
      <c r="B63" s="5" t="s">
        <v>3</v>
      </c>
      <c r="C63" s="6">
        <v>0</v>
      </c>
      <c r="D63" s="3"/>
      <c r="E63" s="7">
        <f t="shared" si="0"/>
        <v>0</v>
      </c>
    </row>
    <row r="64" spans="1:5" hidden="1" x14ac:dyDescent="0.3">
      <c r="A64" s="5" t="s">
        <v>89</v>
      </c>
      <c r="B64" s="5" t="s">
        <v>3</v>
      </c>
      <c r="C64" s="6">
        <v>0</v>
      </c>
      <c r="D64" s="3"/>
      <c r="E64" s="7">
        <f t="shared" si="0"/>
        <v>0</v>
      </c>
    </row>
    <row r="65" spans="1:5" hidden="1" x14ac:dyDescent="0.3">
      <c r="A65" s="5" t="s">
        <v>89</v>
      </c>
      <c r="B65" s="5" t="s">
        <v>4</v>
      </c>
      <c r="C65" s="6">
        <v>0</v>
      </c>
      <c r="D65" s="3"/>
      <c r="E65" s="7">
        <f t="shared" si="0"/>
        <v>0</v>
      </c>
    </row>
    <row r="66" spans="1:5" x14ac:dyDescent="0.3">
      <c r="A66" s="5" t="s">
        <v>15</v>
      </c>
      <c r="B66" s="5" t="s">
        <v>3</v>
      </c>
      <c r="C66" s="6">
        <v>220</v>
      </c>
      <c r="D66" s="15">
        <f>VLOOKUP(A66,'4.12'!A68:D170,4,)</f>
        <v>18000</v>
      </c>
      <c r="E66" s="7">
        <f t="shared" si="0"/>
        <v>3960000</v>
      </c>
    </row>
    <row r="67" spans="1:5" hidden="1" x14ac:dyDescent="0.3">
      <c r="A67" s="5" t="s">
        <v>15</v>
      </c>
      <c r="B67" s="5" t="s">
        <v>4</v>
      </c>
      <c r="C67" s="6">
        <v>0</v>
      </c>
      <c r="D67" s="3"/>
      <c r="E67" s="7">
        <f t="shared" ref="E67:E130" si="1">+D67*C67</f>
        <v>0</v>
      </c>
    </row>
    <row r="68" spans="1:5" x14ac:dyDescent="0.3">
      <c r="A68" s="5" t="s">
        <v>87</v>
      </c>
      <c r="B68" s="5" t="s">
        <v>4</v>
      </c>
      <c r="C68" s="6">
        <v>224</v>
      </c>
      <c r="D68" s="15">
        <f>VLOOKUP(A68,'4.12'!A70:D172,4,)</f>
        <v>6000</v>
      </c>
      <c r="E68" s="7">
        <f t="shared" si="1"/>
        <v>1344000</v>
      </c>
    </row>
    <row r="69" spans="1:5" x14ac:dyDescent="0.3">
      <c r="A69" s="5" t="s">
        <v>59</v>
      </c>
      <c r="B69" s="5" t="s">
        <v>3</v>
      </c>
      <c r="C69" s="6">
        <v>65</v>
      </c>
      <c r="D69" s="15">
        <f>VLOOKUP(A69,'4.12'!A71:D173,4,)</f>
        <v>11000</v>
      </c>
      <c r="E69" s="7">
        <f t="shared" si="1"/>
        <v>715000</v>
      </c>
    </row>
    <row r="70" spans="1:5" x14ac:dyDescent="0.3">
      <c r="A70" s="5" t="s">
        <v>60</v>
      </c>
      <c r="B70" s="5" t="s">
        <v>4</v>
      </c>
      <c r="C70" s="6">
        <v>11</v>
      </c>
      <c r="D70" s="15">
        <f>VLOOKUP(A70,'4.12'!A72:D174,4,)</f>
        <v>6000</v>
      </c>
      <c r="E70" s="7">
        <f t="shared" si="1"/>
        <v>66000</v>
      </c>
    </row>
    <row r="71" spans="1:5" x14ac:dyDescent="0.3">
      <c r="A71" s="5" t="s">
        <v>61</v>
      </c>
      <c r="B71" s="5" t="s">
        <v>3</v>
      </c>
      <c r="C71" s="6">
        <v>5</v>
      </c>
      <c r="D71" s="15">
        <f>VLOOKUP(A71,'4.12'!A73:D175,4,)</f>
        <v>9000</v>
      </c>
      <c r="E71" s="7">
        <f t="shared" si="1"/>
        <v>45000</v>
      </c>
    </row>
    <row r="72" spans="1:5" hidden="1" x14ac:dyDescent="0.3">
      <c r="A72" s="5" t="s">
        <v>61</v>
      </c>
      <c r="B72" s="5" t="s">
        <v>62</v>
      </c>
      <c r="C72" s="6">
        <v>0</v>
      </c>
      <c r="D72" s="3"/>
      <c r="E72" s="7">
        <f t="shared" si="1"/>
        <v>0</v>
      </c>
    </row>
    <row r="73" spans="1:5" x14ac:dyDescent="0.3">
      <c r="A73" s="5" t="s">
        <v>61</v>
      </c>
      <c r="B73" s="5" t="s">
        <v>11</v>
      </c>
      <c r="C73" s="6">
        <v>10</v>
      </c>
      <c r="D73" s="15">
        <f>VLOOKUP(A73,'4.12'!A75:D177,4,)</f>
        <v>9000</v>
      </c>
      <c r="E73" s="7">
        <f t="shared" si="1"/>
        <v>90000</v>
      </c>
    </row>
    <row r="74" spans="1:5" x14ac:dyDescent="0.3">
      <c r="A74" s="5" t="s">
        <v>63</v>
      </c>
      <c r="B74" s="5" t="s">
        <v>3</v>
      </c>
      <c r="C74" s="6">
        <v>1</v>
      </c>
      <c r="D74" s="15">
        <v>80000</v>
      </c>
      <c r="E74" s="7">
        <f t="shared" si="1"/>
        <v>80000</v>
      </c>
    </row>
    <row r="75" spans="1:5" x14ac:dyDescent="0.3">
      <c r="A75" s="5" t="s">
        <v>79</v>
      </c>
      <c r="B75" s="5" t="s">
        <v>3</v>
      </c>
      <c r="C75" s="6">
        <v>0.5</v>
      </c>
      <c r="D75" s="15">
        <v>80000</v>
      </c>
      <c r="E75" s="7">
        <f t="shared" si="1"/>
        <v>40000</v>
      </c>
    </row>
    <row r="76" spans="1:5" hidden="1" x14ac:dyDescent="0.3">
      <c r="A76" s="5" t="s">
        <v>64</v>
      </c>
      <c r="B76" s="5" t="s">
        <v>3</v>
      </c>
      <c r="C76" s="6">
        <v>0</v>
      </c>
      <c r="D76" s="3"/>
      <c r="E76" s="7">
        <f t="shared" si="1"/>
        <v>0</v>
      </c>
    </row>
    <row r="77" spans="1:5" x14ac:dyDescent="0.3">
      <c r="A77" s="5" t="s">
        <v>65</v>
      </c>
      <c r="B77" s="5" t="s">
        <v>3</v>
      </c>
      <c r="C77" s="6">
        <v>0.8</v>
      </c>
      <c r="D77" s="15">
        <v>70000</v>
      </c>
      <c r="E77" s="7">
        <f t="shared" si="1"/>
        <v>56000</v>
      </c>
    </row>
    <row r="78" spans="1:5" hidden="1" x14ac:dyDescent="0.3">
      <c r="A78" s="5" t="s">
        <v>32</v>
      </c>
      <c r="B78" s="5" t="s">
        <v>3</v>
      </c>
      <c r="C78" s="6">
        <v>0</v>
      </c>
      <c r="D78" s="3"/>
      <c r="E78" s="7">
        <f t="shared" si="1"/>
        <v>0</v>
      </c>
    </row>
    <row r="79" spans="1:5" x14ac:dyDescent="0.3">
      <c r="A79" s="5" t="s">
        <v>32</v>
      </c>
      <c r="B79" s="5" t="s">
        <v>6</v>
      </c>
      <c r="C79" s="6">
        <v>246</v>
      </c>
      <c r="D79" s="15">
        <f>VLOOKUP(A79,'4.12'!A81:D183,4,)</f>
        <v>5000</v>
      </c>
      <c r="E79" s="7">
        <f t="shared" si="1"/>
        <v>1230000</v>
      </c>
    </row>
    <row r="80" spans="1:5" hidden="1" x14ac:dyDescent="0.3">
      <c r="A80" s="5" t="s">
        <v>81</v>
      </c>
      <c r="B80" s="5" t="s">
        <v>3</v>
      </c>
      <c r="C80" s="6">
        <v>0</v>
      </c>
      <c r="D80" s="3"/>
      <c r="E80" s="7">
        <f t="shared" si="1"/>
        <v>0</v>
      </c>
    </row>
    <row r="81" spans="1:5" x14ac:dyDescent="0.3">
      <c r="A81" s="5" t="s">
        <v>33</v>
      </c>
      <c r="B81" s="5" t="s">
        <v>3</v>
      </c>
      <c r="C81" s="6">
        <v>65</v>
      </c>
      <c r="D81" s="15">
        <v>4000</v>
      </c>
      <c r="E81" s="7">
        <f t="shared" si="1"/>
        <v>260000</v>
      </c>
    </row>
    <row r="82" spans="1:5" hidden="1" x14ac:dyDescent="0.3">
      <c r="A82" s="5" t="s">
        <v>66</v>
      </c>
      <c r="B82" s="5" t="s">
        <v>22</v>
      </c>
      <c r="C82" s="6">
        <v>0</v>
      </c>
      <c r="D82" s="3"/>
      <c r="E82" s="7">
        <f t="shared" si="1"/>
        <v>0</v>
      </c>
    </row>
    <row r="83" spans="1:5" x14ac:dyDescent="0.3">
      <c r="A83" s="5" t="s">
        <v>66</v>
      </c>
      <c r="B83" s="5" t="s">
        <v>3</v>
      </c>
      <c r="C83" s="6">
        <v>14</v>
      </c>
      <c r="D83" s="15">
        <f>VLOOKUP(A83,'4.12'!A85:D187,4,)</f>
        <v>27000</v>
      </c>
      <c r="E83" s="7">
        <f t="shared" si="1"/>
        <v>378000</v>
      </c>
    </row>
    <row r="84" spans="1:5" hidden="1" x14ac:dyDescent="0.3">
      <c r="A84" s="5" t="s">
        <v>43</v>
      </c>
      <c r="B84" s="5" t="s">
        <v>3</v>
      </c>
      <c r="C84" s="6">
        <v>3050</v>
      </c>
      <c r="D84" s="15">
        <v>27600</v>
      </c>
      <c r="E84" s="7">
        <f t="shared" si="1"/>
        <v>84180000</v>
      </c>
    </row>
    <row r="85" spans="1:5" hidden="1" x14ac:dyDescent="0.3">
      <c r="A85" s="5" t="s">
        <v>67</v>
      </c>
      <c r="B85" s="5" t="s">
        <v>3</v>
      </c>
      <c r="C85" s="6">
        <v>0</v>
      </c>
      <c r="D85" s="3"/>
      <c r="E85" s="7">
        <f t="shared" si="1"/>
        <v>0</v>
      </c>
    </row>
    <row r="86" spans="1:5" hidden="1" x14ac:dyDescent="0.3">
      <c r="A86" s="5" t="s">
        <v>68</v>
      </c>
      <c r="B86" s="5" t="s">
        <v>4</v>
      </c>
      <c r="C86" s="6">
        <v>0</v>
      </c>
      <c r="D86" s="3"/>
      <c r="E86" s="7">
        <f t="shared" si="1"/>
        <v>0</v>
      </c>
    </row>
    <row r="87" spans="1:5" x14ac:dyDescent="0.3">
      <c r="A87" s="5" t="s">
        <v>69</v>
      </c>
      <c r="B87" s="5" t="s">
        <v>3</v>
      </c>
      <c r="C87" s="6">
        <v>10</v>
      </c>
      <c r="D87" s="15">
        <v>14000</v>
      </c>
      <c r="E87" s="7">
        <f t="shared" si="1"/>
        <v>140000</v>
      </c>
    </row>
    <row r="88" spans="1:5" hidden="1" x14ac:dyDescent="0.3">
      <c r="A88" s="5" t="s">
        <v>38</v>
      </c>
      <c r="B88" s="5" t="s">
        <v>6</v>
      </c>
      <c r="C88" s="6">
        <v>0</v>
      </c>
      <c r="D88" s="3"/>
      <c r="E88" s="7">
        <f t="shared" si="1"/>
        <v>0</v>
      </c>
    </row>
    <row r="89" spans="1:5" hidden="1" x14ac:dyDescent="0.3">
      <c r="A89" s="5" t="s">
        <v>70</v>
      </c>
      <c r="B89" s="5" t="s">
        <v>8</v>
      </c>
      <c r="C89" s="6">
        <v>0</v>
      </c>
      <c r="D89" s="3"/>
      <c r="E89" s="7">
        <f t="shared" si="1"/>
        <v>0</v>
      </c>
    </row>
    <row r="90" spans="1:5" x14ac:dyDescent="0.3">
      <c r="A90" s="5" t="s">
        <v>70</v>
      </c>
      <c r="B90" s="5" t="s">
        <v>3</v>
      </c>
      <c r="C90" s="6">
        <v>2</v>
      </c>
      <c r="D90" s="15">
        <v>47000</v>
      </c>
      <c r="E90" s="7">
        <f t="shared" si="1"/>
        <v>94000</v>
      </c>
    </row>
    <row r="91" spans="1:5" x14ac:dyDescent="0.3">
      <c r="A91" s="5" t="s">
        <v>34</v>
      </c>
      <c r="B91" s="5" t="s">
        <v>3</v>
      </c>
      <c r="C91" s="6">
        <v>80</v>
      </c>
      <c r="D91" s="15">
        <f>VLOOKUP(A91,'4.12'!A93:D195,4,)</f>
        <v>27000</v>
      </c>
      <c r="E91" s="7">
        <f t="shared" si="1"/>
        <v>2160000</v>
      </c>
    </row>
    <row r="92" spans="1:5" hidden="1" x14ac:dyDescent="0.3">
      <c r="A92" s="5" t="s">
        <v>34</v>
      </c>
      <c r="B92" s="5" t="s">
        <v>26</v>
      </c>
      <c r="C92" s="6">
        <v>0</v>
      </c>
      <c r="D92" s="3"/>
      <c r="E92" s="7">
        <f t="shared" si="1"/>
        <v>0</v>
      </c>
    </row>
    <row r="93" spans="1:5" x14ac:dyDescent="0.3">
      <c r="A93" s="5" t="s">
        <v>118</v>
      </c>
      <c r="B93" s="5" t="s">
        <v>3</v>
      </c>
      <c r="C93" s="6">
        <v>3</v>
      </c>
      <c r="D93" s="15">
        <f>VLOOKUP(A93,'4.12'!A95:D197,4,)</f>
        <v>20000</v>
      </c>
      <c r="E93" s="7">
        <f t="shared" si="1"/>
        <v>60000</v>
      </c>
    </row>
    <row r="94" spans="1:5" x14ac:dyDescent="0.3">
      <c r="A94" s="5" t="s">
        <v>35</v>
      </c>
      <c r="B94" s="5" t="s">
        <v>3</v>
      </c>
      <c r="C94" s="6">
        <v>40</v>
      </c>
      <c r="D94" s="15">
        <f>VLOOKUP(A94,'4.12'!A96:D198,4,)</f>
        <v>15000</v>
      </c>
      <c r="E94" s="7">
        <f t="shared" si="1"/>
        <v>600000</v>
      </c>
    </row>
    <row r="95" spans="1:5" hidden="1" x14ac:dyDescent="0.3">
      <c r="A95" s="5" t="s">
        <v>35</v>
      </c>
      <c r="B95" s="5" t="s">
        <v>26</v>
      </c>
      <c r="C95" s="6">
        <v>0</v>
      </c>
      <c r="D95" s="3"/>
      <c r="E95" s="7">
        <f t="shared" si="1"/>
        <v>0</v>
      </c>
    </row>
    <row r="96" spans="1:5" x14ac:dyDescent="0.3">
      <c r="A96" s="5" t="s">
        <v>36</v>
      </c>
      <c r="B96" s="5" t="s">
        <v>3</v>
      </c>
      <c r="C96" s="6">
        <v>105</v>
      </c>
      <c r="D96" s="15">
        <f>VLOOKUP(A96,'4.12'!A98:D200,4,)</f>
        <v>25000</v>
      </c>
      <c r="E96" s="7">
        <f t="shared" si="1"/>
        <v>2625000</v>
      </c>
    </row>
    <row r="97" spans="1:5" hidden="1" x14ac:dyDescent="0.3">
      <c r="A97" s="5" t="s">
        <v>36</v>
      </c>
      <c r="B97" s="5" t="s">
        <v>26</v>
      </c>
      <c r="C97" s="6">
        <v>0</v>
      </c>
      <c r="D97" s="3"/>
      <c r="E97" s="7">
        <f t="shared" si="1"/>
        <v>0</v>
      </c>
    </row>
    <row r="98" spans="1:5" x14ac:dyDescent="0.3">
      <c r="A98" s="5" t="s">
        <v>119</v>
      </c>
      <c r="B98" s="5" t="s">
        <v>3</v>
      </c>
      <c r="C98" s="6">
        <v>10</v>
      </c>
      <c r="D98" s="15">
        <f>VLOOKUP(A98,'4.12'!A100:D202,4,)</f>
        <v>25000</v>
      </c>
      <c r="E98" s="7">
        <f t="shared" si="1"/>
        <v>250000</v>
      </c>
    </row>
    <row r="99" spans="1:5" x14ac:dyDescent="0.3">
      <c r="A99" s="5" t="s">
        <v>71</v>
      </c>
      <c r="B99" s="5" t="s">
        <v>4</v>
      </c>
      <c r="C99" s="6">
        <v>88</v>
      </c>
      <c r="D99" s="15">
        <v>18000</v>
      </c>
      <c r="E99" s="7">
        <f t="shared" si="1"/>
        <v>1584000</v>
      </c>
    </row>
    <row r="100" spans="1:5" x14ac:dyDescent="0.3">
      <c r="A100" s="5" t="s">
        <v>116</v>
      </c>
      <c r="B100" s="5" t="s">
        <v>26</v>
      </c>
      <c r="C100" s="6">
        <v>688</v>
      </c>
      <c r="D100" s="15">
        <v>10000</v>
      </c>
      <c r="E100" s="7">
        <f t="shared" si="1"/>
        <v>6880000</v>
      </c>
    </row>
    <row r="101" spans="1:5" x14ac:dyDescent="0.3">
      <c r="A101" s="5" t="s">
        <v>88</v>
      </c>
      <c r="B101" s="5" t="s">
        <v>3</v>
      </c>
      <c r="C101" s="6">
        <v>231</v>
      </c>
      <c r="D101" s="15">
        <v>27000</v>
      </c>
      <c r="E101" s="7">
        <f t="shared" si="1"/>
        <v>6237000</v>
      </c>
    </row>
    <row r="102" spans="1:5" hidden="1" x14ac:dyDescent="0.3">
      <c r="A102" s="5" t="s">
        <v>91</v>
      </c>
      <c r="B102" s="5" t="s">
        <v>3</v>
      </c>
      <c r="C102" s="6">
        <v>0</v>
      </c>
      <c r="D102" s="3"/>
      <c r="E102" s="7">
        <f t="shared" si="1"/>
        <v>0</v>
      </c>
    </row>
    <row r="103" spans="1:5" x14ac:dyDescent="0.3">
      <c r="A103" s="5" t="s">
        <v>72</v>
      </c>
      <c r="B103" s="5" t="s">
        <v>3</v>
      </c>
      <c r="C103" s="6">
        <v>115</v>
      </c>
      <c r="D103" s="15">
        <f>VLOOKUP(A103,'4.12'!A105:D207,4,)</f>
        <v>7000</v>
      </c>
      <c r="E103" s="7">
        <f t="shared" si="1"/>
        <v>805000</v>
      </c>
    </row>
    <row r="104" spans="1:5" hidden="1" x14ac:dyDescent="0.3">
      <c r="A104" s="5" t="s">
        <v>80</v>
      </c>
      <c r="B104" s="5" t="s">
        <v>3</v>
      </c>
      <c r="C104" s="6">
        <v>0</v>
      </c>
      <c r="D104" s="3"/>
      <c r="E104" s="7">
        <f t="shared" si="1"/>
        <v>0</v>
      </c>
    </row>
    <row r="105" spans="1:5" x14ac:dyDescent="0.3">
      <c r="A105" s="5" t="s">
        <v>73</v>
      </c>
      <c r="B105" s="5" t="s">
        <v>3</v>
      </c>
      <c r="C105" s="6">
        <v>13</v>
      </c>
      <c r="D105" s="15">
        <v>10000</v>
      </c>
      <c r="E105" s="7">
        <f t="shared" si="1"/>
        <v>130000</v>
      </c>
    </row>
    <row r="106" spans="1:5" hidden="1" x14ac:dyDescent="0.3">
      <c r="A106" s="5" t="s">
        <v>23</v>
      </c>
      <c r="B106" s="5" t="s">
        <v>3</v>
      </c>
      <c r="C106" s="6">
        <v>0</v>
      </c>
      <c r="D106" s="3"/>
      <c r="E106" s="7">
        <f t="shared" si="1"/>
        <v>0</v>
      </c>
    </row>
    <row r="107" spans="1:5" hidden="1" x14ac:dyDescent="0.3">
      <c r="A107" s="5" t="s">
        <v>84</v>
      </c>
      <c r="B107" s="5" t="s">
        <v>22</v>
      </c>
      <c r="C107" s="6">
        <v>0</v>
      </c>
      <c r="D107" s="3"/>
      <c r="E107" s="7">
        <f t="shared" si="1"/>
        <v>0</v>
      </c>
    </row>
    <row r="108" spans="1:5" hidden="1" x14ac:dyDescent="0.3">
      <c r="A108" s="5" t="s">
        <v>74</v>
      </c>
      <c r="B108" s="5" t="s">
        <v>3</v>
      </c>
      <c r="C108" s="6">
        <v>0</v>
      </c>
      <c r="D108" s="3"/>
      <c r="E108" s="7">
        <f t="shared" si="1"/>
        <v>0</v>
      </c>
    </row>
    <row r="109" spans="1:5" x14ac:dyDescent="0.3">
      <c r="A109" s="5" t="s">
        <v>86</v>
      </c>
      <c r="B109" s="5" t="s">
        <v>22</v>
      </c>
      <c r="C109" s="6">
        <v>40</v>
      </c>
      <c r="D109" s="15">
        <v>6800</v>
      </c>
      <c r="E109" s="7">
        <f t="shared" si="1"/>
        <v>272000</v>
      </c>
    </row>
    <row r="110" spans="1:5" hidden="1" x14ac:dyDescent="0.3">
      <c r="A110" s="5" t="s">
        <v>77</v>
      </c>
      <c r="B110" s="5" t="s">
        <v>3</v>
      </c>
      <c r="C110" s="6">
        <v>0</v>
      </c>
      <c r="D110" s="3"/>
      <c r="E110" s="7">
        <f t="shared" si="1"/>
        <v>0</v>
      </c>
    </row>
    <row r="111" spans="1:5" hidden="1" x14ac:dyDescent="0.3">
      <c r="A111" s="5" t="s">
        <v>75</v>
      </c>
      <c r="B111" s="5" t="s">
        <v>3</v>
      </c>
      <c r="C111" s="6">
        <v>0</v>
      </c>
      <c r="D111" s="3"/>
      <c r="E111" s="7">
        <f t="shared" si="1"/>
        <v>0</v>
      </c>
    </row>
    <row r="112" spans="1:5" x14ac:dyDescent="0.3">
      <c r="A112" s="5" t="s">
        <v>76</v>
      </c>
      <c r="B112" s="5" t="s">
        <v>3</v>
      </c>
      <c r="C112" s="6">
        <v>14</v>
      </c>
      <c r="D112" s="15">
        <v>6800</v>
      </c>
      <c r="E112" s="7">
        <f t="shared" si="1"/>
        <v>95200</v>
      </c>
    </row>
    <row r="113" spans="1:5" hidden="1" x14ac:dyDescent="0.3">
      <c r="A113" s="5" t="s">
        <v>85</v>
      </c>
      <c r="B113" s="5" t="s">
        <v>22</v>
      </c>
      <c r="C113" s="6">
        <v>0</v>
      </c>
      <c r="D113" s="3"/>
      <c r="E113" s="7">
        <f t="shared" si="1"/>
        <v>0</v>
      </c>
    </row>
    <row r="114" spans="1:5" hidden="1" x14ac:dyDescent="0.3">
      <c r="A114" s="12" t="s">
        <v>127</v>
      </c>
      <c r="B114" s="12">
        <v>0</v>
      </c>
      <c r="C114" s="13">
        <v>9299.2999999999993</v>
      </c>
      <c r="D114" s="17"/>
      <c r="E114" s="18">
        <f>SUM(E2:E113)</f>
        <v>185269700</v>
      </c>
    </row>
    <row r="115" spans="1:5" ht="43.8" customHeight="1" x14ac:dyDescent="0.3">
      <c r="A115" s="9" t="s">
        <v>124</v>
      </c>
      <c r="B115" s="9" t="s">
        <v>1</v>
      </c>
      <c r="C115" s="10" t="s">
        <v>122</v>
      </c>
      <c r="D115" s="14" t="s">
        <v>125</v>
      </c>
      <c r="E115" s="11" t="s">
        <v>126</v>
      </c>
    </row>
    <row r="116" spans="1:5" x14ac:dyDescent="0.3">
      <c r="A116" s="5" t="s">
        <v>44</v>
      </c>
      <c r="B116" s="5" t="s">
        <v>3</v>
      </c>
      <c r="C116" s="8">
        <v>25</v>
      </c>
      <c r="D116" s="15">
        <f>VLOOKUP(A116,'4.12'!A110:D147,4,)</f>
        <v>36000</v>
      </c>
      <c r="E116" s="7">
        <f t="shared" si="1"/>
        <v>900000</v>
      </c>
    </row>
    <row r="117" spans="1:5" hidden="1" x14ac:dyDescent="0.3">
      <c r="A117" s="5" t="s">
        <v>45</v>
      </c>
      <c r="B117" s="5" t="s">
        <v>3</v>
      </c>
      <c r="C117" s="8">
        <v>0</v>
      </c>
      <c r="D117" s="3"/>
      <c r="E117" s="7">
        <f t="shared" si="1"/>
        <v>0</v>
      </c>
    </row>
    <row r="118" spans="1:5" hidden="1" x14ac:dyDescent="0.3">
      <c r="A118" s="5" t="s">
        <v>17</v>
      </c>
      <c r="B118" s="5" t="s">
        <v>3</v>
      </c>
      <c r="C118" s="8">
        <v>0</v>
      </c>
      <c r="D118" s="3"/>
      <c r="E118" s="7">
        <f t="shared" si="1"/>
        <v>0</v>
      </c>
    </row>
    <row r="119" spans="1:5" x14ac:dyDescent="0.3">
      <c r="A119" s="5" t="s">
        <v>95</v>
      </c>
      <c r="B119" s="5" t="s">
        <v>3</v>
      </c>
      <c r="C119" s="8">
        <v>20</v>
      </c>
      <c r="D119" s="15">
        <f>VLOOKUP(A119,'4.12'!A113:D150,4,)</f>
        <v>7000</v>
      </c>
      <c r="E119" s="7">
        <f t="shared" si="1"/>
        <v>140000</v>
      </c>
    </row>
    <row r="120" spans="1:5" hidden="1" x14ac:dyDescent="0.3">
      <c r="A120" s="5" t="s">
        <v>24</v>
      </c>
      <c r="B120" s="5" t="s">
        <v>3</v>
      </c>
      <c r="C120" s="8">
        <v>0</v>
      </c>
      <c r="D120" s="3"/>
      <c r="E120" s="7">
        <f t="shared" si="1"/>
        <v>0</v>
      </c>
    </row>
    <row r="121" spans="1:5" hidden="1" x14ac:dyDescent="0.3">
      <c r="A121" s="5" t="s">
        <v>78</v>
      </c>
      <c r="B121" s="5" t="s">
        <v>3</v>
      </c>
      <c r="C121" s="8">
        <v>0</v>
      </c>
      <c r="D121" s="3"/>
      <c r="E121" s="7">
        <f t="shared" si="1"/>
        <v>0</v>
      </c>
    </row>
    <row r="122" spans="1:5" x14ac:dyDescent="0.3">
      <c r="A122" s="5" t="s">
        <v>25</v>
      </c>
      <c r="B122" s="5" t="s">
        <v>3</v>
      </c>
      <c r="C122" s="8">
        <v>25</v>
      </c>
      <c r="D122" s="15">
        <f>VLOOKUP(A122,'4.12'!A116:D153,4,)</f>
        <v>10000</v>
      </c>
      <c r="E122" s="7">
        <f t="shared" si="1"/>
        <v>250000</v>
      </c>
    </row>
    <row r="123" spans="1:5" hidden="1" x14ac:dyDescent="0.3">
      <c r="A123" s="5" t="s">
        <v>37</v>
      </c>
      <c r="B123" s="5" t="s">
        <v>3</v>
      </c>
      <c r="C123" s="8">
        <v>0</v>
      </c>
      <c r="D123" s="3"/>
      <c r="E123" s="7">
        <f t="shared" si="1"/>
        <v>0</v>
      </c>
    </row>
    <row r="124" spans="1:5" hidden="1" x14ac:dyDescent="0.3">
      <c r="A124" s="5" t="s">
        <v>46</v>
      </c>
      <c r="B124" s="5" t="s">
        <v>3</v>
      </c>
      <c r="C124" s="8">
        <v>0</v>
      </c>
      <c r="D124" s="3"/>
      <c r="E124" s="7">
        <f t="shared" si="1"/>
        <v>0</v>
      </c>
    </row>
    <row r="125" spans="1:5" x14ac:dyDescent="0.3">
      <c r="A125" s="5" t="s">
        <v>94</v>
      </c>
      <c r="B125" s="5" t="s">
        <v>3</v>
      </c>
      <c r="C125" s="8">
        <v>40</v>
      </c>
      <c r="D125" s="15">
        <f>VLOOKUP(A125,'4.12'!A119:D156,4,)</f>
        <v>19000</v>
      </c>
      <c r="E125" s="7">
        <f t="shared" si="1"/>
        <v>760000</v>
      </c>
    </row>
    <row r="126" spans="1:5" hidden="1" x14ac:dyDescent="0.3">
      <c r="A126" s="5" t="s">
        <v>28</v>
      </c>
      <c r="B126" s="5" t="s">
        <v>3</v>
      </c>
      <c r="C126" s="8">
        <v>0</v>
      </c>
      <c r="D126" s="3"/>
      <c r="E126" s="7">
        <f t="shared" si="1"/>
        <v>0</v>
      </c>
    </row>
    <row r="127" spans="1:5" x14ac:dyDescent="0.3">
      <c r="A127" s="5" t="s">
        <v>30</v>
      </c>
      <c r="B127" s="5" t="s">
        <v>3</v>
      </c>
      <c r="C127" s="8">
        <v>60</v>
      </c>
      <c r="D127" s="15">
        <f>VLOOKUP(A127,'4.12'!A121:D158,4,)</f>
        <v>22000</v>
      </c>
      <c r="E127" s="7">
        <f t="shared" si="1"/>
        <v>1320000</v>
      </c>
    </row>
    <row r="128" spans="1:5" x14ac:dyDescent="0.3">
      <c r="A128" s="5" t="s">
        <v>2</v>
      </c>
      <c r="B128" s="5" t="s">
        <v>3</v>
      </c>
      <c r="C128" s="8">
        <v>170</v>
      </c>
      <c r="D128" s="15">
        <f>VLOOKUP(A128,'4.12'!A122:D159,4,)</f>
        <v>13000</v>
      </c>
      <c r="E128" s="7">
        <f t="shared" si="1"/>
        <v>2210000</v>
      </c>
    </row>
    <row r="129" spans="1:5" x14ac:dyDescent="0.3">
      <c r="A129" s="5" t="s">
        <v>53</v>
      </c>
      <c r="B129" s="5" t="s">
        <v>3</v>
      </c>
      <c r="C129" s="8">
        <v>60</v>
      </c>
      <c r="D129" s="15">
        <f>VLOOKUP(A129,'4.12'!A123:D160,4,)</f>
        <v>6500</v>
      </c>
      <c r="E129" s="7">
        <f t="shared" si="1"/>
        <v>390000</v>
      </c>
    </row>
    <row r="130" spans="1:5" hidden="1" x14ac:dyDescent="0.3">
      <c r="A130" s="5" t="s">
        <v>20</v>
      </c>
      <c r="B130" s="5" t="s">
        <v>3</v>
      </c>
      <c r="C130" s="8">
        <v>0</v>
      </c>
      <c r="D130" s="3"/>
      <c r="E130" s="7">
        <f t="shared" si="1"/>
        <v>0</v>
      </c>
    </row>
    <row r="131" spans="1:5" x14ac:dyDescent="0.3">
      <c r="A131" s="5" t="s">
        <v>97</v>
      </c>
      <c r="B131" s="5" t="s">
        <v>3</v>
      </c>
      <c r="C131" s="8">
        <v>19</v>
      </c>
      <c r="D131" s="15">
        <v>16000</v>
      </c>
      <c r="E131" s="7">
        <f t="shared" ref="E131:E161" si="2">+D131*C131</f>
        <v>304000</v>
      </c>
    </row>
    <row r="132" spans="1:5" x14ac:dyDescent="0.3">
      <c r="A132" s="5" t="s">
        <v>21</v>
      </c>
      <c r="B132" s="5" t="s">
        <v>3</v>
      </c>
      <c r="C132" s="8">
        <v>40</v>
      </c>
      <c r="D132" s="15">
        <f>VLOOKUP(A132,'4.12'!A126:D163,4,)</f>
        <v>16000</v>
      </c>
      <c r="E132" s="7">
        <f t="shared" si="2"/>
        <v>640000</v>
      </c>
    </row>
    <row r="133" spans="1:5" x14ac:dyDescent="0.3">
      <c r="A133" s="5" t="s">
        <v>96</v>
      </c>
      <c r="B133" s="5" t="s">
        <v>3</v>
      </c>
      <c r="C133" s="8">
        <v>34</v>
      </c>
      <c r="D133" s="15">
        <f>VLOOKUP(A133,'4.12'!A127:D164,4,)</f>
        <v>28000</v>
      </c>
      <c r="E133" s="7">
        <f t="shared" si="2"/>
        <v>952000</v>
      </c>
    </row>
    <row r="134" spans="1:5" hidden="1" x14ac:dyDescent="0.3">
      <c r="A134" s="5" t="s">
        <v>56</v>
      </c>
      <c r="B134" s="5" t="s">
        <v>3</v>
      </c>
      <c r="C134" s="8">
        <v>0</v>
      </c>
      <c r="D134" s="3"/>
      <c r="E134" s="7">
        <f t="shared" si="2"/>
        <v>0</v>
      </c>
    </row>
    <row r="135" spans="1:5" hidden="1" x14ac:dyDescent="0.3">
      <c r="A135" s="5" t="s">
        <v>107</v>
      </c>
      <c r="B135" s="5" t="s">
        <v>6</v>
      </c>
      <c r="C135" s="8">
        <v>0</v>
      </c>
      <c r="D135" s="3"/>
      <c r="E135" s="7">
        <f t="shared" si="2"/>
        <v>0</v>
      </c>
    </row>
    <row r="136" spans="1:5" x14ac:dyDescent="0.3">
      <c r="A136" s="5" t="s">
        <v>57</v>
      </c>
      <c r="B136" s="5" t="s">
        <v>3</v>
      </c>
      <c r="C136" s="8">
        <v>70</v>
      </c>
      <c r="D136" s="15">
        <f>VLOOKUP(A136,'4.12'!A130:D167,4,)</f>
        <v>5000</v>
      </c>
      <c r="E136" s="7">
        <f t="shared" si="2"/>
        <v>350000</v>
      </c>
    </row>
    <row r="137" spans="1:5" x14ac:dyDescent="0.3">
      <c r="A137" s="5" t="s">
        <v>9</v>
      </c>
      <c r="B137" s="5" t="s">
        <v>3</v>
      </c>
      <c r="C137" s="8">
        <v>50</v>
      </c>
      <c r="D137" s="15">
        <f>VLOOKUP(A137,'4.12'!A131:D168,4,)</f>
        <v>17000</v>
      </c>
      <c r="E137" s="7">
        <f t="shared" si="2"/>
        <v>850000</v>
      </c>
    </row>
    <row r="138" spans="1:5" hidden="1" x14ac:dyDescent="0.3">
      <c r="A138" s="5" t="s">
        <v>10</v>
      </c>
      <c r="B138" s="5" t="s">
        <v>3</v>
      </c>
      <c r="C138" s="8">
        <v>0</v>
      </c>
      <c r="D138" s="3"/>
      <c r="E138" s="7">
        <f t="shared" si="2"/>
        <v>0</v>
      </c>
    </row>
    <row r="139" spans="1:5" hidden="1" x14ac:dyDescent="0.3">
      <c r="A139" s="5" t="s">
        <v>12</v>
      </c>
      <c r="B139" s="5" t="s">
        <v>3</v>
      </c>
      <c r="C139" s="8">
        <v>0</v>
      </c>
      <c r="D139" s="3"/>
      <c r="E139" s="7">
        <f t="shared" si="2"/>
        <v>0</v>
      </c>
    </row>
    <row r="140" spans="1:5" hidden="1" x14ac:dyDescent="0.3">
      <c r="A140" s="5" t="s">
        <v>13</v>
      </c>
      <c r="B140" s="5" t="s">
        <v>4</v>
      </c>
      <c r="C140" s="8">
        <v>0</v>
      </c>
      <c r="D140" s="3"/>
      <c r="E140" s="7">
        <f t="shared" si="2"/>
        <v>0</v>
      </c>
    </row>
    <row r="141" spans="1:5" x14ac:dyDescent="0.3">
      <c r="A141" s="5" t="s">
        <v>14</v>
      </c>
      <c r="B141" s="5" t="s">
        <v>3</v>
      </c>
      <c r="C141" s="8">
        <v>160</v>
      </c>
      <c r="D141" s="15">
        <v>17000</v>
      </c>
      <c r="E141" s="7">
        <f t="shared" si="2"/>
        <v>2720000</v>
      </c>
    </row>
    <row r="142" spans="1:5" hidden="1" x14ac:dyDescent="0.3">
      <c r="A142" s="5" t="s">
        <v>89</v>
      </c>
      <c r="B142" s="5" t="s">
        <v>4</v>
      </c>
      <c r="C142" s="8">
        <v>0</v>
      </c>
      <c r="D142" s="3"/>
      <c r="E142" s="7">
        <f t="shared" si="2"/>
        <v>0</v>
      </c>
    </row>
    <row r="143" spans="1:5" hidden="1" x14ac:dyDescent="0.3">
      <c r="A143" s="5" t="s">
        <v>109</v>
      </c>
      <c r="B143" s="5" t="s">
        <v>3</v>
      </c>
      <c r="C143" s="8">
        <v>0</v>
      </c>
      <c r="D143" s="3"/>
      <c r="E143" s="7">
        <f t="shared" si="2"/>
        <v>0</v>
      </c>
    </row>
    <row r="144" spans="1:5" x14ac:dyDescent="0.3">
      <c r="A144" s="5" t="s">
        <v>15</v>
      </c>
      <c r="B144" s="5" t="s">
        <v>3</v>
      </c>
      <c r="C144" s="8">
        <v>230</v>
      </c>
      <c r="D144" s="15">
        <v>18000</v>
      </c>
      <c r="E144" s="7">
        <f t="shared" si="2"/>
        <v>4140000</v>
      </c>
    </row>
    <row r="145" spans="1:5" hidden="1" x14ac:dyDescent="0.3">
      <c r="A145" s="5" t="s">
        <v>59</v>
      </c>
      <c r="B145" s="5" t="s">
        <v>3</v>
      </c>
      <c r="C145" s="8">
        <v>0</v>
      </c>
      <c r="D145" s="3"/>
      <c r="E145" s="7">
        <f t="shared" si="2"/>
        <v>0</v>
      </c>
    </row>
    <row r="146" spans="1:5" x14ac:dyDescent="0.3">
      <c r="A146" s="5" t="s">
        <v>60</v>
      </c>
      <c r="B146" s="5" t="s">
        <v>4</v>
      </c>
      <c r="C146" s="8">
        <v>20</v>
      </c>
      <c r="D146" s="15">
        <v>6000</v>
      </c>
      <c r="E146" s="7">
        <f t="shared" si="2"/>
        <v>120000</v>
      </c>
    </row>
    <row r="147" spans="1:5" x14ac:dyDescent="0.3">
      <c r="A147" s="5" t="s">
        <v>61</v>
      </c>
      <c r="B147" s="5" t="s">
        <v>4</v>
      </c>
      <c r="C147" s="8">
        <v>80</v>
      </c>
      <c r="D147" s="15">
        <v>10000</v>
      </c>
      <c r="E147" s="7">
        <f t="shared" si="2"/>
        <v>800000</v>
      </c>
    </row>
    <row r="148" spans="1:5" hidden="1" x14ac:dyDescent="0.3">
      <c r="A148" s="5" t="s">
        <v>32</v>
      </c>
      <c r="B148" s="5" t="s">
        <v>3</v>
      </c>
      <c r="C148" s="8">
        <v>0</v>
      </c>
      <c r="D148" s="3"/>
      <c r="E148" s="7">
        <f t="shared" si="2"/>
        <v>0</v>
      </c>
    </row>
    <row r="149" spans="1:5" x14ac:dyDescent="0.3">
      <c r="A149" s="5" t="s">
        <v>32</v>
      </c>
      <c r="B149" s="5" t="s">
        <v>6</v>
      </c>
      <c r="C149" s="8">
        <v>135</v>
      </c>
      <c r="D149" s="15">
        <v>5000</v>
      </c>
      <c r="E149" s="7">
        <f t="shared" si="2"/>
        <v>675000</v>
      </c>
    </row>
    <row r="150" spans="1:5" hidden="1" x14ac:dyDescent="0.3">
      <c r="A150" s="5" t="s">
        <v>66</v>
      </c>
      <c r="B150" s="5" t="s">
        <v>3</v>
      </c>
      <c r="C150" s="8">
        <v>0</v>
      </c>
      <c r="D150" s="3"/>
      <c r="E150" s="7">
        <f t="shared" si="2"/>
        <v>0</v>
      </c>
    </row>
    <row r="151" spans="1:5" x14ac:dyDescent="0.3">
      <c r="A151" s="5" t="s">
        <v>43</v>
      </c>
      <c r="B151" s="5" t="s">
        <v>3</v>
      </c>
      <c r="C151" s="8">
        <v>1160</v>
      </c>
      <c r="D151" s="15">
        <v>27600</v>
      </c>
      <c r="E151" s="7">
        <f t="shared" si="2"/>
        <v>32016000</v>
      </c>
    </row>
    <row r="152" spans="1:5" hidden="1" x14ac:dyDescent="0.3">
      <c r="A152" s="5" t="s">
        <v>67</v>
      </c>
      <c r="B152" s="5" t="s">
        <v>3</v>
      </c>
      <c r="C152" s="8">
        <v>0</v>
      </c>
      <c r="D152" s="3"/>
      <c r="E152" s="7">
        <f t="shared" si="2"/>
        <v>0</v>
      </c>
    </row>
    <row r="153" spans="1:5" x14ac:dyDescent="0.3">
      <c r="A153" s="5" t="s">
        <v>34</v>
      </c>
      <c r="B153" s="5" t="s">
        <v>3</v>
      </c>
      <c r="C153" s="8">
        <v>20</v>
      </c>
      <c r="D153" s="15">
        <v>26000</v>
      </c>
      <c r="E153" s="7">
        <f t="shared" si="2"/>
        <v>520000</v>
      </c>
    </row>
    <row r="154" spans="1:5" hidden="1" x14ac:dyDescent="0.3">
      <c r="A154" s="5" t="s">
        <v>35</v>
      </c>
      <c r="B154" s="5" t="s">
        <v>3</v>
      </c>
      <c r="C154" s="8">
        <v>0</v>
      </c>
      <c r="D154" s="3"/>
      <c r="E154" s="7">
        <f t="shared" si="2"/>
        <v>0</v>
      </c>
    </row>
    <row r="155" spans="1:5" hidden="1" x14ac:dyDescent="0.3">
      <c r="A155" s="5" t="s">
        <v>36</v>
      </c>
      <c r="B155" s="5" t="s">
        <v>3</v>
      </c>
      <c r="C155" s="8">
        <v>0</v>
      </c>
      <c r="D155" s="3"/>
      <c r="E155" s="7">
        <f t="shared" si="2"/>
        <v>0</v>
      </c>
    </row>
    <row r="156" spans="1:5" x14ac:dyDescent="0.3">
      <c r="A156" s="5" t="s">
        <v>116</v>
      </c>
      <c r="B156" s="5" t="s">
        <v>26</v>
      </c>
      <c r="C156" s="8">
        <v>83</v>
      </c>
      <c r="D156" s="15">
        <v>10000</v>
      </c>
      <c r="E156" s="7">
        <f t="shared" si="2"/>
        <v>830000</v>
      </c>
    </row>
    <row r="157" spans="1:5" x14ac:dyDescent="0.3">
      <c r="A157" s="5" t="s">
        <v>72</v>
      </c>
      <c r="B157" s="5" t="s">
        <v>3</v>
      </c>
      <c r="C157" s="8">
        <v>230</v>
      </c>
      <c r="D157" s="15">
        <v>7000</v>
      </c>
      <c r="E157" s="7">
        <f t="shared" si="2"/>
        <v>1610000</v>
      </c>
    </row>
    <row r="158" spans="1:5" hidden="1" x14ac:dyDescent="0.3">
      <c r="A158" s="5" t="s">
        <v>23</v>
      </c>
      <c r="B158" s="5" t="s">
        <v>22</v>
      </c>
      <c r="C158" s="8">
        <v>0</v>
      </c>
      <c r="D158" s="3"/>
      <c r="E158" s="7">
        <f t="shared" si="2"/>
        <v>0</v>
      </c>
    </row>
    <row r="159" spans="1:5" hidden="1" x14ac:dyDescent="0.3">
      <c r="A159" s="5" t="s">
        <v>84</v>
      </c>
      <c r="B159" s="5" t="s">
        <v>22</v>
      </c>
      <c r="C159" s="8">
        <v>0</v>
      </c>
      <c r="D159" s="3"/>
      <c r="E159" s="7">
        <f t="shared" si="2"/>
        <v>0</v>
      </c>
    </row>
    <row r="160" spans="1:5" hidden="1" x14ac:dyDescent="0.3">
      <c r="A160" s="5" t="s">
        <v>86</v>
      </c>
      <c r="B160" s="5" t="s">
        <v>22</v>
      </c>
      <c r="C160" s="8">
        <v>0</v>
      </c>
      <c r="D160" s="3"/>
      <c r="E160" s="7">
        <f t="shared" si="2"/>
        <v>0</v>
      </c>
    </row>
    <row r="161" spans="1:5" hidden="1" x14ac:dyDescent="0.3">
      <c r="A161" s="5" t="s">
        <v>85</v>
      </c>
      <c r="B161" s="5" t="s">
        <v>22</v>
      </c>
      <c r="C161" s="8">
        <v>0</v>
      </c>
      <c r="D161" s="3"/>
      <c r="E161" s="7">
        <f t="shared" si="2"/>
        <v>0</v>
      </c>
    </row>
    <row r="162" spans="1:5" x14ac:dyDescent="0.3">
      <c r="A162" s="12" t="s">
        <v>128</v>
      </c>
      <c r="B162" s="12">
        <v>0</v>
      </c>
      <c r="C162" s="19">
        <v>2231</v>
      </c>
      <c r="D162" s="17"/>
      <c r="E162" s="18">
        <f>SUM(E116:E161)</f>
        <v>52497000</v>
      </c>
    </row>
    <row r="163" spans="1:5" x14ac:dyDescent="0.3">
      <c r="A163" s="20"/>
      <c r="B163" s="20"/>
      <c r="C163" s="20"/>
      <c r="D163" s="21"/>
      <c r="E163" s="22">
        <f>+E162+E114</f>
        <v>237766700</v>
      </c>
    </row>
  </sheetData>
  <autoFilter ref="A1:E163" xr:uid="{00000000-0009-0000-0000-000004000000}">
    <filterColumn colId="2">
      <filters blank="1">
        <filter val="1"/>
        <filter val="1,905"/>
        <filter val="10"/>
        <filter val="105"/>
        <filter val="11"/>
        <filter val="115"/>
        <filter val="1160"/>
        <filter val="13"/>
        <filter val="135"/>
        <filter val="138"/>
        <filter val="14"/>
        <filter val="144"/>
        <filter val="150"/>
        <filter val="16"/>
        <filter val="160"/>
        <filter val="17"/>
        <filter val="170"/>
        <filter val="18"/>
        <filter val="180"/>
        <filter val="19"/>
        <filter val="2"/>
        <filter val="20"/>
        <filter val="220"/>
        <filter val="2231"/>
        <filter val="224"/>
        <filter val="230"/>
        <filter val="231"/>
        <filter val="246"/>
        <filter val="25"/>
        <filter val="3"/>
        <filter val="3,050"/>
        <filter val="30"/>
        <filter val="330"/>
        <filter val="34"/>
        <filter val="367"/>
        <filter val="37"/>
        <filter val="370"/>
        <filter val="40"/>
        <filter val="5"/>
        <filter val="50"/>
        <filter val="60"/>
        <filter val="611"/>
        <filter val="64"/>
        <filter val="65"/>
        <filter val="675"/>
        <filter val="688"/>
        <filter val="69"/>
        <filter val="7"/>
        <filter val="70"/>
        <filter val="8"/>
        <filter val="80"/>
        <filter val="83"/>
        <filter val="88"/>
        <filter val="9,299"/>
        <filter val="Tồn_x000a_ĐL_x000a__x000a_現在個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153"/>
  <sheetViews>
    <sheetView workbookViewId="0">
      <pane xSplit="1" ySplit="1" topLeftCell="B67" activePane="bottomRight" state="frozen"/>
      <selection pane="topRight" activeCell="B1" sqref="B1"/>
      <selection pane="bottomLeft" activeCell="A2" sqref="A2"/>
      <selection pane="bottomRight" activeCell="H56" sqref="H56"/>
    </sheetView>
  </sheetViews>
  <sheetFormatPr defaultRowHeight="15.6" x14ac:dyDescent="0.3"/>
  <cols>
    <col min="1" max="1" width="29.33203125" style="4" customWidth="1"/>
    <col min="2" max="2" width="10.88671875" style="4" customWidth="1"/>
    <col min="3" max="3" width="11.5546875" style="4" customWidth="1"/>
    <col min="4" max="4" width="19.21875" style="16" customWidth="1"/>
    <col min="5" max="5" width="20.21875" style="16" customWidth="1"/>
    <col min="6" max="16384" width="8.88671875" style="4"/>
  </cols>
  <sheetData>
    <row r="1" spans="1:5" ht="62.4" x14ac:dyDescent="0.3">
      <c r="A1" s="9" t="s">
        <v>124</v>
      </c>
      <c r="B1" s="9" t="s">
        <v>1</v>
      </c>
      <c r="C1" s="10" t="s">
        <v>122</v>
      </c>
      <c r="D1" s="14" t="s">
        <v>125</v>
      </c>
      <c r="E1" s="14" t="s">
        <v>126</v>
      </c>
    </row>
    <row r="2" spans="1:5" x14ac:dyDescent="0.3">
      <c r="A2" s="5" t="s">
        <v>44</v>
      </c>
      <c r="B2" s="5" t="s">
        <v>3</v>
      </c>
      <c r="C2" s="6">
        <v>25</v>
      </c>
      <c r="D2" s="15">
        <v>36000</v>
      </c>
      <c r="E2" s="15">
        <v>900000</v>
      </c>
    </row>
    <row r="3" spans="1:5" x14ac:dyDescent="0.3">
      <c r="A3" s="5" t="s">
        <v>45</v>
      </c>
      <c r="B3" s="5" t="s">
        <v>3</v>
      </c>
      <c r="C3" s="6">
        <v>40</v>
      </c>
      <c r="D3" s="15">
        <v>8000</v>
      </c>
      <c r="E3" s="15">
        <v>320000</v>
      </c>
    </row>
    <row r="4" spans="1:5" x14ac:dyDescent="0.3">
      <c r="A4" s="5" t="s">
        <v>17</v>
      </c>
      <c r="B4" s="5" t="s">
        <v>3</v>
      </c>
      <c r="C4" s="6">
        <v>615</v>
      </c>
      <c r="D4" s="15">
        <v>7500</v>
      </c>
      <c r="E4" s="15">
        <v>4612500</v>
      </c>
    </row>
    <row r="5" spans="1:5" s="26" customFormat="1" ht="14.4" hidden="1" x14ac:dyDescent="0.3">
      <c r="A5" s="23" t="s">
        <v>92</v>
      </c>
      <c r="B5" s="23" t="s">
        <v>3</v>
      </c>
      <c r="C5" s="24">
        <v>0</v>
      </c>
      <c r="D5" s="25"/>
      <c r="E5" s="25"/>
    </row>
    <row r="6" spans="1:5" x14ac:dyDescent="0.3">
      <c r="A6" s="5" t="s">
        <v>24</v>
      </c>
      <c r="B6" s="5" t="s">
        <v>3</v>
      </c>
      <c r="C6" s="6">
        <v>1270</v>
      </c>
      <c r="D6" s="15">
        <v>5000</v>
      </c>
      <c r="E6" s="15">
        <v>6350000</v>
      </c>
    </row>
    <row r="7" spans="1:5" x14ac:dyDescent="0.3">
      <c r="A7" s="5" t="s">
        <v>78</v>
      </c>
      <c r="B7" s="5" t="s">
        <v>3</v>
      </c>
      <c r="C7" s="6">
        <v>1</v>
      </c>
      <c r="D7" s="15">
        <v>35000</v>
      </c>
      <c r="E7" s="15">
        <v>35000</v>
      </c>
    </row>
    <row r="8" spans="1:5" x14ac:dyDescent="0.3">
      <c r="A8" s="5" t="s">
        <v>25</v>
      </c>
      <c r="B8" s="5" t="s">
        <v>3</v>
      </c>
      <c r="C8" s="6">
        <v>93</v>
      </c>
      <c r="D8" s="15">
        <v>10000</v>
      </c>
      <c r="E8" s="15">
        <v>930000</v>
      </c>
    </row>
    <row r="9" spans="1:5" s="26" customFormat="1" ht="14.4" hidden="1" x14ac:dyDescent="0.3">
      <c r="A9" s="23" t="s">
        <v>25</v>
      </c>
      <c r="B9" s="23" t="s">
        <v>26</v>
      </c>
      <c r="C9" s="24">
        <v>0</v>
      </c>
      <c r="D9" s="25"/>
      <c r="E9" s="25"/>
    </row>
    <row r="10" spans="1:5" x14ac:dyDescent="0.3">
      <c r="A10" s="5" t="s">
        <v>27</v>
      </c>
      <c r="B10" s="5" t="s">
        <v>3</v>
      </c>
      <c r="C10" s="6">
        <v>5</v>
      </c>
      <c r="D10" s="15">
        <v>10000</v>
      </c>
      <c r="E10" s="15">
        <v>50000</v>
      </c>
    </row>
    <row r="11" spans="1:5" s="26" customFormat="1" ht="14.4" hidden="1" x14ac:dyDescent="0.3">
      <c r="A11" s="23" t="s">
        <v>27</v>
      </c>
      <c r="B11" s="23" t="s">
        <v>26</v>
      </c>
      <c r="C11" s="24">
        <v>0</v>
      </c>
      <c r="D11" s="25"/>
      <c r="E11" s="25"/>
    </row>
    <row r="12" spans="1:5" s="26" customFormat="1" ht="14.4" hidden="1" x14ac:dyDescent="0.3">
      <c r="A12" s="23" t="s">
        <v>37</v>
      </c>
      <c r="B12" s="23" t="s">
        <v>3</v>
      </c>
      <c r="C12" s="24">
        <v>0</v>
      </c>
      <c r="D12" s="25"/>
      <c r="E12" s="25"/>
    </row>
    <row r="13" spans="1:5" s="26" customFormat="1" ht="14.4" hidden="1" x14ac:dyDescent="0.3">
      <c r="A13" s="23" t="s">
        <v>46</v>
      </c>
      <c r="B13" s="23" t="s">
        <v>3</v>
      </c>
      <c r="C13" s="24">
        <v>0</v>
      </c>
      <c r="D13" s="25"/>
      <c r="E13" s="25"/>
    </row>
    <row r="14" spans="1:5" x14ac:dyDescent="0.3">
      <c r="A14" s="5" t="s">
        <v>123</v>
      </c>
      <c r="B14" s="5" t="s">
        <v>3</v>
      </c>
      <c r="C14" s="6">
        <v>5</v>
      </c>
      <c r="D14" s="15">
        <v>18000</v>
      </c>
      <c r="E14" s="15">
        <v>90000</v>
      </c>
    </row>
    <row r="15" spans="1:5" s="26" customFormat="1" ht="14.4" hidden="1" x14ac:dyDescent="0.3">
      <c r="A15" s="23" t="s">
        <v>82</v>
      </c>
      <c r="B15" s="23" t="s">
        <v>3</v>
      </c>
      <c r="C15" s="24">
        <v>0</v>
      </c>
      <c r="D15" s="25"/>
      <c r="E15" s="25"/>
    </row>
    <row r="16" spans="1:5" s="26" customFormat="1" ht="14.4" hidden="1" x14ac:dyDescent="0.3">
      <c r="A16" s="23" t="s">
        <v>16</v>
      </c>
      <c r="B16" s="23" t="s">
        <v>6</v>
      </c>
      <c r="C16" s="24">
        <v>0</v>
      </c>
      <c r="D16" s="25"/>
      <c r="E16" s="25"/>
    </row>
    <row r="17" spans="1:5" x14ac:dyDescent="0.3">
      <c r="A17" s="5" t="s">
        <v>28</v>
      </c>
      <c r="B17" s="5" t="s">
        <v>3</v>
      </c>
      <c r="C17" s="6">
        <v>105</v>
      </c>
      <c r="D17" s="15">
        <v>22000</v>
      </c>
      <c r="E17" s="15">
        <v>2310000</v>
      </c>
    </row>
    <row r="18" spans="1:5" s="26" customFormat="1" ht="14.4" hidden="1" x14ac:dyDescent="0.3">
      <c r="A18" s="23" t="s">
        <v>28</v>
      </c>
      <c r="B18" s="23" t="s">
        <v>6</v>
      </c>
      <c r="C18" s="24">
        <v>0</v>
      </c>
      <c r="D18" s="25"/>
      <c r="E18" s="25"/>
    </row>
    <row r="19" spans="1:5" s="26" customFormat="1" ht="14.4" hidden="1" x14ac:dyDescent="0.3">
      <c r="A19" s="23" t="s">
        <v>28</v>
      </c>
      <c r="B19" s="23" t="s">
        <v>29</v>
      </c>
      <c r="C19" s="24">
        <v>0</v>
      </c>
      <c r="D19" s="25"/>
      <c r="E19" s="25"/>
    </row>
    <row r="20" spans="1:5" x14ac:dyDescent="0.3">
      <c r="A20" s="5" t="s">
        <v>48</v>
      </c>
      <c r="B20" s="5" t="s">
        <v>3</v>
      </c>
      <c r="C20" s="6">
        <v>99</v>
      </c>
      <c r="D20" s="15">
        <v>20000</v>
      </c>
      <c r="E20" s="15">
        <v>1980000</v>
      </c>
    </row>
    <row r="21" spans="1:5" s="26" customFormat="1" ht="14.4" hidden="1" x14ac:dyDescent="0.3">
      <c r="A21" s="23" t="s">
        <v>48</v>
      </c>
      <c r="B21" s="23" t="s">
        <v>49</v>
      </c>
      <c r="C21" s="24">
        <v>0</v>
      </c>
      <c r="D21" s="25"/>
      <c r="E21" s="25"/>
    </row>
    <row r="22" spans="1:5" x14ac:dyDescent="0.3">
      <c r="A22" s="5" t="s">
        <v>40</v>
      </c>
      <c r="B22" s="5" t="s">
        <v>3</v>
      </c>
      <c r="C22" s="6">
        <v>5</v>
      </c>
      <c r="D22" s="15">
        <v>9000</v>
      </c>
      <c r="E22" s="15">
        <v>45000</v>
      </c>
    </row>
    <row r="23" spans="1:5" x14ac:dyDescent="0.3">
      <c r="A23" s="5" t="s">
        <v>40</v>
      </c>
      <c r="B23" s="5" t="s">
        <v>41</v>
      </c>
      <c r="C23" s="6">
        <v>96</v>
      </c>
      <c r="D23" s="15">
        <v>9000</v>
      </c>
      <c r="E23" s="15">
        <v>864000</v>
      </c>
    </row>
    <row r="24" spans="1:5" s="26" customFormat="1" ht="14.4" hidden="1" x14ac:dyDescent="0.3">
      <c r="A24" s="23" t="s">
        <v>50</v>
      </c>
      <c r="B24" s="23" t="s">
        <v>8</v>
      </c>
      <c r="C24" s="24">
        <v>0</v>
      </c>
      <c r="D24" s="25"/>
      <c r="E24" s="25"/>
    </row>
    <row r="25" spans="1:5" s="26" customFormat="1" ht="14.4" hidden="1" x14ac:dyDescent="0.3">
      <c r="A25" s="23" t="s">
        <v>51</v>
      </c>
      <c r="B25" s="23" t="s">
        <v>3</v>
      </c>
      <c r="C25" s="24">
        <v>0</v>
      </c>
      <c r="D25" s="25"/>
      <c r="E25" s="25"/>
    </row>
    <row r="26" spans="1:5" x14ac:dyDescent="0.3">
      <c r="A26" s="5" t="s">
        <v>51</v>
      </c>
      <c r="B26" s="5" t="s">
        <v>52</v>
      </c>
      <c r="C26" s="6">
        <v>45</v>
      </c>
      <c r="D26" s="15">
        <f>34000/4</f>
        <v>8500</v>
      </c>
      <c r="E26" s="15">
        <f>+D26*C26</f>
        <v>382500</v>
      </c>
    </row>
    <row r="27" spans="1:5" x14ac:dyDescent="0.3">
      <c r="A27" s="5" t="s">
        <v>30</v>
      </c>
      <c r="B27" s="5" t="s">
        <v>3</v>
      </c>
      <c r="C27" s="6">
        <v>170</v>
      </c>
      <c r="D27" s="15">
        <v>23000</v>
      </c>
      <c r="E27" s="15">
        <v>3910000</v>
      </c>
    </row>
    <row r="28" spans="1:5" s="26" customFormat="1" ht="14.4" hidden="1" x14ac:dyDescent="0.3">
      <c r="A28" s="23" t="s">
        <v>30</v>
      </c>
      <c r="B28" s="23" t="s">
        <v>6</v>
      </c>
      <c r="C28" s="24">
        <v>0</v>
      </c>
      <c r="D28" s="25"/>
      <c r="E28" s="25"/>
    </row>
    <row r="29" spans="1:5" x14ac:dyDescent="0.3">
      <c r="A29" s="5" t="s">
        <v>31</v>
      </c>
      <c r="B29" s="5" t="s">
        <v>3</v>
      </c>
      <c r="C29" s="6">
        <v>50</v>
      </c>
      <c r="D29" s="15">
        <v>18000</v>
      </c>
      <c r="E29" s="15">
        <v>900000</v>
      </c>
    </row>
    <row r="30" spans="1:5" s="26" customFormat="1" ht="14.4" hidden="1" x14ac:dyDescent="0.3">
      <c r="A30" s="23" t="s">
        <v>31</v>
      </c>
      <c r="B30" s="23" t="s">
        <v>4</v>
      </c>
      <c r="C30" s="24">
        <v>0</v>
      </c>
      <c r="D30" s="25"/>
      <c r="E30" s="25"/>
    </row>
    <row r="31" spans="1:5" x14ac:dyDescent="0.3">
      <c r="A31" s="5" t="s">
        <v>2</v>
      </c>
      <c r="B31" s="5" t="s">
        <v>3</v>
      </c>
      <c r="C31" s="6">
        <v>175</v>
      </c>
      <c r="D31" s="15">
        <v>12000</v>
      </c>
      <c r="E31" s="15">
        <v>2100000</v>
      </c>
    </row>
    <row r="32" spans="1:5" s="26" customFormat="1" ht="14.4" hidden="1" x14ac:dyDescent="0.3">
      <c r="A32" s="23" t="s">
        <v>2</v>
      </c>
      <c r="B32" s="23" t="s">
        <v>4</v>
      </c>
      <c r="C32" s="24">
        <v>0</v>
      </c>
      <c r="D32" s="25"/>
      <c r="E32" s="25"/>
    </row>
    <row r="33" spans="1:5" x14ac:dyDescent="0.3">
      <c r="A33" s="5" t="s">
        <v>5</v>
      </c>
      <c r="B33" s="5" t="s">
        <v>6</v>
      </c>
      <c r="C33" s="6">
        <v>19</v>
      </c>
      <c r="D33" s="15">
        <v>8000</v>
      </c>
      <c r="E33" s="15">
        <v>152000</v>
      </c>
    </row>
    <row r="34" spans="1:5" x14ac:dyDescent="0.3">
      <c r="A34" s="5" t="s">
        <v>53</v>
      </c>
      <c r="B34" s="5" t="s">
        <v>3</v>
      </c>
      <c r="C34" s="6">
        <v>48</v>
      </c>
      <c r="D34" s="15">
        <v>7000</v>
      </c>
      <c r="E34" s="15">
        <v>336000</v>
      </c>
    </row>
    <row r="35" spans="1:5" s="26" customFormat="1" ht="14.4" hidden="1" x14ac:dyDescent="0.3">
      <c r="A35" s="23" t="s">
        <v>53</v>
      </c>
      <c r="B35" s="23" t="s">
        <v>54</v>
      </c>
      <c r="C35" s="24">
        <v>0</v>
      </c>
      <c r="D35" s="25"/>
      <c r="E35" s="25"/>
    </row>
    <row r="36" spans="1:5" x14ac:dyDescent="0.3">
      <c r="A36" s="5" t="s">
        <v>18</v>
      </c>
      <c r="B36" s="5" t="s">
        <v>3</v>
      </c>
      <c r="C36" s="6">
        <v>30</v>
      </c>
      <c r="D36" s="15">
        <v>14000</v>
      </c>
      <c r="E36" s="15">
        <v>420000</v>
      </c>
    </row>
    <row r="37" spans="1:5" s="26" customFormat="1" ht="14.4" hidden="1" x14ac:dyDescent="0.3">
      <c r="A37" s="23" t="s">
        <v>18</v>
      </c>
      <c r="B37" s="23" t="s">
        <v>4</v>
      </c>
      <c r="C37" s="24">
        <v>0</v>
      </c>
      <c r="D37" s="25"/>
      <c r="E37" s="25"/>
    </row>
    <row r="38" spans="1:5" x14ac:dyDescent="0.3">
      <c r="A38" s="5" t="s">
        <v>55</v>
      </c>
      <c r="B38" s="5" t="s">
        <v>4</v>
      </c>
      <c r="C38" s="6">
        <v>14</v>
      </c>
      <c r="D38" s="15">
        <v>3900</v>
      </c>
      <c r="E38" s="15">
        <v>54600</v>
      </c>
    </row>
    <row r="39" spans="1:5" s="26" customFormat="1" ht="14.4" hidden="1" x14ac:dyDescent="0.3">
      <c r="A39" s="23" t="s">
        <v>19</v>
      </c>
      <c r="B39" s="23" t="s">
        <v>4</v>
      </c>
      <c r="C39" s="24">
        <v>0</v>
      </c>
      <c r="D39" s="25"/>
      <c r="E39" s="25"/>
    </row>
    <row r="40" spans="1:5" x14ac:dyDescent="0.3">
      <c r="A40" s="5" t="s">
        <v>20</v>
      </c>
      <c r="B40" s="5" t="s">
        <v>3</v>
      </c>
      <c r="C40" s="6">
        <v>460</v>
      </c>
      <c r="D40" s="15">
        <v>6000</v>
      </c>
      <c r="E40" s="15">
        <v>2760000</v>
      </c>
    </row>
    <row r="41" spans="1:5" s="26" customFormat="1" ht="14.4" hidden="1" x14ac:dyDescent="0.3">
      <c r="A41" s="23" t="s">
        <v>97</v>
      </c>
      <c r="B41" s="23" t="s">
        <v>3</v>
      </c>
      <c r="C41" s="24">
        <v>0</v>
      </c>
      <c r="D41" s="25"/>
      <c r="E41" s="25"/>
    </row>
    <row r="42" spans="1:5" x14ac:dyDescent="0.3">
      <c r="A42" s="5" t="s">
        <v>98</v>
      </c>
      <c r="B42" s="5" t="s">
        <v>3</v>
      </c>
      <c r="C42" s="6">
        <v>30</v>
      </c>
      <c r="D42" s="15">
        <v>4000</v>
      </c>
      <c r="E42" s="15">
        <v>120000</v>
      </c>
    </row>
    <row r="43" spans="1:5" s="26" customFormat="1" ht="14.4" hidden="1" x14ac:dyDescent="0.3">
      <c r="A43" s="23" t="s">
        <v>21</v>
      </c>
      <c r="B43" s="23" t="s">
        <v>22</v>
      </c>
      <c r="C43" s="24">
        <v>0</v>
      </c>
      <c r="D43" s="25"/>
      <c r="E43" s="25"/>
    </row>
    <row r="44" spans="1:5" x14ac:dyDescent="0.3">
      <c r="A44" s="5" t="s">
        <v>21</v>
      </c>
      <c r="B44" s="5" t="s">
        <v>3</v>
      </c>
      <c r="C44" s="6">
        <v>7</v>
      </c>
      <c r="D44" s="15">
        <v>20000</v>
      </c>
      <c r="E44" s="15">
        <v>140000</v>
      </c>
    </row>
    <row r="45" spans="1:5" x14ac:dyDescent="0.3">
      <c r="A45" s="5" t="s">
        <v>56</v>
      </c>
      <c r="B45" s="5" t="s">
        <v>3</v>
      </c>
      <c r="C45" s="6">
        <v>28</v>
      </c>
      <c r="D45" s="15">
        <v>14000</v>
      </c>
      <c r="E45" s="15">
        <v>392000</v>
      </c>
    </row>
    <row r="46" spans="1:5" s="26" customFormat="1" ht="14.4" hidden="1" x14ac:dyDescent="0.3">
      <c r="A46" s="23" t="s">
        <v>7</v>
      </c>
      <c r="B46" s="23" t="s">
        <v>8</v>
      </c>
      <c r="C46" s="24">
        <v>0</v>
      </c>
      <c r="D46" s="25"/>
      <c r="E46" s="25"/>
    </row>
    <row r="47" spans="1:5" x14ac:dyDescent="0.3">
      <c r="A47" s="5" t="s">
        <v>107</v>
      </c>
      <c r="B47" s="5" t="s">
        <v>3</v>
      </c>
      <c r="C47" s="6">
        <v>2</v>
      </c>
      <c r="D47" s="15">
        <v>16000</v>
      </c>
      <c r="E47" s="15">
        <v>32000</v>
      </c>
    </row>
    <row r="48" spans="1:5" x14ac:dyDescent="0.3">
      <c r="A48" s="5" t="s">
        <v>57</v>
      </c>
      <c r="B48" s="5" t="s">
        <v>3</v>
      </c>
      <c r="C48" s="6">
        <v>43</v>
      </c>
      <c r="D48" s="15">
        <v>4500</v>
      </c>
      <c r="E48" s="15">
        <v>193500</v>
      </c>
    </row>
    <row r="49" spans="1:5" x14ac:dyDescent="0.3">
      <c r="A49" s="5" t="s">
        <v>9</v>
      </c>
      <c r="B49" s="5" t="s">
        <v>3</v>
      </c>
      <c r="C49" s="6">
        <v>60</v>
      </c>
      <c r="D49" s="15">
        <v>17000</v>
      </c>
      <c r="E49" s="15">
        <v>1020000</v>
      </c>
    </row>
    <row r="50" spans="1:5" s="26" customFormat="1" ht="14.4" hidden="1" x14ac:dyDescent="0.3">
      <c r="A50" s="23" t="s">
        <v>9</v>
      </c>
      <c r="B50" s="23" t="s">
        <v>4</v>
      </c>
      <c r="C50" s="24">
        <v>0</v>
      </c>
      <c r="D50" s="25"/>
      <c r="E50" s="25"/>
    </row>
    <row r="51" spans="1:5" x14ac:dyDescent="0.3">
      <c r="A51" s="5" t="s">
        <v>58</v>
      </c>
      <c r="B51" s="5" t="s">
        <v>3</v>
      </c>
      <c r="C51" s="6">
        <v>24</v>
      </c>
      <c r="D51" s="15">
        <v>27000</v>
      </c>
      <c r="E51" s="15">
        <v>648000</v>
      </c>
    </row>
    <row r="52" spans="1:5" s="26" customFormat="1" ht="14.4" hidden="1" x14ac:dyDescent="0.3">
      <c r="A52" s="23" t="s">
        <v>10</v>
      </c>
      <c r="B52" s="23" t="s">
        <v>3</v>
      </c>
      <c r="C52" s="24">
        <v>0</v>
      </c>
      <c r="D52" s="25"/>
      <c r="E52" s="25"/>
    </row>
    <row r="53" spans="1:5" s="26" customFormat="1" ht="14.4" hidden="1" x14ac:dyDescent="0.3">
      <c r="A53" s="23" t="s">
        <v>10</v>
      </c>
      <c r="B53" s="23" t="s">
        <v>11</v>
      </c>
      <c r="C53" s="24">
        <v>0</v>
      </c>
      <c r="D53" s="25"/>
      <c r="E53" s="25"/>
    </row>
    <row r="54" spans="1:5" x14ac:dyDescent="0.3">
      <c r="A54" s="5" t="s">
        <v>106</v>
      </c>
      <c r="B54" s="5" t="s">
        <v>3</v>
      </c>
      <c r="C54" s="6">
        <v>8</v>
      </c>
      <c r="D54" s="15">
        <v>20000</v>
      </c>
      <c r="E54" s="15">
        <v>160000</v>
      </c>
    </row>
    <row r="55" spans="1:5" x14ac:dyDescent="0.3">
      <c r="A55" s="5" t="s">
        <v>12</v>
      </c>
      <c r="B55" s="5" t="s">
        <v>4</v>
      </c>
      <c r="C55" s="6">
        <v>290</v>
      </c>
      <c r="D55" s="15">
        <v>6000</v>
      </c>
      <c r="E55" s="15">
        <v>1740000</v>
      </c>
    </row>
    <row r="56" spans="1:5" x14ac:dyDescent="0.3">
      <c r="A56" s="5" t="s">
        <v>39</v>
      </c>
      <c r="B56" s="5" t="s">
        <v>3</v>
      </c>
      <c r="C56" s="6">
        <v>1265</v>
      </c>
      <c r="D56" s="15">
        <v>24000</v>
      </c>
      <c r="E56" s="15">
        <v>30360000</v>
      </c>
    </row>
    <row r="57" spans="1:5" x14ac:dyDescent="0.3">
      <c r="A57" s="5" t="s">
        <v>13</v>
      </c>
      <c r="B57" s="5" t="s">
        <v>3</v>
      </c>
      <c r="C57" s="6">
        <v>600</v>
      </c>
      <c r="D57" s="15">
        <v>24000</v>
      </c>
      <c r="E57" s="15">
        <v>14400000</v>
      </c>
    </row>
    <row r="58" spans="1:5" s="26" customFormat="1" ht="14.4" hidden="1" x14ac:dyDescent="0.3">
      <c r="A58" s="23" t="s">
        <v>13</v>
      </c>
      <c r="B58" s="23" t="s">
        <v>4</v>
      </c>
      <c r="C58" s="24">
        <v>0</v>
      </c>
      <c r="D58" s="25"/>
      <c r="E58" s="25"/>
    </row>
    <row r="59" spans="1:5" x14ac:dyDescent="0.3">
      <c r="A59" s="5" t="s">
        <v>14</v>
      </c>
      <c r="B59" s="5" t="s">
        <v>3</v>
      </c>
      <c r="C59" s="6">
        <v>55</v>
      </c>
      <c r="D59" s="15">
        <v>17000</v>
      </c>
      <c r="E59" s="15">
        <v>935000</v>
      </c>
    </row>
    <row r="60" spans="1:5" s="26" customFormat="1" ht="14.4" hidden="1" x14ac:dyDescent="0.3">
      <c r="A60" s="23" t="s">
        <v>42</v>
      </c>
      <c r="B60" s="23" t="s">
        <v>3</v>
      </c>
      <c r="C60" s="24">
        <v>0</v>
      </c>
      <c r="D60" s="25"/>
      <c r="E60" s="25"/>
    </row>
    <row r="61" spans="1:5" s="26" customFormat="1" ht="14.4" hidden="1" x14ac:dyDescent="0.3">
      <c r="A61" s="23" t="s">
        <v>89</v>
      </c>
      <c r="B61" s="23" t="s">
        <v>4</v>
      </c>
      <c r="C61" s="24">
        <v>0</v>
      </c>
      <c r="D61" s="25"/>
      <c r="E61" s="25"/>
    </row>
    <row r="62" spans="1:5" x14ac:dyDescent="0.3">
      <c r="A62" s="5" t="s">
        <v>15</v>
      </c>
      <c r="B62" s="5" t="s">
        <v>3</v>
      </c>
      <c r="C62" s="6">
        <v>370</v>
      </c>
      <c r="D62" s="15">
        <v>18000</v>
      </c>
      <c r="E62" s="15">
        <v>6660000</v>
      </c>
    </row>
    <row r="63" spans="1:5" s="26" customFormat="1" ht="14.4" hidden="1" x14ac:dyDescent="0.3">
      <c r="A63" s="23" t="s">
        <v>15</v>
      </c>
      <c r="B63" s="23" t="s">
        <v>4</v>
      </c>
      <c r="C63" s="24">
        <v>0</v>
      </c>
      <c r="D63" s="25"/>
      <c r="E63" s="25"/>
    </row>
    <row r="64" spans="1:5" x14ac:dyDescent="0.3">
      <c r="A64" s="5" t="s">
        <v>87</v>
      </c>
      <c r="B64" s="5" t="s">
        <v>4</v>
      </c>
      <c r="C64" s="6">
        <v>134</v>
      </c>
      <c r="D64" s="15">
        <v>6000</v>
      </c>
      <c r="E64" s="15">
        <v>804000</v>
      </c>
    </row>
    <row r="65" spans="1:5" x14ac:dyDescent="0.3">
      <c r="A65" s="5" t="s">
        <v>59</v>
      </c>
      <c r="B65" s="5" t="s">
        <v>3</v>
      </c>
      <c r="C65" s="6">
        <v>40</v>
      </c>
      <c r="D65" s="15">
        <v>11000</v>
      </c>
      <c r="E65" s="15">
        <v>440000</v>
      </c>
    </row>
    <row r="66" spans="1:5" x14ac:dyDescent="0.3">
      <c r="A66" s="5" t="s">
        <v>60</v>
      </c>
      <c r="B66" s="5" t="s">
        <v>4</v>
      </c>
      <c r="C66" s="6">
        <v>21</v>
      </c>
      <c r="D66" s="15">
        <v>6000</v>
      </c>
      <c r="E66" s="15">
        <v>126000</v>
      </c>
    </row>
    <row r="67" spans="1:5" x14ac:dyDescent="0.3">
      <c r="A67" s="5" t="s">
        <v>61</v>
      </c>
      <c r="B67" s="5" t="s">
        <v>3</v>
      </c>
      <c r="C67" s="6">
        <v>10</v>
      </c>
      <c r="D67" s="15">
        <v>10000</v>
      </c>
      <c r="E67" s="15">
        <v>100000</v>
      </c>
    </row>
    <row r="68" spans="1:5" s="26" customFormat="1" ht="14.4" hidden="1" x14ac:dyDescent="0.3">
      <c r="A68" s="23" t="s">
        <v>61</v>
      </c>
      <c r="B68" s="23" t="s">
        <v>62</v>
      </c>
      <c r="C68" s="24">
        <v>0</v>
      </c>
      <c r="D68" s="25"/>
      <c r="E68" s="25"/>
    </row>
    <row r="69" spans="1:5" s="26" customFormat="1" ht="14.4" hidden="1" x14ac:dyDescent="0.3">
      <c r="A69" s="23" t="s">
        <v>63</v>
      </c>
      <c r="B69" s="23" t="s">
        <v>3</v>
      </c>
      <c r="C69" s="24">
        <v>0</v>
      </c>
      <c r="D69" s="25"/>
      <c r="E69" s="25"/>
    </row>
    <row r="70" spans="1:5" x14ac:dyDescent="0.3">
      <c r="A70" s="5" t="s">
        <v>79</v>
      </c>
      <c r="B70" s="5" t="s">
        <v>3</v>
      </c>
      <c r="C70" s="6">
        <v>0.5</v>
      </c>
      <c r="D70" s="15">
        <v>80000</v>
      </c>
      <c r="E70" s="15">
        <v>40000</v>
      </c>
    </row>
    <row r="71" spans="1:5" s="26" customFormat="1" ht="14.4" hidden="1" x14ac:dyDescent="0.3">
      <c r="A71" s="23" t="s">
        <v>64</v>
      </c>
      <c r="B71" s="23" t="s">
        <v>3</v>
      </c>
      <c r="C71" s="24">
        <v>0</v>
      </c>
      <c r="D71" s="25"/>
      <c r="E71" s="25"/>
    </row>
    <row r="72" spans="1:5" s="26" customFormat="1" ht="14.4" hidden="1" x14ac:dyDescent="0.3">
      <c r="A72" s="23" t="s">
        <v>65</v>
      </c>
      <c r="B72" s="23" t="s">
        <v>3</v>
      </c>
      <c r="C72" s="24">
        <v>0</v>
      </c>
      <c r="D72" s="25"/>
      <c r="E72" s="25"/>
    </row>
    <row r="73" spans="1:5" x14ac:dyDescent="0.3">
      <c r="A73" s="5" t="s">
        <v>32</v>
      </c>
      <c r="B73" s="5" t="s">
        <v>3</v>
      </c>
      <c r="C73" s="6">
        <v>27</v>
      </c>
      <c r="D73" s="15">
        <v>5000</v>
      </c>
      <c r="E73" s="15">
        <v>135000</v>
      </c>
    </row>
    <row r="74" spans="1:5" x14ac:dyDescent="0.3">
      <c r="A74" s="5" t="s">
        <v>32</v>
      </c>
      <c r="B74" s="5" t="s">
        <v>6</v>
      </c>
      <c r="C74" s="6">
        <v>305</v>
      </c>
      <c r="D74" s="15">
        <v>5000</v>
      </c>
      <c r="E74" s="15">
        <v>1525000</v>
      </c>
    </row>
    <row r="75" spans="1:5" x14ac:dyDescent="0.3">
      <c r="A75" s="5" t="s">
        <v>81</v>
      </c>
      <c r="B75" s="5" t="s">
        <v>3</v>
      </c>
      <c r="C75" s="6">
        <v>1</v>
      </c>
      <c r="D75" s="15">
        <v>12000</v>
      </c>
      <c r="E75" s="15">
        <v>12000</v>
      </c>
    </row>
    <row r="76" spans="1:5" s="26" customFormat="1" ht="14.4" hidden="1" x14ac:dyDescent="0.3">
      <c r="A76" s="23" t="s">
        <v>33</v>
      </c>
      <c r="B76" s="23" t="s">
        <v>3</v>
      </c>
      <c r="C76" s="24">
        <v>0</v>
      </c>
      <c r="D76" s="25"/>
      <c r="E76" s="25"/>
    </row>
    <row r="77" spans="1:5" s="26" customFormat="1" ht="14.4" hidden="1" x14ac:dyDescent="0.3">
      <c r="A77" s="23" t="s">
        <v>66</v>
      </c>
      <c r="B77" s="23" t="s">
        <v>22</v>
      </c>
      <c r="C77" s="24">
        <v>0</v>
      </c>
      <c r="D77" s="25"/>
      <c r="E77" s="25"/>
    </row>
    <row r="78" spans="1:5" x14ac:dyDescent="0.3">
      <c r="A78" s="5" t="s">
        <v>66</v>
      </c>
      <c r="B78" s="5" t="s">
        <v>3</v>
      </c>
      <c r="C78" s="6">
        <v>17</v>
      </c>
      <c r="D78" s="15">
        <v>26000</v>
      </c>
      <c r="E78" s="15">
        <v>442000</v>
      </c>
    </row>
    <row r="79" spans="1:5" x14ac:dyDescent="0.3">
      <c r="A79" s="5" t="s">
        <v>43</v>
      </c>
      <c r="B79" s="5" t="s">
        <v>3</v>
      </c>
      <c r="C79" s="6">
        <v>2165</v>
      </c>
      <c r="D79" s="15">
        <v>27600</v>
      </c>
      <c r="E79" s="15">
        <v>59754000</v>
      </c>
    </row>
    <row r="80" spans="1:5" s="26" customFormat="1" ht="14.4" hidden="1" x14ac:dyDescent="0.3">
      <c r="A80" s="23" t="s">
        <v>67</v>
      </c>
      <c r="B80" s="23" t="s">
        <v>3</v>
      </c>
      <c r="C80" s="24">
        <v>0</v>
      </c>
      <c r="D80" s="25"/>
      <c r="E80" s="25"/>
    </row>
    <row r="81" spans="1:5" x14ac:dyDescent="0.3">
      <c r="A81" s="5" t="s">
        <v>68</v>
      </c>
      <c r="B81" s="5" t="s">
        <v>4</v>
      </c>
      <c r="C81" s="6">
        <v>5</v>
      </c>
      <c r="D81" s="15">
        <v>1900</v>
      </c>
      <c r="E81" s="15">
        <v>9500</v>
      </c>
    </row>
    <row r="82" spans="1:5" x14ac:dyDescent="0.3">
      <c r="A82" s="5" t="s">
        <v>69</v>
      </c>
      <c r="B82" s="5" t="s">
        <v>3</v>
      </c>
      <c r="C82" s="6">
        <v>11</v>
      </c>
      <c r="D82" s="15">
        <v>14000</v>
      </c>
      <c r="E82" s="15">
        <v>154000</v>
      </c>
    </row>
    <row r="83" spans="1:5" s="26" customFormat="1" ht="14.4" hidden="1" x14ac:dyDescent="0.3">
      <c r="A83" s="23" t="s">
        <v>38</v>
      </c>
      <c r="B83" s="23" t="s">
        <v>6</v>
      </c>
      <c r="C83" s="24">
        <v>0</v>
      </c>
      <c r="D83" s="25"/>
      <c r="E83" s="25"/>
    </row>
    <row r="84" spans="1:5" s="26" customFormat="1" ht="14.4" hidden="1" x14ac:dyDescent="0.3">
      <c r="A84" s="23" t="s">
        <v>70</v>
      </c>
      <c r="B84" s="23" t="s">
        <v>8</v>
      </c>
      <c r="C84" s="24">
        <v>0</v>
      </c>
      <c r="D84" s="25"/>
      <c r="E84" s="25"/>
    </row>
    <row r="85" spans="1:5" x14ac:dyDescent="0.3">
      <c r="A85" s="5" t="s">
        <v>70</v>
      </c>
      <c r="B85" s="5" t="s">
        <v>3</v>
      </c>
      <c r="C85" s="6">
        <v>3</v>
      </c>
      <c r="D85" s="15">
        <v>50000</v>
      </c>
      <c r="E85" s="15">
        <v>150000</v>
      </c>
    </row>
    <row r="86" spans="1:5" x14ac:dyDescent="0.3">
      <c r="A86" s="5" t="s">
        <v>34</v>
      </c>
      <c r="B86" s="5" t="s">
        <v>3</v>
      </c>
      <c r="C86" s="6">
        <v>72</v>
      </c>
      <c r="D86" s="15">
        <v>24000</v>
      </c>
      <c r="E86" s="15">
        <v>1728000</v>
      </c>
    </row>
    <row r="87" spans="1:5" s="26" customFormat="1" ht="14.4" hidden="1" x14ac:dyDescent="0.3">
      <c r="A87" s="23" t="s">
        <v>34</v>
      </c>
      <c r="B87" s="23" t="s">
        <v>26</v>
      </c>
      <c r="C87" s="24">
        <v>0</v>
      </c>
      <c r="D87" s="25"/>
      <c r="E87" s="25"/>
    </row>
    <row r="88" spans="1:5" x14ac:dyDescent="0.3">
      <c r="A88" s="5" t="s">
        <v>35</v>
      </c>
      <c r="B88" s="5" t="s">
        <v>3</v>
      </c>
      <c r="C88" s="6">
        <v>68</v>
      </c>
      <c r="D88" s="15">
        <v>13000</v>
      </c>
      <c r="E88" s="15">
        <v>884000</v>
      </c>
    </row>
    <row r="89" spans="1:5" s="26" customFormat="1" ht="14.4" hidden="1" x14ac:dyDescent="0.3">
      <c r="A89" s="23" t="s">
        <v>35</v>
      </c>
      <c r="B89" s="23" t="s">
        <v>26</v>
      </c>
      <c r="C89" s="24">
        <v>0</v>
      </c>
      <c r="D89" s="25"/>
      <c r="E89" s="25"/>
    </row>
    <row r="90" spans="1:5" x14ac:dyDescent="0.3">
      <c r="A90" s="5" t="s">
        <v>36</v>
      </c>
      <c r="B90" s="5" t="s">
        <v>3</v>
      </c>
      <c r="C90" s="6">
        <v>75</v>
      </c>
      <c r="D90" s="15">
        <v>21000</v>
      </c>
      <c r="E90" s="15">
        <v>1575000</v>
      </c>
    </row>
    <row r="91" spans="1:5" s="26" customFormat="1" ht="14.4" hidden="1" x14ac:dyDescent="0.3">
      <c r="A91" s="23" t="s">
        <v>36</v>
      </c>
      <c r="B91" s="23" t="s">
        <v>26</v>
      </c>
      <c r="C91" s="24">
        <v>0</v>
      </c>
      <c r="D91" s="25"/>
      <c r="E91" s="25"/>
    </row>
    <row r="92" spans="1:5" x14ac:dyDescent="0.3">
      <c r="A92" s="5" t="s">
        <v>71</v>
      </c>
      <c r="B92" s="5" t="s">
        <v>4</v>
      </c>
      <c r="C92" s="6">
        <v>89</v>
      </c>
      <c r="D92" s="15">
        <v>18000</v>
      </c>
      <c r="E92" s="15">
        <v>1602000</v>
      </c>
    </row>
    <row r="93" spans="1:5" x14ac:dyDescent="0.3">
      <c r="A93" s="5" t="s">
        <v>116</v>
      </c>
      <c r="B93" s="5" t="s">
        <v>26</v>
      </c>
      <c r="C93" s="6">
        <v>668</v>
      </c>
      <c r="D93" s="15">
        <v>10000</v>
      </c>
      <c r="E93" s="15">
        <v>6680000</v>
      </c>
    </row>
    <row r="94" spans="1:5" x14ac:dyDescent="0.3">
      <c r="A94" s="5" t="s">
        <v>88</v>
      </c>
      <c r="B94" s="5" t="s">
        <v>3</v>
      </c>
      <c r="C94" s="6">
        <v>240</v>
      </c>
      <c r="D94" s="15">
        <v>27000</v>
      </c>
      <c r="E94" s="15">
        <v>6480000</v>
      </c>
    </row>
    <row r="95" spans="1:5" s="26" customFormat="1" ht="14.4" hidden="1" x14ac:dyDescent="0.3">
      <c r="A95" s="23" t="s">
        <v>91</v>
      </c>
      <c r="B95" s="23" t="s">
        <v>3</v>
      </c>
      <c r="C95" s="24">
        <v>0</v>
      </c>
      <c r="D95" s="25"/>
      <c r="E95" s="25"/>
    </row>
    <row r="96" spans="1:5" x14ac:dyDescent="0.3">
      <c r="A96" s="5" t="s">
        <v>72</v>
      </c>
      <c r="B96" s="5" t="s">
        <v>3</v>
      </c>
      <c r="C96" s="6">
        <v>210</v>
      </c>
      <c r="D96" s="15">
        <v>7000</v>
      </c>
      <c r="E96" s="15">
        <v>1470000</v>
      </c>
    </row>
    <row r="97" spans="1:5" s="26" customFormat="1" ht="14.4" hidden="1" x14ac:dyDescent="0.3">
      <c r="A97" s="23" t="s">
        <v>73</v>
      </c>
      <c r="B97" s="23" t="s">
        <v>3</v>
      </c>
      <c r="C97" s="24">
        <v>0</v>
      </c>
      <c r="D97" s="25"/>
      <c r="E97" s="25"/>
    </row>
    <row r="98" spans="1:5" x14ac:dyDescent="0.3">
      <c r="A98" s="5" t="s">
        <v>23</v>
      </c>
      <c r="B98" s="5" t="s">
        <v>3</v>
      </c>
      <c r="C98" s="6">
        <v>2</v>
      </c>
      <c r="D98" s="15">
        <v>28000</v>
      </c>
      <c r="E98" s="15">
        <v>56000</v>
      </c>
    </row>
    <row r="99" spans="1:5" s="26" customFormat="1" ht="14.4" hidden="1" x14ac:dyDescent="0.3">
      <c r="A99" s="23" t="s">
        <v>84</v>
      </c>
      <c r="B99" s="23" t="s">
        <v>22</v>
      </c>
      <c r="C99" s="24">
        <v>0</v>
      </c>
      <c r="D99" s="25"/>
      <c r="E99" s="25"/>
    </row>
    <row r="100" spans="1:5" x14ac:dyDescent="0.3">
      <c r="A100" s="5" t="s">
        <v>74</v>
      </c>
      <c r="B100" s="5" t="s">
        <v>3</v>
      </c>
      <c r="C100" s="6">
        <v>8</v>
      </c>
      <c r="D100" s="15">
        <v>27000</v>
      </c>
      <c r="E100" s="15">
        <v>216000</v>
      </c>
    </row>
    <row r="101" spans="1:5" x14ac:dyDescent="0.3">
      <c r="A101" s="5" t="s">
        <v>86</v>
      </c>
      <c r="B101" s="5" t="s">
        <v>22</v>
      </c>
      <c r="C101" s="6">
        <v>60</v>
      </c>
      <c r="D101" s="15">
        <v>6800</v>
      </c>
      <c r="E101" s="15">
        <v>408000</v>
      </c>
    </row>
    <row r="102" spans="1:5" x14ac:dyDescent="0.3">
      <c r="A102" s="5" t="s">
        <v>77</v>
      </c>
      <c r="B102" s="5" t="s">
        <v>3</v>
      </c>
      <c r="C102" s="6">
        <v>1</v>
      </c>
      <c r="D102" s="15">
        <v>120000</v>
      </c>
      <c r="E102" s="15">
        <v>120000</v>
      </c>
    </row>
    <row r="103" spans="1:5" s="26" customFormat="1" ht="14.4" hidden="1" x14ac:dyDescent="0.3">
      <c r="A103" s="23" t="s">
        <v>75</v>
      </c>
      <c r="B103" s="23" t="s">
        <v>3</v>
      </c>
      <c r="C103" s="24">
        <v>0</v>
      </c>
      <c r="D103" s="25"/>
      <c r="E103" s="25"/>
    </row>
    <row r="104" spans="1:5" s="26" customFormat="1" ht="14.4" hidden="1" x14ac:dyDescent="0.3">
      <c r="A104" s="23" t="s">
        <v>76</v>
      </c>
      <c r="B104" s="23" t="s">
        <v>3</v>
      </c>
      <c r="C104" s="24">
        <v>0</v>
      </c>
      <c r="D104" s="25"/>
      <c r="E104" s="25"/>
    </row>
    <row r="105" spans="1:5" s="26" customFormat="1" ht="14.4" hidden="1" x14ac:dyDescent="0.3">
      <c r="A105" s="23" t="s">
        <v>85</v>
      </c>
      <c r="B105" s="23" t="s">
        <v>22</v>
      </c>
      <c r="C105" s="24">
        <v>0</v>
      </c>
      <c r="D105" s="25"/>
      <c r="E105" s="25"/>
    </row>
    <row r="106" spans="1:5" x14ac:dyDescent="0.3">
      <c r="A106" s="12" t="e">
        <v>#N/A</v>
      </c>
      <c r="B106" s="12">
        <v>0</v>
      </c>
      <c r="C106" s="13">
        <v>10384.5</v>
      </c>
      <c r="D106" s="32">
        <v>10384.5</v>
      </c>
      <c r="E106" s="17">
        <f>SUBTOTAL(9,E2:E102)</f>
        <v>171212600</v>
      </c>
    </row>
    <row r="107" spans="1:5" ht="62.4" x14ac:dyDescent="0.3">
      <c r="A107" s="9" t="s">
        <v>132</v>
      </c>
      <c r="B107" s="9" t="s">
        <v>1</v>
      </c>
      <c r="C107" s="10" t="s">
        <v>122</v>
      </c>
      <c r="D107" s="14" t="s">
        <v>125</v>
      </c>
      <c r="E107" s="14" t="s">
        <v>126</v>
      </c>
    </row>
    <row r="108" spans="1:5" x14ac:dyDescent="0.3">
      <c r="A108" s="5" t="s">
        <v>44</v>
      </c>
      <c r="B108" s="5" t="s">
        <v>3</v>
      </c>
      <c r="C108" s="8">
        <v>23</v>
      </c>
      <c r="D108" s="15">
        <v>36000</v>
      </c>
      <c r="E108" s="15">
        <v>828000</v>
      </c>
    </row>
    <row r="109" spans="1:5" s="26" customFormat="1" hidden="1" x14ac:dyDescent="0.3">
      <c r="A109" s="29" t="s">
        <v>45</v>
      </c>
      <c r="B109" s="29" t="s">
        <v>3</v>
      </c>
      <c r="C109" s="30">
        <v>0</v>
      </c>
      <c r="D109" s="25"/>
      <c r="E109" s="25"/>
    </row>
    <row r="110" spans="1:5" x14ac:dyDescent="0.3">
      <c r="A110" s="5" t="s">
        <v>17</v>
      </c>
      <c r="B110" s="5" t="s">
        <v>3</v>
      </c>
      <c r="C110" s="8">
        <v>280</v>
      </c>
      <c r="D110" s="15">
        <v>7500</v>
      </c>
      <c r="E110" s="15">
        <v>2100000</v>
      </c>
    </row>
    <row r="111" spans="1:5" x14ac:dyDescent="0.3">
      <c r="A111" s="5" t="s">
        <v>95</v>
      </c>
      <c r="B111" s="5" t="s">
        <v>3</v>
      </c>
      <c r="C111" s="8">
        <v>40</v>
      </c>
      <c r="D111" s="15">
        <v>5000</v>
      </c>
      <c r="E111" s="15">
        <v>200000</v>
      </c>
    </row>
    <row r="112" spans="1:5" s="26" customFormat="1" hidden="1" x14ac:dyDescent="0.3">
      <c r="A112" s="29" t="s">
        <v>24</v>
      </c>
      <c r="B112" s="29" t="s">
        <v>3</v>
      </c>
      <c r="C112" s="30">
        <v>0</v>
      </c>
      <c r="D112" s="25"/>
      <c r="E112" s="25"/>
    </row>
    <row r="113" spans="1:5" s="26" customFormat="1" hidden="1" x14ac:dyDescent="0.3">
      <c r="A113" s="29" t="s">
        <v>78</v>
      </c>
      <c r="B113" s="29" t="s">
        <v>3</v>
      </c>
      <c r="C113" s="30">
        <v>0</v>
      </c>
      <c r="D113" s="25"/>
      <c r="E113" s="25"/>
    </row>
    <row r="114" spans="1:5" x14ac:dyDescent="0.3">
      <c r="A114" s="5" t="s">
        <v>25</v>
      </c>
      <c r="B114" s="5" t="s">
        <v>3</v>
      </c>
      <c r="C114" s="8">
        <v>35</v>
      </c>
      <c r="D114" s="15">
        <v>10000</v>
      </c>
      <c r="E114" s="15">
        <v>350000</v>
      </c>
    </row>
    <row r="115" spans="1:5" s="26" customFormat="1" hidden="1" x14ac:dyDescent="0.3">
      <c r="A115" s="29" t="s">
        <v>37</v>
      </c>
      <c r="B115" s="29" t="s">
        <v>3</v>
      </c>
      <c r="C115" s="30">
        <v>0</v>
      </c>
      <c r="D115" s="25"/>
      <c r="E115" s="25"/>
    </row>
    <row r="116" spans="1:5" x14ac:dyDescent="0.3">
      <c r="A116" s="5" t="s">
        <v>46</v>
      </c>
      <c r="B116" s="5" t="s">
        <v>3</v>
      </c>
      <c r="C116" s="8">
        <v>2</v>
      </c>
      <c r="D116" s="15">
        <v>15000</v>
      </c>
      <c r="E116" s="15">
        <v>30000</v>
      </c>
    </row>
    <row r="117" spans="1:5" s="26" customFormat="1" hidden="1" x14ac:dyDescent="0.3">
      <c r="A117" s="29" t="s">
        <v>94</v>
      </c>
      <c r="B117" s="29" t="s">
        <v>3</v>
      </c>
      <c r="C117" s="30">
        <v>0</v>
      </c>
      <c r="D117" s="25"/>
      <c r="E117" s="25"/>
    </row>
    <row r="118" spans="1:5" s="26" customFormat="1" hidden="1" x14ac:dyDescent="0.3">
      <c r="A118" s="29" t="s">
        <v>28</v>
      </c>
      <c r="B118" s="29" t="s">
        <v>3</v>
      </c>
      <c r="C118" s="30">
        <v>0</v>
      </c>
      <c r="D118" s="25"/>
      <c r="E118" s="25"/>
    </row>
    <row r="119" spans="1:5" s="26" customFormat="1" hidden="1" x14ac:dyDescent="0.3">
      <c r="A119" s="29" t="s">
        <v>30</v>
      </c>
      <c r="B119" s="29" t="s">
        <v>3</v>
      </c>
      <c r="C119" s="30">
        <v>0</v>
      </c>
      <c r="D119" s="25"/>
      <c r="E119" s="25"/>
    </row>
    <row r="120" spans="1:5" x14ac:dyDescent="0.3">
      <c r="A120" s="5" t="s">
        <v>2</v>
      </c>
      <c r="B120" s="5" t="s">
        <v>3</v>
      </c>
      <c r="C120" s="8">
        <v>40</v>
      </c>
      <c r="D120" s="15">
        <v>12000</v>
      </c>
      <c r="E120" s="15">
        <v>480000</v>
      </c>
    </row>
    <row r="121" spans="1:5" x14ac:dyDescent="0.3">
      <c r="A121" s="5" t="s">
        <v>53</v>
      </c>
      <c r="B121" s="5" t="s">
        <v>3</v>
      </c>
      <c r="C121" s="8">
        <v>110</v>
      </c>
      <c r="D121" s="15">
        <v>7000</v>
      </c>
      <c r="E121" s="15">
        <v>770000</v>
      </c>
    </row>
    <row r="122" spans="1:5" s="26" customFormat="1" hidden="1" x14ac:dyDescent="0.3">
      <c r="A122" s="29" t="s">
        <v>20</v>
      </c>
      <c r="B122" s="29" t="s">
        <v>3</v>
      </c>
      <c r="C122" s="30">
        <v>0</v>
      </c>
      <c r="D122" s="25"/>
      <c r="E122" s="25"/>
    </row>
    <row r="123" spans="1:5" x14ac:dyDescent="0.3">
      <c r="A123" s="5" t="s">
        <v>97</v>
      </c>
      <c r="B123" s="5" t="s">
        <v>3</v>
      </c>
      <c r="C123" s="8">
        <v>9</v>
      </c>
      <c r="D123" s="15">
        <v>16000</v>
      </c>
      <c r="E123" s="15">
        <v>144000</v>
      </c>
    </row>
    <row r="124" spans="1:5" x14ac:dyDescent="0.3">
      <c r="A124" s="5" t="s">
        <v>21</v>
      </c>
      <c r="B124" s="5" t="s">
        <v>3</v>
      </c>
      <c r="C124" s="8">
        <v>60</v>
      </c>
      <c r="D124" s="15">
        <v>20000</v>
      </c>
      <c r="E124" s="15">
        <v>1200000</v>
      </c>
    </row>
    <row r="125" spans="1:5" x14ac:dyDescent="0.3">
      <c r="A125" s="5" t="s">
        <v>96</v>
      </c>
      <c r="B125" s="5" t="s">
        <v>3</v>
      </c>
      <c r="C125" s="8">
        <v>30</v>
      </c>
      <c r="D125" s="15">
        <v>25000</v>
      </c>
      <c r="E125" s="15">
        <v>750000</v>
      </c>
    </row>
    <row r="126" spans="1:5" s="26" customFormat="1" hidden="1" x14ac:dyDescent="0.3">
      <c r="A126" s="29" t="s">
        <v>56</v>
      </c>
      <c r="B126" s="29" t="s">
        <v>3</v>
      </c>
      <c r="C126" s="30">
        <v>0</v>
      </c>
      <c r="D126" s="25"/>
      <c r="E126" s="25"/>
    </row>
    <row r="127" spans="1:5" s="26" customFormat="1" hidden="1" x14ac:dyDescent="0.3">
      <c r="A127" s="29" t="s">
        <v>107</v>
      </c>
      <c r="B127" s="29" t="s">
        <v>6</v>
      </c>
      <c r="C127" s="30">
        <v>0</v>
      </c>
      <c r="D127" s="25"/>
      <c r="E127" s="25"/>
    </row>
    <row r="128" spans="1:5" x14ac:dyDescent="0.3">
      <c r="A128" s="5" t="s">
        <v>57</v>
      </c>
      <c r="B128" s="5" t="s">
        <v>3</v>
      </c>
      <c r="C128" s="8">
        <v>70</v>
      </c>
      <c r="D128" s="15">
        <v>4500</v>
      </c>
      <c r="E128" s="15">
        <v>315000</v>
      </c>
    </row>
    <row r="129" spans="1:5" x14ac:dyDescent="0.3">
      <c r="A129" s="5" t="s">
        <v>9</v>
      </c>
      <c r="B129" s="5" t="s">
        <v>3</v>
      </c>
      <c r="C129" s="8">
        <v>40</v>
      </c>
      <c r="D129" s="15">
        <v>17000</v>
      </c>
      <c r="E129" s="15">
        <v>680000</v>
      </c>
    </row>
    <row r="130" spans="1:5" x14ac:dyDescent="0.3">
      <c r="A130" s="5" t="s">
        <v>10</v>
      </c>
      <c r="B130" s="5" t="s">
        <v>3</v>
      </c>
      <c r="C130" s="8">
        <v>180</v>
      </c>
      <c r="D130" s="15">
        <v>20500</v>
      </c>
      <c r="E130" s="15">
        <v>3690000</v>
      </c>
    </row>
    <row r="131" spans="1:5" s="26" customFormat="1" hidden="1" x14ac:dyDescent="0.3">
      <c r="A131" s="29" t="s">
        <v>13</v>
      </c>
      <c r="B131" s="29" t="s">
        <v>4</v>
      </c>
      <c r="C131" s="30">
        <v>0</v>
      </c>
      <c r="D131" s="25"/>
      <c r="E131" s="25"/>
    </row>
    <row r="132" spans="1:5" x14ac:dyDescent="0.3">
      <c r="A132" s="5" t="s">
        <v>14</v>
      </c>
      <c r="B132" s="5" t="s">
        <v>3</v>
      </c>
      <c r="C132" s="8">
        <v>110</v>
      </c>
      <c r="D132" s="15">
        <v>17000</v>
      </c>
      <c r="E132" s="15">
        <v>1870000</v>
      </c>
    </row>
    <row r="133" spans="1:5" s="26" customFormat="1" hidden="1" x14ac:dyDescent="0.3">
      <c r="A133" s="29" t="s">
        <v>89</v>
      </c>
      <c r="B133" s="29" t="s">
        <v>4</v>
      </c>
      <c r="C133" s="30">
        <v>0</v>
      </c>
      <c r="D133" s="25"/>
      <c r="E133" s="25"/>
    </row>
    <row r="134" spans="1:5" s="26" customFormat="1" hidden="1" x14ac:dyDescent="0.3">
      <c r="A134" s="29" t="s">
        <v>109</v>
      </c>
      <c r="B134" s="29" t="s">
        <v>3</v>
      </c>
      <c r="C134" s="30">
        <v>0</v>
      </c>
      <c r="D134" s="25"/>
      <c r="E134" s="25"/>
    </row>
    <row r="135" spans="1:5" x14ac:dyDescent="0.3">
      <c r="A135" s="5" t="s">
        <v>15</v>
      </c>
      <c r="B135" s="5" t="s">
        <v>3</v>
      </c>
      <c r="C135" s="8">
        <v>150</v>
      </c>
      <c r="D135" s="15">
        <v>18000</v>
      </c>
      <c r="E135" s="15">
        <v>2700000</v>
      </c>
    </row>
    <row r="136" spans="1:5" x14ac:dyDescent="0.3">
      <c r="A136" s="5" t="s">
        <v>59</v>
      </c>
      <c r="B136" s="5" t="s">
        <v>3</v>
      </c>
      <c r="C136" s="8">
        <v>40</v>
      </c>
      <c r="D136" s="15">
        <v>11000</v>
      </c>
      <c r="E136" s="15">
        <v>440000</v>
      </c>
    </row>
    <row r="137" spans="1:5" x14ac:dyDescent="0.3">
      <c r="A137" s="5" t="s">
        <v>60</v>
      </c>
      <c r="B137" s="5" t="s">
        <v>4</v>
      </c>
      <c r="C137" s="8">
        <v>22</v>
      </c>
      <c r="D137" s="15">
        <v>6000</v>
      </c>
      <c r="E137" s="15">
        <v>132000</v>
      </c>
    </row>
    <row r="138" spans="1:5" x14ac:dyDescent="0.3">
      <c r="A138" s="5" t="s">
        <v>61</v>
      </c>
      <c r="B138" s="5" t="s">
        <v>4</v>
      </c>
      <c r="C138" s="8">
        <v>120</v>
      </c>
      <c r="D138" s="15">
        <v>10000</v>
      </c>
      <c r="E138" s="15">
        <v>1200000</v>
      </c>
    </row>
    <row r="139" spans="1:5" s="26" customFormat="1" hidden="1" x14ac:dyDescent="0.3">
      <c r="A139" s="29" t="s">
        <v>32</v>
      </c>
      <c r="B139" s="29" t="s">
        <v>6</v>
      </c>
      <c r="C139" s="30">
        <v>0</v>
      </c>
      <c r="D139" s="25"/>
      <c r="E139" s="25"/>
    </row>
    <row r="140" spans="1:5" x14ac:dyDescent="0.3">
      <c r="A140" s="5" t="s">
        <v>32</v>
      </c>
      <c r="B140" s="5" t="s">
        <v>6</v>
      </c>
      <c r="C140" s="8">
        <v>124</v>
      </c>
      <c r="D140" s="15">
        <v>5000</v>
      </c>
      <c r="E140" s="15">
        <v>620000</v>
      </c>
    </row>
    <row r="141" spans="1:5" s="26" customFormat="1" hidden="1" x14ac:dyDescent="0.3">
      <c r="A141" s="29" t="s">
        <v>66</v>
      </c>
      <c r="B141" s="29" t="s">
        <v>3</v>
      </c>
      <c r="C141" s="30">
        <v>0</v>
      </c>
      <c r="D141" s="25"/>
      <c r="E141" s="25"/>
    </row>
    <row r="142" spans="1:5" x14ac:dyDescent="0.3">
      <c r="A142" s="5" t="s">
        <v>43</v>
      </c>
      <c r="B142" s="5" t="s">
        <v>3</v>
      </c>
      <c r="C142" s="8">
        <v>885</v>
      </c>
      <c r="D142" s="15">
        <v>27600</v>
      </c>
      <c r="E142" s="15">
        <v>24426000</v>
      </c>
    </row>
    <row r="143" spans="1:5" s="26" customFormat="1" hidden="1" x14ac:dyDescent="0.3">
      <c r="A143" s="29" t="s">
        <v>67</v>
      </c>
      <c r="B143" s="29" t="s">
        <v>3</v>
      </c>
      <c r="C143" s="30">
        <v>0</v>
      </c>
      <c r="D143" s="25"/>
      <c r="E143" s="25"/>
    </row>
    <row r="144" spans="1:5" x14ac:dyDescent="0.3">
      <c r="A144" s="5" t="s">
        <v>34</v>
      </c>
      <c r="B144" s="5" t="s">
        <v>3</v>
      </c>
      <c r="C144" s="8">
        <v>30</v>
      </c>
      <c r="D144" s="15">
        <v>24000</v>
      </c>
      <c r="E144" s="15">
        <v>720000</v>
      </c>
    </row>
    <row r="145" spans="1:5" x14ac:dyDescent="0.3">
      <c r="A145" s="5" t="s">
        <v>35</v>
      </c>
      <c r="B145" s="5" t="s">
        <v>3</v>
      </c>
      <c r="C145" s="8">
        <v>40</v>
      </c>
      <c r="D145" s="15">
        <v>13000</v>
      </c>
      <c r="E145" s="15">
        <v>520000</v>
      </c>
    </row>
    <row r="146" spans="1:5" x14ac:dyDescent="0.3">
      <c r="A146" s="5" t="s">
        <v>36</v>
      </c>
      <c r="B146" s="5" t="s">
        <v>3</v>
      </c>
      <c r="C146" s="8">
        <v>30</v>
      </c>
      <c r="D146" s="15">
        <v>21000</v>
      </c>
      <c r="E146" s="15">
        <v>630000</v>
      </c>
    </row>
    <row r="147" spans="1:5" x14ac:dyDescent="0.3">
      <c r="A147" s="5" t="s">
        <v>72</v>
      </c>
      <c r="B147" s="5" t="s">
        <v>3</v>
      </c>
      <c r="C147" s="8">
        <v>85</v>
      </c>
      <c r="D147" s="15">
        <v>7000</v>
      </c>
      <c r="E147" s="15">
        <v>595000</v>
      </c>
    </row>
    <row r="148" spans="1:5" s="26" customFormat="1" hidden="1" x14ac:dyDescent="0.3">
      <c r="A148" s="29" t="s">
        <v>23</v>
      </c>
      <c r="B148" s="29" t="s">
        <v>22</v>
      </c>
      <c r="C148" s="30">
        <v>0</v>
      </c>
      <c r="D148" s="25"/>
      <c r="E148" s="25"/>
    </row>
    <row r="149" spans="1:5" s="26" customFormat="1" hidden="1" x14ac:dyDescent="0.3">
      <c r="A149" s="29" t="s">
        <v>84</v>
      </c>
      <c r="B149" s="29" t="s">
        <v>22</v>
      </c>
      <c r="C149" s="30">
        <v>0</v>
      </c>
      <c r="D149" s="25"/>
      <c r="E149" s="25"/>
    </row>
    <row r="150" spans="1:5" s="26" customFormat="1" hidden="1" x14ac:dyDescent="0.3">
      <c r="A150" s="29" t="s">
        <v>86</v>
      </c>
      <c r="B150" s="29" t="s">
        <v>22</v>
      </c>
      <c r="C150" s="30">
        <v>0</v>
      </c>
      <c r="D150" s="25"/>
      <c r="E150" s="25"/>
    </row>
    <row r="151" spans="1:5" s="26" customFormat="1" hidden="1" x14ac:dyDescent="0.3">
      <c r="A151" s="29" t="s">
        <v>85</v>
      </c>
      <c r="B151" s="29" t="s">
        <v>22</v>
      </c>
      <c r="C151" s="30">
        <v>0</v>
      </c>
      <c r="D151" s="25"/>
      <c r="E151" s="25"/>
    </row>
    <row r="152" spans="1:5" x14ac:dyDescent="0.3">
      <c r="A152" s="12" t="e">
        <v>#N/A</v>
      </c>
      <c r="B152" s="12">
        <v>0</v>
      </c>
      <c r="C152" s="31">
        <v>2555</v>
      </c>
      <c r="D152" s="33"/>
      <c r="E152" s="17">
        <v>45390000</v>
      </c>
    </row>
    <row r="153" spans="1:5" x14ac:dyDescent="0.3">
      <c r="C153" s="4">
        <v>1</v>
      </c>
      <c r="E153" s="39">
        <f>+E152+E106</f>
        <v>216602600</v>
      </c>
    </row>
  </sheetData>
  <autoFilter ref="A1:E153" xr:uid="{00000000-0009-0000-0000-000005000000}">
    <filterColumn colId="2">
      <filters>
        <filter val="1"/>
        <filter val="1,265"/>
        <filter val="1,270"/>
        <filter val="10"/>
        <filter val="10,385"/>
        <filter val="105"/>
        <filter val="11"/>
        <filter val="110"/>
        <filter val="120"/>
        <filter val="124"/>
        <filter val="134"/>
        <filter val="14"/>
        <filter val="150"/>
        <filter val="17"/>
        <filter val="170"/>
        <filter val="175"/>
        <filter val="180"/>
        <filter val="19"/>
        <filter val="2"/>
        <filter val="2,165"/>
        <filter val="21"/>
        <filter val="210"/>
        <filter val="22"/>
        <filter val="23"/>
        <filter val="24"/>
        <filter val="240"/>
        <filter val="25"/>
        <filter val="2555"/>
        <filter val="27"/>
        <filter val="28"/>
        <filter val="280"/>
        <filter val="290"/>
        <filter val="3"/>
        <filter val="30"/>
        <filter val="305"/>
        <filter val="35"/>
        <filter val="370"/>
        <filter val="40"/>
        <filter val="43"/>
        <filter val="45"/>
        <filter val="460"/>
        <filter val="48"/>
        <filter val="5"/>
        <filter val="50"/>
        <filter val="55"/>
        <filter val="60"/>
        <filter val="600"/>
        <filter val="615"/>
        <filter val="668"/>
        <filter val="68"/>
        <filter val="7"/>
        <filter val="70"/>
        <filter val="72"/>
        <filter val="75"/>
        <filter val="8"/>
        <filter val="85"/>
        <filter val="885"/>
        <filter val="89"/>
        <filter val="9"/>
        <filter val="93"/>
        <filter val="96"/>
        <filter val="99"/>
        <filter val="Tồn_x000a_ĐL_x000a__x000a_現在個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E148"/>
  <sheetViews>
    <sheetView workbookViewId="0">
      <pane xSplit="1" ySplit="1" topLeftCell="B74" activePane="bottomRight" state="frozen"/>
      <selection pane="topRight" activeCell="B1" sqref="B1"/>
      <selection pane="bottomLeft" activeCell="A2" sqref="A2"/>
      <selection pane="bottomRight" activeCell="H25" sqref="H25"/>
    </sheetView>
  </sheetViews>
  <sheetFormatPr defaultRowHeight="15.6" x14ac:dyDescent="0.3"/>
  <cols>
    <col min="1" max="1" width="27.77734375" style="4" bestFit="1" customWidth="1"/>
    <col min="2" max="3" width="8.88671875" style="4"/>
    <col min="4" max="4" width="15.88671875" style="16" customWidth="1"/>
    <col min="5" max="5" width="16.6640625" style="16" customWidth="1"/>
    <col min="6" max="16384" width="8.88671875" style="4"/>
  </cols>
  <sheetData>
    <row r="1" spans="1:5" ht="38.4" customHeight="1" x14ac:dyDescent="0.3">
      <c r="A1" s="9" t="s">
        <v>124</v>
      </c>
      <c r="B1" s="9" t="s">
        <v>1</v>
      </c>
      <c r="C1" s="10" t="s">
        <v>122</v>
      </c>
      <c r="D1" s="14" t="s">
        <v>125</v>
      </c>
      <c r="E1" s="14" t="s">
        <v>126</v>
      </c>
    </row>
    <row r="2" spans="1:5" x14ac:dyDescent="0.3">
      <c r="A2" s="5" t="s">
        <v>44</v>
      </c>
      <c r="B2" s="5" t="s">
        <v>3</v>
      </c>
      <c r="C2" s="6">
        <v>20</v>
      </c>
      <c r="D2" s="15">
        <v>36000</v>
      </c>
      <c r="E2" s="15">
        <v>720000</v>
      </c>
    </row>
    <row r="3" spans="1:5" s="26" customFormat="1" ht="14.4" hidden="1" x14ac:dyDescent="0.3">
      <c r="A3" s="23" t="s">
        <v>45</v>
      </c>
      <c r="B3" s="23" t="s">
        <v>3</v>
      </c>
      <c r="C3" s="24">
        <v>0</v>
      </c>
      <c r="D3" s="25"/>
      <c r="E3" s="25"/>
    </row>
    <row r="4" spans="1:5" x14ac:dyDescent="0.3">
      <c r="A4" s="5" t="s">
        <v>17</v>
      </c>
      <c r="B4" s="5" t="s">
        <v>3</v>
      </c>
      <c r="C4" s="6">
        <v>226</v>
      </c>
      <c r="D4" s="15">
        <v>7500</v>
      </c>
      <c r="E4" s="15">
        <v>1695000</v>
      </c>
    </row>
    <row r="5" spans="1:5" s="26" customFormat="1" ht="14.4" hidden="1" x14ac:dyDescent="0.3">
      <c r="A5" s="23" t="s">
        <v>92</v>
      </c>
      <c r="B5" s="23" t="s">
        <v>3</v>
      </c>
      <c r="C5" s="24">
        <v>0</v>
      </c>
      <c r="D5" s="25"/>
      <c r="E5" s="25"/>
    </row>
    <row r="6" spans="1:5" x14ac:dyDescent="0.3">
      <c r="A6" s="5" t="s">
        <v>24</v>
      </c>
      <c r="B6" s="5" t="s">
        <v>3</v>
      </c>
      <c r="C6" s="6">
        <v>710</v>
      </c>
      <c r="D6" s="15">
        <v>5000</v>
      </c>
      <c r="E6" s="15">
        <v>3550000</v>
      </c>
    </row>
    <row r="7" spans="1:5" x14ac:dyDescent="0.3">
      <c r="A7" s="5" t="s">
        <v>25</v>
      </c>
      <c r="B7" s="5" t="s">
        <v>3</v>
      </c>
      <c r="C7" s="6">
        <v>150</v>
      </c>
      <c r="D7" s="15">
        <v>10000</v>
      </c>
      <c r="E7" s="15">
        <v>1500000</v>
      </c>
    </row>
    <row r="8" spans="1:5" s="26" customFormat="1" ht="14.4" hidden="1" x14ac:dyDescent="0.3">
      <c r="A8" s="23" t="s">
        <v>25</v>
      </c>
      <c r="B8" s="23" t="s">
        <v>26</v>
      </c>
      <c r="C8" s="24">
        <v>0</v>
      </c>
      <c r="D8" s="25"/>
      <c r="E8" s="25"/>
    </row>
    <row r="9" spans="1:5" x14ac:dyDescent="0.3">
      <c r="A9" s="5" t="s">
        <v>27</v>
      </c>
      <c r="B9" s="5" t="s">
        <v>3</v>
      </c>
      <c r="C9" s="6">
        <v>38</v>
      </c>
      <c r="D9" s="15">
        <v>13000</v>
      </c>
      <c r="E9" s="15">
        <v>494000</v>
      </c>
    </row>
    <row r="10" spans="1:5" s="26" customFormat="1" ht="14.4" hidden="1" x14ac:dyDescent="0.3">
      <c r="A10" s="23" t="s">
        <v>27</v>
      </c>
      <c r="B10" s="23" t="s">
        <v>26</v>
      </c>
      <c r="C10" s="24">
        <v>0</v>
      </c>
      <c r="D10" s="25"/>
      <c r="E10" s="25"/>
    </row>
    <row r="11" spans="1:5" s="26" customFormat="1" ht="14.4" hidden="1" x14ac:dyDescent="0.3">
      <c r="A11" s="23" t="s">
        <v>37</v>
      </c>
      <c r="B11" s="23" t="s">
        <v>3</v>
      </c>
      <c r="C11" s="24">
        <v>0</v>
      </c>
      <c r="D11" s="25"/>
      <c r="E11" s="25"/>
    </row>
    <row r="12" spans="1:5" x14ac:dyDescent="0.3">
      <c r="A12" s="5" t="s">
        <v>46</v>
      </c>
      <c r="B12" s="5" t="s">
        <v>3</v>
      </c>
      <c r="C12" s="6">
        <v>6</v>
      </c>
      <c r="D12" s="15">
        <v>15000</v>
      </c>
      <c r="E12" s="15">
        <v>90000</v>
      </c>
    </row>
    <row r="13" spans="1:5" x14ac:dyDescent="0.3">
      <c r="A13" s="5" t="s">
        <v>47</v>
      </c>
      <c r="B13" s="5" t="s">
        <v>3</v>
      </c>
      <c r="C13" s="6">
        <v>5</v>
      </c>
      <c r="D13" s="15">
        <v>20000</v>
      </c>
      <c r="E13" s="15">
        <v>100000</v>
      </c>
    </row>
    <row r="14" spans="1:5" s="26" customFormat="1" ht="14.4" hidden="1" x14ac:dyDescent="0.3">
      <c r="A14" s="23" t="s">
        <v>82</v>
      </c>
      <c r="B14" s="23" t="s">
        <v>3</v>
      </c>
      <c r="C14" s="24">
        <v>0</v>
      </c>
      <c r="D14" s="25"/>
      <c r="E14" s="25"/>
    </row>
    <row r="15" spans="1:5" s="26" customFormat="1" ht="14.4" hidden="1" x14ac:dyDescent="0.3">
      <c r="A15" s="23" t="s">
        <v>16</v>
      </c>
      <c r="B15" s="23" t="s">
        <v>6</v>
      </c>
      <c r="C15" s="24">
        <v>0</v>
      </c>
      <c r="D15" s="25"/>
      <c r="E15" s="25"/>
    </row>
    <row r="16" spans="1:5" s="26" customFormat="1" ht="14.4" hidden="1" x14ac:dyDescent="0.3">
      <c r="A16" s="23" t="s">
        <v>28</v>
      </c>
      <c r="B16" s="23" t="s">
        <v>3</v>
      </c>
      <c r="C16" s="24">
        <v>0</v>
      </c>
      <c r="D16" s="25"/>
      <c r="E16" s="25"/>
    </row>
    <row r="17" spans="1:5" s="26" customFormat="1" ht="14.4" hidden="1" x14ac:dyDescent="0.3">
      <c r="A17" s="23" t="s">
        <v>28</v>
      </c>
      <c r="B17" s="23" t="s">
        <v>6</v>
      </c>
      <c r="C17" s="24">
        <v>0</v>
      </c>
      <c r="D17" s="25"/>
      <c r="E17" s="25"/>
    </row>
    <row r="18" spans="1:5" s="26" customFormat="1" ht="14.4" hidden="1" x14ac:dyDescent="0.3">
      <c r="A18" s="23" t="s">
        <v>28</v>
      </c>
      <c r="B18" s="23" t="s">
        <v>29</v>
      </c>
      <c r="C18" s="24">
        <v>0</v>
      </c>
      <c r="D18" s="25"/>
      <c r="E18" s="25"/>
    </row>
    <row r="19" spans="1:5" x14ac:dyDescent="0.3">
      <c r="A19" s="5" t="s">
        <v>48</v>
      </c>
      <c r="B19" s="5" t="s">
        <v>3</v>
      </c>
      <c r="C19" s="6">
        <v>75</v>
      </c>
      <c r="D19" s="15">
        <v>10000</v>
      </c>
      <c r="E19" s="15">
        <v>750000</v>
      </c>
    </row>
    <row r="20" spans="1:5" s="26" customFormat="1" ht="14.4" hidden="1" x14ac:dyDescent="0.3">
      <c r="A20" s="23" t="s">
        <v>48</v>
      </c>
      <c r="B20" s="23" t="s">
        <v>49</v>
      </c>
      <c r="C20" s="24">
        <v>0</v>
      </c>
      <c r="D20" s="25"/>
      <c r="E20" s="25"/>
    </row>
    <row r="21" spans="1:5" x14ac:dyDescent="0.3">
      <c r="A21" s="5" t="s">
        <v>40</v>
      </c>
      <c r="B21" s="5" t="s">
        <v>3</v>
      </c>
      <c r="C21" s="6">
        <v>10.5</v>
      </c>
      <c r="D21" s="15">
        <v>9000</v>
      </c>
      <c r="E21" s="15">
        <v>94500</v>
      </c>
    </row>
    <row r="22" spans="1:5" x14ac:dyDescent="0.3">
      <c r="A22" s="5" t="s">
        <v>40</v>
      </c>
      <c r="B22" s="5" t="s">
        <v>41</v>
      </c>
      <c r="C22" s="6">
        <v>65</v>
      </c>
      <c r="D22" s="15">
        <v>9000</v>
      </c>
      <c r="E22" s="15">
        <v>585000</v>
      </c>
    </row>
    <row r="23" spans="1:5" s="26" customFormat="1" ht="14.4" hidden="1" x14ac:dyDescent="0.3">
      <c r="A23" s="23" t="s">
        <v>50</v>
      </c>
      <c r="B23" s="23" t="s">
        <v>8</v>
      </c>
      <c r="C23" s="24">
        <v>0</v>
      </c>
      <c r="D23" s="25"/>
      <c r="E23" s="25"/>
    </row>
    <row r="24" spans="1:5" s="26" customFormat="1" ht="14.4" hidden="1" x14ac:dyDescent="0.3">
      <c r="A24" s="23" t="s">
        <v>51</v>
      </c>
      <c r="B24" s="23" t="s">
        <v>3</v>
      </c>
      <c r="C24" s="24">
        <v>0</v>
      </c>
      <c r="D24" s="25"/>
      <c r="E24" s="25"/>
    </row>
    <row r="25" spans="1:5" x14ac:dyDescent="0.3">
      <c r="A25" s="5" t="s">
        <v>51</v>
      </c>
      <c r="B25" s="5" t="s">
        <v>52</v>
      </c>
      <c r="C25" s="6">
        <v>100</v>
      </c>
      <c r="D25" s="15">
        <f>34000/4</f>
        <v>8500</v>
      </c>
      <c r="E25" s="15">
        <f>+D25*C25</f>
        <v>850000</v>
      </c>
    </row>
    <row r="26" spans="1:5" x14ac:dyDescent="0.3">
      <c r="A26" s="5" t="s">
        <v>30</v>
      </c>
      <c r="B26" s="5" t="s">
        <v>3</v>
      </c>
      <c r="C26" s="6">
        <v>330</v>
      </c>
      <c r="D26" s="15">
        <v>19000</v>
      </c>
      <c r="E26" s="15">
        <v>6270000</v>
      </c>
    </row>
    <row r="27" spans="1:5" s="26" customFormat="1" ht="14.4" hidden="1" x14ac:dyDescent="0.3">
      <c r="A27" s="23" t="s">
        <v>30</v>
      </c>
      <c r="B27" s="23" t="s">
        <v>6</v>
      </c>
      <c r="C27" s="24">
        <v>0</v>
      </c>
      <c r="D27" s="25"/>
      <c r="E27" s="25"/>
    </row>
    <row r="28" spans="1:5" s="26" customFormat="1" ht="14.4" hidden="1" x14ac:dyDescent="0.3">
      <c r="A28" s="23" t="s">
        <v>31</v>
      </c>
      <c r="B28" s="23" t="s">
        <v>4</v>
      </c>
      <c r="C28" s="24">
        <v>0</v>
      </c>
      <c r="D28" s="25"/>
      <c r="E28" s="25"/>
    </row>
    <row r="29" spans="1:5" x14ac:dyDescent="0.3">
      <c r="A29" s="5" t="s">
        <v>2</v>
      </c>
      <c r="B29" s="5" t="s">
        <v>3</v>
      </c>
      <c r="C29" s="6">
        <v>40</v>
      </c>
      <c r="D29" s="15">
        <v>13000</v>
      </c>
      <c r="E29" s="15">
        <v>520000</v>
      </c>
    </row>
    <row r="30" spans="1:5" s="26" customFormat="1" ht="14.4" hidden="1" x14ac:dyDescent="0.3">
      <c r="A30" s="23" t="s">
        <v>2</v>
      </c>
      <c r="B30" s="23" t="s">
        <v>4</v>
      </c>
      <c r="C30" s="24">
        <v>0</v>
      </c>
      <c r="D30" s="25"/>
      <c r="E30" s="25"/>
    </row>
    <row r="31" spans="1:5" x14ac:dyDescent="0.3">
      <c r="A31" s="5" t="s">
        <v>5</v>
      </c>
      <c r="B31" s="5" t="s">
        <v>6</v>
      </c>
      <c r="C31" s="6">
        <v>18</v>
      </c>
      <c r="D31" s="15">
        <v>8000</v>
      </c>
      <c r="E31" s="15">
        <v>144000</v>
      </c>
    </row>
    <row r="32" spans="1:5" x14ac:dyDescent="0.3">
      <c r="A32" s="5" t="s">
        <v>53</v>
      </c>
      <c r="B32" s="5" t="s">
        <v>3</v>
      </c>
      <c r="C32" s="6">
        <v>50</v>
      </c>
      <c r="D32" s="15">
        <v>6000</v>
      </c>
      <c r="E32" s="15">
        <v>300000</v>
      </c>
    </row>
    <row r="33" spans="1:5" s="26" customFormat="1" ht="14.4" hidden="1" x14ac:dyDescent="0.3">
      <c r="A33" s="23" t="s">
        <v>53</v>
      </c>
      <c r="B33" s="23" t="s">
        <v>54</v>
      </c>
      <c r="C33" s="24">
        <v>0</v>
      </c>
      <c r="D33" s="25"/>
      <c r="E33" s="25"/>
    </row>
    <row r="34" spans="1:5" x14ac:dyDescent="0.3">
      <c r="A34" s="5" t="s">
        <v>18</v>
      </c>
      <c r="B34" s="5" t="s">
        <v>3</v>
      </c>
      <c r="C34" s="6">
        <v>10</v>
      </c>
      <c r="D34" s="15">
        <v>14000</v>
      </c>
      <c r="E34" s="15">
        <v>140000</v>
      </c>
    </row>
    <row r="35" spans="1:5" s="26" customFormat="1" ht="14.4" hidden="1" x14ac:dyDescent="0.3">
      <c r="A35" s="23" t="s">
        <v>18</v>
      </c>
      <c r="B35" s="23" t="s">
        <v>4</v>
      </c>
      <c r="C35" s="24">
        <v>0</v>
      </c>
      <c r="D35" s="25"/>
      <c r="E35" s="25"/>
    </row>
    <row r="36" spans="1:5" x14ac:dyDescent="0.3">
      <c r="A36" s="5" t="s">
        <v>55</v>
      </c>
      <c r="B36" s="5" t="s">
        <v>4</v>
      </c>
      <c r="C36" s="6">
        <v>14</v>
      </c>
      <c r="D36" s="15">
        <v>3900</v>
      </c>
      <c r="E36" s="15">
        <v>54600</v>
      </c>
    </row>
    <row r="37" spans="1:5" s="26" customFormat="1" ht="14.4" hidden="1" x14ac:dyDescent="0.3">
      <c r="A37" s="23" t="s">
        <v>19</v>
      </c>
      <c r="B37" s="23" t="s">
        <v>4</v>
      </c>
      <c r="C37" s="24">
        <v>0</v>
      </c>
      <c r="D37" s="25"/>
      <c r="E37" s="25"/>
    </row>
    <row r="38" spans="1:5" x14ac:dyDescent="0.3">
      <c r="A38" s="5" t="s">
        <v>20</v>
      </c>
      <c r="B38" s="5" t="s">
        <v>3</v>
      </c>
      <c r="C38" s="6">
        <v>170</v>
      </c>
      <c r="D38" s="15">
        <v>6000</v>
      </c>
      <c r="E38" s="15">
        <v>1020000</v>
      </c>
    </row>
    <row r="39" spans="1:5" s="26" customFormat="1" ht="14.4" hidden="1" x14ac:dyDescent="0.3">
      <c r="A39" s="23" t="s">
        <v>21</v>
      </c>
      <c r="B39" s="23" t="s">
        <v>22</v>
      </c>
      <c r="C39" s="24">
        <v>0</v>
      </c>
      <c r="D39" s="25"/>
      <c r="E39" s="25"/>
    </row>
    <row r="40" spans="1:5" s="26" customFormat="1" ht="14.4" hidden="1" x14ac:dyDescent="0.3">
      <c r="A40" s="23" t="s">
        <v>21</v>
      </c>
      <c r="B40" s="23" t="s">
        <v>3</v>
      </c>
      <c r="C40" s="24">
        <v>0</v>
      </c>
      <c r="D40" s="25"/>
      <c r="E40" s="25"/>
    </row>
    <row r="41" spans="1:5" x14ac:dyDescent="0.3">
      <c r="A41" s="5" t="s">
        <v>56</v>
      </c>
      <c r="B41" s="5" t="s">
        <v>3</v>
      </c>
      <c r="C41" s="6">
        <v>30</v>
      </c>
      <c r="D41" s="15">
        <v>14000</v>
      </c>
      <c r="E41" s="15">
        <v>420000</v>
      </c>
    </row>
    <row r="42" spans="1:5" x14ac:dyDescent="0.3">
      <c r="A42" s="5" t="s">
        <v>7</v>
      </c>
      <c r="B42" s="5" t="s">
        <v>8</v>
      </c>
      <c r="C42" s="6">
        <v>17</v>
      </c>
      <c r="D42" s="15">
        <v>7000</v>
      </c>
      <c r="E42" s="15">
        <v>119000</v>
      </c>
    </row>
    <row r="43" spans="1:5" x14ac:dyDescent="0.3">
      <c r="A43" s="5" t="s">
        <v>107</v>
      </c>
      <c r="B43" s="5" t="s">
        <v>3</v>
      </c>
      <c r="C43" s="6">
        <v>1</v>
      </c>
      <c r="D43" s="15">
        <v>16000</v>
      </c>
      <c r="E43" s="15">
        <v>16000</v>
      </c>
    </row>
    <row r="44" spans="1:5" x14ac:dyDescent="0.3">
      <c r="A44" s="5" t="s">
        <v>57</v>
      </c>
      <c r="B44" s="5" t="s">
        <v>3</v>
      </c>
      <c r="C44" s="6">
        <v>40</v>
      </c>
      <c r="D44" s="15">
        <v>4500</v>
      </c>
      <c r="E44" s="15">
        <v>180000</v>
      </c>
    </row>
    <row r="45" spans="1:5" x14ac:dyDescent="0.3">
      <c r="A45" s="5" t="s">
        <v>9</v>
      </c>
      <c r="B45" s="5" t="s">
        <v>3</v>
      </c>
      <c r="C45" s="6">
        <v>28</v>
      </c>
      <c r="D45" s="15">
        <v>14000</v>
      </c>
      <c r="E45" s="15">
        <v>392000</v>
      </c>
    </row>
    <row r="46" spans="1:5" s="26" customFormat="1" ht="14.4" hidden="1" x14ac:dyDescent="0.3">
      <c r="A46" s="23" t="s">
        <v>9</v>
      </c>
      <c r="B46" s="23" t="s">
        <v>4</v>
      </c>
      <c r="C46" s="24">
        <v>0</v>
      </c>
      <c r="D46" s="25"/>
      <c r="E46" s="25"/>
    </row>
    <row r="47" spans="1:5" x14ac:dyDescent="0.3">
      <c r="A47" s="5" t="s">
        <v>58</v>
      </c>
      <c r="B47" s="5" t="s">
        <v>3</v>
      </c>
      <c r="C47" s="6">
        <v>5</v>
      </c>
      <c r="D47" s="15">
        <v>27000</v>
      </c>
      <c r="E47" s="15">
        <v>135000</v>
      </c>
    </row>
    <row r="48" spans="1:5" x14ac:dyDescent="0.3">
      <c r="A48" s="5" t="s">
        <v>10</v>
      </c>
      <c r="B48" s="5" t="s">
        <v>3</v>
      </c>
      <c r="C48" s="6">
        <v>40</v>
      </c>
      <c r="D48" s="15">
        <v>20500</v>
      </c>
      <c r="E48" s="15">
        <v>820000</v>
      </c>
    </row>
    <row r="49" spans="1:5" s="26" customFormat="1" ht="14.4" hidden="1" x14ac:dyDescent="0.3">
      <c r="A49" s="23" t="s">
        <v>10</v>
      </c>
      <c r="B49" s="23" t="s">
        <v>11</v>
      </c>
      <c r="C49" s="24">
        <v>0</v>
      </c>
      <c r="D49" s="25"/>
      <c r="E49" s="25"/>
    </row>
    <row r="50" spans="1:5" x14ac:dyDescent="0.3">
      <c r="A50" s="5" t="s">
        <v>12</v>
      </c>
      <c r="B50" s="5" t="s">
        <v>4</v>
      </c>
      <c r="C50" s="6">
        <v>140</v>
      </c>
      <c r="D50" s="15">
        <v>6000</v>
      </c>
      <c r="E50" s="15">
        <v>840000</v>
      </c>
    </row>
    <row r="51" spans="1:5" x14ac:dyDescent="0.3">
      <c r="A51" s="5" t="s">
        <v>39</v>
      </c>
      <c r="B51" s="5" t="s">
        <v>3</v>
      </c>
      <c r="C51" s="6">
        <v>1025</v>
      </c>
      <c r="D51" s="15">
        <v>24000</v>
      </c>
      <c r="E51" s="15">
        <v>24600000</v>
      </c>
    </row>
    <row r="52" spans="1:5" x14ac:dyDescent="0.3">
      <c r="A52" s="5" t="s">
        <v>13</v>
      </c>
      <c r="B52" s="5" t="s">
        <v>3</v>
      </c>
      <c r="C52" s="6">
        <v>230</v>
      </c>
      <c r="D52" s="15">
        <v>24000</v>
      </c>
      <c r="E52" s="15">
        <v>5520000</v>
      </c>
    </row>
    <row r="53" spans="1:5" x14ac:dyDescent="0.3">
      <c r="A53" s="5" t="s">
        <v>14</v>
      </c>
      <c r="B53" s="5" t="s">
        <v>3</v>
      </c>
      <c r="C53" s="6">
        <v>30</v>
      </c>
      <c r="D53" s="15">
        <v>17000</v>
      </c>
      <c r="E53" s="15">
        <v>510000</v>
      </c>
    </row>
    <row r="54" spans="1:5" s="26" customFormat="1" ht="14.4" hidden="1" x14ac:dyDescent="0.3">
      <c r="A54" s="23" t="s">
        <v>93</v>
      </c>
      <c r="B54" s="23" t="s">
        <v>3</v>
      </c>
      <c r="C54" s="24">
        <v>0</v>
      </c>
      <c r="D54" s="25"/>
      <c r="E54" s="25"/>
    </row>
    <row r="55" spans="1:5" s="26" customFormat="1" ht="14.4" hidden="1" x14ac:dyDescent="0.3">
      <c r="A55" s="23" t="s">
        <v>42</v>
      </c>
      <c r="B55" s="23" t="s">
        <v>3</v>
      </c>
      <c r="C55" s="24">
        <v>0</v>
      </c>
      <c r="D55" s="25"/>
      <c r="E55" s="25"/>
    </row>
    <row r="56" spans="1:5" x14ac:dyDescent="0.3">
      <c r="A56" s="5" t="s">
        <v>89</v>
      </c>
      <c r="B56" s="5" t="s">
        <v>3</v>
      </c>
      <c r="C56" s="6">
        <v>15</v>
      </c>
      <c r="D56" s="15">
        <v>6000</v>
      </c>
      <c r="E56" s="15">
        <v>90000</v>
      </c>
    </row>
    <row r="57" spans="1:5" s="26" customFormat="1" ht="14.4" hidden="1" x14ac:dyDescent="0.3">
      <c r="A57" s="23" t="s">
        <v>89</v>
      </c>
      <c r="B57" s="23" t="s">
        <v>4</v>
      </c>
      <c r="C57" s="24">
        <v>0</v>
      </c>
      <c r="D57" s="25"/>
      <c r="E57" s="25"/>
    </row>
    <row r="58" spans="1:5" x14ac:dyDescent="0.3">
      <c r="A58" s="5" t="s">
        <v>15</v>
      </c>
      <c r="B58" s="5" t="s">
        <v>3</v>
      </c>
      <c r="C58" s="6">
        <v>145</v>
      </c>
      <c r="D58" s="15">
        <v>18000</v>
      </c>
      <c r="E58" s="15">
        <v>2610000</v>
      </c>
    </row>
    <row r="59" spans="1:5" s="26" customFormat="1" ht="14.4" hidden="1" x14ac:dyDescent="0.3">
      <c r="A59" s="23" t="s">
        <v>15</v>
      </c>
      <c r="B59" s="23" t="s">
        <v>4</v>
      </c>
      <c r="C59" s="24">
        <v>0</v>
      </c>
      <c r="D59" s="25"/>
      <c r="E59" s="25"/>
    </row>
    <row r="60" spans="1:5" x14ac:dyDescent="0.3">
      <c r="A60" s="5" t="s">
        <v>87</v>
      </c>
      <c r="B60" s="5" t="s">
        <v>4</v>
      </c>
      <c r="C60" s="6">
        <v>70</v>
      </c>
      <c r="D60" s="15">
        <v>6000</v>
      </c>
      <c r="E60" s="15">
        <v>420000</v>
      </c>
    </row>
    <row r="61" spans="1:5" x14ac:dyDescent="0.3">
      <c r="A61" s="5" t="s">
        <v>59</v>
      </c>
      <c r="B61" s="5" t="s">
        <v>3</v>
      </c>
      <c r="C61" s="6">
        <v>35</v>
      </c>
      <c r="D61" s="15">
        <v>11000</v>
      </c>
      <c r="E61" s="15">
        <v>385000</v>
      </c>
    </row>
    <row r="62" spans="1:5" x14ac:dyDescent="0.3">
      <c r="A62" s="5" t="s">
        <v>60</v>
      </c>
      <c r="B62" s="5" t="s">
        <v>4</v>
      </c>
      <c r="C62" s="6">
        <v>30</v>
      </c>
      <c r="D62" s="15">
        <v>8000</v>
      </c>
      <c r="E62" s="15">
        <v>240000</v>
      </c>
    </row>
    <row r="63" spans="1:5" x14ac:dyDescent="0.3">
      <c r="A63" s="5" t="s">
        <v>61</v>
      </c>
      <c r="B63" s="5" t="s">
        <v>3</v>
      </c>
      <c r="C63" s="6">
        <v>10</v>
      </c>
      <c r="D63" s="15">
        <v>6500</v>
      </c>
      <c r="E63" s="15">
        <v>65000</v>
      </c>
    </row>
    <row r="64" spans="1:5" s="26" customFormat="1" ht="14.4" hidden="1" x14ac:dyDescent="0.3">
      <c r="A64" s="23" t="s">
        <v>61</v>
      </c>
      <c r="B64" s="23" t="s">
        <v>62</v>
      </c>
      <c r="C64" s="24">
        <v>0</v>
      </c>
      <c r="D64" s="25"/>
      <c r="E64" s="25"/>
    </row>
    <row r="65" spans="1:5" s="26" customFormat="1" ht="14.4" hidden="1" x14ac:dyDescent="0.3">
      <c r="A65" s="23" t="s">
        <v>63</v>
      </c>
      <c r="B65" s="23" t="s">
        <v>3</v>
      </c>
      <c r="C65" s="24">
        <v>0</v>
      </c>
      <c r="D65" s="25"/>
      <c r="E65" s="25"/>
    </row>
    <row r="66" spans="1:5" s="26" customFormat="1" ht="14.4" hidden="1" x14ac:dyDescent="0.3">
      <c r="A66" s="23" t="s">
        <v>64</v>
      </c>
      <c r="B66" s="23" t="s">
        <v>3</v>
      </c>
      <c r="C66" s="24">
        <v>0</v>
      </c>
      <c r="D66" s="25"/>
      <c r="E66" s="25"/>
    </row>
    <row r="67" spans="1:5" s="26" customFormat="1" ht="14.4" hidden="1" x14ac:dyDescent="0.3">
      <c r="A67" s="23" t="s">
        <v>65</v>
      </c>
      <c r="B67" s="23" t="s">
        <v>3</v>
      </c>
      <c r="C67" s="24">
        <v>0</v>
      </c>
      <c r="D67" s="25"/>
      <c r="E67" s="25"/>
    </row>
    <row r="68" spans="1:5" s="26" customFormat="1" ht="14.4" hidden="1" x14ac:dyDescent="0.3">
      <c r="A68" s="23" t="s">
        <v>32</v>
      </c>
      <c r="B68" s="23" t="s">
        <v>3</v>
      </c>
      <c r="C68" s="24">
        <v>0</v>
      </c>
      <c r="D68" s="25"/>
      <c r="E68" s="25"/>
    </row>
    <row r="69" spans="1:5" x14ac:dyDescent="0.3">
      <c r="A69" s="5" t="s">
        <v>32</v>
      </c>
      <c r="B69" s="5" t="s">
        <v>6</v>
      </c>
      <c r="C69" s="6">
        <v>135</v>
      </c>
      <c r="D69" s="15">
        <v>5000</v>
      </c>
      <c r="E69" s="15">
        <v>675000</v>
      </c>
    </row>
    <row r="70" spans="1:5" x14ac:dyDescent="0.3">
      <c r="A70" s="5" t="s">
        <v>81</v>
      </c>
      <c r="B70" s="5" t="s">
        <v>3</v>
      </c>
      <c r="C70" s="6">
        <v>5</v>
      </c>
      <c r="D70" s="15">
        <v>7000</v>
      </c>
      <c r="E70" s="15">
        <v>35000</v>
      </c>
    </row>
    <row r="71" spans="1:5" x14ac:dyDescent="0.3">
      <c r="A71" s="5" t="s">
        <v>33</v>
      </c>
      <c r="B71" s="5" t="s">
        <v>3</v>
      </c>
      <c r="C71" s="6">
        <v>60</v>
      </c>
      <c r="D71" s="15">
        <v>5000</v>
      </c>
      <c r="E71" s="15">
        <v>300000</v>
      </c>
    </row>
    <row r="72" spans="1:5" s="26" customFormat="1" ht="14.4" hidden="1" x14ac:dyDescent="0.3">
      <c r="A72" s="23" t="s">
        <v>66</v>
      </c>
      <c r="B72" s="23" t="s">
        <v>22</v>
      </c>
      <c r="C72" s="24">
        <v>0</v>
      </c>
      <c r="D72" s="25"/>
      <c r="E72" s="25"/>
    </row>
    <row r="73" spans="1:5" s="26" customFormat="1" ht="14.4" hidden="1" x14ac:dyDescent="0.3">
      <c r="A73" s="23" t="s">
        <v>66</v>
      </c>
      <c r="B73" s="23" t="s">
        <v>3</v>
      </c>
      <c r="C73" s="24">
        <v>0</v>
      </c>
      <c r="D73" s="25"/>
      <c r="E73" s="25"/>
    </row>
    <row r="74" spans="1:5" x14ac:dyDescent="0.3">
      <c r="A74" s="5" t="s">
        <v>43</v>
      </c>
      <c r="B74" s="5" t="s">
        <v>3</v>
      </c>
      <c r="C74" s="6">
        <f>1000</f>
        <v>1000</v>
      </c>
      <c r="D74" s="15">
        <v>27600</v>
      </c>
      <c r="E74" s="15">
        <f>D74*C74</f>
        <v>27600000</v>
      </c>
    </row>
    <row r="75" spans="1:5" s="26" customFormat="1" ht="14.4" hidden="1" x14ac:dyDescent="0.3">
      <c r="A75" s="23" t="s">
        <v>67</v>
      </c>
      <c r="B75" s="23" t="s">
        <v>3</v>
      </c>
      <c r="C75" s="24">
        <v>0</v>
      </c>
      <c r="D75" s="25"/>
      <c r="E75" s="25"/>
    </row>
    <row r="76" spans="1:5" s="26" customFormat="1" ht="14.4" hidden="1" x14ac:dyDescent="0.3">
      <c r="A76" s="23" t="s">
        <v>68</v>
      </c>
      <c r="B76" s="23" t="s">
        <v>4</v>
      </c>
      <c r="C76" s="24">
        <v>0</v>
      </c>
      <c r="D76" s="25"/>
      <c r="E76" s="25"/>
    </row>
    <row r="77" spans="1:5" x14ac:dyDescent="0.3">
      <c r="A77" s="5" t="s">
        <v>69</v>
      </c>
      <c r="B77" s="5" t="s">
        <v>3</v>
      </c>
      <c r="C77" s="6">
        <v>16</v>
      </c>
      <c r="D77" s="15">
        <v>14000</v>
      </c>
      <c r="E77" s="15">
        <v>224000</v>
      </c>
    </row>
    <row r="78" spans="1:5" s="26" customFormat="1" ht="14.4" hidden="1" x14ac:dyDescent="0.3">
      <c r="A78" s="23" t="s">
        <v>38</v>
      </c>
      <c r="B78" s="23" t="s">
        <v>6</v>
      </c>
      <c r="C78" s="24">
        <v>0</v>
      </c>
      <c r="D78" s="25"/>
      <c r="E78" s="25"/>
    </row>
    <row r="79" spans="1:5" s="26" customFormat="1" ht="14.4" hidden="1" x14ac:dyDescent="0.3">
      <c r="A79" s="23" t="s">
        <v>70</v>
      </c>
      <c r="B79" s="23" t="s">
        <v>8</v>
      </c>
      <c r="C79" s="24">
        <v>0</v>
      </c>
      <c r="D79" s="25"/>
      <c r="E79" s="25"/>
    </row>
    <row r="80" spans="1:5" x14ac:dyDescent="0.3">
      <c r="A80" s="5" t="s">
        <v>70</v>
      </c>
      <c r="B80" s="5" t="s">
        <v>3</v>
      </c>
      <c r="C80" s="6">
        <v>8</v>
      </c>
      <c r="D80" s="15">
        <v>50000</v>
      </c>
      <c r="E80" s="15">
        <v>400000</v>
      </c>
    </row>
    <row r="81" spans="1:5" x14ac:dyDescent="0.3">
      <c r="A81" s="5" t="s">
        <v>34</v>
      </c>
      <c r="B81" s="5" t="s">
        <v>3</v>
      </c>
      <c r="C81" s="6">
        <v>55</v>
      </c>
      <c r="D81" s="15">
        <v>24000</v>
      </c>
      <c r="E81" s="15">
        <v>1320000</v>
      </c>
    </row>
    <row r="82" spans="1:5" s="26" customFormat="1" ht="14.4" hidden="1" x14ac:dyDescent="0.3">
      <c r="A82" s="23" t="s">
        <v>34</v>
      </c>
      <c r="B82" s="23" t="s">
        <v>26</v>
      </c>
      <c r="C82" s="24">
        <v>0</v>
      </c>
      <c r="D82" s="25"/>
      <c r="E82" s="25"/>
    </row>
    <row r="83" spans="1:5" x14ac:dyDescent="0.3">
      <c r="A83" s="5" t="s">
        <v>35</v>
      </c>
      <c r="B83" s="5" t="s">
        <v>3</v>
      </c>
      <c r="C83" s="6">
        <v>65</v>
      </c>
      <c r="D83" s="15">
        <v>13000</v>
      </c>
      <c r="E83" s="15">
        <v>845000</v>
      </c>
    </row>
    <row r="84" spans="1:5" s="26" customFormat="1" ht="14.4" hidden="1" x14ac:dyDescent="0.3">
      <c r="A84" s="23" t="s">
        <v>35</v>
      </c>
      <c r="B84" s="23" t="s">
        <v>26</v>
      </c>
      <c r="C84" s="24">
        <v>0</v>
      </c>
      <c r="D84" s="25"/>
      <c r="E84" s="25"/>
    </row>
    <row r="85" spans="1:5" x14ac:dyDescent="0.3">
      <c r="A85" s="5" t="s">
        <v>36</v>
      </c>
      <c r="B85" s="5" t="s">
        <v>3</v>
      </c>
      <c r="C85" s="6">
        <v>30</v>
      </c>
      <c r="D85" s="15">
        <v>21000</v>
      </c>
      <c r="E85" s="15">
        <v>630000</v>
      </c>
    </row>
    <row r="86" spans="1:5" s="26" customFormat="1" ht="14.4" hidden="1" x14ac:dyDescent="0.3">
      <c r="A86" s="23" t="s">
        <v>36</v>
      </c>
      <c r="B86" s="23" t="s">
        <v>26</v>
      </c>
      <c r="C86" s="24">
        <v>0</v>
      </c>
      <c r="D86" s="25"/>
      <c r="E86" s="25"/>
    </row>
    <row r="87" spans="1:5" x14ac:dyDescent="0.3">
      <c r="A87" s="5" t="s">
        <v>71</v>
      </c>
      <c r="B87" s="5" t="s">
        <v>4</v>
      </c>
      <c r="C87" s="6">
        <v>90</v>
      </c>
      <c r="D87" s="15">
        <v>18000</v>
      </c>
      <c r="E87" s="15">
        <v>1620000</v>
      </c>
    </row>
    <row r="88" spans="1:5" s="26" customFormat="1" ht="14.4" hidden="1" x14ac:dyDescent="0.3">
      <c r="A88" s="23" t="s">
        <v>83</v>
      </c>
      <c r="B88" s="23" t="s">
        <v>4</v>
      </c>
      <c r="C88" s="24">
        <v>0</v>
      </c>
      <c r="D88" s="25"/>
      <c r="E88" s="25"/>
    </row>
    <row r="89" spans="1:5" x14ac:dyDescent="0.3">
      <c r="A89" s="5" t="s">
        <v>116</v>
      </c>
      <c r="B89" s="5" t="s">
        <v>26</v>
      </c>
      <c r="C89" s="6">
        <v>450</v>
      </c>
      <c r="D89" s="15">
        <v>10000</v>
      </c>
      <c r="E89" s="15">
        <v>4500000</v>
      </c>
    </row>
    <row r="90" spans="1:5" x14ac:dyDescent="0.3">
      <c r="A90" s="5" t="s">
        <v>88</v>
      </c>
      <c r="B90" s="5" t="s">
        <v>3</v>
      </c>
      <c r="C90" s="6">
        <v>340</v>
      </c>
      <c r="D90" s="15">
        <v>27000</v>
      </c>
      <c r="E90" s="15">
        <v>9180000</v>
      </c>
    </row>
    <row r="91" spans="1:5" s="26" customFormat="1" ht="14.4" hidden="1" x14ac:dyDescent="0.3">
      <c r="A91" s="23" t="s">
        <v>91</v>
      </c>
      <c r="B91" s="23" t="s">
        <v>3</v>
      </c>
      <c r="C91" s="24">
        <v>0</v>
      </c>
      <c r="D91" s="25"/>
      <c r="E91" s="25"/>
    </row>
    <row r="92" spans="1:5" x14ac:dyDescent="0.3">
      <c r="A92" s="5" t="s">
        <v>72</v>
      </c>
      <c r="B92" s="5" t="s">
        <v>3</v>
      </c>
      <c r="C92" s="6">
        <v>20</v>
      </c>
      <c r="D92" s="15">
        <v>6500</v>
      </c>
      <c r="E92" s="15">
        <v>130000</v>
      </c>
    </row>
    <row r="93" spans="1:5" s="26" customFormat="1" ht="14.4" hidden="1" x14ac:dyDescent="0.3">
      <c r="A93" s="23" t="s">
        <v>73</v>
      </c>
      <c r="B93" s="23" t="s">
        <v>3</v>
      </c>
      <c r="C93" s="24">
        <v>0</v>
      </c>
      <c r="D93" s="25"/>
      <c r="E93" s="25"/>
    </row>
    <row r="94" spans="1:5" s="26" customFormat="1" ht="14.4" hidden="1" x14ac:dyDescent="0.3">
      <c r="A94" s="23" t="s">
        <v>23</v>
      </c>
      <c r="B94" s="23" t="s">
        <v>3</v>
      </c>
      <c r="C94" s="24">
        <v>0</v>
      </c>
      <c r="D94" s="25"/>
      <c r="E94" s="25"/>
    </row>
    <row r="95" spans="1:5" s="26" customFormat="1" ht="14.4" hidden="1" x14ac:dyDescent="0.3">
      <c r="A95" s="23" t="s">
        <v>84</v>
      </c>
      <c r="B95" s="23" t="s">
        <v>22</v>
      </c>
      <c r="C95" s="24">
        <v>0</v>
      </c>
      <c r="D95" s="25"/>
      <c r="E95" s="25"/>
    </row>
    <row r="96" spans="1:5" s="26" customFormat="1" ht="14.4" hidden="1" x14ac:dyDescent="0.3">
      <c r="A96" s="23" t="s">
        <v>74</v>
      </c>
      <c r="B96" s="23" t="s">
        <v>3</v>
      </c>
      <c r="C96" s="24">
        <v>0</v>
      </c>
      <c r="D96" s="25"/>
      <c r="E96" s="25"/>
    </row>
    <row r="97" spans="1:5" s="26" customFormat="1" ht="14.4" hidden="1" x14ac:dyDescent="0.3">
      <c r="A97" s="23" t="s">
        <v>86</v>
      </c>
      <c r="B97" s="23" t="s">
        <v>22</v>
      </c>
      <c r="C97" s="24">
        <v>0</v>
      </c>
      <c r="D97" s="25"/>
      <c r="E97" s="25"/>
    </row>
    <row r="98" spans="1:5" s="26" customFormat="1" ht="14.4" hidden="1" x14ac:dyDescent="0.3">
      <c r="A98" s="23" t="s">
        <v>75</v>
      </c>
      <c r="B98" s="23" t="s">
        <v>3</v>
      </c>
      <c r="C98" s="24">
        <v>0</v>
      </c>
      <c r="D98" s="25"/>
      <c r="E98" s="25"/>
    </row>
    <row r="99" spans="1:5" x14ac:dyDescent="0.3">
      <c r="A99" s="5" t="s">
        <v>76</v>
      </c>
      <c r="B99" s="5" t="s">
        <v>3</v>
      </c>
      <c r="C99" s="6">
        <v>6</v>
      </c>
      <c r="D99" s="15">
        <v>30000</v>
      </c>
      <c r="E99" s="15">
        <v>180000</v>
      </c>
    </row>
    <row r="100" spans="1:5" s="26" customFormat="1" ht="14.4" hidden="1" x14ac:dyDescent="0.3">
      <c r="A100" s="23" t="s">
        <v>85</v>
      </c>
      <c r="B100" s="23" t="s">
        <v>22</v>
      </c>
      <c r="C100" s="24">
        <v>0</v>
      </c>
      <c r="D100" s="25"/>
      <c r="E100" s="25"/>
    </row>
    <row r="101" spans="1:5" x14ac:dyDescent="0.3">
      <c r="A101" s="12" t="e">
        <v>#N/A</v>
      </c>
      <c r="B101" s="12">
        <v>0</v>
      </c>
      <c r="C101" s="13">
        <v>5328.5</v>
      </c>
      <c r="D101" s="32">
        <v>5328.5</v>
      </c>
      <c r="E101" s="33">
        <f>106428100</f>
        <v>106428100</v>
      </c>
    </row>
    <row r="102" spans="1:5" ht="62.4" x14ac:dyDescent="0.3">
      <c r="A102" s="9" t="s">
        <v>124</v>
      </c>
      <c r="B102" s="9" t="s">
        <v>1</v>
      </c>
      <c r="C102" s="10" t="s">
        <v>122</v>
      </c>
      <c r="D102" s="14" t="s">
        <v>125</v>
      </c>
      <c r="E102" s="14" t="s">
        <v>126</v>
      </c>
    </row>
    <row r="103" spans="1:5" x14ac:dyDescent="0.3">
      <c r="A103" s="5" t="s">
        <v>44</v>
      </c>
      <c r="B103" s="5" t="s">
        <v>3</v>
      </c>
      <c r="C103" s="8">
        <v>23</v>
      </c>
      <c r="D103" s="15">
        <v>36000</v>
      </c>
      <c r="E103" s="15">
        <v>828000</v>
      </c>
    </row>
    <row r="104" spans="1:5" s="26" customFormat="1" hidden="1" x14ac:dyDescent="0.3">
      <c r="A104" s="29" t="s">
        <v>45</v>
      </c>
      <c r="B104" s="29" t="s">
        <v>3</v>
      </c>
      <c r="C104" s="30">
        <v>0</v>
      </c>
      <c r="D104" s="25"/>
      <c r="E104" s="25"/>
    </row>
    <row r="105" spans="1:5" x14ac:dyDescent="0.3">
      <c r="A105" s="5" t="s">
        <v>17</v>
      </c>
      <c r="B105" s="5" t="s">
        <v>3</v>
      </c>
      <c r="C105" s="8">
        <v>480</v>
      </c>
      <c r="D105" s="15">
        <v>7500</v>
      </c>
      <c r="E105" s="15">
        <v>3600000</v>
      </c>
    </row>
    <row r="106" spans="1:5" x14ac:dyDescent="0.3">
      <c r="A106" s="5" t="s">
        <v>95</v>
      </c>
      <c r="B106" s="5" t="s">
        <v>3</v>
      </c>
      <c r="C106" s="8">
        <v>32</v>
      </c>
      <c r="D106" s="15">
        <v>10000</v>
      </c>
      <c r="E106" s="15">
        <v>320000</v>
      </c>
    </row>
    <row r="107" spans="1:5" s="26" customFormat="1" hidden="1" x14ac:dyDescent="0.3">
      <c r="A107" s="29" t="s">
        <v>24</v>
      </c>
      <c r="B107" s="29" t="s">
        <v>3</v>
      </c>
      <c r="C107" s="30">
        <v>0</v>
      </c>
      <c r="D107" s="25"/>
      <c r="E107" s="25"/>
    </row>
    <row r="108" spans="1:5" s="26" customFormat="1" hidden="1" x14ac:dyDescent="0.3">
      <c r="A108" s="29" t="s">
        <v>78</v>
      </c>
      <c r="B108" s="29" t="s">
        <v>3</v>
      </c>
      <c r="C108" s="30">
        <v>0</v>
      </c>
      <c r="D108" s="25"/>
      <c r="E108" s="25"/>
    </row>
    <row r="109" spans="1:5" x14ac:dyDescent="0.3">
      <c r="A109" s="5" t="s">
        <v>25</v>
      </c>
      <c r="B109" s="5" t="s">
        <v>3</v>
      </c>
      <c r="C109" s="8">
        <v>5</v>
      </c>
      <c r="D109" s="15">
        <v>10000</v>
      </c>
      <c r="E109" s="15">
        <v>50000</v>
      </c>
    </row>
    <row r="110" spans="1:5" s="26" customFormat="1" hidden="1" x14ac:dyDescent="0.3">
      <c r="A110" s="29" t="s">
        <v>37</v>
      </c>
      <c r="B110" s="29" t="s">
        <v>3</v>
      </c>
      <c r="C110" s="30">
        <v>0</v>
      </c>
      <c r="D110" s="25"/>
      <c r="E110" s="25"/>
    </row>
    <row r="111" spans="1:5" x14ac:dyDescent="0.3">
      <c r="A111" s="5" t="s">
        <v>46</v>
      </c>
      <c r="B111" s="5" t="s">
        <v>3</v>
      </c>
      <c r="C111" s="8">
        <v>2</v>
      </c>
      <c r="D111" s="15">
        <v>15000</v>
      </c>
      <c r="E111" s="15">
        <v>30000</v>
      </c>
    </row>
    <row r="112" spans="1:5" x14ac:dyDescent="0.3">
      <c r="A112" s="5" t="s">
        <v>94</v>
      </c>
      <c r="B112" s="5" t="s">
        <v>3</v>
      </c>
      <c r="C112" s="8">
        <v>5</v>
      </c>
      <c r="D112" s="15">
        <v>22000</v>
      </c>
      <c r="E112" s="15">
        <v>110000</v>
      </c>
    </row>
    <row r="113" spans="1:5" x14ac:dyDescent="0.3">
      <c r="A113" s="5" t="s">
        <v>28</v>
      </c>
      <c r="B113" s="5" t="s">
        <v>3</v>
      </c>
      <c r="C113" s="8">
        <v>30</v>
      </c>
      <c r="D113" s="15">
        <v>24000</v>
      </c>
      <c r="E113" s="15">
        <v>720000</v>
      </c>
    </row>
    <row r="114" spans="1:5" s="26" customFormat="1" hidden="1" x14ac:dyDescent="0.3">
      <c r="A114" s="29" t="s">
        <v>30</v>
      </c>
      <c r="B114" s="29" t="s">
        <v>3</v>
      </c>
      <c r="C114" s="30">
        <v>0</v>
      </c>
      <c r="D114" s="25"/>
      <c r="E114" s="25"/>
    </row>
    <row r="115" spans="1:5" x14ac:dyDescent="0.3">
      <c r="A115" s="5" t="s">
        <v>2</v>
      </c>
      <c r="B115" s="5" t="s">
        <v>3</v>
      </c>
      <c r="C115" s="8">
        <v>260</v>
      </c>
      <c r="D115" s="15">
        <v>13000</v>
      </c>
      <c r="E115" s="15">
        <v>3380000</v>
      </c>
    </row>
    <row r="116" spans="1:5" x14ac:dyDescent="0.3">
      <c r="A116" s="5" t="s">
        <v>53</v>
      </c>
      <c r="B116" s="5" t="s">
        <v>3</v>
      </c>
      <c r="C116" s="8">
        <v>30</v>
      </c>
      <c r="D116" s="15">
        <v>6000</v>
      </c>
      <c r="E116" s="15">
        <v>180000</v>
      </c>
    </row>
    <row r="117" spans="1:5" s="26" customFormat="1" hidden="1" x14ac:dyDescent="0.3">
      <c r="A117" s="29" t="s">
        <v>20</v>
      </c>
      <c r="B117" s="29" t="s">
        <v>3</v>
      </c>
      <c r="C117" s="30">
        <v>0</v>
      </c>
      <c r="D117" s="25"/>
      <c r="E117" s="25"/>
    </row>
    <row r="118" spans="1:5" x14ac:dyDescent="0.3">
      <c r="A118" s="5" t="s">
        <v>97</v>
      </c>
      <c r="B118" s="5" t="s">
        <v>3</v>
      </c>
      <c r="C118" s="8">
        <v>8</v>
      </c>
      <c r="D118" s="15">
        <v>16000</v>
      </c>
      <c r="E118" s="15">
        <v>128000</v>
      </c>
    </row>
    <row r="119" spans="1:5" x14ac:dyDescent="0.3">
      <c r="A119" s="5" t="s">
        <v>21</v>
      </c>
      <c r="B119" s="5" t="s">
        <v>3</v>
      </c>
      <c r="C119" s="8">
        <v>40</v>
      </c>
      <c r="D119" s="15">
        <v>20000</v>
      </c>
      <c r="E119" s="15">
        <v>800000</v>
      </c>
    </row>
    <row r="120" spans="1:5" x14ac:dyDescent="0.3">
      <c r="A120" s="5" t="s">
        <v>96</v>
      </c>
      <c r="B120" s="5" t="s">
        <v>3</v>
      </c>
      <c r="C120" s="8">
        <v>35</v>
      </c>
      <c r="D120" s="15">
        <v>25000</v>
      </c>
      <c r="E120" s="15">
        <v>875000</v>
      </c>
    </row>
    <row r="121" spans="1:5" s="26" customFormat="1" hidden="1" x14ac:dyDescent="0.3">
      <c r="A121" s="29" t="s">
        <v>56</v>
      </c>
      <c r="B121" s="29" t="s">
        <v>3</v>
      </c>
      <c r="C121" s="30">
        <v>0</v>
      </c>
      <c r="D121" s="25"/>
      <c r="E121" s="25"/>
    </row>
    <row r="122" spans="1:5" s="26" customFormat="1" hidden="1" x14ac:dyDescent="0.3">
      <c r="A122" s="29" t="s">
        <v>107</v>
      </c>
      <c r="B122" s="29" t="s">
        <v>6</v>
      </c>
      <c r="C122" s="30">
        <v>0</v>
      </c>
      <c r="D122" s="25"/>
      <c r="E122" s="25"/>
    </row>
    <row r="123" spans="1:5" x14ac:dyDescent="0.3">
      <c r="A123" s="5" t="s">
        <v>57</v>
      </c>
      <c r="B123" s="5" t="s">
        <v>3</v>
      </c>
      <c r="C123" s="8">
        <v>80</v>
      </c>
      <c r="D123" s="15">
        <v>4500</v>
      </c>
      <c r="E123" s="15">
        <v>360000</v>
      </c>
    </row>
    <row r="124" spans="1:5" x14ac:dyDescent="0.3">
      <c r="A124" s="5" t="s">
        <v>9</v>
      </c>
      <c r="B124" s="5" t="s">
        <v>3</v>
      </c>
      <c r="C124" s="8">
        <v>38</v>
      </c>
      <c r="D124" s="15">
        <v>14000</v>
      </c>
      <c r="E124" s="15">
        <v>532000</v>
      </c>
    </row>
    <row r="125" spans="1:5" x14ac:dyDescent="0.3">
      <c r="A125" s="5" t="s">
        <v>10</v>
      </c>
      <c r="B125" s="5" t="s">
        <v>3</v>
      </c>
      <c r="C125" s="8">
        <v>65</v>
      </c>
      <c r="D125" s="15">
        <v>20500</v>
      </c>
      <c r="E125" s="15">
        <v>1332500</v>
      </c>
    </row>
    <row r="126" spans="1:5" s="26" customFormat="1" hidden="1" x14ac:dyDescent="0.3">
      <c r="A126" s="29" t="s">
        <v>13</v>
      </c>
      <c r="B126" s="29" t="s">
        <v>4</v>
      </c>
      <c r="C126" s="30">
        <v>0</v>
      </c>
      <c r="D126" s="25"/>
      <c r="E126" s="25"/>
    </row>
    <row r="127" spans="1:5" x14ac:dyDescent="0.3">
      <c r="A127" s="5" t="s">
        <v>14</v>
      </c>
      <c r="B127" s="5" t="s">
        <v>3</v>
      </c>
      <c r="C127" s="8">
        <v>30</v>
      </c>
      <c r="D127" s="15">
        <v>17000</v>
      </c>
      <c r="E127" s="15">
        <v>510000</v>
      </c>
    </row>
    <row r="128" spans="1:5" s="26" customFormat="1" hidden="1" x14ac:dyDescent="0.3">
      <c r="A128" s="29" t="s">
        <v>89</v>
      </c>
      <c r="B128" s="29" t="s">
        <v>4</v>
      </c>
      <c r="C128" s="30">
        <v>0</v>
      </c>
      <c r="D128" s="25"/>
      <c r="E128" s="25"/>
    </row>
    <row r="129" spans="1:5" s="26" customFormat="1" hidden="1" x14ac:dyDescent="0.3">
      <c r="A129" s="29" t="s">
        <v>109</v>
      </c>
      <c r="B129" s="29" t="s">
        <v>3</v>
      </c>
      <c r="C129" s="30">
        <v>0</v>
      </c>
      <c r="D129" s="25"/>
      <c r="E129" s="25"/>
    </row>
    <row r="130" spans="1:5" x14ac:dyDescent="0.3">
      <c r="A130" s="5" t="s">
        <v>15</v>
      </c>
      <c r="B130" s="5" t="s">
        <v>3</v>
      </c>
      <c r="C130" s="8">
        <v>226</v>
      </c>
      <c r="D130" s="15">
        <v>18000</v>
      </c>
      <c r="E130" s="15">
        <v>4068000</v>
      </c>
    </row>
    <row r="131" spans="1:5" x14ac:dyDescent="0.3">
      <c r="A131" s="5" t="s">
        <v>59</v>
      </c>
      <c r="B131" s="5" t="s">
        <v>3</v>
      </c>
      <c r="C131" s="8">
        <v>10</v>
      </c>
      <c r="D131" s="15">
        <v>11000</v>
      </c>
      <c r="E131" s="15">
        <v>110000</v>
      </c>
    </row>
    <row r="132" spans="1:5" x14ac:dyDescent="0.3">
      <c r="A132" s="5" t="s">
        <v>60</v>
      </c>
      <c r="B132" s="5" t="s">
        <v>4</v>
      </c>
      <c r="C132" s="8">
        <v>18</v>
      </c>
      <c r="D132" s="15">
        <v>8000</v>
      </c>
      <c r="E132" s="15">
        <v>144000</v>
      </c>
    </row>
    <row r="133" spans="1:5" x14ac:dyDescent="0.3">
      <c r="A133" s="5" t="s">
        <v>61</v>
      </c>
      <c r="B133" s="5" t="s">
        <v>4</v>
      </c>
      <c r="C133" s="8">
        <v>110</v>
      </c>
      <c r="D133" s="15">
        <v>6500</v>
      </c>
      <c r="E133" s="15">
        <v>715000</v>
      </c>
    </row>
    <row r="134" spans="1:5" s="26" customFormat="1" hidden="1" x14ac:dyDescent="0.3">
      <c r="A134" s="29" t="s">
        <v>32</v>
      </c>
      <c r="B134" s="29" t="s">
        <v>3</v>
      </c>
      <c r="C134" s="30">
        <v>0</v>
      </c>
      <c r="D134" s="25"/>
      <c r="E134" s="25"/>
    </row>
    <row r="135" spans="1:5" x14ac:dyDescent="0.3">
      <c r="A135" s="5" t="s">
        <v>32</v>
      </c>
      <c r="B135" s="5" t="s">
        <v>6</v>
      </c>
      <c r="C135" s="8">
        <v>325</v>
      </c>
      <c r="D135" s="15">
        <v>5000</v>
      </c>
      <c r="E135" s="15">
        <v>1625000</v>
      </c>
    </row>
    <row r="136" spans="1:5" x14ac:dyDescent="0.3">
      <c r="A136" s="5" t="s">
        <v>66</v>
      </c>
      <c r="B136" s="5" t="s">
        <v>3</v>
      </c>
      <c r="C136" s="8">
        <v>4</v>
      </c>
      <c r="D136" s="15">
        <v>26000</v>
      </c>
      <c r="E136" s="15">
        <v>104000</v>
      </c>
    </row>
    <row r="137" spans="1:5" x14ac:dyDescent="0.3">
      <c r="A137" s="5" t="s">
        <v>43</v>
      </c>
      <c r="B137" s="5" t="s">
        <v>3</v>
      </c>
      <c r="C137" s="8">
        <v>650</v>
      </c>
      <c r="D137" s="15">
        <v>27600</v>
      </c>
      <c r="E137" s="15">
        <v>17940000</v>
      </c>
    </row>
    <row r="138" spans="1:5" s="26" customFormat="1" hidden="1" x14ac:dyDescent="0.3">
      <c r="A138" s="29" t="s">
        <v>67</v>
      </c>
      <c r="B138" s="29" t="s">
        <v>3</v>
      </c>
      <c r="C138" s="30">
        <v>0</v>
      </c>
      <c r="D138" s="25"/>
      <c r="E138" s="25"/>
    </row>
    <row r="139" spans="1:5" x14ac:dyDescent="0.3">
      <c r="A139" s="5" t="s">
        <v>34</v>
      </c>
      <c r="B139" s="5" t="s">
        <v>3</v>
      </c>
      <c r="C139" s="8">
        <v>25</v>
      </c>
      <c r="D139" s="15">
        <v>24000</v>
      </c>
      <c r="E139" s="15">
        <v>600000</v>
      </c>
    </row>
    <row r="140" spans="1:5" x14ac:dyDescent="0.3">
      <c r="A140" s="5" t="s">
        <v>35</v>
      </c>
      <c r="B140" s="5" t="s">
        <v>3</v>
      </c>
      <c r="C140" s="8">
        <v>20</v>
      </c>
      <c r="D140" s="15">
        <v>13000</v>
      </c>
      <c r="E140" s="15">
        <v>260000</v>
      </c>
    </row>
    <row r="141" spans="1:5" x14ac:dyDescent="0.3">
      <c r="A141" s="5" t="s">
        <v>36</v>
      </c>
      <c r="B141" s="5" t="s">
        <v>3</v>
      </c>
      <c r="C141" s="8">
        <v>30</v>
      </c>
      <c r="D141" s="15">
        <v>21000</v>
      </c>
      <c r="E141" s="15">
        <v>630000</v>
      </c>
    </row>
    <row r="142" spans="1:5" x14ac:dyDescent="0.3">
      <c r="A142" s="5" t="s">
        <v>72</v>
      </c>
      <c r="B142" s="34" t="s">
        <v>3</v>
      </c>
      <c r="C142" s="8">
        <v>60</v>
      </c>
      <c r="D142" s="15">
        <v>6500</v>
      </c>
      <c r="E142" s="15">
        <v>390000</v>
      </c>
    </row>
    <row r="143" spans="1:5" s="26" customFormat="1" hidden="1" x14ac:dyDescent="0.3">
      <c r="A143" s="29" t="s">
        <v>23</v>
      </c>
      <c r="B143" s="29" t="s">
        <v>22</v>
      </c>
      <c r="C143" s="30">
        <v>0</v>
      </c>
      <c r="D143" s="25"/>
      <c r="E143" s="25"/>
    </row>
    <row r="144" spans="1:5" s="26" customFormat="1" hidden="1" x14ac:dyDescent="0.3">
      <c r="A144" s="29" t="s">
        <v>84</v>
      </c>
      <c r="B144" s="29" t="s">
        <v>22</v>
      </c>
      <c r="C144" s="30">
        <v>0</v>
      </c>
      <c r="D144" s="25"/>
      <c r="E144" s="25"/>
    </row>
    <row r="145" spans="1:5" s="26" customFormat="1" hidden="1" x14ac:dyDescent="0.3">
      <c r="A145" s="29" t="s">
        <v>86</v>
      </c>
      <c r="B145" s="29" t="s">
        <v>22</v>
      </c>
      <c r="C145" s="30">
        <v>0</v>
      </c>
      <c r="D145" s="25"/>
      <c r="E145" s="25"/>
    </row>
    <row r="146" spans="1:5" s="26" customFormat="1" hidden="1" x14ac:dyDescent="0.3">
      <c r="A146" s="29" t="s">
        <v>85</v>
      </c>
      <c r="B146" s="29" t="s">
        <v>22</v>
      </c>
      <c r="C146" s="30">
        <v>0</v>
      </c>
      <c r="D146" s="25"/>
      <c r="E146" s="25"/>
    </row>
    <row r="147" spans="1:5" x14ac:dyDescent="0.3">
      <c r="A147" s="12" t="e">
        <v>#N/A</v>
      </c>
      <c r="B147" s="12">
        <v>0</v>
      </c>
      <c r="C147" s="19">
        <v>2661</v>
      </c>
      <c r="D147" s="17"/>
      <c r="E147" s="17">
        <v>40341500</v>
      </c>
    </row>
    <row r="148" spans="1:5" x14ac:dyDescent="0.3">
      <c r="C148" s="4">
        <v>1</v>
      </c>
      <c r="E148" s="39">
        <f>146769600</f>
        <v>146769600</v>
      </c>
    </row>
  </sheetData>
  <autoFilter ref="A1:E148" xr:uid="{00000000-0009-0000-0000-000006000000}">
    <filterColumn colId="2">
      <filters>
        <filter val="1"/>
        <filter val="1,000"/>
        <filter val="1,025"/>
        <filter val="10"/>
        <filter val="100"/>
        <filter val="11"/>
        <filter val="110"/>
        <filter val="135"/>
        <filter val="14"/>
        <filter val="140"/>
        <filter val="145"/>
        <filter val="15"/>
        <filter val="150"/>
        <filter val="16"/>
        <filter val="17"/>
        <filter val="170"/>
        <filter val="18"/>
        <filter val="2"/>
        <filter val="20"/>
        <filter val="226"/>
        <filter val="23"/>
        <filter val="230"/>
        <filter val="25"/>
        <filter val="260"/>
        <filter val="2661"/>
        <filter val="28"/>
        <filter val="30"/>
        <filter val="32"/>
        <filter val="325"/>
        <filter val="330"/>
        <filter val="340"/>
        <filter val="35"/>
        <filter val="38"/>
        <filter val="4"/>
        <filter val="40"/>
        <filter val="450"/>
        <filter val="480"/>
        <filter val="5"/>
        <filter val="5,329"/>
        <filter val="50"/>
        <filter val="55"/>
        <filter val="6"/>
        <filter val="60"/>
        <filter val="65"/>
        <filter val="650"/>
        <filter val="70"/>
        <filter val="710"/>
        <filter val="75"/>
        <filter val="8"/>
        <filter val="80"/>
        <filter val="90"/>
        <filter val="Tồn_x000a_ĐL_x000a__x000a_現在個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E159"/>
  <sheetViews>
    <sheetView workbookViewId="0">
      <pane xSplit="1" ySplit="1" topLeftCell="B143" activePane="bottomRight" state="frozen"/>
      <selection pane="topRight" activeCell="B1" sqref="B1"/>
      <selection pane="bottomLeft" activeCell="A2" sqref="A2"/>
      <selection pane="bottomRight" activeCell="G159" sqref="G159"/>
    </sheetView>
  </sheetViews>
  <sheetFormatPr defaultRowHeight="15.6" x14ac:dyDescent="0.3"/>
  <cols>
    <col min="1" max="1" width="26.21875" style="4" bestFit="1" customWidth="1"/>
    <col min="2" max="3" width="8.88671875" style="4"/>
    <col min="4" max="4" width="22.109375" style="16" customWidth="1"/>
    <col min="5" max="5" width="24.109375" style="16" customWidth="1"/>
    <col min="6" max="6" width="11.6640625" style="4" customWidth="1"/>
    <col min="7" max="16384" width="8.88671875" style="4"/>
  </cols>
  <sheetData>
    <row r="1" spans="1:5" ht="38.4" customHeight="1" x14ac:dyDescent="0.3">
      <c r="A1" s="9" t="s">
        <v>124</v>
      </c>
      <c r="B1" s="9" t="s">
        <v>1</v>
      </c>
      <c r="C1" s="10" t="s">
        <v>122</v>
      </c>
      <c r="D1" s="14" t="s">
        <v>125</v>
      </c>
      <c r="E1" s="14" t="s">
        <v>126</v>
      </c>
    </row>
    <row r="2" spans="1:5" x14ac:dyDescent="0.3">
      <c r="A2" s="5" t="s">
        <v>44</v>
      </c>
      <c r="B2" s="5" t="s">
        <v>3</v>
      </c>
      <c r="C2" s="6">
        <v>8</v>
      </c>
      <c r="D2" s="15">
        <v>36000</v>
      </c>
      <c r="E2" s="15">
        <v>288000</v>
      </c>
    </row>
    <row r="3" spans="1:5" x14ac:dyDescent="0.3">
      <c r="A3" s="5" t="s">
        <v>45</v>
      </c>
      <c r="B3" s="5" t="s">
        <v>3</v>
      </c>
      <c r="C3" s="6">
        <v>50</v>
      </c>
      <c r="D3" s="15">
        <v>5000</v>
      </c>
      <c r="E3" s="15">
        <v>250000</v>
      </c>
    </row>
    <row r="4" spans="1:5" x14ac:dyDescent="0.3">
      <c r="A4" s="5" t="s">
        <v>17</v>
      </c>
      <c r="B4" s="5" t="s">
        <v>3</v>
      </c>
      <c r="C4" s="6">
        <v>226</v>
      </c>
      <c r="D4" s="15">
        <v>7500</v>
      </c>
      <c r="E4" s="15">
        <v>1695000</v>
      </c>
    </row>
    <row r="5" spans="1:5" s="26" customFormat="1" ht="14.4" hidden="1" x14ac:dyDescent="0.3">
      <c r="A5" s="23" t="s">
        <v>95</v>
      </c>
      <c r="B5" s="23" t="s">
        <v>3</v>
      </c>
      <c r="C5" s="24">
        <v>0</v>
      </c>
      <c r="D5" s="25"/>
      <c r="E5" s="25"/>
    </row>
    <row r="6" spans="1:5" s="26" customFormat="1" ht="14.4" hidden="1" x14ac:dyDescent="0.3">
      <c r="A6" s="23" t="s">
        <v>92</v>
      </c>
      <c r="B6" s="23" t="s">
        <v>3</v>
      </c>
      <c r="C6" s="24">
        <v>0</v>
      </c>
      <c r="D6" s="25"/>
      <c r="E6" s="25"/>
    </row>
    <row r="7" spans="1:5" x14ac:dyDescent="0.3">
      <c r="A7" s="5" t="s">
        <v>24</v>
      </c>
      <c r="B7" s="5" t="s">
        <v>3</v>
      </c>
      <c r="C7" s="6">
        <v>700</v>
      </c>
      <c r="D7" s="15">
        <v>5000</v>
      </c>
      <c r="E7" s="15">
        <v>3500000</v>
      </c>
    </row>
    <row r="8" spans="1:5" s="26" customFormat="1" ht="14.4" hidden="1" x14ac:dyDescent="0.3">
      <c r="A8" s="23" t="s">
        <v>78</v>
      </c>
      <c r="B8" s="23" t="s">
        <v>3</v>
      </c>
      <c r="C8" s="24">
        <v>0</v>
      </c>
      <c r="D8" s="25"/>
      <c r="E8" s="25"/>
    </row>
    <row r="9" spans="1:5" x14ac:dyDescent="0.3">
      <c r="A9" s="5" t="s">
        <v>25</v>
      </c>
      <c r="B9" s="5" t="s">
        <v>3</v>
      </c>
      <c r="C9" s="6">
        <v>102</v>
      </c>
      <c r="D9" s="15">
        <v>8000</v>
      </c>
      <c r="E9" s="15">
        <v>816000</v>
      </c>
    </row>
    <row r="10" spans="1:5" s="26" customFormat="1" ht="14.4" hidden="1" x14ac:dyDescent="0.3">
      <c r="A10" s="23" t="s">
        <v>25</v>
      </c>
      <c r="B10" s="23" t="s">
        <v>26</v>
      </c>
      <c r="C10" s="24">
        <v>0</v>
      </c>
      <c r="D10" s="25"/>
      <c r="E10" s="25"/>
    </row>
    <row r="11" spans="1:5" x14ac:dyDescent="0.3">
      <c r="A11" s="5" t="s">
        <v>27</v>
      </c>
      <c r="B11" s="5" t="s">
        <v>3</v>
      </c>
      <c r="C11" s="6">
        <v>20</v>
      </c>
      <c r="D11" s="15">
        <v>10000</v>
      </c>
      <c r="E11" s="15">
        <v>200000</v>
      </c>
    </row>
    <row r="12" spans="1:5" s="26" customFormat="1" ht="14.4" hidden="1" x14ac:dyDescent="0.3">
      <c r="A12" s="23" t="s">
        <v>27</v>
      </c>
      <c r="B12" s="23" t="s">
        <v>26</v>
      </c>
      <c r="C12" s="24">
        <v>0</v>
      </c>
      <c r="D12" s="25"/>
      <c r="E12" s="25"/>
    </row>
    <row r="13" spans="1:5" s="26" customFormat="1" ht="14.4" hidden="1" x14ac:dyDescent="0.3">
      <c r="A13" s="23" t="s">
        <v>37</v>
      </c>
      <c r="B13" s="23" t="s">
        <v>3</v>
      </c>
      <c r="C13" s="24">
        <v>0</v>
      </c>
      <c r="D13" s="25"/>
      <c r="E13" s="25"/>
    </row>
    <row r="14" spans="1:5" s="26" customFormat="1" ht="14.4" hidden="1" x14ac:dyDescent="0.3">
      <c r="A14" s="23" t="s">
        <v>46</v>
      </c>
      <c r="B14" s="23" t="s">
        <v>3</v>
      </c>
      <c r="C14" s="24">
        <v>0</v>
      </c>
      <c r="D14" s="25"/>
      <c r="E14" s="25"/>
    </row>
    <row r="15" spans="1:5" s="26" customFormat="1" ht="14.4" hidden="1" x14ac:dyDescent="0.3">
      <c r="A15" s="23" t="s">
        <v>47</v>
      </c>
      <c r="B15" s="23" t="s">
        <v>3</v>
      </c>
      <c r="C15" s="24">
        <v>0</v>
      </c>
      <c r="D15" s="25"/>
      <c r="E15" s="25"/>
    </row>
    <row r="16" spans="1:5" s="26" customFormat="1" ht="14.4" hidden="1" x14ac:dyDescent="0.3">
      <c r="A16" s="23" t="s">
        <v>82</v>
      </c>
      <c r="B16" s="23" t="s">
        <v>3</v>
      </c>
      <c r="C16" s="24">
        <v>0</v>
      </c>
      <c r="D16" s="25"/>
      <c r="E16" s="25"/>
    </row>
    <row r="17" spans="1:5" s="26" customFormat="1" ht="14.4" hidden="1" x14ac:dyDescent="0.3">
      <c r="A17" s="23" t="s">
        <v>16</v>
      </c>
      <c r="B17" s="23" t="s">
        <v>6</v>
      </c>
      <c r="C17" s="24">
        <v>0</v>
      </c>
      <c r="D17" s="25"/>
      <c r="E17" s="25"/>
    </row>
    <row r="18" spans="1:5" x14ac:dyDescent="0.3">
      <c r="A18" s="5" t="s">
        <v>28</v>
      </c>
      <c r="B18" s="5" t="s">
        <v>3</v>
      </c>
      <c r="C18" s="6">
        <v>207</v>
      </c>
      <c r="D18" s="15">
        <v>23000</v>
      </c>
      <c r="E18" s="15">
        <v>4761000</v>
      </c>
    </row>
    <row r="19" spans="1:5" s="26" customFormat="1" ht="14.4" hidden="1" x14ac:dyDescent="0.3">
      <c r="A19" s="23" t="s">
        <v>28</v>
      </c>
      <c r="B19" s="23" t="s">
        <v>6</v>
      </c>
      <c r="C19" s="24">
        <v>0</v>
      </c>
      <c r="D19" s="25"/>
      <c r="E19" s="25"/>
    </row>
    <row r="20" spans="1:5" s="26" customFormat="1" ht="14.4" hidden="1" x14ac:dyDescent="0.3">
      <c r="A20" s="23" t="s">
        <v>28</v>
      </c>
      <c r="B20" s="23" t="s">
        <v>29</v>
      </c>
      <c r="C20" s="24">
        <v>0</v>
      </c>
      <c r="D20" s="25"/>
      <c r="E20" s="25"/>
    </row>
    <row r="21" spans="1:5" s="26" customFormat="1" ht="14.4" hidden="1" x14ac:dyDescent="0.3">
      <c r="A21" s="23" t="s">
        <v>48</v>
      </c>
      <c r="B21" s="23" t="s">
        <v>3</v>
      </c>
      <c r="C21" s="24">
        <v>0</v>
      </c>
      <c r="D21" s="25"/>
      <c r="E21" s="25"/>
    </row>
    <row r="22" spans="1:5" x14ac:dyDescent="0.3">
      <c r="A22" s="5" t="s">
        <v>48</v>
      </c>
      <c r="B22" s="5" t="s">
        <v>49</v>
      </c>
      <c r="C22" s="6">
        <v>22</v>
      </c>
      <c r="D22" s="15">
        <v>18000</v>
      </c>
      <c r="E22" s="15">
        <v>396000</v>
      </c>
    </row>
    <row r="23" spans="1:5" x14ac:dyDescent="0.3">
      <c r="A23" s="5" t="s">
        <v>40</v>
      </c>
      <c r="B23" s="5" t="s">
        <v>3</v>
      </c>
      <c r="C23" s="6">
        <v>10.5</v>
      </c>
      <c r="D23" s="15">
        <v>9000</v>
      </c>
      <c r="E23" s="15">
        <v>94500</v>
      </c>
    </row>
    <row r="24" spans="1:5" x14ac:dyDescent="0.3">
      <c r="A24" s="5" t="s">
        <v>40</v>
      </c>
      <c r="B24" s="5" t="s">
        <v>41</v>
      </c>
      <c r="C24" s="6">
        <v>107</v>
      </c>
      <c r="D24" s="15">
        <v>9000</v>
      </c>
      <c r="E24" s="15">
        <v>963000</v>
      </c>
    </row>
    <row r="25" spans="1:5" s="26" customFormat="1" ht="14.4" hidden="1" x14ac:dyDescent="0.3">
      <c r="A25" s="23" t="s">
        <v>50</v>
      </c>
      <c r="B25" s="23" t="s">
        <v>8</v>
      </c>
      <c r="C25" s="24">
        <v>0</v>
      </c>
      <c r="D25" s="25"/>
      <c r="E25" s="25"/>
    </row>
    <row r="26" spans="1:5" x14ac:dyDescent="0.3">
      <c r="A26" s="5" t="s">
        <v>51</v>
      </c>
      <c r="B26" s="5" t="s">
        <v>3</v>
      </c>
      <c r="C26" s="6">
        <v>7</v>
      </c>
      <c r="D26" s="15">
        <v>38000</v>
      </c>
      <c r="E26" s="15">
        <v>266000</v>
      </c>
    </row>
    <row r="27" spans="1:5" x14ac:dyDescent="0.3">
      <c r="A27" s="5" t="s">
        <v>51</v>
      </c>
      <c r="B27" s="5" t="s">
        <v>52</v>
      </c>
      <c r="C27" s="6">
        <v>272</v>
      </c>
      <c r="D27" s="15">
        <f>38000/4</f>
        <v>9500</v>
      </c>
      <c r="E27" s="15">
        <f>+D27*C27</f>
        <v>2584000</v>
      </c>
    </row>
    <row r="28" spans="1:5" x14ac:dyDescent="0.3">
      <c r="A28" s="5" t="s">
        <v>30</v>
      </c>
      <c r="B28" s="5" t="s">
        <v>3</v>
      </c>
      <c r="C28" s="6">
        <v>150</v>
      </c>
      <c r="D28" s="15">
        <v>22000</v>
      </c>
      <c r="E28" s="15">
        <v>3300000</v>
      </c>
    </row>
    <row r="29" spans="1:5" s="26" customFormat="1" ht="14.4" hidden="1" x14ac:dyDescent="0.3">
      <c r="A29" s="23" t="s">
        <v>30</v>
      </c>
      <c r="B29" s="23" t="s">
        <v>6</v>
      </c>
      <c r="C29" s="24">
        <v>0</v>
      </c>
      <c r="D29" s="25"/>
      <c r="E29" s="25"/>
    </row>
    <row r="30" spans="1:5" s="26" customFormat="1" ht="14.4" hidden="1" x14ac:dyDescent="0.3">
      <c r="A30" s="23" t="s">
        <v>31</v>
      </c>
      <c r="B30" s="23" t="s">
        <v>4</v>
      </c>
      <c r="C30" s="24">
        <v>0</v>
      </c>
      <c r="D30" s="25"/>
      <c r="E30" s="25"/>
    </row>
    <row r="31" spans="1:5" x14ac:dyDescent="0.3">
      <c r="A31" s="5" t="s">
        <v>2</v>
      </c>
      <c r="B31" s="5" t="s">
        <v>3</v>
      </c>
      <c r="C31" s="6">
        <v>180</v>
      </c>
      <c r="D31" s="15">
        <v>13000</v>
      </c>
      <c r="E31" s="15">
        <v>2340000</v>
      </c>
    </row>
    <row r="32" spans="1:5" s="26" customFormat="1" ht="14.4" hidden="1" x14ac:dyDescent="0.3">
      <c r="A32" s="23" t="s">
        <v>2</v>
      </c>
      <c r="B32" s="23" t="s">
        <v>4</v>
      </c>
      <c r="C32" s="24">
        <v>0</v>
      </c>
      <c r="D32" s="25"/>
      <c r="E32" s="25"/>
    </row>
    <row r="33" spans="1:5" s="26" customFormat="1" ht="14.4" hidden="1" x14ac:dyDescent="0.3">
      <c r="A33" s="23" t="s">
        <v>5</v>
      </c>
      <c r="B33" s="23" t="s">
        <v>3</v>
      </c>
      <c r="C33" s="24">
        <v>0</v>
      </c>
      <c r="D33" s="25"/>
      <c r="E33" s="25"/>
    </row>
    <row r="34" spans="1:5" x14ac:dyDescent="0.3">
      <c r="A34" s="5" t="s">
        <v>5</v>
      </c>
      <c r="B34" s="5" t="s">
        <v>6</v>
      </c>
      <c r="C34" s="6">
        <v>14</v>
      </c>
      <c r="D34" s="15">
        <v>8400</v>
      </c>
      <c r="E34" s="15">
        <v>117600</v>
      </c>
    </row>
    <row r="35" spans="1:5" x14ac:dyDescent="0.3">
      <c r="A35" s="5" t="s">
        <v>53</v>
      </c>
      <c r="B35" s="5" t="s">
        <v>3</v>
      </c>
      <c r="C35" s="6">
        <v>10</v>
      </c>
      <c r="D35" s="15">
        <v>6000</v>
      </c>
      <c r="E35" s="15">
        <v>60000</v>
      </c>
    </row>
    <row r="36" spans="1:5" s="26" customFormat="1" ht="14.4" hidden="1" x14ac:dyDescent="0.3">
      <c r="A36" s="23" t="s">
        <v>53</v>
      </c>
      <c r="B36" s="23" t="s">
        <v>54</v>
      </c>
      <c r="C36" s="24">
        <v>0</v>
      </c>
      <c r="D36" s="25"/>
      <c r="E36" s="25"/>
    </row>
    <row r="37" spans="1:5" x14ac:dyDescent="0.3">
      <c r="A37" s="5" t="s">
        <v>18</v>
      </c>
      <c r="B37" s="5" t="s">
        <v>3</v>
      </c>
      <c r="C37" s="6">
        <v>20</v>
      </c>
      <c r="D37" s="15">
        <v>14000</v>
      </c>
      <c r="E37" s="15">
        <v>280000</v>
      </c>
    </row>
    <row r="38" spans="1:5" s="26" customFormat="1" ht="14.4" hidden="1" x14ac:dyDescent="0.3">
      <c r="A38" s="23" t="s">
        <v>18</v>
      </c>
      <c r="B38" s="23" t="s">
        <v>4</v>
      </c>
      <c r="C38" s="24">
        <v>0</v>
      </c>
      <c r="D38" s="25"/>
      <c r="E38" s="25"/>
    </row>
    <row r="39" spans="1:5" s="26" customFormat="1" ht="14.4" hidden="1" x14ac:dyDescent="0.3">
      <c r="A39" s="23" t="s">
        <v>55</v>
      </c>
      <c r="B39" s="23" t="s">
        <v>3</v>
      </c>
      <c r="C39" s="24">
        <v>0</v>
      </c>
      <c r="D39" s="25"/>
      <c r="E39" s="25"/>
    </row>
    <row r="40" spans="1:5" x14ac:dyDescent="0.3">
      <c r="A40" s="5" t="s">
        <v>55</v>
      </c>
      <c r="B40" s="5" t="s">
        <v>4</v>
      </c>
      <c r="C40" s="6">
        <v>14</v>
      </c>
      <c r="D40" s="15">
        <v>3900</v>
      </c>
      <c r="E40" s="15">
        <v>54600</v>
      </c>
    </row>
    <row r="41" spans="1:5" s="26" customFormat="1" ht="14.4" hidden="1" x14ac:dyDescent="0.3">
      <c r="A41" s="23" t="s">
        <v>19</v>
      </c>
      <c r="B41" s="23" t="s">
        <v>3</v>
      </c>
      <c r="C41" s="24">
        <v>0</v>
      </c>
      <c r="D41" s="25"/>
      <c r="E41" s="25"/>
    </row>
    <row r="42" spans="1:5" x14ac:dyDescent="0.3">
      <c r="A42" s="5" t="s">
        <v>19</v>
      </c>
      <c r="B42" s="5" t="s">
        <v>4</v>
      </c>
      <c r="C42" s="6">
        <v>5</v>
      </c>
      <c r="D42" s="15">
        <v>6300</v>
      </c>
      <c r="E42" s="15">
        <v>31500</v>
      </c>
    </row>
    <row r="43" spans="1:5" x14ac:dyDescent="0.3">
      <c r="A43" s="5" t="s">
        <v>20</v>
      </c>
      <c r="B43" s="5" t="s">
        <v>3</v>
      </c>
      <c r="C43" s="6">
        <v>410</v>
      </c>
      <c r="D43" s="15">
        <v>6000</v>
      </c>
      <c r="E43" s="15">
        <v>2460000</v>
      </c>
    </row>
    <row r="44" spans="1:5" s="26" customFormat="1" ht="14.4" hidden="1" x14ac:dyDescent="0.3">
      <c r="A44" s="23" t="s">
        <v>21</v>
      </c>
      <c r="B44" s="23" t="s">
        <v>22</v>
      </c>
      <c r="C44" s="24">
        <v>0</v>
      </c>
      <c r="D44" s="25"/>
      <c r="E44" s="25"/>
    </row>
    <row r="45" spans="1:5" x14ac:dyDescent="0.3">
      <c r="A45" s="5" t="s">
        <v>21</v>
      </c>
      <c r="B45" s="5" t="s">
        <v>3</v>
      </c>
      <c r="C45" s="6">
        <v>55</v>
      </c>
      <c r="D45" s="15">
        <v>16000</v>
      </c>
      <c r="E45" s="15">
        <v>880000</v>
      </c>
    </row>
    <row r="46" spans="1:5" x14ac:dyDescent="0.3">
      <c r="A46" s="5" t="s">
        <v>56</v>
      </c>
      <c r="B46" s="5" t="s">
        <v>3</v>
      </c>
      <c r="C46" s="6">
        <v>20</v>
      </c>
      <c r="D46" s="15">
        <v>14000</v>
      </c>
      <c r="E46" s="15">
        <v>280000</v>
      </c>
    </row>
    <row r="47" spans="1:5" s="26" customFormat="1" ht="14.4" hidden="1" x14ac:dyDescent="0.3">
      <c r="A47" s="23" t="s">
        <v>7</v>
      </c>
      <c r="B47" s="23" t="s">
        <v>8</v>
      </c>
      <c r="C47" s="24">
        <v>0</v>
      </c>
      <c r="D47" s="25"/>
      <c r="E47" s="25"/>
    </row>
    <row r="48" spans="1:5" x14ac:dyDescent="0.3">
      <c r="A48" s="5" t="s">
        <v>7</v>
      </c>
      <c r="B48" s="5" t="s">
        <v>8</v>
      </c>
      <c r="C48" s="6">
        <v>5</v>
      </c>
      <c r="D48" s="15">
        <v>14000</v>
      </c>
      <c r="E48" s="15">
        <v>70000</v>
      </c>
    </row>
    <row r="49" spans="1:5" x14ac:dyDescent="0.3">
      <c r="A49" s="5" t="s">
        <v>57</v>
      </c>
      <c r="B49" s="5" t="s">
        <v>3</v>
      </c>
      <c r="C49" s="6">
        <v>55</v>
      </c>
      <c r="D49" s="15">
        <v>4500</v>
      </c>
      <c r="E49" s="15">
        <v>247500</v>
      </c>
    </row>
    <row r="50" spans="1:5" x14ac:dyDescent="0.3">
      <c r="A50" s="5" t="s">
        <v>9</v>
      </c>
      <c r="B50" s="5" t="s">
        <v>3</v>
      </c>
      <c r="C50" s="6">
        <v>15</v>
      </c>
      <c r="D50" s="15">
        <v>14000</v>
      </c>
      <c r="E50" s="15">
        <v>210000</v>
      </c>
    </row>
    <row r="51" spans="1:5" s="26" customFormat="1" ht="14.4" hidden="1" x14ac:dyDescent="0.3">
      <c r="A51" s="23" t="s">
        <v>9</v>
      </c>
      <c r="B51" s="23" t="s">
        <v>4</v>
      </c>
      <c r="C51" s="24">
        <v>0</v>
      </c>
      <c r="D51" s="25"/>
      <c r="E51" s="25"/>
    </row>
    <row r="52" spans="1:5" x14ac:dyDescent="0.3">
      <c r="A52" s="5" t="s">
        <v>58</v>
      </c>
      <c r="B52" s="5" t="s">
        <v>3</v>
      </c>
      <c r="C52" s="6">
        <v>3</v>
      </c>
      <c r="D52" s="15">
        <v>25000</v>
      </c>
      <c r="E52" s="15">
        <v>75000</v>
      </c>
    </row>
    <row r="53" spans="1:5" x14ac:dyDescent="0.3">
      <c r="A53" s="5" t="s">
        <v>10</v>
      </c>
      <c r="B53" s="5" t="s">
        <v>3</v>
      </c>
      <c r="C53" s="6">
        <v>400</v>
      </c>
      <c r="D53" s="15">
        <v>20500</v>
      </c>
      <c r="E53" s="15">
        <v>8200000</v>
      </c>
    </row>
    <row r="54" spans="1:5" s="26" customFormat="1" ht="14.4" hidden="1" x14ac:dyDescent="0.3">
      <c r="A54" s="23" t="s">
        <v>10</v>
      </c>
      <c r="B54" s="23" t="s">
        <v>11</v>
      </c>
      <c r="C54" s="24">
        <v>0</v>
      </c>
      <c r="D54" s="25"/>
      <c r="E54" s="25"/>
    </row>
    <row r="55" spans="1:5" x14ac:dyDescent="0.3">
      <c r="A55" s="5" t="s">
        <v>12</v>
      </c>
      <c r="B55" s="5" t="s">
        <v>4</v>
      </c>
      <c r="C55" s="6">
        <v>330</v>
      </c>
      <c r="D55" s="15">
        <v>6000</v>
      </c>
      <c r="E55" s="15">
        <v>1980000</v>
      </c>
    </row>
    <row r="56" spans="1:5" x14ac:dyDescent="0.3">
      <c r="A56" s="5" t="s">
        <v>39</v>
      </c>
      <c r="B56" s="5" t="s">
        <v>3</v>
      </c>
      <c r="C56" s="6">
        <v>2500</v>
      </c>
      <c r="D56" s="15">
        <v>24000</v>
      </c>
      <c r="E56" s="15">
        <v>60000000</v>
      </c>
    </row>
    <row r="57" spans="1:5" x14ac:dyDescent="0.3">
      <c r="A57" s="5" t="s">
        <v>13</v>
      </c>
      <c r="B57" s="5" t="s">
        <v>3</v>
      </c>
      <c r="C57" s="6">
        <v>1000</v>
      </c>
      <c r="D57" s="15">
        <v>24000</v>
      </c>
      <c r="E57" s="15">
        <v>24000000</v>
      </c>
    </row>
    <row r="58" spans="1:5" x14ac:dyDescent="0.3">
      <c r="A58" s="5" t="s">
        <v>14</v>
      </c>
      <c r="B58" s="5" t="s">
        <v>3</v>
      </c>
      <c r="C58" s="6">
        <v>80</v>
      </c>
      <c r="D58" s="15">
        <v>16000</v>
      </c>
      <c r="E58" s="15">
        <v>1280000</v>
      </c>
    </row>
    <row r="59" spans="1:5" s="26" customFormat="1" ht="14.4" hidden="1" x14ac:dyDescent="0.3">
      <c r="A59" s="23" t="s">
        <v>93</v>
      </c>
      <c r="B59" s="23" t="s">
        <v>3</v>
      </c>
      <c r="C59" s="24">
        <v>0</v>
      </c>
      <c r="D59" s="25"/>
      <c r="E59" s="25"/>
    </row>
    <row r="60" spans="1:5" s="26" customFormat="1" ht="14.4" hidden="1" x14ac:dyDescent="0.3">
      <c r="A60" s="23" t="s">
        <v>42</v>
      </c>
      <c r="B60" s="23" t="s">
        <v>3</v>
      </c>
      <c r="C60" s="24">
        <v>0</v>
      </c>
      <c r="D60" s="25"/>
      <c r="E60" s="25"/>
    </row>
    <row r="61" spans="1:5" s="26" customFormat="1" ht="14.4" hidden="1" x14ac:dyDescent="0.3">
      <c r="A61" s="23" t="s">
        <v>89</v>
      </c>
      <c r="B61" s="23" t="s">
        <v>3</v>
      </c>
      <c r="C61" s="24">
        <v>0</v>
      </c>
      <c r="D61" s="25"/>
      <c r="E61" s="25"/>
    </row>
    <row r="62" spans="1:5" x14ac:dyDescent="0.3">
      <c r="A62" s="5" t="s">
        <v>89</v>
      </c>
      <c r="B62" s="5" t="s">
        <v>4</v>
      </c>
      <c r="C62" s="6">
        <v>30</v>
      </c>
      <c r="D62" s="15">
        <v>6000</v>
      </c>
      <c r="E62" s="15">
        <v>180000</v>
      </c>
    </row>
    <row r="63" spans="1:5" s="26" customFormat="1" ht="14.4" hidden="1" x14ac:dyDescent="0.3">
      <c r="A63" s="23" t="s">
        <v>109</v>
      </c>
      <c r="B63" s="23" t="s">
        <v>3</v>
      </c>
      <c r="C63" s="24">
        <v>0</v>
      </c>
      <c r="D63" s="25"/>
      <c r="E63" s="25"/>
    </row>
    <row r="64" spans="1:5" x14ac:dyDescent="0.3">
      <c r="A64" s="5" t="s">
        <v>15</v>
      </c>
      <c r="B64" s="5" t="s">
        <v>3</v>
      </c>
      <c r="C64" s="6">
        <v>100</v>
      </c>
      <c r="D64" s="15">
        <v>18000</v>
      </c>
      <c r="E64" s="15">
        <v>1800000</v>
      </c>
    </row>
    <row r="65" spans="1:5" s="26" customFormat="1" ht="14.4" hidden="1" x14ac:dyDescent="0.3">
      <c r="A65" s="23" t="s">
        <v>15</v>
      </c>
      <c r="B65" s="23" t="s">
        <v>4</v>
      </c>
      <c r="C65" s="24">
        <v>0</v>
      </c>
      <c r="D65" s="25"/>
      <c r="E65" s="25"/>
    </row>
    <row r="66" spans="1:5" s="26" customFormat="1" ht="14.4" hidden="1" x14ac:dyDescent="0.3">
      <c r="A66" s="23" t="s">
        <v>87</v>
      </c>
      <c r="B66" s="23" t="s">
        <v>4</v>
      </c>
      <c r="C66" s="24">
        <v>0</v>
      </c>
      <c r="D66" s="25"/>
      <c r="E66" s="25"/>
    </row>
    <row r="67" spans="1:5" x14ac:dyDescent="0.3">
      <c r="A67" s="5" t="s">
        <v>59</v>
      </c>
      <c r="B67" s="5" t="s">
        <v>3</v>
      </c>
      <c r="C67" s="6">
        <v>45</v>
      </c>
      <c r="D67" s="15">
        <v>11000</v>
      </c>
      <c r="E67" s="15">
        <v>495000</v>
      </c>
    </row>
    <row r="68" spans="1:5" s="26" customFormat="1" ht="14.4" hidden="1" x14ac:dyDescent="0.3">
      <c r="A68" s="23" t="s">
        <v>60</v>
      </c>
      <c r="B68" s="23" t="s">
        <v>4</v>
      </c>
      <c r="C68" s="24">
        <v>0</v>
      </c>
      <c r="D68" s="25"/>
      <c r="E68" s="25"/>
    </row>
    <row r="69" spans="1:5" s="26" customFormat="1" ht="14.4" hidden="1" x14ac:dyDescent="0.3">
      <c r="A69" s="23" t="s">
        <v>61</v>
      </c>
      <c r="B69" s="23" t="s">
        <v>3</v>
      </c>
      <c r="C69" s="24">
        <v>0</v>
      </c>
      <c r="D69" s="25"/>
      <c r="E69" s="25"/>
    </row>
    <row r="70" spans="1:5" x14ac:dyDescent="0.3">
      <c r="A70" s="5" t="s">
        <v>61</v>
      </c>
      <c r="B70" s="5" t="s">
        <v>62</v>
      </c>
      <c r="C70" s="6">
        <v>40</v>
      </c>
      <c r="D70" s="15">
        <v>9000</v>
      </c>
      <c r="E70" s="15">
        <v>360000</v>
      </c>
    </row>
    <row r="71" spans="1:5" s="26" customFormat="1" ht="14.4" hidden="1" x14ac:dyDescent="0.3">
      <c r="A71" s="23" t="s">
        <v>63</v>
      </c>
      <c r="B71" s="23" t="s">
        <v>3</v>
      </c>
      <c r="C71" s="24">
        <v>0</v>
      </c>
      <c r="D71" s="25"/>
      <c r="E71" s="25"/>
    </row>
    <row r="72" spans="1:5" s="26" customFormat="1" ht="14.4" hidden="1" x14ac:dyDescent="0.3">
      <c r="A72" s="23" t="s">
        <v>79</v>
      </c>
      <c r="B72" s="23" t="s">
        <v>3</v>
      </c>
      <c r="C72" s="24">
        <v>0</v>
      </c>
      <c r="D72" s="25"/>
      <c r="E72" s="25"/>
    </row>
    <row r="73" spans="1:5" s="26" customFormat="1" ht="14.4" hidden="1" x14ac:dyDescent="0.3">
      <c r="A73" s="23" t="s">
        <v>64</v>
      </c>
      <c r="B73" s="23" t="s">
        <v>3</v>
      </c>
      <c r="C73" s="24">
        <v>0</v>
      </c>
      <c r="D73" s="25"/>
      <c r="E73" s="25"/>
    </row>
    <row r="74" spans="1:5" s="26" customFormat="1" ht="14.4" hidden="1" x14ac:dyDescent="0.3">
      <c r="A74" s="23" t="s">
        <v>65</v>
      </c>
      <c r="B74" s="23" t="s">
        <v>3</v>
      </c>
      <c r="C74" s="24">
        <v>0</v>
      </c>
      <c r="D74" s="25"/>
      <c r="E74" s="25"/>
    </row>
    <row r="75" spans="1:5" x14ac:dyDescent="0.3">
      <c r="A75" s="5" t="s">
        <v>32</v>
      </c>
      <c r="B75" s="5" t="s">
        <v>3</v>
      </c>
      <c r="C75" s="6">
        <v>51</v>
      </c>
      <c r="D75" s="15">
        <v>7000</v>
      </c>
      <c r="E75" s="15">
        <f>+D75*C75</f>
        <v>357000</v>
      </c>
    </row>
    <row r="76" spans="1:5" x14ac:dyDescent="0.3">
      <c r="A76" s="5" t="s">
        <v>32</v>
      </c>
      <c r="B76" s="5" t="s">
        <v>6</v>
      </c>
      <c r="C76" s="6">
        <v>318</v>
      </c>
      <c r="D76" s="15">
        <v>5000</v>
      </c>
      <c r="E76" s="15">
        <v>1590000</v>
      </c>
    </row>
    <row r="77" spans="1:5" s="26" customFormat="1" ht="14.4" hidden="1" x14ac:dyDescent="0.3">
      <c r="A77" s="23" t="s">
        <v>81</v>
      </c>
      <c r="B77" s="23" t="s">
        <v>3</v>
      </c>
      <c r="C77" s="24">
        <v>0</v>
      </c>
      <c r="D77" s="25"/>
      <c r="E77" s="25"/>
    </row>
    <row r="78" spans="1:5" x14ac:dyDescent="0.3">
      <c r="A78" s="5" t="s">
        <v>33</v>
      </c>
      <c r="B78" s="5" t="s">
        <v>3</v>
      </c>
      <c r="C78" s="6">
        <v>22</v>
      </c>
      <c r="D78" s="15">
        <v>9000</v>
      </c>
      <c r="E78" s="15">
        <v>198000</v>
      </c>
    </row>
    <row r="79" spans="1:5" s="26" customFormat="1" ht="14.4" hidden="1" x14ac:dyDescent="0.3">
      <c r="A79" s="23" t="s">
        <v>66</v>
      </c>
      <c r="B79" s="23" t="s">
        <v>22</v>
      </c>
      <c r="C79" s="24">
        <v>0</v>
      </c>
      <c r="D79" s="25"/>
      <c r="E79" s="25"/>
    </row>
    <row r="80" spans="1:5" s="26" customFormat="1" ht="14.4" hidden="1" x14ac:dyDescent="0.3">
      <c r="A80" s="23" t="s">
        <v>66</v>
      </c>
      <c r="B80" s="23" t="s">
        <v>3</v>
      </c>
      <c r="C80" s="24">
        <v>0</v>
      </c>
      <c r="D80" s="25"/>
      <c r="E80" s="25"/>
    </row>
    <row r="81" spans="1:5" s="26" customFormat="1" ht="14.4" hidden="1" x14ac:dyDescent="0.3">
      <c r="A81" s="23" t="s">
        <v>43</v>
      </c>
      <c r="B81" s="23" t="s">
        <v>3</v>
      </c>
      <c r="C81" s="24">
        <v>0</v>
      </c>
      <c r="D81" s="25"/>
      <c r="E81" s="25"/>
    </row>
    <row r="82" spans="1:5" s="26" customFormat="1" ht="14.4" hidden="1" x14ac:dyDescent="0.3">
      <c r="A82" s="23" t="s">
        <v>67</v>
      </c>
      <c r="B82" s="23" t="s">
        <v>3</v>
      </c>
      <c r="C82" s="24">
        <v>0</v>
      </c>
      <c r="D82" s="25"/>
      <c r="E82" s="25"/>
    </row>
    <row r="83" spans="1:5" s="26" customFormat="1" ht="14.4" hidden="1" x14ac:dyDescent="0.3">
      <c r="A83" s="23" t="s">
        <v>68</v>
      </c>
      <c r="B83" s="23" t="s">
        <v>4</v>
      </c>
      <c r="C83" s="24">
        <v>0</v>
      </c>
      <c r="D83" s="25"/>
      <c r="E83" s="25"/>
    </row>
    <row r="84" spans="1:5" x14ac:dyDescent="0.3">
      <c r="A84" s="5" t="s">
        <v>69</v>
      </c>
      <c r="B84" s="5" t="s">
        <v>3</v>
      </c>
      <c r="C84" s="6">
        <v>11</v>
      </c>
      <c r="D84" s="15">
        <v>14000</v>
      </c>
      <c r="E84" s="15">
        <v>154000</v>
      </c>
    </row>
    <row r="85" spans="1:5" s="26" customFormat="1" ht="14.4" hidden="1" x14ac:dyDescent="0.3">
      <c r="A85" s="23" t="s">
        <v>38</v>
      </c>
      <c r="B85" s="23" t="s">
        <v>6</v>
      </c>
      <c r="C85" s="24">
        <v>0</v>
      </c>
      <c r="D85" s="25"/>
      <c r="E85" s="25"/>
    </row>
    <row r="86" spans="1:5" s="26" customFormat="1" ht="14.4" hidden="1" x14ac:dyDescent="0.3">
      <c r="A86" s="23" t="s">
        <v>70</v>
      </c>
      <c r="B86" s="23" t="s">
        <v>8</v>
      </c>
      <c r="C86" s="24">
        <v>0</v>
      </c>
      <c r="D86" s="25"/>
      <c r="E86" s="25"/>
    </row>
    <row r="87" spans="1:5" s="26" customFormat="1" x14ac:dyDescent="0.3">
      <c r="A87" s="23" t="s">
        <v>43</v>
      </c>
      <c r="B87" s="5" t="s">
        <v>3</v>
      </c>
      <c r="C87" s="24">
        <v>800</v>
      </c>
      <c r="D87" s="15">
        <v>27600</v>
      </c>
      <c r="E87" s="15">
        <v>22080000</v>
      </c>
    </row>
    <row r="88" spans="1:5" x14ac:dyDescent="0.3">
      <c r="A88" s="5" t="s">
        <v>34</v>
      </c>
      <c r="B88" s="5" t="s">
        <v>3</v>
      </c>
      <c r="C88" s="6">
        <v>120</v>
      </c>
      <c r="D88" s="15">
        <v>24000</v>
      </c>
      <c r="E88" s="15">
        <v>2880000</v>
      </c>
    </row>
    <row r="89" spans="1:5" s="26" customFormat="1" ht="14.4" hidden="1" x14ac:dyDescent="0.3">
      <c r="A89" s="23" t="s">
        <v>34</v>
      </c>
      <c r="B89" s="23" t="s">
        <v>26</v>
      </c>
      <c r="C89" s="24">
        <v>0</v>
      </c>
      <c r="D89" s="25"/>
      <c r="E89" s="25"/>
    </row>
    <row r="90" spans="1:5" x14ac:dyDescent="0.3">
      <c r="A90" s="5" t="s">
        <v>35</v>
      </c>
      <c r="B90" s="5" t="s">
        <v>3</v>
      </c>
      <c r="C90" s="6">
        <v>37</v>
      </c>
      <c r="D90" s="15">
        <v>13000</v>
      </c>
      <c r="E90" s="15">
        <v>481000</v>
      </c>
    </row>
    <row r="91" spans="1:5" s="26" customFormat="1" ht="14.4" hidden="1" x14ac:dyDescent="0.3">
      <c r="A91" s="23" t="s">
        <v>35</v>
      </c>
      <c r="B91" s="23" t="s">
        <v>26</v>
      </c>
      <c r="C91" s="24">
        <v>0</v>
      </c>
      <c r="D91" s="25"/>
      <c r="E91" s="25"/>
    </row>
    <row r="92" spans="1:5" x14ac:dyDescent="0.3">
      <c r="A92" s="5" t="s">
        <v>36</v>
      </c>
      <c r="B92" s="5" t="s">
        <v>3</v>
      </c>
      <c r="C92" s="6">
        <v>22</v>
      </c>
      <c r="D92" s="15">
        <v>21000</v>
      </c>
      <c r="E92" s="15">
        <v>462000</v>
      </c>
    </row>
    <row r="93" spans="1:5" s="26" customFormat="1" ht="14.4" hidden="1" x14ac:dyDescent="0.3">
      <c r="A93" s="23" t="s">
        <v>36</v>
      </c>
      <c r="B93" s="23" t="s">
        <v>26</v>
      </c>
      <c r="C93" s="24">
        <v>0</v>
      </c>
      <c r="D93" s="25"/>
      <c r="E93" s="25"/>
    </row>
    <row r="94" spans="1:5" x14ac:dyDescent="0.3">
      <c r="A94" s="5" t="s">
        <v>71</v>
      </c>
      <c r="B94" s="5" t="s">
        <v>4</v>
      </c>
      <c r="C94" s="6">
        <v>100</v>
      </c>
      <c r="D94" s="15">
        <v>18000</v>
      </c>
      <c r="E94" s="15">
        <v>1800000</v>
      </c>
    </row>
    <row r="95" spans="1:5" s="26" customFormat="1" ht="14.4" hidden="1" x14ac:dyDescent="0.3">
      <c r="A95" s="23" t="s">
        <v>105</v>
      </c>
      <c r="B95" s="23" t="s">
        <v>3</v>
      </c>
      <c r="C95" s="24">
        <v>0</v>
      </c>
      <c r="D95" s="25"/>
      <c r="E95" s="25"/>
    </row>
    <row r="96" spans="1:5" s="26" customFormat="1" ht="14.4" hidden="1" x14ac:dyDescent="0.3">
      <c r="A96" s="23" t="s">
        <v>116</v>
      </c>
      <c r="B96" s="23" t="s">
        <v>26</v>
      </c>
      <c r="C96" s="24">
        <v>0</v>
      </c>
      <c r="D96" s="25"/>
      <c r="E96" s="25"/>
    </row>
    <row r="97" spans="1:5" x14ac:dyDescent="0.3">
      <c r="A97" s="5" t="s">
        <v>88</v>
      </c>
      <c r="B97" s="5" t="s">
        <v>3</v>
      </c>
      <c r="C97" s="6">
        <v>320</v>
      </c>
      <c r="D97" s="15">
        <v>27000</v>
      </c>
      <c r="E97" s="15">
        <v>8640000</v>
      </c>
    </row>
    <row r="98" spans="1:5" s="26" customFormat="1" ht="14.4" hidden="1" x14ac:dyDescent="0.3">
      <c r="A98" s="23" t="s">
        <v>91</v>
      </c>
      <c r="B98" s="23" t="s">
        <v>3</v>
      </c>
      <c r="C98" s="24">
        <v>0</v>
      </c>
      <c r="D98" s="25"/>
      <c r="E98" s="25"/>
    </row>
    <row r="99" spans="1:5" x14ac:dyDescent="0.3">
      <c r="A99" s="5" t="s">
        <v>72</v>
      </c>
      <c r="B99" s="5" t="s">
        <v>3</v>
      </c>
      <c r="C99" s="6">
        <v>80</v>
      </c>
      <c r="D99" s="15">
        <v>6000</v>
      </c>
      <c r="E99" s="15">
        <v>480000</v>
      </c>
    </row>
    <row r="100" spans="1:5" s="26" customFormat="1" ht="14.4" hidden="1" x14ac:dyDescent="0.3">
      <c r="A100" s="23" t="s">
        <v>80</v>
      </c>
      <c r="B100" s="23" t="s">
        <v>3</v>
      </c>
      <c r="C100" s="24">
        <v>0</v>
      </c>
      <c r="D100" s="25"/>
      <c r="E100" s="25"/>
    </row>
    <row r="101" spans="1:5" s="26" customFormat="1" ht="14.4" hidden="1" x14ac:dyDescent="0.3">
      <c r="A101" s="23" t="s">
        <v>73</v>
      </c>
      <c r="B101" s="23" t="s">
        <v>3</v>
      </c>
      <c r="C101" s="24">
        <v>0</v>
      </c>
      <c r="D101" s="25"/>
      <c r="E101" s="25"/>
    </row>
    <row r="102" spans="1:5" s="26" customFormat="1" ht="14.4" hidden="1" x14ac:dyDescent="0.3">
      <c r="A102" s="23" t="s">
        <v>23</v>
      </c>
      <c r="B102" s="23" t="s">
        <v>3</v>
      </c>
      <c r="C102" s="24">
        <v>0</v>
      </c>
      <c r="D102" s="25"/>
      <c r="E102" s="25"/>
    </row>
    <row r="103" spans="1:5" s="26" customFormat="1" ht="14.4" hidden="1" x14ac:dyDescent="0.3">
      <c r="A103" s="23" t="s">
        <v>84</v>
      </c>
      <c r="B103" s="23" t="s">
        <v>22</v>
      </c>
      <c r="C103" s="24">
        <v>0</v>
      </c>
      <c r="D103" s="25"/>
      <c r="E103" s="25"/>
    </row>
    <row r="104" spans="1:5" s="26" customFormat="1" ht="14.4" hidden="1" x14ac:dyDescent="0.3">
      <c r="A104" s="23" t="s">
        <v>74</v>
      </c>
      <c r="B104" s="23" t="s">
        <v>3</v>
      </c>
      <c r="C104" s="24">
        <v>0</v>
      </c>
      <c r="D104" s="25"/>
      <c r="E104" s="25"/>
    </row>
    <row r="105" spans="1:5" s="26" customFormat="1" ht="14.4" hidden="1" x14ac:dyDescent="0.3">
      <c r="A105" s="23" t="s">
        <v>86</v>
      </c>
      <c r="B105" s="23" t="s">
        <v>22</v>
      </c>
      <c r="C105" s="24">
        <v>0</v>
      </c>
      <c r="D105" s="25"/>
      <c r="E105" s="25"/>
    </row>
    <row r="106" spans="1:5" s="26" customFormat="1" ht="14.4" hidden="1" x14ac:dyDescent="0.3">
      <c r="A106" s="23" t="s">
        <v>77</v>
      </c>
      <c r="B106" s="23" t="s">
        <v>3</v>
      </c>
      <c r="C106" s="24">
        <v>0</v>
      </c>
      <c r="D106" s="25"/>
      <c r="E106" s="25"/>
    </row>
    <row r="107" spans="1:5" s="26" customFormat="1" ht="14.4" hidden="1" x14ac:dyDescent="0.3">
      <c r="A107" s="23" t="s">
        <v>75</v>
      </c>
      <c r="B107" s="23" t="s">
        <v>3</v>
      </c>
      <c r="C107" s="24">
        <v>0</v>
      </c>
      <c r="D107" s="25"/>
      <c r="E107" s="25"/>
    </row>
    <row r="108" spans="1:5" s="26" customFormat="1" ht="14.4" hidden="1" x14ac:dyDescent="0.3">
      <c r="A108" s="23" t="s">
        <v>76</v>
      </c>
      <c r="B108" s="23" t="s">
        <v>3</v>
      </c>
      <c r="C108" s="24">
        <v>0</v>
      </c>
      <c r="D108" s="25"/>
      <c r="E108" s="25"/>
    </row>
    <row r="109" spans="1:5" x14ac:dyDescent="0.3">
      <c r="A109" s="5" t="s">
        <v>85</v>
      </c>
      <c r="B109" s="5" t="s">
        <v>22</v>
      </c>
      <c r="C109" s="6">
        <v>280</v>
      </c>
      <c r="D109" s="15">
        <v>6800</v>
      </c>
      <c r="E109" s="15">
        <v>1904000</v>
      </c>
    </row>
    <row r="110" spans="1:5" x14ac:dyDescent="0.3">
      <c r="A110" s="12" t="e">
        <v>#N/A</v>
      </c>
      <c r="B110" s="12">
        <v>0</v>
      </c>
      <c r="C110" s="13">
        <v>8573.5</v>
      </c>
      <c r="D110" s="13">
        <v>8573.5</v>
      </c>
      <c r="E110" s="33">
        <v>173190700</v>
      </c>
    </row>
    <row r="111" spans="1:5" ht="34.799999999999997" customHeight="1" x14ac:dyDescent="0.3">
      <c r="A111" s="9" t="s">
        <v>124</v>
      </c>
      <c r="B111" s="9" t="s">
        <v>1</v>
      </c>
      <c r="C111" s="10" t="s">
        <v>122</v>
      </c>
      <c r="D111" s="14" t="s">
        <v>125</v>
      </c>
      <c r="E111" s="14" t="s">
        <v>126</v>
      </c>
    </row>
    <row r="112" spans="1:5" x14ac:dyDescent="0.3">
      <c r="A112" s="35" t="s">
        <v>44</v>
      </c>
      <c r="B112" s="35" t="s">
        <v>3</v>
      </c>
      <c r="C112" s="36">
        <v>1</v>
      </c>
      <c r="D112" s="15">
        <v>36000</v>
      </c>
      <c r="E112" s="15">
        <v>36000</v>
      </c>
    </row>
    <row r="113" spans="1:5" x14ac:dyDescent="0.3">
      <c r="A113" s="35" t="s">
        <v>45</v>
      </c>
      <c r="B113" s="35" t="s">
        <v>3</v>
      </c>
      <c r="C113" s="36">
        <v>100</v>
      </c>
      <c r="D113" s="15">
        <v>5000</v>
      </c>
      <c r="E113" s="15">
        <v>500000</v>
      </c>
    </row>
    <row r="114" spans="1:5" x14ac:dyDescent="0.3">
      <c r="A114" s="35" t="s">
        <v>17</v>
      </c>
      <c r="B114" s="35" t="s">
        <v>3</v>
      </c>
      <c r="C114" s="36">
        <v>107</v>
      </c>
      <c r="D114" s="15">
        <v>7500</v>
      </c>
      <c r="E114" s="15">
        <v>802500</v>
      </c>
    </row>
    <row r="115" spans="1:5" x14ac:dyDescent="0.3">
      <c r="A115" s="35" t="s">
        <v>95</v>
      </c>
      <c r="B115" s="35" t="s">
        <v>3</v>
      </c>
      <c r="C115" s="36">
        <v>22</v>
      </c>
      <c r="D115" s="15">
        <v>10000</v>
      </c>
      <c r="E115" s="15">
        <v>220000</v>
      </c>
    </row>
    <row r="116" spans="1:5" s="26" customFormat="1" hidden="1" x14ac:dyDescent="0.3">
      <c r="A116" s="27" t="s">
        <v>24</v>
      </c>
      <c r="B116" s="27" t="s">
        <v>3</v>
      </c>
      <c r="C116" s="28">
        <v>0</v>
      </c>
      <c r="D116" s="25"/>
      <c r="E116" s="25"/>
    </row>
    <row r="117" spans="1:5" s="26" customFormat="1" hidden="1" x14ac:dyDescent="0.3">
      <c r="A117" s="27" t="s">
        <v>78</v>
      </c>
      <c r="B117" s="27" t="s">
        <v>3</v>
      </c>
      <c r="C117" s="28">
        <v>0</v>
      </c>
      <c r="D117" s="25"/>
      <c r="E117" s="25"/>
    </row>
    <row r="118" spans="1:5" x14ac:dyDescent="0.3">
      <c r="A118" s="35" t="s">
        <v>25</v>
      </c>
      <c r="B118" s="35" t="s">
        <v>3</v>
      </c>
      <c r="C118" s="36">
        <v>10</v>
      </c>
      <c r="D118" s="15">
        <v>8000</v>
      </c>
      <c r="E118" s="15">
        <v>80000</v>
      </c>
    </row>
    <row r="119" spans="1:5" s="26" customFormat="1" hidden="1" x14ac:dyDescent="0.3">
      <c r="A119" s="27" t="s">
        <v>37</v>
      </c>
      <c r="B119" s="27" t="s">
        <v>3</v>
      </c>
      <c r="C119" s="28">
        <v>0</v>
      </c>
      <c r="D119" s="25"/>
      <c r="E119" s="25"/>
    </row>
    <row r="120" spans="1:5" s="26" customFormat="1" hidden="1" x14ac:dyDescent="0.3">
      <c r="A120" s="27" t="s">
        <v>46</v>
      </c>
      <c r="B120" s="27" t="s">
        <v>3</v>
      </c>
      <c r="C120" s="28">
        <v>0</v>
      </c>
      <c r="D120" s="25"/>
      <c r="E120" s="25"/>
    </row>
    <row r="121" spans="1:5" s="26" customFormat="1" hidden="1" x14ac:dyDescent="0.3">
      <c r="A121" s="27" t="s">
        <v>94</v>
      </c>
      <c r="B121" s="27" t="s">
        <v>3</v>
      </c>
      <c r="C121" s="28">
        <v>0</v>
      </c>
      <c r="D121" s="25"/>
      <c r="E121" s="25"/>
    </row>
    <row r="122" spans="1:5" x14ac:dyDescent="0.3">
      <c r="A122" s="35" t="s">
        <v>28</v>
      </c>
      <c r="B122" s="35" t="s">
        <v>3</v>
      </c>
      <c r="C122" s="36">
        <v>155</v>
      </c>
      <c r="D122" s="15">
        <v>23000</v>
      </c>
      <c r="E122" s="15">
        <v>3565000</v>
      </c>
    </row>
    <row r="123" spans="1:5" x14ac:dyDescent="0.3">
      <c r="A123" s="35" t="s">
        <v>30</v>
      </c>
      <c r="B123" s="35" t="s">
        <v>3</v>
      </c>
      <c r="C123" s="36">
        <v>280</v>
      </c>
      <c r="D123" s="15">
        <v>22000</v>
      </c>
      <c r="E123" s="15">
        <v>6160000</v>
      </c>
    </row>
    <row r="124" spans="1:5" x14ac:dyDescent="0.3">
      <c r="A124" s="35" t="s">
        <v>2</v>
      </c>
      <c r="B124" s="35" t="s">
        <v>3</v>
      </c>
      <c r="C124" s="36">
        <v>180</v>
      </c>
      <c r="D124" s="15">
        <v>13000</v>
      </c>
      <c r="E124" s="15">
        <v>2340000</v>
      </c>
    </row>
    <row r="125" spans="1:5" x14ac:dyDescent="0.3">
      <c r="A125" s="35" t="s">
        <v>53</v>
      </c>
      <c r="B125" s="35" t="s">
        <v>3</v>
      </c>
      <c r="C125" s="36">
        <v>45</v>
      </c>
      <c r="D125" s="15">
        <v>6000</v>
      </c>
      <c r="E125" s="15">
        <v>270000</v>
      </c>
    </row>
    <row r="126" spans="1:5" s="26" customFormat="1" hidden="1" x14ac:dyDescent="0.3">
      <c r="A126" s="27" t="s">
        <v>20</v>
      </c>
      <c r="B126" s="27" t="s">
        <v>3</v>
      </c>
      <c r="C126" s="28">
        <v>0</v>
      </c>
      <c r="D126" s="25"/>
      <c r="E126" s="25"/>
    </row>
    <row r="127" spans="1:5" x14ac:dyDescent="0.3">
      <c r="A127" s="35" t="s">
        <v>97</v>
      </c>
      <c r="B127" s="35" t="s">
        <v>3</v>
      </c>
      <c r="C127" s="36">
        <v>8</v>
      </c>
      <c r="D127" s="15">
        <v>16000</v>
      </c>
      <c r="E127" s="15">
        <v>128000</v>
      </c>
    </row>
    <row r="128" spans="1:5" x14ac:dyDescent="0.3">
      <c r="A128" s="35" t="s">
        <v>98</v>
      </c>
      <c r="B128" s="35" t="s">
        <v>3</v>
      </c>
      <c r="C128" s="36">
        <v>360</v>
      </c>
      <c r="D128" s="15">
        <v>4000</v>
      </c>
      <c r="E128" s="15">
        <v>1440000</v>
      </c>
    </row>
    <row r="129" spans="1:5" x14ac:dyDescent="0.3">
      <c r="A129" s="35" t="s">
        <v>21</v>
      </c>
      <c r="B129" s="35" t="s">
        <v>3</v>
      </c>
      <c r="C129" s="36">
        <v>58</v>
      </c>
      <c r="D129" s="15">
        <v>16000</v>
      </c>
      <c r="E129" s="15">
        <v>928000</v>
      </c>
    </row>
    <row r="130" spans="1:5" x14ac:dyDescent="0.3">
      <c r="A130" s="35" t="s">
        <v>96</v>
      </c>
      <c r="B130" s="35" t="s">
        <v>3</v>
      </c>
      <c r="C130" s="36">
        <v>38</v>
      </c>
      <c r="D130" s="15">
        <v>25000</v>
      </c>
      <c r="E130" s="15">
        <v>950000</v>
      </c>
    </row>
    <row r="131" spans="1:5" s="26" customFormat="1" hidden="1" x14ac:dyDescent="0.3">
      <c r="A131" s="27" t="s">
        <v>56</v>
      </c>
      <c r="B131" s="27" t="s">
        <v>3</v>
      </c>
      <c r="C131" s="28">
        <v>0</v>
      </c>
      <c r="D131" s="25"/>
      <c r="E131" s="25"/>
    </row>
    <row r="132" spans="1:5" s="26" customFormat="1" hidden="1" x14ac:dyDescent="0.3">
      <c r="A132" s="27" t="s">
        <v>107</v>
      </c>
      <c r="B132" s="27" t="s">
        <v>6</v>
      </c>
      <c r="C132" s="28">
        <v>0</v>
      </c>
      <c r="D132" s="25"/>
      <c r="E132" s="25"/>
    </row>
    <row r="133" spans="1:5" x14ac:dyDescent="0.3">
      <c r="A133" s="35" t="s">
        <v>57</v>
      </c>
      <c r="B133" s="35" t="s">
        <v>3</v>
      </c>
      <c r="C133" s="36">
        <v>72</v>
      </c>
      <c r="D133" s="15">
        <v>4500</v>
      </c>
      <c r="E133" s="15">
        <v>324000</v>
      </c>
    </row>
    <row r="134" spans="1:5" x14ac:dyDescent="0.3">
      <c r="A134" s="35" t="s">
        <v>9</v>
      </c>
      <c r="B134" s="35" t="s">
        <v>3</v>
      </c>
      <c r="C134" s="36">
        <v>72</v>
      </c>
      <c r="D134" s="15">
        <v>14000</v>
      </c>
      <c r="E134" s="15">
        <v>1008000</v>
      </c>
    </row>
    <row r="135" spans="1:5" x14ac:dyDescent="0.3">
      <c r="A135" s="35" t="s">
        <v>10</v>
      </c>
      <c r="B135" s="35" t="s">
        <v>3</v>
      </c>
      <c r="C135" s="36">
        <v>255</v>
      </c>
      <c r="D135" s="15">
        <v>20500</v>
      </c>
      <c r="E135" s="15">
        <v>5227500</v>
      </c>
    </row>
    <row r="136" spans="1:5" s="26" customFormat="1" hidden="1" x14ac:dyDescent="0.3">
      <c r="A136" s="27" t="s">
        <v>13</v>
      </c>
      <c r="B136" s="27" t="s">
        <v>4</v>
      </c>
      <c r="C136" s="28">
        <v>0</v>
      </c>
      <c r="D136" s="25"/>
      <c r="E136" s="25"/>
    </row>
    <row r="137" spans="1:5" s="26" customFormat="1" hidden="1" x14ac:dyDescent="0.3">
      <c r="A137" s="27" t="s">
        <v>14</v>
      </c>
      <c r="B137" s="27" t="s">
        <v>3</v>
      </c>
      <c r="C137" s="28">
        <v>0</v>
      </c>
      <c r="D137" s="25"/>
      <c r="E137" s="25"/>
    </row>
    <row r="138" spans="1:5" s="26" customFormat="1" hidden="1" x14ac:dyDescent="0.3">
      <c r="A138" s="27" t="s">
        <v>89</v>
      </c>
      <c r="B138" s="27" t="s">
        <v>4</v>
      </c>
      <c r="C138" s="28">
        <v>0</v>
      </c>
      <c r="D138" s="25"/>
      <c r="E138" s="25"/>
    </row>
    <row r="139" spans="1:5" s="26" customFormat="1" hidden="1" x14ac:dyDescent="0.3">
      <c r="A139" s="27" t="s">
        <v>109</v>
      </c>
      <c r="B139" s="27" t="s">
        <v>3</v>
      </c>
      <c r="C139" s="28">
        <v>0</v>
      </c>
      <c r="D139" s="25"/>
      <c r="E139" s="25"/>
    </row>
    <row r="140" spans="1:5" x14ac:dyDescent="0.3">
      <c r="A140" s="35" t="s">
        <v>15</v>
      </c>
      <c r="B140" s="35" t="s">
        <v>3</v>
      </c>
      <c r="C140" s="36">
        <v>215</v>
      </c>
      <c r="D140" s="15">
        <v>18000</v>
      </c>
      <c r="E140" s="15">
        <v>3870000</v>
      </c>
    </row>
    <row r="141" spans="1:5" s="26" customFormat="1" hidden="1" x14ac:dyDescent="0.3">
      <c r="A141" s="27" t="s">
        <v>59</v>
      </c>
      <c r="B141" s="27" t="s">
        <v>3</v>
      </c>
      <c r="C141" s="28">
        <v>0</v>
      </c>
      <c r="D141" s="25"/>
      <c r="E141" s="25"/>
    </row>
    <row r="142" spans="1:5" x14ac:dyDescent="0.3">
      <c r="A142" s="35" t="s">
        <v>60</v>
      </c>
      <c r="B142" s="35" t="s">
        <v>4</v>
      </c>
      <c r="C142" s="36">
        <v>21</v>
      </c>
      <c r="D142" s="15">
        <v>6000</v>
      </c>
      <c r="E142" s="15">
        <v>126000</v>
      </c>
    </row>
    <row r="143" spans="1:5" x14ac:dyDescent="0.3">
      <c r="A143" s="35" t="s">
        <v>61</v>
      </c>
      <c r="B143" s="35" t="s">
        <v>4</v>
      </c>
      <c r="C143" s="36">
        <v>98</v>
      </c>
      <c r="D143" s="15">
        <v>9000</v>
      </c>
      <c r="E143" s="15">
        <v>882000</v>
      </c>
    </row>
    <row r="144" spans="1:5" s="26" customFormat="1" hidden="1" x14ac:dyDescent="0.3">
      <c r="A144" s="27" t="s">
        <v>32</v>
      </c>
      <c r="B144" s="27" t="s">
        <v>3</v>
      </c>
      <c r="C144" s="28">
        <v>0</v>
      </c>
      <c r="D144" s="25"/>
      <c r="E144" s="25"/>
    </row>
    <row r="145" spans="1:5" s="26" customFormat="1" hidden="1" x14ac:dyDescent="0.3">
      <c r="A145" s="27" t="s">
        <v>32</v>
      </c>
      <c r="B145" s="27" t="s">
        <v>6</v>
      </c>
      <c r="C145" s="28">
        <v>0</v>
      </c>
      <c r="D145" s="25"/>
      <c r="E145" s="25"/>
    </row>
    <row r="146" spans="1:5" x14ac:dyDescent="0.3">
      <c r="A146" s="35" t="s">
        <v>66</v>
      </c>
      <c r="B146" s="35" t="s">
        <v>3</v>
      </c>
      <c r="C146" s="36">
        <v>3</v>
      </c>
      <c r="D146" s="15">
        <v>26000</v>
      </c>
      <c r="E146" s="15">
        <v>78000</v>
      </c>
    </row>
    <row r="147" spans="1:5" x14ac:dyDescent="0.3">
      <c r="A147" s="35" t="s">
        <v>43</v>
      </c>
      <c r="B147" s="35" t="s">
        <v>3</v>
      </c>
      <c r="C147" s="36">
        <v>560</v>
      </c>
      <c r="D147" s="15">
        <v>27600</v>
      </c>
      <c r="E147" s="15">
        <v>15456000</v>
      </c>
    </row>
    <row r="148" spans="1:5" s="26" customFormat="1" hidden="1" x14ac:dyDescent="0.3">
      <c r="A148" s="27" t="s">
        <v>67</v>
      </c>
      <c r="B148" s="27" t="s">
        <v>3</v>
      </c>
      <c r="C148" s="28">
        <v>0</v>
      </c>
      <c r="D148" s="25"/>
      <c r="E148" s="25"/>
    </row>
    <row r="149" spans="1:5" s="26" customFormat="1" hidden="1" x14ac:dyDescent="0.3">
      <c r="A149" s="27" t="s">
        <v>34</v>
      </c>
      <c r="B149" s="27" t="s">
        <v>3</v>
      </c>
      <c r="C149" s="28">
        <v>0</v>
      </c>
      <c r="D149" s="25"/>
      <c r="E149" s="25"/>
    </row>
    <row r="150" spans="1:5" x14ac:dyDescent="0.3">
      <c r="A150" s="35" t="s">
        <v>35</v>
      </c>
      <c r="B150" s="35" t="s">
        <v>3</v>
      </c>
      <c r="C150" s="36">
        <v>10</v>
      </c>
      <c r="D150" s="15">
        <v>13000</v>
      </c>
      <c r="E150" s="15">
        <v>130000</v>
      </c>
    </row>
    <row r="151" spans="1:5" x14ac:dyDescent="0.3">
      <c r="A151" s="35" t="s">
        <v>36</v>
      </c>
      <c r="B151" s="35" t="s">
        <v>3</v>
      </c>
      <c r="C151" s="36">
        <v>10</v>
      </c>
      <c r="D151" s="15">
        <v>21000</v>
      </c>
      <c r="E151" s="15">
        <v>210000</v>
      </c>
    </row>
    <row r="152" spans="1:5" x14ac:dyDescent="0.3">
      <c r="A152" s="35" t="s">
        <v>116</v>
      </c>
      <c r="B152" s="35" t="s">
        <v>26</v>
      </c>
      <c r="C152" s="36">
        <v>1000</v>
      </c>
      <c r="D152" s="15">
        <v>10000</v>
      </c>
      <c r="E152" s="15">
        <v>10000000</v>
      </c>
    </row>
    <row r="153" spans="1:5" x14ac:dyDescent="0.3">
      <c r="A153" s="35" t="s">
        <v>72</v>
      </c>
      <c r="B153" s="35" t="s">
        <v>3</v>
      </c>
      <c r="C153" s="36">
        <v>125</v>
      </c>
      <c r="D153" s="15">
        <v>6000</v>
      </c>
      <c r="E153" s="15">
        <v>750000</v>
      </c>
    </row>
    <row r="154" spans="1:5" s="26" customFormat="1" hidden="1" x14ac:dyDescent="0.3">
      <c r="A154" s="27" t="s">
        <v>23</v>
      </c>
      <c r="B154" s="27" t="s">
        <v>22</v>
      </c>
      <c r="C154" s="28">
        <v>0</v>
      </c>
      <c r="D154" s="25"/>
      <c r="E154" s="25"/>
    </row>
    <row r="155" spans="1:5" s="26" customFormat="1" hidden="1" x14ac:dyDescent="0.3">
      <c r="A155" s="27" t="s">
        <v>84</v>
      </c>
      <c r="B155" s="27" t="s">
        <v>22</v>
      </c>
      <c r="C155" s="28">
        <v>0</v>
      </c>
      <c r="D155" s="25"/>
      <c r="E155" s="25"/>
    </row>
    <row r="156" spans="1:5" s="26" customFormat="1" hidden="1" x14ac:dyDescent="0.3">
      <c r="A156" s="27" t="s">
        <v>86</v>
      </c>
      <c r="B156" s="27" t="s">
        <v>22</v>
      </c>
      <c r="C156" s="28">
        <v>0</v>
      </c>
      <c r="D156" s="25"/>
      <c r="E156" s="25"/>
    </row>
    <row r="157" spans="1:5" s="26" customFormat="1" hidden="1" x14ac:dyDescent="0.3">
      <c r="A157" s="27" t="s">
        <v>85</v>
      </c>
      <c r="B157" s="27" t="s">
        <v>22</v>
      </c>
      <c r="C157" s="28">
        <v>0</v>
      </c>
      <c r="D157" s="25"/>
      <c r="E157" s="25"/>
    </row>
    <row r="158" spans="1:5" x14ac:dyDescent="0.3">
      <c r="A158" s="37" t="e">
        <v>#N/A</v>
      </c>
      <c r="B158" s="37">
        <v>0</v>
      </c>
      <c r="C158" s="38">
        <v>3445</v>
      </c>
      <c r="D158" s="33"/>
      <c r="E158" s="33">
        <v>55481000</v>
      </c>
    </row>
    <row r="159" spans="1:5" x14ac:dyDescent="0.3">
      <c r="C159" s="4">
        <v>1</v>
      </c>
      <c r="E159" s="39">
        <v>228671700</v>
      </c>
    </row>
  </sheetData>
  <autoFilter ref="A1:E159" xr:uid="{00000000-0009-0000-0000-000007000000}">
    <filterColumn colId="2">
      <filters>
        <filter val="1"/>
        <filter val="1,000"/>
        <filter val="10"/>
        <filter val="100"/>
        <filter val="1000"/>
        <filter val="102"/>
        <filter val="107"/>
        <filter val="11"/>
        <filter val="120"/>
        <filter val="125"/>
        <filter val="14"/>
        <filter val="15"/>
        <filter val="150"/>
        <filter val="155"/>
        <filter val="180"/>
        <filter val="2,500"/>
        <filter val="20"/>
        <filter val="207"/>
        <filter val="21"/>
        <filter val="215"/>
        <filter val="22"/>
        <filter val="226"/>
        <filter val="255"/>
        <filter val="272"/>
        <filter val="280"/>
        <filter val="3"/>
        <filter val="30"/>
        <filter val="318"/>
        <filter val="320"/>
        <filter val="330"/>
        <filter val="3445"/>
        <filter val="360"/>
        <filter val="37"/>
        <filter val="38"/>
        <filter val="40"/>
        <filter val="400"/>
        <filter val="410"/>
        <filter val="45"/>
        <filter val="5"/>
        <filter val="50"/>
        <filter val="51"/>
        <filter val="55"/>
        <filter val="560"/>
        <filter val="58"/>
        <filter val="7"/>
        <filter val="700"/>
        <filter val="72"/>
        <filter val="8"/>
        <filter val="8,574"/>
        <filter val="80"/>
        <filter val="800"/>
        <filter val="98"/>
        <filter val="Tồn_x000a_ĐL_x000a__x000a_現在個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E155"/>
  <sheetViews>
    <sheetView topLeftCell="A134" workbookViewId="0">
      <selection activeCell="E159" sqref="E159"/>
    </sheetView>
  </sheetViews>
  <sheetFormatPr defaultRowHeight="14.4" x14ac:dyDescent="0.3"/>
  <cols>
    <col min="1" max="1" width="30.77734375" customWidth="1"/>
    <col min="4" max="4" width="12.44140625" customWidth="1"/>
    <col min="5" max="5" width="18.44140625" customWidth="1"/>
  </cols>
  <sheetData>
    <row r="1" spans="1:5" x14ac:dyDescent="0.3">
      <c r="A1" t="s">
        <v>135</v>
      </c>
    </row>
    <row r="2" spans="1:5" x14ac:dyDescent="0.3">
      <c r="A2" t="s">
        <v>0</v>
      </c>
      <c r="B2" t="s">
        <v>1</v>
      </c>
      <c r="C2" s="1" t="s">
        <v>102</v>
      </c>
      <c r="D2" t="s">
        <v>100</v>
      </c>
      <c r="E2" t="s">
        <v>101</v>
      </c>
    </row>
    <row r="3" spans="1:5" hidden="1" x14ac:dyDescent="0.3">
      <c r="A3" t="s">
        <v>2</v>
      </c>
      <c r="B3" t="s">
        <v>3</v>
      </c>
      <c r="C3">
        <v>0</v>
      </c>
      <c r="E3">
        <f>C3*D3</f>
        <v>0</v>
      </c>
    </row>
    <row r="4" spans="1:5" hidden="1" x14ac:dyDescent="0.3">
      <c r="A4" t="s">
        <v>2</v>
      </c>
      <c r="B4" t="s">
        <v>4</v>
      </c>
      <c r="C4">
        <v>0</v>
      </c>
      <c r="E4">
        <f t="shared" ref="E4:E67" si="0">C4*D4</f>
        <v>0</v>
      </c>
    </row>
    <row r="5" spans="1:5" x14ac:dyDescent="0.3">
      <c r="A5" t="s">
        <v>5</v>
      </c>
      <c r="B5" t="s">
        <v>6</v>
      </c>
      <c r="C5">
        <v>8</v>
      </c>
      <c r="D5">
        <v>8000</v>
      </c>
      <c r="E5">
        <f t="shared" si="0"/>
        <v>64000</v>
      </c>
    </row>
    <row r="6" spans="1:5" x14ac:dyDescent="0.3">
      <c r="A6" t="s">
        <v>7</v>
      </c>
      <c r="B6" t="s">
        <v>8</v>
      </c>
      <c r="C6">
        <v>20</v>
      </c>
      <c r="D6">
        <v>7000</v>
      </c>
      <c r="E6">
        <f t="shared" si="0"/>
        <v>140000</v>
      </c>
    </row>
    <row r="7" spans="1:5" x14ac:dyDescent="0.3">
      <c r="A7" t="s">
        <v>9</v>
      </c>
      <c r="B7" t="s">
        <v>3</v>
      </c>
      <c r="C7">
        <v>17</v>
      </c>
      <c r="D7">
        <v>14000</v>
      </c>
      <c r="E7">
        <f t="shared" si="0"/>
        <v>238000</v>
      </c>
    </row>
    <row r="8" spans="1:5" hidden="1" x14ac:dyDescent="0.3">
      <c r="A8" t="s">
        <v>9</v>
      </c>
      <c r="B8" t="s">
        <v>4</v>
      </c>
      <c r="C8">
        <v>0</v>
      </c>
      <c r="E8">
        <f t="shared" si="0"/>
        <v>0</v>
      </c>
    </row>
    <row r="9" spans="1:5" x14ac:dyDescent="0.3">
      <c r="A9" t="s">
        <v>10</v>
      </c>
      <c r="B9" t="s">
        <v>3</v>
      </c>
      <c r="C9">
        <v>366</v>
      </c>
      <c r="D9">
        <v>20500</v>
      </c>
      <c r="E9">
        <f t="shared" si="0"/>
        <v>7503000</v>
      </c>
    </row>
    <row r="10" spans="1:5" hidden="1" x14ac:dyDescent="0.3">
      <c r="A10" t="s">
        <v>10</v>
      </c>
      <c r="B10" t="s">
        <v>11</v>
      </c>
      <c r="C10">
        <v>0</v>
      </c>
      <c r="E10">
        <f t="shared" si="0"/>
        <v>0</v>
      </c>
    </row>
    <row r="11" spans="1:5" x14ac:dyDescent="0.3">
      <c r="A11" t="s">
        <v>12</v>
      </c>
      <c r="B11" t="s">
        <v>4</v>
      </c>
      <c r="C11">
        <v>133</v>
      </c>
      <c r="D11">
        <v>6000</v>
      </c>
      <c r="E11">
        <f t="shared" si="0"/>
        <v>798000</v>
      </c>
    </row>
    <row r="12" spans="1:5" x14ac:dyDescent="0.3">
      <c r="A12" t="s">
        <v>13</v>
      </c>
      <c r="B12" t="s">
        <v>3</v>
      </c>
      <c r="C12">
        <v>975</v>
      </c>
      <c r="D12">
        <v>24000</v>
      </c>
      <c r="E12">
        <f t="shared" si="0"/>
        <v>23400000</v>
      </c>
    </row>
    <row r="13" spans="1:5" hidden="1" x14ac:dyDescent="0.3">
      <c r="A13" t="s">
        <v>13</v>
      </c>
      <c r="B13" t="s">
        <v>4</v>
      </c>
      <c r="C13">
        <v>0</v>
      </c>
      <c r="E13">
        <f t="shared" si="0"/>
        <v>0</v>
      </c>
    </row>
    <row r="14" spans="1:5" x14ac:dyDescent="0.3">
      <c r="A14" t="s">
        <v>14</v>
      </c>
      <c r="B14" t="s">
        <v>3</v>
      </c>
      <c r="C14">
        <v>60</v>
      </c>
      <c r="D14">
        <v>17000</v>
      </c>
      <c r="E14">
        <f t="shared" si="0"/>
        <v>1020000</v>
      </c>
    </row>
    <row r="15" spans="1:5" x14ac:dyDescent="0.3">
      <c r="A15" t="s">
        <v>15</v>
      </c>
      <c r="B15" t="s">
        <v>3</v>
      </c>
      <c r="C15">
        <v>350</v>
      </c>
      <c r="D15">
        <v>17000</v>
      </c>
      <c r="E15">
        <f t="shared" si="0"/>
        <v>5950000</v>
      </c>
    </row>
    <row r="16" spans="1:5" hidden="1" x14ac:dyDescent="0.3">
      <c r="A16" t="s">
        <v>15</v>
      </c>
      <c r="B16" t="s">
        <v>4</v>
      </c>
      <c r="C16">
        <v>0</v>
      </c>
      <c r="E16">
        <f t="shared" si="0"/>
        <v>0</v>
      </c>
    </row>
    <row r="17" spans="1:5" hidden="1" x14ac:dyDescent="0.3">
      <c r="A17" t="s">
        <v>16</v>
      </c>
      <c r="B17" t="s">
        <v>6</v>
      </c>
      <c r="C17">
        <v>0</v>
      </c>
      <c r="E17">
        <f t="shared" si="0"/>
        <v>0</v>
      </c>
    </row>
    <row r="18" spans="1:5" x14ac:dyDescent="0.3">
      <c r="A18" t="s">
        <v>17</v>
      </c>
      <c r="B18" t="s">
        <v>3</v>
      </c>
      <c r="C18">
        <v>250</v>
      </c>
      <c r="D18">
        <v>7500</v>
      </c>
      <c r="E18">
        <f t="shared" si="0"/>
        <v>1875000</v>
      </c>
    </row>
    <row r="19" spans="1:5" hidden="1" x14ac:dyDescent="0.3">
      <c r="A19" t="s">
        <v>18</v>
      </c>
      <c r="B19" t="s">
        <v>3</v>
      </c>
      <c r="C19">
        <v>0</v>
      </c>
      <c r="E19">
        <f t="shared" si="0"/>
        <v>0</v>
      </c>
    </row>
    <row r="20" spans="1:5" hidden="1" x14ac:dyDescent="0.3">
      <c r="A20" t="s">
        <v>18</v>
      </c>
      <c r="B20" t="s">
        <v>4</v>
      </c>
      <c r="C20">
        <v>0</v>
      </c>
      <c r="E20">
        <f t="shared" si="0"/>
        <v>0</v>
      </c>
    </row>
    <row r="21" spans="1:5" x14ac:dyDescent="0.3">
      <c r="A21" t="s">
        <v>19</v>
      </c>
      <c r="B21" t="s">
        <v>4</v>
      </c>
      <c r="C21">
        <v>24</v>
      </c>
      <c r="D21">
        <v>5000</v>
      </c>
      <c r="E21">
        <f t="shared" si="0"/>
        <v>120000</v>
      </c>
    </row>
    <row r="22" spans="1:5" hidden="1" x14ac:dyDescent="0.3">
      <c r="A22" t="s">
        <v>20</v>
      </c>
      <c r="B22" t="s">
        <v>3</v>
      </c>
      <c r="C22">
        <v>0</v>
      </c>
      <c r="E22">
        <f t="shared" si="0"/>
        <v>0</v>
      </c>
    </row>
    <row r="23" spans="1:5" hidden="1" x14ac:dyDescent="0.3">
      <c r="A23" t="s">
        <v>21</v>
      </c>
      <c r="B23" t="s">
        <v>22</v>
      </c>
      <c r="C23">
        <v>0</v>
      </c>
      <c r="E23">
        <f t="shared" si="0"/>
        <v>0</v>
      </c>
    </row>
    <row r="24" spans="1:5" hidden="1" x14ac:dyDescent="0.3">
      <c r="A24" t="s">
        <v>21</v>
      </c>
      <c r="B24" t="s">
        <v>3</v>
      </c>
      <c r="C24">
        <v>0</v>
      </c>
      <c r="E24">
        <f t="shared" si="0"/>
        <v>0</v>
      </c>
    </row>
    <row r="25" spans="1:5" x14ac:dyDescent="0.3">
      <c r="A25" t="s">
        <v>23</v>
      </c>
      <c r="B25" t="s">
        <v>3</v>
      </c>
      <c r="C25">
        <v>27</v>
      </c>
      <c r="D25">
        <v>28000</v>
      </c>
      <c r="E25">
        <f t="shared" si="0"/>
        <v>756000</v>
      </c>
    </row>
    <row r="26" spans="1:5" x14ac:dyDescent="0.3">
      <c r="A26" t="s">
        <v>24</v>
      </c>
      <c r="B26" t="s">
        <v>3</v>
      </c>
      <c r="C26">
        <v>520</v>
      </c>
      <c r="D26">
        <v>5000</v>
      </c>
      <c r="E26">
        <f t="shared" si="0"/>
        <v>2600000</v>
      </c>
    </row>
    <row r="27" spans="1:5" x14ac:dyDescent="0.3">
      <c r="A27" t="s">
        <v>25</v>
      </c>
      <c r="B27" t="s">
        <v>3</v>
      </c>
      <c r="C27">
        <v>45</v>
      </c>
      <c r="D27">
        <v>10000</v>
      </c>
      <c r="E27">
        <f t="shared" si="0"/>
        <v>450000</v>
      </c>
    </row>
    <row r="28" spans="1:5" hidden="1" x14ac:dyDescent="0.3">
      <c r="A28" t="s">
        <v>25</v>
      </c>
      <c r="B28" t="s">
        <v>26</v>
      </c>
      <c r="C28">
        <v>0</v>
      </c>
      <c r="E28">
        <f t="shared" si="0"/>
        <v>0</v>
      </c>
    </row>
    <row r="29" spans="1:5" x14ac:dyDescent="0.3">
      <c r="A29" t="s">
        <v>27</v>
      </c>
      <c r="B29" t="s">
        <v>3</v>
      </c>
      <c r="C29">
        <v>79</v>
      </c>
      <c r="D29">
        <v>10000</v>
      </c>
      <c r="E29">
        <f t="shared" si="0"/>
        <v>790000</v>
      </c>
    </row>
    <row r="30" spans="1:5" hidden="1" x14ac:dyDescent="0.3">
      <c r="A30" t="s">
        <v>27</v>
      </c>
      <c r="B30" t="s">
        <v>26</v>
      </c>
      <c r="C30">
        <v>0</v>
      </c>
      <c r="E30">
        <f t="shared" si="0"/>
        <v>0</v>
      </c>
    </row>
    <row r="31" spans="1:5" x14ac:dyDescent="0.3">
      <c r="A31" t="s">
        <v>28</v>
      </c>
      <c r="B31" t="s">
        <v>3</v>
      </c>
      <c r="C31">
        <v>140</v>
      </c>
      <c r="D31">
        <v>24000</v>
      </c>
      <c r="E31">
        <f t="shared" si="0"/>
        <v>3360000</v>
      </c>
    </row>
    <row r="32" spans="1:5" hidden="1" x14ac:dyDescent="0.3">
      <c r="A32" t="s">
        <v>28</v>
      </c>
      <c r="B32" t="s">
        <v>6</v>
      </c>
      <c r="C32">
        <v>0</v>
      </c>
      <c r="E32">
        <f t="shared" si="0"/>
        <v>0</v>
      </c>
    </row>
    <row r="33" spans="1:5" hidden="1" x14ac:dyDescent="0.3">
      <c r="A33" t="s">
        <v>28</v>
      </c>
      <c r="B33" t="s">
        <v>29</v>
      </c>
      <c r="C33">
        <v>0</v>
      </c>
      <c r="E33">
        <f t="shared" si="0"/>
        <v>0</v>
      </c>
    </row>
    <row r="34" spans="1:5" x14ac:dyDescent="0.3">
      <c r="A34" t="s">
        <v>30</v>
      </c>
      <c r="B34" t="s">
        <v>3</v>
      </c>
      <c r="C34">
        <v>650</v>
      </c>
      <c r="D34">
        <v>22000</v>
      </c>
      <c r="E34">
        <f t="shared" si="0"/>
        <v>14300000</v>
      </c>
    </row>
    <row r="35" spans="1:5" hidden="1" x14ac:dyDescent="0.3">
      <c r="A35" t="s">
        <v>30</v>
      </c>
      <c r="B35" t="s">
        <v>6</v>
      </c>
      <c r="C35">
        <v>0</v>
      </c>
      <c r="E35">
        <f t="shared" si="0"/>
        <v>0</v>
      </c>
    </row>
    <row r="36" spans="1:5" x14ac:dyDescent="0.3">
      <c r="A36" t="s">
        <v>31</v>
      </c>
      <c r="B36" t="s">
        <v>4</v>
      </c>
      <c r="C36">
        <v>40</v>
      </c>
      <c r="D36">
        <v>16000</v>
      </c>
      <c r="E36">
        <f t="shared" si="0"/>
        <v>640000</v>
      </c>
    </row>
    <row r="37" spans="1:5" hidden="1" x14ac:dyDescent="0.3">
      <c r="A37" t="s">
        <v>32</v>
      </c>
      <c r="B37" t="s">
        <v>3</v>
      </c>
      <c r="C37">
        <v>0</v>
      </c>
      <c r="E37">
        <f t="shared" si="0"/>
        <v>0</v>
      </c>
    </row>
    <row r="38" spans="1:5" x14ac:dyDescent="0.3">
      <c r="A38" t="s">
        <v>32</v>
      </c>
      <c r="B38" t="s">
        <v>6</v>
      </c>
      <c r="C38">
        <v>462</v>
      </c>
      <c r="D38">
        <v>5000</v>
      </c>
      <c r="E38">
        <f t="shared" si="0"/>
        <v>2310000</v>
      </c>
    </row>
    <row r="39" spans="1:5" x14ac:dyDescent="0.3">
      <c r="A39" t="s">
        <v>33</v>
      </c>
      <c r="B39" t="s">
        <v>3</v>
      </c>
      <c r="C39">
        <v>13</v>
      </c>
      <c r="D39">
        <v>6000</v>
      </c>
      <c r="E39">
        <f t="shared" si="0"/>
        <v>78000</v>
      </c>
    </row>
    <row r="40" spans="1:5" x14ac:dyDescent="0.3">
      <c r="A40" t="s">
        <v>34</v>
      </c>
      <c r="B40" t="s">
        <v>3</v>
      </c>
      <c r="C40">
        <v>95</v>
      </c>
      <c r="D40">
        <v>28000</v>
      </c>
      <c r="E40">
        <f t="shared" si="0"/>
        <v>2660000</v>
      </c>
    </row>
    <row r="41" spans="1:5" hidden="1" x14ac:dyDescent="0.3">
      <c r="A41" t="s">
        <v>34</v>
      </c>
      <c r="B41" t="s">
        <v>26</v>
      </c>
      <c r="C41">
        <v>0</v>
      </c>
      <c r="E41">
        <f t="shared" si="0"/>
        <v>0</v>
      </c>
    </row>
    <row r="42" spans="1:5" x14ac:dyDescent="0.3">
      <c r="A42" t="s">
        <v>35</v>
      </c>
      <c r="B42" t="s">
        <v>3</v>
      </c>
      <c r="C42">
        <v>75</v>
      </c>
      <c r="D42">
        <v>13000</v>
      </c>
      <c r="E42">
        <f t="shared" si="0"/>
        <v>975000</v>
      </c>
    </row>
    <row r="43" spans="1:5" hidden="1" x14ac:dyDescent="0.3">
      <c r="A43" t="s">
        <v>35</v>
      </c>
      <c r="B43" t="s">
        <v>26</v>
      </c>
      <c r="C43">
        <v>0</v>
      </c>
      <c r="E43">
        <f t="shared" si="0"/>
        <v>0</v>
      </c>
    </row>
    <row r="44" spans="1:5" x14ac:dyDescent="0.3">
      <c r="A44" t="s">
        <v>36</v>
      </c>
      <c r="B44" t="s">
        <v>3</v>
      </c>
      <c r="C44">
        <v>68</v>
      </c>
      <c r="D44">
        <v>20000</v>
      </c>
      <c r="E44">
        <f t="shared" si="0"/>
        <v>1360000</v>
      </c>
    </row>
    <row r="45" spans="1:5" hidden="1" x14ac:dyDescent="0.3">
      <c r="A45" t="s">
        <v>36</v>
      </c>
      <c r="B45" t="s">
        <v>26</v>
      </c>
      <c r="C45">
        <v>0</v>
      </c>
      <c r="E45">
        <f t="shared" si="0"/>
        <v>0</v>
      </c>
    </row>
    <row r="46" spans="1:5" hidden="1" x14ac:dyDescent="0.3">
      <c r="A46" t="s">
        <v>37</v>
      </c>
      <c r="B46" t="s">
        <v>3</v>
      </c>
      <c r="C46">
        <v>0</v>
      </c>
      <c r="E46">
        <f t="shared" si="0"/>
        <v>0</v>
      </c>
    </row>
    <row r="47" spans="1:5" hidden="1" x14ac:dyDescent="0.3">
      <c r="A47" t="s">
        <v>38</v>
      </c>
      <c r="B47" t="s">
        <v>6</v>
      </c>
      <c r="C47">
        <v>0</v>
      </c>
      <c r="E47">
        <f t="shared" si="0"/>
        <v>0</v>
      </c>
    </row>
    <row r="48" spans="1:5" x14ac:dyDescent="0.3">
      <c r="A48" t="s">
        <v>39</v>
      </c>
      <c r="B48" t="s">
        <v>3</v>
      </c>
      <c r="C48">
        <v>2210</v>
      </c>
      <c r="D48">
        <v>24000</v>
      </c>
      <c r="E48">
        <f t="shared" si="0"/>
        <v>53040000</v>
      </c>
    </row>
    <row r="49" spans="1:5" x14ac:dyDescent="0.3">
      <c r="A49" t="s">
        <v>40</v>
      </c>
      <c r="B49" t="s">
        <v>3</v>
      </c>
      <c r="C49">
        <v>8</v>
      </c>
      <c r="D49">
        <v>30000</v>
      </c>
      <c r="E49">
        <f t="shared" si="0"/>
        <v>240000</v>
      </c>
    </row>
    <row r="50" spans="1:5" x14ac:dyDescent="0.3">
      <c r="A50" t="s">
        <v>40</v>
      </c>
      <c r="B50" t="s">
        <v>41</v>
      </c>
      <c r="C50">
        <v>76</v>
      </c>
      <c r="D50">
        <v>9000</v>
      </c>
      <c r="E50">
        <f t="shared" si="0"/>
        <v>684000</v>
      </c>
    </row>
    <row r="51" spans="1:5" hidden="1" x14ac:dyDescent="0.3">
      <c r="A51" t="s">
        <v>42</v>
      </c>
      <c r="B51" t="s">
        <v>3</v>
      </c>
      <c r="C51">
        <v>0</v>
      </c>
      <c r="E51">
        <f t="shared" si="0"/>
        <v>0</v>
      </c>
    </row>
    <row r="52" spans="1:5" x14ac:dyDescent="0.3">
      <c r="A52" t="s">
        <v>43</v>
      </c>
      <c r="B52" t="s">
        <v>3</v>
      </c>
      <c r="C52">
        <v>2100</v>
      </c>
      <c r="D52">
        <v>27600</v>
      </c>
      <c r="E52">
        <f t="shared" si="0"/>
        <v>57960000</v>
      </c>
    </row>
    <row r="53" spans="1:5" hidden="1" x14ac:dyDescent="0.3">
      <c r="A53" t="s">
        <v>44</v>
      </c>
      <c r="B53" t="s">
        <v>3</v>
      </c>
      <c r="C53">
        <v>0</v>
      </c>
      <c r="E53">
        <f t="shared" si="0"/>
        <v>0</v>
      </c>
    </row>
    <row r="54" spans="1:5" x14ac:dyDescent="0.3">
      <c r="A54" t="s">
        <v>45</v>
      </c>
      <c r="B54" t="s">
        <v>3</v>
      </c>
      <c r="C54">
        <v>393</v>
      </c>
      <c r="D54">
        <v>8000</v>
      </c>
      <c r="E54">
        <f t="shared" si="0"/>
        <v>3144000</v>
      </c>
    </row>
    <row r="55" spans="1:5" hidden="1" x14ac:dyDescent="0.3">
      <c r="A55" t="s">
        <v>46</v>
      </c>
      <c r="B55" t="s">
        <v>3</v>
      </c>
      <c r="C55">
        <v>0</v>
      </c>
      <c r="E55">
        <f t="shared" si="0"/>
        <v>0</v>
      </c>
    </row>
    <row r="56" spans="1:5" hidden="1" x14ac:dyDescent="0.3">
      <c r="A56" t="s">
        <v>47</v>
      </c>
      <c r="B56" t="s">
        <v>3</v>
      </c>
      <c r="C56">
        <v>0</v>
      </c>
      <c r="E56">
        <f t="shared" si="0"/>
        <v>0</v>
      </c>
    </row>
    <row r="57" spans="1:5" x14ac:dyDescent="0.3">
      <c r="A57" t="s">
        <v>48</v>
      </c>
      <c r="B57" t="s">
        <v>3</v>
      </c>
      <c r="C57">
        <v>51</v>
      </c>
      <c r="D57">
        <v>19000</v>
      </c>
      <c r="E57">
        <f t="shared" si="0"/>
        <v>969000</v>
      </c>
    </row>
    <row r="58" spans="1:5" hidden="1" x14ac:dyDescent="0.3">
      <c r="A58" t="s">
        <v>48</v>
      </c>
      <c r="B58" t="s">
        <v>49</v>
      </c>
      <c r="C58">
        <v>0</v>
      </c>
      <c r="E58">
        <f t="shared" si="0"/>
        <v>0</v>
      </c>
    </row>
    <row r="59" spans="1:5" x14ac:dyDescent="0.3">
      <c r="A59" t="s">
        <v>50</v>
      </c>
      <c r="B59" t="s">
        <v>8</v>
      </c>
      <c r="C59">
        <v>19</v>
      </c>
      <c r="D59">
        <v>17000</v>
      </c>
      <c r="E59">
        <f t="shared" si="0"/>
        <v>323000</v>
      </c>
    </row>
    <row r="60" spans="1:5" x14ac:dyDescent="0.3">
      <c r="A60" t="s">
        <v>51</v>
      </c>
      <c r="B60" t="s">
        <v>3</v>
      </c>
      <c r="C60">
        <v>60</v>
      </c>
      <c r="D60">
        <v>40000</v>
      </c>
      <c r="E60">
        <f t="shared" si="0"/>
        <v>2400000</v>
      </c>
    </row>
    <row r="61" spans="1:5" x14ac:dyDescent="0.3">
      <c r="A61" t="s">
        <v>51</v>
      </c>
      <c r="B61" t="s">
        <v>52</v>
      </c>
      <c r="C61">
        <v>231</v>
      </c>
      <c r="D61">
        <v>12000</v>
      </c>
      <c r="E61">
        <f t="shared" si="0"/>
        <v>2772000</v>
      </c>
    </row>
    <row r="62" spans="1:5" x14ac:dyDescent="0.3">
      <c r="A62" t="s">
        <v>53</v>
      </c>
      <c r="B62" t="s">
        <v>3</v>
      </c>
      <c r="C62">
        <v>56</v>
      </c>
      <c r="D62">
        <v>6000</v>
      </c>
      <c r="E62">
        <f t="shared" si="0"/>
        <v>336000</v>
      </c>
    </row>
    <row r="63" spans="1:5" hidden="1" x14ac:dyDescent="0.3">
      <c r="A63" t="s">
        <v>53</v>
      </c>
      <c r="B63" t="s">
        <v>54</v>
      </c>
      <c r="C63">
        <v>0</v>
      </c>
      <c r="E63">
        <f t="shared" si="0"/>
        <v>0</v>
      </c>
    </row>
    <row r="64" spans="1:5" x14ac:dyDescent="0.3">
      <c r="A64" t="s">
        <v>55</v>
      </c>
      <c r="B64" t="s">
        <v>4</v>
      </c>
      <c r="C64">
        <v>11</v>
      </c>
      <c r="D64">
        <v>5000</v>
      </c>
      <c r="E64">
        <f t="shared" si="0"/>
        <v>55000</v>
      </c>
    </row>
    <row r="65" spans="1:5" x14ac:dyDescent="0.3">
      <c r="A65" t="s">
        <v>56</v>
      </c>
      <c r="B65" t="s">
        <v>3</v>
      </c>
      <c r="C65">
        <v>8</v>
      </c>
      <c r="D65">
        <v>13000</v>
      </c>
      <c r="E65">
        <f t="shared" si="0"/>
        <v>104000</v>
      </c>
    </row>
    <row r="66" spans="1:5" x14ac:dyDescent="0.3">
      <c r="A66" t="s">
        <v>57</v>
      </c>
      <c r="B66" t="s">
        <v>3</v>
      </c>
      <c r="C66">
        <v>30</v>
      </c>
      <c r="D66">
        <v>5000</v>
      </c>
      <c r="E66">
        <f t="shared" si="0"/>
        <v>150000</v>
      </c>
    </row>
    <row r="67" spans="1:5" x14ac:dyDescent="0.3">
      <c r="A67" t="s">
        <v>58</v>
      </c>
      <c r="B67" t="s">
        <v>3</v>
      </c>
      <c r="C67">
        <v>33</v>
      </c>
      <c r="D67">
        <v>30000</v>
      </c>
      <c r="E67">
        <f t="shared" si="0"/>
        <v>990000</v>
      </c>
    </row>
    <row r="68" spans="1:5" x14ac:dyDescent="0.3">
      <c r="A68" t="s">
        <v>59</v>
      </c>
      <c r="B68" t="s">
        <v>3</v>
      </c>
      <c r="C68">
        <v>15</v>
      </c>
      <c r="D68">
        <v>11000</v>
      </c>
      <c r="E68">
        <f t="shared" ref="E68:E133" si="1">C68*D68</f>
        <v>165000</v>
      </c>
    </row>
    <row r="69" spans="1:5" x14ac:dyDescent="0.3">
      <c r="A69" t="s">
        <v>60</v>
      </c>
      <c r="B69" t="s">
        <v>4</v>
      </c>
      <c r="C69">
        <v>16</v>
      </c>
      <c r="D69">
        <v>6000</v>
      </c>
      <c r="E69">
        <f t="shared" si="1"/>
        <v>96000</v>
      </c>
    </row>
    <row r="70" spans="1:5" x14ac:dyDescent="0.3">
      <c r="A70" t="s">
        <v>61</v>
      </c>
      <c r="B70" t="s">
        <v>3</v>
      </c>
      <c r="C70">
        <v>30</v>
      </c>
      <c r="D70">
        <v>9000</v>
      </c>
      <c r="E70">
        <f t="shared" si="1"/>
        <v>270000</v>
      </c>
    </row>
    <row r="71" spans="1:5" hidden="1" x14ac:dyDescent="0.3">
      <c r="A71" t="s">
        <v>61</v>
      </c>
      <c r="B71" t="s">
        <v>62</v>
      </c>
      <c r="C71">
        <v>0</v>
      </c>
      <c r="E71">
        <f t="shared" si="1"/>
        <v>0</v>
      </c>
    </row>
    <row r="72" spans="1:5" x14ac:dyDescent="0.3">
      <c r="A72" t="s">
        <v>63</v>
      </c>
      <c r="B72" t="s">
        <v>3</v>
      </c>
      <c r="C72">
        <v>3.7</v>
      </c>
      <c r="D72">
        <v>60000</v>
      </c>
      <c r="E72">
        <f t="shared" si="1"/>
        <v>222000</v>
      </c>
    </row>
    <row r="73" spans="1:5" x14ac:dyDescent="0.3">
      <c r="A73" t="s">
        <v>64</v>
      </c>
      <c r="B73" t="s">
        <v>3</v>
      </c>
      <c r="C73">
        <v>1</v>
      </c>
      <c r="D73">
        <v>70000</v>
      </c>
      <c r="E73">
        <f t="shared" si="1"/>
        <v>70000</v>
      </c>
    </row>
    <row r="74" spans="1:5" x14ac:dyDescent="0.3">
      <c r="A74" t="s">
        <v>65</v>
      </c>
      <c r="B74" t="s">
        <v>3</v>
      </c>
      <c r="C74">
        <v>1.5</v>
      </c>
      <c r="D74">
        <v>70000</v>
      </c>
      <c r="E74">
        <f t="shared" si="1"/>
        <v>105000</v>
      </c>
    </row>
    <row r="75" spans="1:5" hidden="1" x14ac:dyDescent="0.3">
      <c r="A75" t="s">
        <v>66</v>
      </c>
      <c r="B75" t="s">
        <v>22</v>
      </c>
      <c r="C75">
        <v>0</v>
      </c>
      <c r="E75">
        <f t="shared" si="1"/>
        <v>0</v>
      </c>
    </row>
    <row r="76" spans="1:5" x14ac:dyDescent="0.3">
      <c r="A76" t="s">
        <v>66</v>
      </c>
      <c r="B76" t="s">
        <v>3</v>
      </c>
      <c r="C76">
        <v>5</v>
      </c>
      <c r="D76">
        <v>27000</v>
      </c>
      <c r="E76">
        <f t="shared" si="1"/>
        <v>135000</v>
      </c>
    </row>
    <row r="77" spans="1:5" hidden="1" x14ac:dyDescent="0.3">
      <c r="A77" t="s">
        <v>67</v>
      </c>
      <c r="B77" t="s">
        <v>3</v>
      </c>
      <c r="C77">
        <v>0</v>
      </c>
      <c r="E77">
        <f t="shared" si="1"/>
        <v>0</v>
      </c>
    </row>
    <row r="78" spans="1:5" x14ac:dyDescent="0.3">
      <c r="A78" t="s">
        <v>68</v>
      </c>
      <c r="B78" t="s">
        <v>3</v>
      </c>
      <c r="C78">
        <v>3</v>
      </c>
      <c r="D78">
        <v>36000</v>
      </c>
      <c r="E78">
        <f t="shared" si="1"/>
        <v>108000</v>
      </c>
    </row>
    <row r="79" spans="1:5" hidden="1" x14ac:dyDescent="0.3">
      <c r="A79" t="s">
        <v>68</v>
      </c>
      <c r="B79" t="s">
        <v>4</v>
      </c>
      <c r="C79">
        <v>0</v>
      </c>
      <c r="E79">
        <f t="shared" si="1"/>
        <v>0</v>
      </c>
    </row>
    <row r="80" spans="1:5" x14ac:dyDescent="0.3">
      <c r="A80" t="s">
        <v>69</v>
      </c>
      <c r="B80" t="s">
        <v>3</v>
      </c>
      <c r="C80">
        <v>16</v>
      </c>
      <c r="D80">
        <v>14000</v>
      </c>
      <c r="E80">
        <f t="shared" si="1"/>
        <v>224000</v>
      </c>
    </row>
    <row r="81" spans="1:5" hidden="1" x14ac:dyDescent="0.3">
      <c r="A81" t="s">
        <v>70</v>
      </c>
      <c r="B81" t="s">
        <v>8</v>
      </c>
      <c r="C81">
        <v>0</v>
      </c>
      <c r="E81">
        <f t="shared" si="1"/>
        <v>0</v>
      </c>
    </row>
    <row r="82" spans="1:5" x14ac:dyDescent="0.3">
      <c r="A82" t="s">
        <v>70</v>
      </c>
      <c r="B82" t="s">
        <v>3</v>
      </c>
      <c r="C82">
        <v>10</v>
      </c>
      <c r="D82">
        <v>44000</v>
      </c>
      <c r="E82">
        <f t="shared" si="1"/>
        <v>440000</v>
      </c>
    </row>
    <row r="83" spans="1:5" hidden="1" x14ac:dyDescent="0.3">
      <c r="A83" t="s">
        <v>71</v>
      </c>
      <c r="B83" t="s">
        <v>4</v>
      </c>
      <c r="C83">
        <v>0</v>
      </c>
      <c r="E83">
        <f t="shared" si="1"/>
        <v>0</v>
      </c>
    </row>
    <row r="84" spans="1:5" x14ac:dyDescent="0.3">
      <c r="A84" t="s">
        <v>72</v>
      </c>
      <c r="B84" t="s">
        <v>3</v>
      </c>
      <c r="C84">
        <v>135</v>
      </c>
      <c r="D84">
        <v>7000</v>
      </c>
      <c r="E84">
        <f t="shared" si="1"/>
        <v>945000</v>
      </c>
    </row>
    <row r="85" spans="1:5" x14ac:dyDescent="0.3">
      <c r="A85" t="s">
        <v>73</v>
      </c>
      <c r="B85" t="s">
        <v>3</v>
      </c>
      <c r="C85">
        <v>25</v>
      </c>
      <c r="D85">
        <v>9000</v>
      </c>
      <c r="E85">
        <f t="shared" si="1"/>
        <v>225000</v>
      </c>
    </row>
    <row r="86" spans="1:5" hidden="1" x14ac:dyDescent="0.3">
      <c r="A86" t="s">
        <v>74</v>
      </c>
      <c r="B86" t="s">
        <v>3</v>
      </c>
      <c r="C86">
        <v>0</v>
      </c>
      <c r="E86">
        <f t="shared" si="1"/>
        <v>0</v>
      </c>
    </row>
    <row r="87" spans="1:5" hidden="1" x14ac:dyDescent="0.3">
      <c r="A87" t="s">
        <v>75</v>
      </c>
      <c r="B87" t="s">
        <v>3</v>
      </c>
      <c r="C87">
        <v>0</v>
      </c>
      <c r="E87">
        <f t="shared" si="1"/>
        <v>0</v>
      </c>
    </row>
    <row r="88" spans="1:5" x14ac:dyDescent="0.3">
      <c r="A88" t="s">
        <v>76</v>
      </c>
      <c r="B88" t="s">
        <v>3</v>
      </c>
      <c r="C88">
        <v>8</v>
      </c>
      <c r="D88">
        <v>28000</v>
      </c>
      <c r="E88">
        <f t="shared" si="1"/>
        <v>224000</v>
      </c>
    </row>
    <row r="89" spans="1:5" hidden="1" x14ac:dyDescent="0.3">
      <c r="A89" t="s">
        <v>82</v>
      </c>
      <c r="B89" t="s">
        <v>3</v>
      </c>
      <c r="C89">
        <v>0</v>
      </c>
      <c r="E89">
        <f t="shared" si="1"/>
        <v>0</v>
      </c>
    </row>
    <row r="90" spans="1:5" hidden="1" x14ac:dyDescent="0.3">
      <c r="A90" t="s">
        <v>83</v>
      </c>
      <c r="B90" t="s">
        <v>4</v>
      </c>
      <c r="C90">
        <v>0</v>
      </c>
      <c r="E90">
        <f t="shared" si="1"/>
        <v>0</v>
      </c>
    </row>
    <row r="91" spans="1:5" x14ac:dyDescent="0.3">
      <c r="A91" t="s">
        <v>84</v>
      </c>
      <c r="B91" t="s">
        <v>22</v>
      </c>
      <c r="C91">
        <v>19</v>
      </c>
      <c r="D91">
        <v>6800</v>
      </c>
      <c r="E91">
        <f t="shared" si="1"/>
        <v>129200</v>
      </c>
    </row>
    <row r="92" spans="1:5" x14ac:dyDescent="0.3">
      <c r="A92" t="s">
        <v>85</v>
      </c>
      <c r="B92" t="s">
        <v>22</v>
      </c>
      <c r="C92">
        <v>30</v>
      </c>
      <c r="D92">
        <v>6500</v>
      </c>
      <c r="E92">
        <f t="shared" si="1"/>
        <v>195000</v>
      </c>
    </row>
    <row r="93" spans="1:5" x14ac:dyDescent="0.3">
      <c r="A93" t="s">
        <v>88</v>
      </c>
      <c r="B93" t="s">
        <v>3</v>
      </c>
      <c r="C93">
        <v>715</v>
      </c>
      <c r="D93">
        <v>28000</v>
      </c>
      <c r="E93">
        <f t="shared" si="1"/>
        <v>20020000</v>
      </c>
    </row>
    <row r="94" spans="1:5" hidden="1" x14ac:dyDescent="0.3">
      <c r="A94" t="s">
        <v>116</v>
      </c>
      <c r="B94" t="s">
        <v>26</v>
      </c>
      <c r="C94">
        <v>0</v>
      </c>
      <c r="E94">
        <f t="shared" si="1"/>
        <v>0</v>
      </c>
    </row>
    <row r="95" spans="1:5" hidden="1" x14ac:dyDescent="0.3">
      <c r="A95" t="s">
        <v>117</v>
      </c>
      <c r="B95" t="s">
        <v>8</v>
      </c>
      <c r="C95">
        <v>0</v>
      </c>
      <c r="E95">
        <f t="shared" si="1"/>
        <v>0</v>
      </c>
    </row>
    <row r="96" spans="1:5" x14ac:dyDescent="0.3">
      <c r="A96" t="s">
        <v>86</v>
      </c>
      <c r="B96" t="s">
        <v>22</v>
      </c>
      <c r="C96">
        <v>10</v>
      </c>
      <c r="D96">
        <v>6800</v>
      </c>
      <c r="E96">
        <f t="shared" si="1"/>
        <v>68000</v>
      </c>
    </row>
    <row r="97" spans="1:5" x14ac:dyDescent="0.3">
      <c r="A97" t="s">
        <v>87</v>
      </c>
      <c r="B97" t="s">
        <v>4</v>
      </c>
      <c r="C97">
        <v>76</v>
      </c>
      <c r="D97">
        <v>6000</v>
      </c>
      <c r="E97">
        <f t="shared" si="1"/>
        <v>456000</v>
      </c>
    </row>
    <row r="98" spans="1:5" hidden="1" x14ac:dyDescent="0.3">
      <c r="A98" t="s">
        <v>89</v>
      </c>
      <c r="B98" t="s">
        <v>4</v>
      </c>
      <c r="C98">
        <v>0</v>
      </c>
      <c r="E98">
        <f t="shared" si="1"/>
        <v>0</v>
      </c>
    </row>
    <row r="99" spans="1:5" x14ac:dyDescent="0.3">
      <c r="A99" t="s">
        <v>91</v>
      </c>
      <c r="B99" t="s">
        <v>3</v>
      </c>
      <c r="C99">
        <v>3</v>
      </c>
      <c r="D99">
        <v>9000</v>
      </c>
      <c r="E99">
        <f t="shared" si="1"/>
        <v>27000</v>
      </c>
    </row>
    <row r="100" spans="1:5" hidden="1" x14ac:dyDescent="0.3">
      <c r="A100" t="s">
        <v>92</v>
      </c>
      <c r="B100" t="s">
        <v>3</v>
      </c>
      <c r="C100">
        <v>0</v>
      </c>
      <c r="E100">
        <f t="shared" si="1"/>
        <v>0</v>
      </c>
    </row>
    <row r="101" spans="1:5" x14ac:dyDescent="0.3">
      <c r="A101" t="s">
        <v>81</v>
      </c>
      <c r="B101" t="s">
        <v>3</v>
      </c>
      <c r="C101">
        <v>6</v>
      </c>
      <c r="D101">
        <v>9000</v>
      </c>
      <c r="E101">
        <f t="shared" si="1"/>
        <v>54000</v>
      </c>
    </row>
    <row r="102" spans="1:5" hidden="1" x14ac:dyDescent="0.3">
      <c r="A102" t="s">
        <v>93</v>
      </c>
      <c r="B102" t="s">
        <v>3</v>
      </c>
      <c r="C102">
        <v>0</v>
      </c>
      <c r="E102">
        <f t="shared" si="1"/>
        <v>0</v>
      </c>
    </row>
    <row r="103" spans="1:5" x14ac:dyDescent="0.3">
      <c r="A103" t="s">
        <v>106</v>
      </c>
      <c r="B103" t="s">
        <v>3</v>
      </c>
      <c r="C103">
        <v>13</v>
      </c>
      <c r="D103">
        <v>20000</v>
      </c>
      <c r="E103">
        <f t="shared" si="1"/>
        <v>260000</v>
      </c>
    </row>
    <row r="104" spans="1:5" x14ac:dyDescent="0.3">
      <c r="A104" t="s">
        <v>133</v>
      </c>
      <c r="B104" t="s">
        <v>3</v>
      </c>
      <c r="C104">
        <v>50</v>
      </c>
      <c r="D104">
        <v>17000</v>
      </c>
      <c r="E104">
        <f t="shared" si="1"/>
        <v>850000</v>
      </c>
    </row>
    <row r="105" spans="1:5" x14ac:dyDescent="0.3">
      <c r="A105" t="s">
        <v>134</v>
      </c>
      <c r="B105" t="s">
        <v>3</v>
      </c>
      <c r="C105">
        <v>10</v>
      </c>
      <c r="D105">
        <v>8000</v>
      </c>
      <c r="E105">
        <f t="shared" si="1"/>
        <v>80000</v>
      </c>
    </row>
    <row r="106" spans="1:5" x14ac:dyDescent="0.3">
      <c r="E106">
        <f>SUM(E5:E105)</f>
        <v>219922200</v>
      </c>
    </row>
    <row r="107" spans="1:5" x14ac:dyDescent="0.3">
      <c r="A107" t="s">
        <v>103</v>
      </c>
    </row>
    <row r="108" spans="1:5" x14ac:dyDescent="0.3">
      <c r="A108" t="s">
        <v>0</v>
      </c>
      <c r="B108" t="s">
        <v>1</v>
      </c>
      <c r="C108" t="s">
        <v>102</v>
      </c>
      <c r="D108" t="s">
        <v>100</v>
      </c>
      <c r="E108" t="s">
        <v>101</v>
      </c>
    </row>
    <row r="109" spans="1:5" x14ac:dyDescent="0.3">
      <c r="A109" t="s">
        <v>2</v>
      </c>
      <c r="B109" t="s">
        <v>3</v>
      </c>
      <c r="C109">
        <v>140</v>
      </c>
      <c r="D109">
        <v>13000</v>
      </c>
      <c r="E109">
        <f t="shared" si="1"/>
        <v>1820000</v>
      </c>
    </row>
    <row r="110" spans="1:5" x14ac:dyDescent="0.3">
      <c r="A110" t="s">
        <v>57</v>
      </c>
      <c r="B110" t="s">
        <v>3</v>
      </c>
      <c r="C110">
        <v>75</v>
      </c>
      <c r="D110">
        <v>5000</v>
      </c>
      <c r="E110">
        <f t="shared" si="1"/>
        <v>375000</v>
      </c>
    </row>
    <row r="111" spans="1:5" x14ac:dyDescent="0.3">
      <c r="A111" t="s">
        <v>9</v>
      </c>
      <c r="B111" t="s">
        <v>3</v>
      </c>
      <c r="C111">
        <v>70</v>
      </c>
      <c r="D111">
        <v>13000</v>
      </c>
      <c r="E111">
        <f t="shared" si="1"/>
        <v>910000</v>
      </c>
    </row>
    <row r="112" spans="1:5" x14ac:dyDescent="0.3">
      <c r="A112" t="s">
        <v>10</v>
      </c>
      <c r="B112" t="s">
        <v>3</v>
      </c>
      <c r="C112">
        <v>190</v>
      </c>
      <c r="D112">
        <v>20500</v>
      </c>
      <c r="E112">
        <f t="shared" si="1"/>
        <v>3895000</v>
      </c>
    </row>
    <row r="113" spans="1:5" x14ac:dyDescent="0.3">
      <c r="A113" t="s">
        <v>14</v>
      </c>
      <c r="B113" t="s">
        <v>3</v>
      </c>
      <c r="C113">
        <v>190</v>
      </c>
      <c r="D113">
        <v>16000</v>
      </c>
      <c r="E113">
        <f t="shared" si="1"/>
        <v>3040000</v>
      </c>
    </row>
    <row r="114" spans="1:5" x14ac:dyDescent="0.3">
      <c r="A114" t="s">
        <v>15</v>
      </c>
      <c r="B114" t="s">
        <v>3</v>
      </c>
      <c r="C114">
        <v>100</v>
      </c>
      <c r="D114">
        <v>17000</v>
      </c>
      <c r="E114">
        <f t="shared" si="1"/>
        <v>1700000</v>
      </c>
    </row>
    <row r="115" spans="1:5" x14ac:dyDescent="0.3">
      <c r="A115" t="s">
        <v>59</v>
      </c>
      <c r="B115" t="s">
        <v>3</v>
      </c>
      <c r="C115">
        <v>15</v>
      </c>
      <c r="D115">
        <v>11000</v>
      </c>
      <c r="E115">
        <f t="shared" si="1"/>
        <v>165000</v>
      </c>
    </row>
    <row r="116" spans="1:5" hidden="1" x14ac:dyDescent="0.3">
      <c r="A116" t="s">
        <v>94</v>
      </c>
      <c r="B116" t="s">
        <v>3</v>
      </c>
      <c r="C116">
        <v>0</v>
      </c>
      <c r="E116">
        <f t="shared" si="1"/>
        <v>0</v>
      </c>
    </row>
    <row r="117" spans="1:5" hidden="1" x14ac:dyDescent="0.3">
      <c r="A117" t="s">
        <v>44</v>
      </c>
      <c r="B117" t="s">
        <v>3</v>
      </c>
      <c r="C117">
        <v>0</v>
      </c>
      <c r="E117">
        <f t="shared" si="1"/>
        <v>0</v>
      </c>
    </row>
    <row r="118" spans="1:5" hidden="1" x14ac:dyDescent="0.3">
      <c r="A118" t="s">
        <v>45</v>
      </c>
      <c r="B118" t="s">
        <v>3</v>
      </c>
      <c r="C118">
        <v>0</v>
      </c>
      <c r="E118">
        <f t="shared" si="1"/>
        <v>0</v>
      </c>
    </row>
    <row r="119" spans="1:5" x14ac:dyDescent="0.3">
      <c r="A119" t="s">
        <v>17</v>
      </c>
      <c r="B119" t="s">
        <v>3</v>
      </c>
      <c r="C119">
        <v>590</v>
      </c>
      <c r="D119">
        <v>7500</v>
      </c>
      <c r="E119">
        <f t="shared" si="1"/>
        <v>4425000</v>
      </c>
    </row>
    <row r="120" spans="1:5" hidden="1" x14ac:dyDescent="0.3">
      <c r="A120" t="s">
        <v>20</v>
      </c>
      <c r="B120" t="s">
        <v>3</v>
      </c>
      <c r="C120">
        <v>0</v>
      </c>
      <c r="E120">
        <f t="shared" si="1"/>
        <v>0</v>
      </c>
    </row>
    <row r="121" spans="1:5" x14ac:dyDescent="0.3">
      <c r="A121" t="s">
        <v>21</v>
      </c>
      <c r="B121" t="s">
        <v>3</v>
      </c>
      <c r="C121">
        <v>13</v>
      </c>
      <c r="D121">
        <v>16000</v>
      </c>
      <c r="E121">
        <f t="shared" si="1"/>
        <v>208000</v>
      </c>
    </row>
    <row r="122" spans="1:5" hidden="1" x14ac:dyDescent="0.3">
      <c r="A122" t="s">
        <v>66</v>
      </c>
      <c r="B122" t="s">
        <v>3</v>
      </c>
      <c r="C122">
        <v>0</v>
      </c>
      <c r="E122">
        <f t="shared" si="1"/>
        <v>0</v>
      </c>
    </row>
    <row r="123" spans="1:5" hidden="1" x14ac:dyDescent="0.3">
      <c r="A123" t="s">
        <v>84</v>
      </c>
      <c r="B123" t="s">
        <v>22</v>
      </c>
      <c r="C123">
        <v>0</v>
      </c>
      <c r="E123">
        <f t="shared" si="1"/>
        <v>0</v>
      </c>
    </row>
    <row r="124" spans="1:5" hidden="1" x14ac:dyDescent="0.3">
      <c r="A124" t="s">
        <v>86</v>
      </c>
      <c r="B124" t="s">
        <v>22</v>
      </c>
      <c r="C124">
        <v>0</v>
      </c>
      <c r="E124">
        <f t="shared" si="1"/>
        <v>0</v>
      </c>
    </row>
    <row r="125" spans="1:5" hidden="1" x14ac:dyDescent="0.3">
      <c r="A125" t="s">
        <v>85</v>
      </c>
      <c r="B125" t="s">
        <v>22</v>
      </c>
      <c r="C125">
        <v>0</v>
      </c>
      <c r="E125">
        <f t="shared" si="1"/>
        <v>0</v>
      </c>
    </row>
    <row r="126" spans="1:5" x14ac:dyDescent="0.3">
      <c r="A126" t="s">
        <v>95</v>
      </c>
      <c r="B126" t="s">
        <v>3</v>
      </c>
      <c r="C126">
        <v>70</v>
      </c>
      <c r="D126">
        <v>8000</v>
      </c>
      <c r="E126">
        <f t="shared" si="1"/>
        <v>560000</v>
      </c>
    </row>
    <row r="127" spans="1:5" hidden="1" x14ac:dyDescent="0.3">
      <c r="A127" t="s">
        <v>24</v>
      </c>
      <c r="B127" t="s">
        <v>3</v>
      </c>
      <c r="C127">
        <v>0</v>
      </c>
      <c r="E127">
        <f t="shared" si="1"/>
        <v>0</v>
      </c>
    </row>
    <row r="128" spans="1:5" hidden="1" x14ac:dyDescent="0.3">
      <c r="A128" t="s">
        <v>25</v>
      </c>
      <c r="B128" t="s">
        <v>3</v>
      </c>
      <c r="C128">
        <v>0</v>
      </c>
      <c r="E128">
        <f t="shared" si="1"/>
        <v>0</v>
      </c>
    </row>
    <row r="129" spans="1:5" hidden="1" x14ac:dyDescent="0.3">
      <c r="A129" t="s">
        <v>28</v>
      </c>
      <c r="B129" t="s">
        <v>3</v>
      </c>
      <c r="C129">
        <v>0</v>
      </c>
      <c r="E129">
        <f t="shared" si="1"/>
        <v>0</v>
      </c>
    </row>
    <row r="130" spans="1:5" x14ac:dyDescent="0.3">
      <c r="A130" t="s">
        <v>30</v>
      </c>
      <c r="B130" t="s">
        <v>3</v>
      </c>
      <c r="C130">
        <v>100</v>
      </c>
      <c r="D130">
        <v>22000</v>
      </c>
      <c r="E130">
        <f t="shared" si="1"/>
        <v>2200000</v>
      </c>
    </row>
    <row r="131" spans="1:5" x14ac:dyDescent="0.3">
      <c r="A131" t="s">
        <v>53</v>
      </c>
      <c r="B131" t="s">
        <v>3</v>
      </c>
      <c r="C131">
        <v>30</v>
      </c>
      <c r="D131">
        <v>6000</v>
      </c>
      <c r="E131">
        <f t="shared" si="1"/>
        <v>180000</v>
      </c>
    </row>
    <row r="132" spans="1:5" x14ac:dyDescent="0.3">
      <c r="A132" t="s">
        <v>34</v>
      </c>
      <c r="B132" t="s">
        <v>3</v>
      </c>
      <c r="C132">
        <v>4</v>
      </c>
      <c r="D132">
        <v>28000</v>
      </c>
      <c r="E132">
        <f t="shared" si="1"/>
        <v>112000</v>
      </c>
    </row>
    <row r="133" spans="1:5" hidden="1" x14ac:dyDescent="0.3">
      <c r="A133" t="s">
        <v>35</v>
      </c>
      <c r="B133" t="s">
        <v>3</v>
      </c>
      <c r="C133">
        <v>0</v>
      </c>
      <c r="E133">
        <f t="shared" si="1"/>
        <v>0</v>
      </c>
    </row>
    <row r="134" spans="1:5" x14ac:dyDescent="0.3">
      <c r="A134" t="s">
        <v>36</v>
      </c>
      <c r="B134" t="s">
        <v>3</v>
      </c>
      <c r="C134">
        <v>30</v>
      </c>
      <c r="D134">
        <v>18000</v>
      </c>
      <c r="E134">
        <f t="shared" ref="E134:E153" si="2">C134*D134</f>
        <v>540000</v>
      </c>
    </row>
    <row r="135" spans="1:5" x14ac:dyDescent="0.3">
      <c r="A135" t="s">
        <v>72</v>
      </c>
      <c r="B135" t="s">
        <v>3</v>
      </c>
      <c r="C135">
        <v>95</v>
      </c>
      <c r="D135">
        <v>7000</v>
      </c>
      <c r="E135">
        <f t="shared" si="2"/>
        <v>665000</v>
      </c>
    </row>
    <row r="136" spans="1:5" x14ac:dyDescent="0.3">
      <c r="A136" t="s">
        <v>56</v>
      </c>
      <c r="B136" t="s">
        <v>3</v>
      </c>
      <c r="C136">
        <v>38</v>
      </c>
      <c r="D136">
        <v>13000</v>
      </c>
      <c r="E136">
        <f t="shared" si="2"/>
        <v>494000</v>
      </c>
    </row>
    <row r="137" spans="1:5" x14ac:dyDescent="0.3">
      <c r="A137" t="s">
        <v>96</v>
      </c>
      <c r="B137" t="s">
        <v>3</v>
      </c>
      <c r="C137">
        <v>40</v>
      </c>
      <c r="D137">
        <v>25000</v>
      </c>
      <c r="E137">
        <f t="shared" si="2"/>
        <v>1000000</v>
      </c>
    </row>
    <row r="138" spans="1:5" hidden="1" x14ac:dyDescent="0.3">
      <c r="A138" t="s">
        <v>97</v>
      </c>
      <c r="B138" t="s">
        <v>3</v>
      </c>
      <c r="C138">
        <v>0</v>
      </c>
      <c r="E138">
        <f t="shared" si="2"/>
        <v>0</v>
      </c>
    </row>
    <row r="139" spans="1:5" hidden="1" x14ac:dyDescent="0.3">
      <c r="A139" t="s">
        <v>32</v>
      </c>
      <c r="B139" t="s">
        <v>3</v>
      </c>
      <c r="C139">
        <v>0</v>
      </c>
      <c r="E139">
        <f t="shared" si="2"/>
        <v>0</v>
      </c>
    </row>
    <row r="140" spans="1:5" x14ac:dyDescent="0.3">
      <c r="A140" t="s">
        <v>32</v>
      </c>
      <c r="B140" t="s">
        <v>6</v>
      </c>
      <c r="C140">
        <v>450</v>
      </c>
      <c r="D140">
        <v>5000</v>
      </c>
      <c r="E140">
        <f t="shared" si="2"/>
        <v>2250000</v>
      </c>
    </row>
    <row r="141" spans="1:5" x14ac:dyDescent="0.3">
      <c r="A141" t="s">
        <v>43</v>
      </c>
      <c r="B141" t="s">
        <v>3</v>
      </c>
      <c r="C141">
        <v>890</v>
      </c>
      <c r="D141">
        <v>27600</v>
      </c>
      <c r="E141">
        <f>C141*D141</f>
        <v>24564000</v>
      </c>
    </row>
    <row r="142" spans="1:5" x14ac:dyDescent="0.3">
      <c r="A142" t="s">
        <v>60</v>
      </c>
      <c r="B142" t="s">
        <v>4</v>
      </c>
      <c r="C142">
        <v>32</v>
      </c>
      <c r="D142">
        <v>6000</v>
      </c>
      <c r="E142">
        <f t="shared" si="2"/>
        <v>192000</v>
      </c>
    </row>
    <row r="143" spans="1:5" x14ac:dyDescent="0.3">
      <c r="A143" t="s">
        <v>61</v>
      </c>
      <c r="B143" t="s">
        <v>4</v>
      </c>
      <c r="C143">
        <v>100</v>
      </c>
      <c r="D143">
        <v>9000</v>
      </c>
      <c r="E143">
        <f t="shared" si="2"/>
        <v>900000</v>
      </c>
    </row>
    <row r="144" spans="1:5" hidden="1" x14ac:dyDescent="0.3">
      <c r="A144" t="s">
        <v>67</v>
      </c>
      <c r="B144" t="s">
        <v>3</v>
      </c>
      <c r="C144">
        <v>0</v>
      </c>
      <c r="E144">
        <f t="shared" si="2"/>
        <v>0</v>
      </c>
    </row>
    <row r="145" spans="1:5" hidden="1" x14ac:dyDescent="0.3">
      <c r="A145" t="s">
        <v>23</v>
      </c>
      <c r="B145" t="s">
        <v>22</v>
      </c>
      <c r="C145">
        <v>0</v>
      </c>
      <c r="E145">
        <f t="shared" si="2"/>
        <v>0</v>
      </c>
    </row>
    <row r="146" spans="1:5" hidden="1" x14ac:dyDescent="0.3">
      <c r="A146" t="s">
        <v>37</v>
      </c>
      <c r="B146" t="s">
        <v>3</v>
      </c>
      <c r="C146">
        <v>0</v>
      </c>
      <c r="E146">
        <f t="shared" si="2"/>
        <v>0</v>
      </c>
    </row>
    <row r="147" spans="1:5" hidden="1" x14ac:dyDescent="0.3">
      <c r="A147" t="s">
        <v>46</v>
      </c>
      <c r="B147" t="s">
        <v>3</v>
      </c>
      <c r="C147">
        <v>0</v>
      </c>
      <c r="E147">
        <f t="shared" si="2"/>
        <v>0</v>
      </c>
    </row>
    <row r="148" spans="1:5" hidden="1" x14ac:dyDescent="0.3">
      <c r="A148" t="s">
        <v>109</v>
      </c>
      <c r="B148" t="s">
        <v>3</v>
      </c>
      <c r="C148">
        <v>0</v>
      </c>
      <c r="E148">
        <f t="shared" si="2"/>
        <v>0</v>
      </c>
    </row>
    <row r="149" spans="1:5" hidden="1" x14ac:dyDescent="0.3">
      <c r="A149" t="s">
        <v>13</v>
      </c>
      <c r="B149" t="s">
        <v>4</v>
      </c>
      <c r="C149">
        <v>0</v>
      </c>
      <c r="E149">
        <f t="shared" si="2"/>
        <v>0</v>
      </c>
    </row>
    <row r="150" spans="1:5" hidden="1" x14ac:dyDescent="0.3">
      <c r="A150" t="s">
        <v>89</v>
      </c>
      <c r="B150" t="s">
        <v>4</v>
      </c>
      <c r="C150">
        <v>0</v>
      </c>
      <c r="E150">
        <f t="shared" si="2"/>
        <v>0</v>
      </c>
    </row>
    <row r="151" spans="1:5" hidden="1" x14ac:dyDescent="0.3">
      <c r="A151" t="s">
        <v>107</v>
      </c>
      <c r="B151" t="s">
        <v>6</v>
      </c>
      <c r="C151">
        <v>0</v>
      </c>
      <c r="E151">
        <f t="shared" si="2"/>
        <v>0</v>
      </c>
    </row>
    <row r="152" spans="1:5" x14ac:dyDescent="0.3">
      <c r="A152" t="s">
        <v>98</v>
      </c>
      <c r="B152" t="s">
        <v>3</v>
      </c>
      <c r="C152">
        <v>330</v>
      </c>
      <c r="D152">
        <v>3500</v>
      </c>
      <c r="E152">
        <f t="shared" si="2"/>
        <v>1155000</v>
      </c>
    </row>
    <row r="153" spans="1:5" x14ac:dyDescent="0.3">
      <c r="A153" t="s">
        <v>116</v>
      </c>
      <c r="B153" t="s">
        <v>26</v>
      </c>
      <c r="C153">
        <v>1570</v>
      </c>
      <c r="D153">
        <v>10000</v>
      </c>
      <c r="E153">
        <f t="shared" si="2"/>
        <v>15700000</v>
      </c>
    </row>
    <row r="154" spans="1:5" x14ac:dyDescent="0.3">
      <c r="E154">
        <f>SUM(E109:E153)</f>
        <v>67050000</v>
      </c>
    </row>
    <row r="155" spans="1:5" x14ac:dyDescent="0.3">
      <c r="E155">
        <f>E154+E106</f>
        <v>286972200</v>
      </c>
    </row>
  </sheetData>
  <autoFilter ref="A2:E153" xr:uid="{00000000-0009-0000-0000-000008000000}">
    <filterColumn colId="2">
      <filters>
        <filter val="1"/>
        <filter val="1.5"/>
        <filter val="10"/>
        <filter val="100"/>
        <filter val="11"/>
        <filter val="13"/>
        <filter val="133"/>
        <filter val="135"/>
        <filter val="140"/>
        <filter val="15"/>
        <filter val="1570"/>
        <filter val="16"/>
        <filter val="17"/>
        <filter val="19"/>
        <filter val="190"/>
        <filter val="20"/>
        <filter val="2100"/>
        <filter val="2210"/>
        <filter val="231"/>
        <filter val="24"/>
        <filter val="25"/>
        <filter val="250"/>
        <filter val="27"/>
        <filter val="3"/>
        <filter val="3.7"/>
        <filter val="30"/>
        <filter val="32"/>
        <filter val="33"/>
        <filter val="330"/>
        <filter val="350"/>
        <filter val="366"/>
        <filter val="38"/>
        <filter val="393"/>
        <filter val="4"/>
        <filter val="40"/>
        <filter val="45"/>
        <filter val="450"/>
        <filter val="462"/>
        <filter val="5"/>
        <filter val="50"/>
        <filter val="51"/>
        <filter val="520"/>
        <filter val="56"/>
        <filter val="590"/>
        <filter val="6"/>
        <filter val="60"/>
        <filter val="650"/>
        <filter val="68"/>
        <filter val="70"/>
        <filter val="715"/>
        <filter val="75"/>
        <filter val="76"/>
        <filter val="79"/>
        <filter val="8"/>
        <filter val="890"/>
        <filter val="95"/>
        <filter val="975"/>
        <filter val="Tồn_x000a_ĐL_x000a__x000a_現在庫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E163"/>
  <sheetViews>
    <sheetView topLeftCell="A45" workbookViewId="0">
      <selection activeCell="F165" sqref="F165"/>
    </sheetView>
  </sheetViews>
  <sheetFormatPr defaultRowHeight="14.4" x14ac:dyDescent="0.3"/>
  <cols>
    <col min="1" max="1" width="26.88671875" customWidth="1"/>
    <col min="3" max="3" width="10.6640625" customWidth="1"/>
    <col min="4" max="4" width="12.21875" customWidth="1"/>
    <col min="5" max="5" width="20.109375" customWidth="1"/>
  </cols>
  <sheetData>
    <row r="1" spans="1:5" x14ac:dyDescent="0.3">
      <c r="A1" t="s">
        <v>138</v>
      </c>
    </row>
    <row r="2" spans="1:5" x14ac:dyDescent="0.3">
      <c r="A2" t="s">
        <v>0</v>
      </c>
      <c r="B2" t="s">
        <v>1</v>
      </c>
      <c r="C2" t="s">
        <v>102</v>
      </c>
      <c r="D2" t="s">
        <v>100</v>
      </c>
      <c r="E2" t="s">
        <v>101</v>
      </c>
    </row>
    <row r="3" spans="1:5" x14ac:dyDescent="0.3">
      <c r="A3" t="s">
        <v>2</v>
      </c>
      <c r="B3" t="s">
        <v>3</v>
      </c>
      <c r="C3">
        <v>60</v>
      </c>
      <c r="D3">
        <v>13000</v>
      </c>
      <c r="E3">
        <f>C3*D3</f>
        <v>780000</v>
      </c>
    </row>
    <row r="4" spans="1:5" hidden="1" x14ac:dyDescent="0.3">
      <c r="A4" t="s">
        <v>2</v>
      </c>
      <c r="B4" t="s">
        <v>4</v>
      </c>
      <c r="C4">
        <v>0</v>
      </c>
      <c r="E4">
        <f t="shared" ref="E4:E67" si="0">C4*D4</f>
        <v>0</v>
      </c>
    </row>
    <row r="5" spans="1:5" hidden="1" x14ac:dyDescent="0.3">
      <c r="A5" t="s">
        <v>5</v>
      </c>
      <c r="B5" t="s">
        <v>3</v>
      </c>
      <c r="C5">
        <v>0</v>
      </c>
      <c r="E5">
        <f t="shared" si="0"/>
        <v>0</v>
      </c>
    </row>
    <row r="6" spans="1:5" x14ac:dyDescent="0.3">
      <c r="A6" t="s">
        <v>5</v>
      </c>
      <c r="B6" t="s">
        <v>6</v>
      </c>
      <c r="C6">
        <v>15</v>
      </c>
      <c r="D6">
        <v>8000</v>
      </c>
      <c r="E6">
        <f t="shared" si="0"/>
        <v>120000</v>
      </c>
    </row>
    <row r="7" spans="1:5" x14ac:dyDescent="0.3">
      <c r="A7" t="s">
        <v>7</v>
      </c>
      <c r="B7" t="s">
        <v>8</v>
      </c>
      <c r="C7">
        <v>13</v>
      </c>
      <c r="D7">
        <v>7000</v>
      </c>
      <c r="E7">
        <f t="shared" si="0"/>
        <v>91000</v>
      </c>
    </row>
    <row r="8" spans="1:5" hidden="1" x14ac:dyDescent="0.3">
      <c r="A8" t="s">
        <v>7</v>
      </c>
      <c r="B8" t="s">
        <v>3</v>
      </c>
      <c r="C8">
        <v>0</v>
      </c>
      <c r="E8">
        <f t="shared" si="0"/>
        <v>0</v>
      </c>
    </row>
    <row r="9" spans="1:5" x14ac:dyDescent="0.3">
      <c r="A9" t="s">
        <v>9</v>
      </c>
      <c r="B9" t="s">
        <v>3</v>
      </c>
      <c r="C9">
        <v>35</v>
      </c>
      <c r="D9">
        <v>12000</v>
      </c>
      <c r="E9">
        <f t="shared" si="0"/>
        <v>420000</v>
      </c>
    </row>
    <row r="10" spans="1:5" hidden="1" x14ac:dyDescent="0.3">
      <c r="A10" t="s">
        <v>9</v>
      </c>
      <c r="B10" t="s">
        <v>4</v>
      </c>
      <c r="C10">
        <v>0</v>
      </c>
      <c r="E10">
        <f t="shared" si="0"/>
        <v>0</v>
      </c>
    </row>
    <row r="11" spans="1:5" x14ac:dyDescent="0.3">
      <c r="A11" t="s">
        <v>10</v>
      </c>
      <c r="B11" t="s">
        <v>3</v>
      </c>
      <c r="C11">
        <v>185</v>
      </c>
      <c r="D11">
        <v>20500</v>
      </c>
      <c r="E11">
        <f t="shared" si="0"/>
        <v>3792500</v>
      </c>
    </row>
    <row r="12" spans="1:5" hidden="1" x14ac:dyDescent="0.3">
      <c r="A12" t="s">
        <v>10</v>
      </c>
      <c r="B12" t="s">
        <v>11</v>
      </c>
      <c r="C12">
        <v>0</v>
      </c>
      <c r="E12">
        <f t="shared" si="0"/>
        <v>0</v>
      </c>
    </row>
    <row r="13" spans="1:5" hidden="1" x14ac:dyDescent="0.3">
      <c r="A13" t="s">
        <v>12</v>
      </c>
      <c r="B13" t="s">
        <v>4</v>
      </c>
      <c r="C13">
        <v>0</v>
      </c>
      <c r="E13">
        <f t="shared" si="0"/>
        <v>0</v>
      </c>
    </row>
    <row r="14" spans="1:5" x14ac:dyDescent="0.3">
      <c r="A14" t="s">
        <v>13</v>
      </c>
      <c r="B14" t="s">
        <v>3</v>
      </c>
      <c r="C14">
        <v>930</v>
      </c>
      <c r="D14">
        <v>24000</v>
      </c>
      <c r="E14">
        <f t="shared" si="0"/>
        <v>22320000</v>
      </c>
    </row>
    <row r="15" spans="1:5" x14ac:dyDescent="0.3">
      <c r="A15" t="s">
        <v>14</v>
      </c>
      <c r="B15" t="s">
        <v>3</v>
      </c>
      <c r="C15">
        <v>35</v>
      </c>
      <c r="D15">
        <v>16000</v>
      </c>
      <c r="E15">
        <f t="shared" si="0"/>
        <v>560000</v>
      </c>
    </row>
    <row r="16" spans="1:5" x14ac:dyDescent="0.3">
      <c r="A16" t="s">
        <v>15</v>
      </c>
      <c r="B16" t="s">
        <v>3</v>
      </c>
      <c r="C16">
        <v>280</v>
      </c>
      <c r="D16">
        <v>17000</v>
      </c>
      <c r="E16">
        <f t="shared" si="0"/>
        <v>4760000</v>
      </c>
    </row>
    <row r="17" spans="1:5" hidden="1" x14ac:dyDescent="0.3">
      <c r="A17" t="s">
        <v>15</v>
      </c>
      <c r="B17" t="s">
        <v>4</v>
      </c>
      <c r="C17">
        <v>0</v>
      </c>
      <c r="E17">
        <f t="shared" si="0"/>
        <v>0</v>
      </c>
    </row>
    <row r="18" spans="1:5" x14ac:dyDescent="0.3">
      <c r="A18" t="s">
        <v>16</v>
      </c>
      <c r="B18" t="s">
        <v>6</v>
      </c>
      <c r="C18">
        <v>15</v>
      </c>
      <c r="D18">
        <v>8000</v>
      </c>
      <c r="E18">
        <f t="shared" si="0"/>
        <v>120000</v>
      </c>
    </row>
    <row r="19" spans="1:5" x14ac:dyDescent="0.3">
      <c r="A19" t="s">
        <v>17</v>
      </c>
      <c r="B19" t="s">
        <v>3</v>
      </c>
      <c r="C19">
        <v>220</v>
      </c>
      <c r="D19">
        <v>7500</v>
      </c>
      <c r="E19">
        <f t="shared" si="0"/>
        <v>1650000</v>
      </c>
    </row>
    <row r="20" spans="1:5" hidden="1" x14ac:dyDescent="0.3">
      <c r="A20" t="s">
        <v>18</v>
      </c>
      <c r="B20" t="s">
        <v>3</v>
      </c>
      <c r="C20">
        <v>0</v>
      </c>
      <c r="E20">
        <f t="shared" si="0"/>
        <v>0</v>
      </c>
    </row>
    <row r="21" spans="1:5" hidden="1" x14ac:dyDescent="0.3">
      <c r="A21" t="s">
        <v>18</v>
      </c>
      <c r="B21" t="s">
        <v>4</v>
      </c>
      <c r="C21">
        <v>0</v>
      </c>
      <c r="E21">
        <f t="shared" si="0"/>
        <v>0</v>
      </c>
    </row>
    <row r="22" spans="1:5" x14ac:dyDescent="0.3">
      <c r="A22" t="s">
        <v>19</v>
      </c>
      <c r="B22" t="s">
        <v>4</v>
      </c>
      <c r="C22">
        <v>11</v>
      </c>
      <c r="D22">
        <v>5000</v>
      </c>
      <c r="E22">
        <f t="shared" si="0"/>
        <v>55000</v>
      </c>
    </row>
    <row r="23" spans="1:5" hidden="1" x14ac:dyDescent="0.3">
      <c r="A23" t="s">
        <v>20</v>
      </c>
      <c r="B23" t="s">
        <v>3</v>
      </c>
      <c r="C23">
        <v>0</v>
      </c>
      <c r="E23">
        <f t="shared" si="0"/>
        <v>0</v>
      </c>
    </row>
    <row r="24" spans="1:5" hidden="1" x14ac:dyDescent="0.3">
      <c r="A24" t="s">
        <v>21</v>
      </c>
      <c r="B24" t="s">
        <v>22</v>
      </c>
      <c r="C24">
        <v>0</v>
      </c>
      <c r="E24">
        <f t="shared" si="0"/>
        <v>0</v>
      </c>
    </row>
    <row r="25" spans="1:5" x14ac:dyDescent="0.3">
      <c r="A25" t="s">
        <v>21</v>
      </c>
      <c r="B25" t="s">
        <v>3</v>
      </c>
      <c r="C25">
        <v>110</v>
      </c>
      <c r="D25">
        <v>16000</v>
      </c>
      <c r="E25">
        <f t="shared" si="0"/>
        <v>1760000</v>
      </c>
    </row>
    <row r="26" spans="1:5" hidden="1" x14ac:dyDescent="0.3">
      <c r="A26" t="s">
        <v>23</v>
      </c>
      <c r="B26" t="s">
        <v>3</v>
      </c>
      <c r="C26">
        <v>0</v>
      </c>
      <c r="E26">
        <f t="shared" si="0"/>
        <v>0</v>
      </c>
    </row>
    <row r="27" spans="1:5" x14ac:dyDescent="0.3">
      <c r="A27" t="s">
        <v>24</v>
      </c>
      <c r="B27" t="s">
        <v>3</v>
      </c>
      <c r="C27">
        <v>405</v>
      </c>
      <c r="D27">
        <v>5000</v>
      </c>
      <c r="E27">
        <f t="shared" si="0"/>
        <v>2025000</v>
      </c>
    </row>
    <row r="28" spans="1:5" x14ac:dyDescent="0.3">
      <c r="A28" t="s">
        <v>25</v>
      </c>
      <c r="B28" t="s">
        <v>3</v>
      </c>
      <c r="C28">
        <v>130</v>
      </c>
      <c r="D28">
        <v>11000</v>
      </c>
      <c r="E28">
        <f t="shared" si="0"/>
        <v>1430000</v>
      </c>
    </row>
    <row r="29" spans="1:5" hidden="1" x14ac:dyDescent="0.3">
      <c r="A29" t="s">
        <v>25</v>
      </c>
      <c r="B29" t="s">
        <v>26</v>
      </c>
      <c r="C29">
        <v>0</v>
      </c>
      <c r="E29">
        <f t="shared" si="0"/>
        <v>0</v>
      </c>
    </row>
    <row r="30" spans="1:5" x14ac:dyDescent="0.3">
      <c r="A30" t="s">
        <v>27</v>
      </c>
      <c r="B30" t="s">
        <v>3</v>
      </c>
      <c r="C30">
        <v>55</v>
      </c>
      <c r="D30">
        <v>10000</v>
      </c>
      <c r="E30">
        <f t="shared" si="0"/>
        <v>550000</v>
      </c>
    </row>
    <row r="31" spans="1:5" hidden="1" x14ac:dyDescent="0.3">
      <c r="A31" t="s">
        <v>27</v>
      </c>
      <c r="B31" t="s">
        <v>26</v>
      </c>
      <c r="C31">
        <v>0</v>
      </c>
      <c r="E31">
        <f t="shared" si="0"/>
        <v>0</v>
      </c>
    </row>
    <row r="32" spans="1:5" x14ac:dyDescent="0.3">
      <c r="A32" t="s">
        <v>28</v>
      </c>
      <c r="B32" t="s">
        <v>3</v>
      </c>
      <c r="C32">
        <v>172</v>
      </c>
      <c r="D32">
        <v>24000</v>
      </c>
      <c r="E32">
        <f t="shared" si="0"/>
        <v>4128000</v>
      </c>
    </row>
    <row r="33" spans="1:5" hidden="1" x14ac:dyDescent="0.3">
      <c r="A33" t="s">
        <v>28</v>
      </c>
      <c r="B33" t="s">
        <v>6</v>
      </c>
      <c r="C33">
        <v>0</v>
      </c>
      <c r="E33">
        <f t="shared" si="0"/>
        <v>0</v>
      </c>
    </row>
    <row r="34" spans="1:5" hidden="1" x14ac:dyDescent="0.3">
      <c r="A34" t="s">
        <v>28</v>
      </c>
      <c r="B34" t="s">
        <v>29</v>
      </c>
      <c r="C34">
        <v>0</v>
      </c>
      <c r="E34">
        <f t="shared" si="0"/>
        <v>0</v>
      </c>
    </row>
    <row r="35" spans="1:5" x14ac:dyDescent="0.3">
      <c r="A35" t="s">
        <v>30</v>
      </c>
      <c r="B35" t="s">
        <v>3</v>
      </c>
      <c r="C35">
        <v>410</v>
      </c>
      <c r="D35">
        <v>24000</v>
      </c>
      <c r="E35">
        <f t="shared" si="0"/>
        <v>9840000</v>
      </c>
    </row>
    <row r="36" spans="1:5" hidden="1" x14ac:dyDescent="0.3">
      <c r="A36" t="s">
        <v>30</v>
      </c>
      <c r="B36" t="s">
        <v>6</v>
      </c>
      <c r="C36">
        <v>0</v>
      </c>
      <c r="E36">
        <f t="shared" si="0"/>
        <v>0</v>
      </c>
    </row>
    <row r="37" spans="1:5" x14ac:dyDescent="0.3">
      <c r="A37" t="s">
        <v>31</v>
      </c>
      <c r="B37" t="s">
        <v>4</v>
      </c>
      <c r="C37">
        <v>70</v>
      </c>
      <c r="D37">
        <v>20000</v>
      </c>
      <c r="E37">
        <f t="shared" si="0"/>
        <v>1400000</v>
      </c>
    </row>
    <row r="38" spans="1:5" hidden="1" x14ac:dyDescent="0.3">
      <c r="A38" t="s">
        <v>32</v>
      </c>
      <c r="B38" t="s">
        <v>3</v>
      </c>
      <c r="C38">
        <v>0</v>
      </c>
      <c r="E38">
        <f t="shared" si="0"/>
        <v>0</v>
      </c>
    </row>
    <row r="39" spans="1:5" x14ac:dyDescent="0.3">
      <c r="A39" t="s">
        <v>32</v>
      </c>
      <c r="B39" t="s">
        <v>6</v>
      </c>
      <c r="C39">
        <v>434</v>
      </c>
      <c r="D39">
        <v>5000</v>
      </c>
      <c r="E39">
        <f t="shared" si="0"/>
        <v>2170000</v>
      </c>
    </row>
    <row r="40" spans="1:5" x14ac:dyDescent="0.3">
      <c r="A40" t="s">
        <v>33</v>
      </c>
      <c r="B40" t="s">
        <v>3</v>
      </c>
      <c r="C40">
        <v>2</v>
      </c>
      <c r="D40">
        <v>7000</v>
      </c>
      <c r="E40">
        <f t="shared" si="0"/>
        <v>14000</v>
      </c>
    </row>
    <row r="41" spans="1:5" x14ac:dyDescent="0.3">
      <c r="A41" t="s">
        <v>34</v>
      </c>
      <c r="B41" t="s">
        <v>3</v>
      </c>
      <c r="C41">
        <v>58</v>
      </c>
      <c r="D41">
        <v>30000</v>
      </c>
      <c r="E41">
        <f t="shared" si="0"/>
        <v>1740000</v>
      </c>
    </row>
    <row r="42" spans="1:5" hidden="1" x14ac:dyDescent="0.3">
      <c r="A42" t="s">
        <v>34</v>
      </c>
      <c r="B42" t="s">
        <v>26</v>
      </c>
      <c r="C42">
        <v>0</v>
      </c>
      <c r="E42">
        <f t="shared" si="0"/>
        <v>0</v>
      </c>
    </row>
    <row r="43" spans="1:5" x14ac:dyDescent="0.3">
      <c r="A43" t="s">
        <v>35</v>
      </c>
      <c r="B43" t="s">
        <v>3</v>
      </c>
      <c r="C43">
        <v>40</v>
      </c>
      <c r="D43">
        <v>15000</v>
      </c>
      <c r="E43">
        <f t="shared" si="0"/>
        <v>600000</v>
      </c>
    </row>
    <row r="44" spans="1:5" hidden="1" x14ac:dyDescent="0.3">
      <c r="A44" t="s">
        <v>35</v>
      </c>
      <c r="B44" t="s">
        <v>26</v>
      </c>
      <c r="C44">
        <v>0</v>
      </c>
      <c r="E44">
        <f t="shared" si="0"/>
        <v>0</v>
      </c>
    </row>
    <row r="45" spans="1:5" x14ac:dyDescent="0.3">
      <c r="A45" t="s">
        <v>36</v>
      </c>
      <c r="B45" t="s">
        <v>3</v>
      </c>
      <c r="C45">
        <v>35</v>
      </c>
      <c r="D45">
        <v>18000</v>
      </c>
      <c r="E45">
        <f t="shared" si="0"/>
        <v>630000</v>
      </c>
    </row>
    <row r="46" spans="1:5" hidden="1" x14ac:dyDescent="0.3">
      <c r="A46" t="s">
        <v>36</v>
      </c>
      <c r="B46" t="s">
        <v>26</v>
      </c>
      <c r="C46">
        <v>0</v>
      </c>
      <c r="E46">
        <f t="shared" si="0"/>
        <v>0</v>
      </c>
    </row>
    <row r="47" spans="1:5" hidden="1" x14ac:dyDescent="0.3">
      <c r="A47" t="s">
        <v>37</v>
      </c>
      <c r="B47" t="s">
        <v>3</v>
      </c>
      <c r="C47">
        <v>0</v>
      </c>
      <c r="E47">
        <f t="shared" si="0"/>
        <v>0</v>
      </c>
    </row>
    <row r="48" spans="1:5" hidden="1" x14ac:dyDescent="0.3">
      <c r="A48" t="s">
        <v>38</v>
      </c>
      <c r="B48" t="s">
        <v>6</v>
      </c>
      <c r="C48">
        <v>0</v>
      </c>
      <c r="E48">
        <f t="shared" si="0"/>
        <v>0</v>
      </c>
    </row>
    <row r="49" spans="1:5" x14ac:dyDescent="0.3">
      <c r="A49" t="s">
        <v>39</v>
      </c>
      <c r="B49" t="s">
        <v>3</v>
      </c>
      <c r="C49">
        <v>2040</v>
      </c>
      <c r="D49">
        <v>24000</v>
      </c>
      <c r="E49">
        <f t="shared" si="0"/>
        <v>48960000</v>
      </c>
    </row>
    <row r="50" spans="1:5" x14ac:dyDescent="0.3">
      <c r="A50" t="s">
        <v>40</v>
      </c>
      <c r="B50" t="s">
        <v>3</v>
      </c>
      <c r="C50">
        <v>29</v>
      </c>
      <c r="D50">
        <v>30000</v>
      </c>
      <c r="E50">
        <f t="shared" si="0"/>
        <v>870000</v>
      </c>
    </row>
    <row r="51" spans="1:5" x14ac:dyDescent="0.3">
      <c r="A51" t="s">
        <v>40</v>
      </c>
      <c r="B51" t="s">
        <v>41</v>
      </c>
      <c r="C51">
        <v>71</v>
      </c>
      <c r="D51">
        <v>9000</v>
      </c>
      <c r="E51">
        <f t="shared" si="0"/>
        <v>639000</v>
      </c>
    </row>
    <row r="52" spans="1:5" hidden="1" x14ac:dyDescent="0.3">
      <c r="A52" t="s">
        <v>42</v>
      </c>
      <c r="B52" t="s">
        <v>3</v>
      </c>
      <c r="C52">
        <v>0</v>
      </c>
      <c r="E52">
        <f t="shared" si="0"/>
        <v>0</v>
      </c>
    </row>
    <row r="53" spans="1:5" x14ac:dyDescent="0.3">
      <c r="A53" t="s">
        <v>43</v>
      </c>
      <c r="B53" t="s">
        <v>3</v>
      </c>
      <c r="C53">
        <v>2065</v>
      </c>
      <c r="D53">
        <v>27600</v>
      </c>
      <c r="E53">
        <f t="shared" si="0"/>
        <v>56994000</v>
      </c>
    </row>
    <row r="54" spans="1:5" hidden="1" x14ac:dyDescent="0.3">
      <c r="A54" t="s">
        <v>44</v>
      </c>
      <c r="B54" t="s">
        <v>3</v>
      </c>
      <c r="C54">
        <v>0</v>
      </c>
      <c r="E54">
        <f t="shared" si="0"/>
        <v>0</v>
      </c>
    </row>
    <row r="55" spans="1:5" hidden="1" x14ac:dyDescent="0.3">
      <c r="A55" t="s">
        <v>45</v>
      </c>
      <c r="B55" t="s">
        <v>3</v>
      </c>
      <c r="C55">
        <v>0</v>
      </c>
      <c r="E55">
        <f t="shared" si="0"/>
        <v>0</v>
      </c>
    </row>
    <row r="56" spans="1:5" hidden="1" x14ac:dyDescent="0.3">
      <c r="A56" t="s">
        <v>46</v>
      </c>
      <c r="B56" t="s">
        <v>3</v>
      </c>
      <c r="C56">
        <v>0</v>
      </c>
      <c r="E56">
        <f t="shared" si="0"/>
        <v>0</v>
      </c>
    </row>
    <row r="57" spans="1:5" x14ac:dyDescent="0.3">
      <c r="A57" t="s">
        <v>47</v>
      </c>
      <c r="B57" t="s">
        <v>3</v>
      </c>
      <c r="C57">
        <v>23</v>
      </c>
      <c r="D57">
        <v>20000</v>
      </c>
      <c r="E57">
        <f t="shared" si="0"/>
        <v>460000</v>
      </c>
    </row>
    <row r="58" spans="1:5" x14ac:dyDescent="0.3">
      <c r="A58" t="s">
        <v>48</v>
      </c>
      <c r="B58" t="s">
        <v>3</v>
      </c>
      <c r="C58">
        <v>67</v>
      </c>
      <c r="D58">
        <v>21000</v>
      </c>
      <c r="E58">
        <f t="shared" si="0"/>
        <v>1407000</v>
      </c>
    </row>
    <row r="59" spans="1:5" hidden="1" x14ac:dyDescent="0.3">
      <c r="A59" t="s">
        <v>48</v>
      </c>
      <c r="B59" t="s">
        <v>49</v>
      </c>
      <c r="C59">
        <v>0</v>
      </c>
      <c r="E59">
        <f t="shared" si="0"/>
        <v>0</v>
      </c>
    </row>
    <row r="60" spans="1:5" x14ac:dyDescent="0.3">
      <c r="A60" t="s">
        <v>50</v>
      </c>
      <c r="B60" t="s">
        <v>8</v>
      </c>
      <c r="C60">
        <v>29</v>
      </c>
      <c r="D60">
        <v>17000</v>
      </c>
      <c r="E60">
        <f t="shared" si="0"/>
        <v>493000</v>
      </c>
    </row>
    <row r="61" spans="1:5" x14ac:dyDescent="0.3">
      <c r="A61" t="s">
        <v>51</v>
      </c>
      <c r="B61" t="s">
        <v>3</v>
      </c>
      <c r="C61">
        <v>4</v>
      </c>
      <c r="D61">
        <v>40000</v>
      </c>
      <c r="E61">
        <f t="shared" si="0"/>
        <v>160000</v>
      </c>
    </row>
    <row r="62" spans="1:5" hidden="1" x14ac:dyDescent="0.3">
      <c r="A62" t="s">
        <v>51</v>
      </c>
      <c r="B62" t="s">
        <v>52</v>
      </c>
      <c r="C62">
        <v>0</v>
      </c>
      <c r="E62">
        <f t="shared" si="0"/>
        <v>0</v>
      </c>
    </row>
    <row r="63" spans="1:5" x14ac:dyDescent="0.3">
      <c r="A63" t="s">
        <v>53</v>
      </c>
      <c r="B63" t="s">
        <v>3</v>
      </c>
      <c r="C63">
        <v>40</v>
      </c>
      <c r="D63">
        <v>6500</v>
      </c>
      <c r="E63">
        <f t="shared" si="0"/>
        <v>260000</v>
      </c>
    </row>
    <row r="64" spans="1:5" hidden="1" x14ac:dyDescent="0.3">
      <c r="A64" t="s">
        <v>53</v>
      </c>
      <c r="B64" t="s">
        <v>54</v>
      </c>
      <c r="C64">
        <v>0</v>
      </c>
      <c r="E64">
        <f t="shared" si="0"/>
        <v>0</v>
      </c>
    </row>
    <row r="65" spans="1:5" hidden="1" x14ac:dyDescent="0.3">
      <c r="A65" t="s">
        <v>55</v>
      </c>
      <c r="B65" t="s">
        <v>3</v>
      </c>
      <c r="C65">
        <v>0</v>
      </c>
      <c r="E65">
        <f t="shared" si="0"/>
        <v>0</v>
      </c>
    </row>
    <row r="66" spans="1:5" x14ac:dyDescent="0.3">
      <c r="A66" t="s">
        <v>55</v>
      </c>
      <c r="B66" t="s">
        <v>4</v>
      </c>
      <c r="C66">
        <v>11</v>
      </c>
      <c r="D66">
        <v>5000</v>
      </c>
      <c r="E66">
        <f t="shared" si="0"/>
        <v>55000</v>
      </c>
    </row>
    <row r="67" spans="1:5" hidden="1" x14ac:dyDescent="0.3">
      <c r="A67" t="s">
        <v>56</v>
      </c>
      <c r="B67" t="s">
        <v>3</v>
      </c>
      <c r="C67">
        <v>0</v>
      </c>
      <c r="E67">
        <f t="shared" si="0"/>
        <v>0</v>
      </c>
    </row>
    <row r="68" spans="1:5" x14ac:dyDescent="0.3">
      <c r="A68" t="s">
        <v>57</v>
      </c>
      <c r="B68" t="s">
        <v>3</v>
      </c>
      <c r="C68">
        <v>30</v>
      </c>
      <c r="D68">
        <v>4500</v>
      </c>
      <c r="E68">
        <f t="shared" ref="E68:E133" si="1">C68*D68</f>
        <v>135000</v>
      </c>
    </row>
    <row r="69" spans="1:5" x14ac:dyDescent="0.3">
      <c r="A69" t="s">
        <v>58</v>
      </c>
      <c r="B69" t="s">
        <v>3</v>
      </c>
      <c r="C69">
        <v>20</v>
      </c>
      <c r="D69">
        <v>30000</v>
      </c>
      <c r="E69">
        <f t="shared" si="1"/>
        <v>600000</v>
      </c>
    </row>
    <row r="70" spans="1:5" x14ac:dyDescent="0.3">
      <c r="A70" t="s">
        <v>59</v>
      </c>
      <c r="B70" t="s">
        <v>3</v>
      </c>
      <c r="C70">
        <v>30</v>
      </c>
      <c r="D70">
        <v>11000</v>
      </c>
      <c r="E70">
        <f t="shared" si="1"/>
        <v>330000</v>
      </c>
    </row>
    <row r="71" spans="1:5" x14ac:dyDescent="0.3">
      <c r="A71" t="s">
        <v>60</v>
      </c>
      <c r="B71" t="s">
        <v>4</v>
      </c>
      <c r="C71">
        <v>10</v>
      </c>
      <c r="D71">
        <v>6000</v>
      </c>
      <c r="E71">
        <f t="shared" si="1"/>
        <v>60000</v>
      </c>
    </row>
    <row r="72" spans="1:5" x14ac:dyDescent="0.3">
      <c r="A72" t="s">
        <v>61</v>
      </c>
      <c r="B72" t="s">
        <v>3</v>
      </c>
      <c r="C72">
        <v>19</v>
      </c>
      <c r="D72">
        <v>9000</v>
      </c>
      <c r="E72">
        <f t="shared" si="1"/>
        <v>171000</v>
      </c>
    </row>
    <row r="73" spans="1:5" hidden="1" x14ac:dyDescent="0.3">
      <c r="A73" t="s">
        <v>61</v>
      </c>
      <c r="B73" t="s">
        <v>62</v>
      </c>
      <c r="C73">
        <v>0</v>
      </c>
      <c r="E73">
        <f t="shared" si="1"/>
        <v>0</v>
      </c>
    </row>
    <row r="74" spans="1:5" hidden="1" x14ac:dyDescent="0.3">
      <c r="A74" t="s">
        <v>63</v>
      </c>
      <c r="B74" t="s">
        <v>3</v>
      </c>
      <c r="C74">
        <v>0</v>
      </c>
      <c r="E74">
        <f t="shared" si="1"/>
        <v>0</v>
      </c>
    </row>
    <row r="75" spans="1:5" hidden="1" x14ac:dyDescent="0.3">
      <c r="A75" t="s">
        <v>64</v>
      </c>
      <c r="B75" t="s">
        <v>3</v>
      </c>
      <c r="C75">
        <v>0</v>
      </c>
      <c r="E75">
        <f t="shared" si="1"/>
        <v>0</v>
      </c>
    </row>
    <row r="76" spans="1:5" hidden="1" x14ac:dyDescent="0.3">
      <c r="A76" t="s">
        <v>65</v>
      </c>
      <c r="B76" t="s">
        <v>3</v>
      </c>
      <c r="C76">
        <v>0</v>
      </c>
      <c r="E76">
        <f t="shared" si="1"/>
        <v>0</v>
      </c>
    </row>
    <row r="77" spans="1:5" hidden="1" x14ac:dyDescent="0.3">
      <c r="A77" t="s">
        <v>66</v>
      </c>
      <c r="B77" t="s">
        <v>22</v>
      </c>
      <c r="C77">
        <v>0</v>
      </c>
      <c r="E77">
        <f t="shared" si="1"/>
        <v>0</v>
      </c>
    </row>
    <row r="78" spans="1:5" x14ac:dyDescent="0.3">
      <c r="A78" t="s">
        <v>66</v>
      </c>
      <c r="B78" t="s">
        <v>3</v>
      </c>
      <c r="C78">
        <v>4</v>
      </c>
      <c r="D78">
        <v>22000</v>
      </c>
      <c r="E78">
        <f t="shared" si="1"/>
        <v>88000</v>
      </c>
    </row>
    <row r="79" spans="1:5" hidden="1" x14ac:dyDescent="0.3">
      <c r="A79" t="s">
        <v>67</v>
      </c>
      <c r="B79" t="s">
        <v>3</v>
      </c>
      <c r="C79">
        <v>0</v>
      </c>
      <c r="E79">
        <f t="shared" si="1"/>
        <v>0</v>
      </c>
    </row>
    <row r="80" spans="1:5" hidden="1" x14ac:dyDescent="0.3">
      <c r="A80" t="s">
        <v>68</v>
      </c>
      <c r="B80" t="s">
        <v>4</v>
      </c>
      <c r="C80">
        <v>0</v>
      </c>
      <c r="E80">
        <f t="shared" si="1"/>
        <v>0</v>
      </c>
    </row>
    <row r="81" spans="1:5" x14ac:dyDescent="0.3">
      <c r="A81" t="s">
        <v>69</v>
      </c>
      <c r="B81" t="s">
        <v>3</v>
      </c>
      <c r="C81">
        <v>26</v>
      </c>
      <c r="D81">
        <v>14000</v>
      </c>
      <c r="E81">
        <f t="shared" si="1"/>
        <v>364000</v>
      </c>
    </row>
    <row r="82" spans="1:5" hidden="1" x14ac:dyDescent="0.3">
      <c r="A82" t="s">
        <v>70</v>
      </c>
      <c r="B82" t="s">
        <v>8</v>
      </c>
      <c r="C82">
        <v>0</v>
      </c>
      <c r="E82">
        <f t="shared" si="1"/>
        <v>0</v>
      </c>
    </row>
    <row r="83" spans="1:5" x14ac:dyDescent="0.3">
      <c r="A83" t="s">
        <v>70</v>
      </c>
      <c r="B83" t="s">
        <v>3</v>
      </c>
      <c r="C83">
        <v>7</v>
      </c>
      <c r="D83">
        <v>44000</v>
      </c>
      <c r="E83">
        <f t="shared" si="1"/>
        <v>308000</v>
      </c>
    </row>
    <row r="84" spans="1:5" x14ac:dyDescent="0.3">
      <c r="A84" t="s">
        <v>71</v>
      </c>
      <c r="B84" t="s">
        <v>4</v>
      </c>
      <c r="C84">
        <v>20</v>
      </c>
      <c r="D84">
        <v>19000</v>
      </c>
      <c r="E84">
        <f t="shared" si="1"/>
        <v>380000</v>
      </c>
    </row>
    <row r="85" spans="1:5" x14ac:dyDescent="0.3">
      <c r="A85" t="s">
        <v>72</v>
      </c>
      <c r="B85" t="s">
        <v>3</v>
      </c>
      <c r="C85">
        <v>200</v>
      </c>
      <c r="D85">
        <v>7000</v>
      </c>
      <c r="E85">
        <f t="shared" si="1"/>
        <v>1400000</v>
      </c>
    </row>
    <row r="86" spans="1:5" x14ac:dyDescent="0.3">
      <c r="A86" t="s">
        <v>73</v>
      </c>
      <c r="B86" t="s">
        <v>3</v>
      </c>
      <c r="C86">
        <v>15</v>
      </c>
      <c r="D86">
        <v>10000</v>
      </c>
      <c r="E86">
        <f t="shared" si="1"/>
        <v>150000</v>
      </c>
    </row>
    <row r="87" spans="1:5" x14ac:dyDescent="0.3">
      <c r="A87" t="s">
        <v>74</v>
      </c>
      <c r="B87" t="s">
        <v>3</v>
      </c>
      <c r="C87">
        <v>2</v>
      </c>
      <c r="D87">
        <v>27000</v>
      </c>
      <c r="E87">
        <f t="shared" si="1"/>
        <v>54000</v>
      </c>
    </row>
    <row r="88" spans="1:5" hidden="1" x14ac:dyDescent="0.3">
      <c r="A88" t="s">
        <v>75</v>
      </c>
      <c r="B88" t="s">
        <v>3</v>
      </c>
      <c r="C88">
        <v>0</v>
      </c>
      <c r="E88">
        <f t="shared" si="1"/>
        <v>0</v>
      </c>
    </row>
    <row r="89" spans="1:5" x14ac:dyDescent="0.3">
      <c r="A89" t="s">
        <v>76</v>
      </c>
      <c r="B89" t="s">
        <v>3</v>
      </c>
      <c r="C89">
        <v>2</v>
      </c>
      <c r="D89">
        <v>30000</v>
      </c>
      <c r="E89">
        <f t="shared" si="1"/>
        <v>60000</v>
      </c>
    </row>
    <row r="90" spans="1:5" x14ac:dyDescent="0.3">
      <c r="A90" t="s">
        <v>81</v>
      </c>
      <c r="B90" t="s">
        <v>3</v>
      </c>
      <c r="C90">
        <v>10</v>
      </c>
      <c r="D90">
        <v>10000</v>
      </c>
      <c r="E90">
        <f t="shared" si="1"/>
        <v>100000</v>
      </c>
    </row>
    <row r="91" spans="1:5" hidden="1" x14ac:dyDescent="0.3">
      <c r="A91" t="s">
        <v>78</v>
      </c>
      <c r="B91" t="s">
        <v>3</v>
      </c>
      <c r="C91">
        <v>0</v>
      </c>
      <c r="E91">
        <f t="shared" si="1"/>
        <v>0</v>
      </c>
    </row>
    <row r="92" spans="1:5" hidden="1" x14ac:dyDescent="0.3">
      <c r="A92" t="s">
        <v>89</v>
      </c>
      <c r="B92" t="s">
        <v>3</v>
      </c>
      <c r="C92">
        <v>0</v>
      </c>
      <c r="E92">
        <f t="shared" si="1"/>
        <v>0</v>
      </c>
    </row>
    <row r="93" spans="1:5" hidden="1" x14ac:dyDescent="0.3">
      <c r="A93" t="s">
        <v>89</v>
      </c>
      <c r="B93" t="s">
        <v>4</v>
      </c>
      <c r="C93">
        <v>0</v>
      </c>
      <c r="E93">
        <f t="shared" si="1"/>
        <v>0</v>
      </c>
    </row>
    <row r="94" spans="1:5" hidden="1" x14ac:dyDescent="0.3">
      <c r="A94" t="s">
        <v>105</v>
      </c>
      <c r="B94" t="s">
        <v>3</v>
      </c>
      <c r="C94">
        <v>0</v>
      </c>
      <c r="E94">
        <f t="shared" si="1"/>
        <v>0</v>
      </c>
    </row>
    <row r="95" spans="1:5" hidden="1" x14ac:dyDescent="0.3">
      <c r="A95" t="s">
        <v>95</v>
      </c>
      <c r="B95" t="s">
        <v>3</v>
      </c>
      <c r="C95">
        <v>0</v>
      </c>
      <c r="E95">
        <f t="shared" si="1"/>
        <v>0</v>
      </c>
    </row>
    <row r="96" spans="1:5" hidden="1" x14ac:dyDescent="0.3">
      <c r="A96" t="s">
        <v>79</v>
      </c>
      <c r="B96" t="s">
        <v>3</v>
      </c>
      <c r="C96">
        <v>0</v>
      </c>
      <c r="E96">
        <f t="shared" si="1"/>
        <v>0</v>
      </c>
    </row>
    <row r="97" spans="1:5" hidden="1" x14ac:dyDescent="0.3">
      <c r="A97" t="s">
        <v>83</v>
      </c>
      <c r="B97" t="s">
        <v>4</v>
      </c>
      <c r="C97">
        <v>0</v>
      </c>
      <c r="E97">
        <f t="shared" si="1"/>
        <v>0</v>
      </c>
    </row>
    <row r="98" spans="1:5" hidden="1" x14ac:dyDescent="0.3">
      <c r="A98" t="s">
        <v>84</v>
      </c>
      <c r="B98" t="s">
        <v>22</v>
      </c>
      <c r="C98">
        <v>0</v>
      </c>
      <c r="E98">
        <f t="shared" si="1"/>
        <v>0</v>
      </c>
    </row>
    <row r="99" spans="1:5" hidden="1" x14ac:dyDescent="0.3">
      <c r="A99" t="s">
        <v>85</v>
      </c>
      <c r="B99" t="s">
        <v>22</v>
      </c>
      <c r="C99">
        <v>0</v>
      </c>
      <c r="E99">
        <f t="shared" si="1"/>
        <v>0</v>
      </c>
    </row>
    <row r="100" spans="1:5" x14ac:dyDescent="0.3">
      <c r="A100" t="s">
        <v>82</v>
      </c>
      <c r="B100" t="s">
        <v>3</v>
      </c>
      <c r="C100">
        <v>50</v>
      </c>
      <c r="D100">
        <v>24000</v>
      </c>
      <c r="E100">
        <f t="shared" si="1"/>
        <v>1200000</v>
      </c>
    </row>
    <row r="101" spans="1:5" hidden="1" x14ac:dyDescent="0.3">
      <c r="A101" t="s">
        <v>86</v>
      </c>
      <c r="B101" t="s">
        <v>22</v>
      </c>
      <c r="C101">
        <v>0</v>
      </c>
      <c r="E101">
        <f t="shared" si="1"/>
        <v>0</v>
      </c>
    </row>
    <row r="102" spans="1:5" x14ac:dyDescent="0.3">
      <c r="A102" t="s">
        <v>92</v>
      </c>
      <c r="B102" t="s">
        <v>3</v>
      </c>
      <c r="C102">
        <v>8</v>
      </c>
      <c r="D102">
        <v>11500</v>
      </c>
      <c r="E102">
        <f t="shared" si="1"/>
        <v>92000</v>
      </c>
    </row>
    <row r="103" spans="1:5" hidden="1" x14ac:dyDescent="0.3">
      <c r="A103" t="s">
        <v>87</v>
      </c>
      <c r="B103" t="s">
        <v>4</v>
      </c>
      <c r="C103">
        <v>0</v>
      </c>
      <c r="E103">
        <f t="shared" si="1"/>
        <v>0</v>
      </c>
    </row>
    <row r="104" spans="1:5" hidden="1" x14ac:dyDescent="0.3">
      <c r="A104" t="s">
        <v>111</v>
      </c>
      <c r="B104" t="s">
        <v>3</v>
      </c>
      <c r="C104">
        <v>0</v>
      </c>
      <c r="E104">
        <f t="shared" si="1"/>
        <v>0</v>
      </c>
    </row>
    <row r="105" spans="1:5" hidden="1" x14ac:dyDescent="0.3">
      <c r="A105" t="s">
        <v>112</v>
      </c>
      <c r="B105" t="s">
        <v>3</v>
      </c>
      <c r="C105">
        <v>0</v>
      </c>
      <c r="E105">
        <f t="shared" si="1"/>
        <v>0</v>
      </c>
    </row>
    <row r="106" spans="1:5" x14ac:dyDescent="0.3">
      <c r="A106" t="s">
        <v>88</v>
      </c>
      <c r="B106" t="s">
        <v>3</v>
      </c>
      <c r="C106">
        <v>473</v>
      </c>
      <c r="D106">
        <v>28000</v>
      </c>
      <c r="E106">
        <f t="shared" si="1"/>
        <v>13244000</v>
      </c>
    </row>
    <row r="107" spans="1:5" hidden="1" x14ac:dyDescent="0.3">
      <c r="A107" t="s">
        <v>136</v>
      </c>
      <c r="B107" t="s">
        <v>3</v>
      </c>
      <c r="C107">
        <v>0</v>
      </c>
      <c r="E107">
        <f t="shared" si="1"/>
        <v>0</v>
      </c>
    </row>
    <row r="108" spans="1:5" hidden="1" x14ac:dyDescent="0.3">
      <c r="A108" t="s">
        <v>91</v>
      </c>
      <c r="B108" t="s">
        <v>3</v>
      </c>
      <c r="C108">
        <v>0</v>
      </c>
      <c r="E108">
        <f t="shared" si="1"/>
        <v>0</v>
      </c>
    </row>
    <row r="109" spans="1:5" hidden="1" x14ac:dyDescent="0.3">
      <c r="A109" t="s">
        <v>93</v>
      </c>
      <c r="B109" t="s">
        <v>3</v>
      </c>
      <c r="C109">
        <v>0</v>
      </c>
      <c r="E109">
        <f t="shared" si="1"/>
        <v>0</v>
      </c>
    </row>
    <row r="110" spans="1:5" x14ac:dyDescent="0.3">
      <c r="A110" t="s">
        <v>106</v>
      </c>
      <c r="B110" t="s">
        <v>3</v>
      </c>
      <c r="C110">
        <v>13</v>
      </c>
      <c r="D110">
        <v>20000</v>
      </c>
      <c r="E110">
        <f t="shared" si="1"/>
        <v>260000</v>
      </c>
    </row>
    <row r="111" spans="1:5" x14ac:dyDescent="0.3">
      <c r="A111" t="s">
        <v>133</v>
      </c>
      <c r="B111" t="s">
        <v>3</v>
      </c>
      <c r="C111">
        <v>50</v>
      </c>
      <c r="D111">
        <v>17000</v>
      </c>
      <c r="E111">
        <f t="shared" si="1"/>
        <v>850000</v>
      </c>
    </row>
    <row r="112" spans="1:5" x14ac:dyDescent="0.3">
      <c r="A112" t="s">
        <v>137</v>
      </c>
      <c r="B112" t="s">
        <v>8</v>
      </c>
      <c r="C112">
        <v>5</v>
      </c>
      <c r="D112">
        <v>100000</v>
      </c>
      <c r="E112">
        <f t="shared" si="1"/>
        <v>500000</v>
      </c>
    </row>
    <row r="113" spans="1:5" x14ac:dyDescent="0.3">
      <c r="A113" t="s">
        <v>134</v>
      </c>
      <c r="B113" t="s">
        <v>3</v>
      </c>
      <c r="C113">
        <v>8</v>
      </c>
      <c r="D113">
        <v>8000</v>
      </c>
      <c r="E113">
        <f t="shared" si="1"/>
        <v>64000</v>
      </c>
    </row>
    <row r="114" spans="1:5" x14ac:dyDescent="0.3">
      <c r="E114">
        <f>SUM(E3:E113)</f>
        <v>191663500</v>
      </c>
    </row>
    <row r="115" spans="1:5" x14ac:dyDescent="0.3">
      <c r="A115" t="s">
        <v>103</v>
      </c>
    </row>
    <row r="116" spans="1:5" x14ac:dyDescent="0.3">
      <c r="A116" t="s">
        <v>0</v>
      </c>
      <c r="B116" t="s">
        <v>1</v>
      </c>
      <c r="C116" t="s">
        <v>102</v>
      </c>
      <c r="D116" t="s">
        <v>100</v>
      </c>
      <c r="E116" t="s">
        <v>101</v>
      </c>
    </row>
    <row r="117" spans="1:5" x14ac:dyDescent="0.3">
      <c r="A117" t="s">
        <v>44</v>
      </c>
      <c r="B117" t="s">
        <v>3</v>
      </c>
      <c r="C117">
        <v>27</v>
      </c>
      <c r="D117">
        <v>38000</v>
      </c>
      <c r="E117">
        <f t="shared" si="1"/>
        <v>1026000</v>
      </c>
    </row>
    <row r="118" spans="1:5" hidden="1" x14ac:dyDescent="0.3">
      <c r="A118" t="s">
        <v>45</v>
      </c>
      <c r="B118" t="s">
        <v>3</v>
      </c>
      <c r="C118">
        <v>0</v>
      </c>
      <c r="E118">
        <f t="shared" si="1"/>
        <v>0</v>
      </c>
    </row>
    <row r="119" spans="1:5" x14ac:dyDescent="0.3">
      <c r="A119" t="s">
        <v>17</v>
      </c>
      <c r="B119" t="s">
        <v>3</v>
      </c>
      <c r="C119">
        <v>40</v>
      </c>
      <c r="D119">
        <v>7500</v>
      </c>
      <c r="E119">
        <f t="shared" si="1"/>
        <v>300000</v>
      </c>
    </row>
    <row r="120" spans="1:5" x14ac:dyDescent="0.3">
      <c r="A120" t="s">
        <v>95</v>
      </c>
      <c r="B120" t="s">
        <v>3</v>
      </c>
      <c r="C120">
        <v>20</v>
      </c>
      <c r="D120">
        <v>8000</v>
      </c>
      <c r="E120">
        <f t="shared" si="1"/>
        <v>160000</v>
      </c>
    </row>
    <row r="121" spans="1:5" hidden="1" x14ac:dyDescent="0.3">
      <c r="A121" t="s">
        <v>24</v>
      </c>
      <c r="B121" t="s">
        <v>3</v>
      </c>
      <c r="C121">
        <v>0</v>
      </c>
      <c r="E121">
        <f t="shared" si="1"/>
        <v>0</v>
      </c>
    </row>
    <row r="122" spans="1:5" hidden="1" x14ac:dyDescent="0.3">
      <c r="A122" t="s">
        <v>25</v>
      </c>
      <c r="B122" t="s">
        <v>3</v>
      </c>
      <c r="C122">
        <v>0</v>
      </c>
      <c r="E122">
        <f t="shared" si="1"/>
        <v>0</v>
      </c>
    </row>
    <row r="123" spans="1:5" hidden="1" x14ac:dyDescent="0.3">
      <c r="A123" t="s">
        <v>37</v>
      </c>
      <c r="B123" t="s">
        <v>3</v>
      </c>
      <c r="C123">
        <v>0</v>
      </c>
      <c r="E123">
        <f t="shared" si="1"/>
        <v>0</v>
      </c>
    </row>
    <row r="124" spans="1:5" hidden="1" x14ac:dyDescent="0.3">
      <c r="A124" t="s">
        <v>46</v>
      </c>
      <c r="B124" t="s">
        <v>3</v>
      </c>
      <c r="C124">
        <v>0</v>
      </c>
      <c r="E124">
        <f t="shared" si="1"/>
        <v>0</v>
      </c>
    </row>
    <row r="125" spans="1:5" hidden="1" x14ac:dyDescent="0.3">
      <c r="A125" t="s">
        <v>94</v>
      </c>
      <c r="B125" t="s">
        <v>3</v>
      </c>
      <c r="C125">
        <v>0</v>
      </c>
      <c r="E125">
        <f t="shared" si="1"/>
        <v>0</v>
      </c>
    </row>
    <row r="126" spans="1:5" x14ac:dyDescent="0.3">
      <c r="A126" t="s">
        <v>28</v>
      </c>
      <c r="B126" t="s">
        <v>3</v>
      </c>
      <c r="C126">
        <v>140</v>
      </c>
      <c r="D126">
        <v>24000</v>
      </c>
      <c r="E126">
        <f t="shared" si="1"/>
        <v>3360000</v>
      </c>
    </row>
    <row r="127" spans="1:5" x14ac:dyDescent="0.3">
      <c r="A127" t="s">
        <v>30</v>
      </c>
      <c r="B127" t="s">
        <v>3</v>
      </c>
      <c r="C127">
        <v>200</v>
      </c>
      <c r="D127">
        <v>24000</v>
      </c>
      <c r="E127">
        <f t="shared" si="1"/>
        <v>4800000</v>
      </c>
    </row>
    <row r="128" spans="1:5" hidden="1" x14ac:dyDescent="0.3">
      <c r="A128" t="s">
        <v>2</v>
      </c>
      <c r="B128" t="s">
        <v>3</v>
      </c>
      <c r="C128">
        <v>0</v>
      </c>
      <c r="E128">
        <f t="shared" si="1"/>
        <v>0</v>
      </c>
    </row>
    <row r="129" spans="1:5" x14ac:dyDescent="0.3">
      <c r="A129" t="s">
        <v>53</v>
      </c>
      <c r="B129" t="s">
        <v>3</v>
      </c>
      <c r="C129">
        <v>25</v>
      </c>
      <c r="D129">
        <v>6500</v>
      </c>
      <c r="E129">
        <f t="shared" si="1"/>
        <v>162500</v>
      </c>
    </row>
    <row r="130" spans="1:5" hidden="1" x14ac:dyDescent="0.3">
      <c r="A130" t="s">
        <v>20</v>
      </c>
      <c r="B130" t="s">
        <v>3</v>
      </c>
      <c r="C130">
        <v>0</v>
      </c>
      <c r="E130">
        <f t="shared" si="1"/>
        <v>0</v>
      </c>
    </row>
    <row r="131" spans="1:5" x14ac:dyDescent="0.3">
      <c r="A131" t="s">
        <v>97</v>
      </c>
      <c r="B131" t="s">
        <v>3</v>
      </c>
      <c r="C131">
        <v>16</v>
      </c>
      <c r="D131">
        <v>16000</v>
      </c>
      <c r="E131">
        <f t="shared" si="1"/>
        <v>256000</v>
      </c>
    </row>
    <row r="132" spans="1:5" x14ac:dyDescent="0.3">
      <c r="A132" t="s">
        <v>98</v>
      </c>
      <c r="B132" t="s">
        <v>3</v>
      </c>
      <c r="C132">
        <v>300</v>
      </c>
      <c r="D132">
        <v>3500</v>
      </c>
      <c r="E132">
        <f t="shared" si="1"/>
        <v>1050000</v>
      </c>
    </row>
    <row r="133" spans="1:5" x14ac:dyDescent="0.3">
      <c r="A133" t="s">
        <v>21</v>
      </c>
      <c r="B133" t="s">
        <v>3</v>
      </c>
      <c r="C133">
        <v>30</v>
      </c>
      <c r="D133">
        <v>16000</v>
      </c>
      <c r="E133">
        <f t="shared" si="1"/>
        <v>480000</v>
      </c>
    </row>
    <row r="134" spans="1:5" hidden="1" x14ac:dyDescent="0.3">
      <c r="A134" t="s">
        <v>96</v>
      </c>
      <c r="B134" t="s">
        <v>3</v>
      </c>
      <c r="C134">
        <v>0</v>
      </c>
      <c r="E134">
        <f t="shared" ref="E134:E161" si="2">C134*D134</f>
        <v>0</v>
      </c>
    </row>
    <row r="135" spans="1:5" x14ac:dyDescent="0.3">
      <c r="A135" t="s">
        <v>56</v>
      </c>
      <c r="B135" t="s">
        <v>3</v>
      </c>
      <c r="C135">
        <v>15</v>
      </c>
      <c r="D135">
        <v>13000</v>
      </c>
      <c r="E135">
        <f t="shared" si="2"/>
        <v>195000</v>
      </c>
    </row>
    <row r="136" spans="1:5" hidden="1" x14ac:dyDescent="0.3">
      <c r="A136" t="s">
        <v>107</v>
      </c>
      <c r="B136" t="s">
        <v>6</v>
      </c>
      <c r="C136">
        <v>0</v>
      </c>
      <c r="E136">
        <f t="shared" si="2"/>
        <v>0</v>
      </c>
    </row>
    <row r="137" spans="1:5" x14ac:dyDescent="0.3">
      <c r="A137" t="s">
        <v>57</v>
      </c>
      <c r="B137" t="s">
        <v>3</v>
      </c>
      <c r="C137">
        <v>80</v>
      </c>
      <c r="D137">
        <v>4500</v>
      </c>
      <c r="E137">
        <f t="shared" si="2"/>
        <v>360000</v>
      </c>
    </row>
    <row r="138" spans="1:5" x14ac:dyDescent="0.3">
      <c r="A138" t="s">
        <v>9</v>
      </c>
      <c r="B138" t="s">
        <v>3</v>
      </c>
      <c r="C138">
        <v>37</v>
      </c>
      <c r="D138">
        <v>12000</v>
      </c>
      <c r="E138">
        <f t="shared" si="2"/>
        <v>444000</v>
      </c>
    </row>
    <row r="139" spans="1:5" x14ac:dyDescent="0.3">
      <c r="A139" t="s">
        <v>10</v>
      </c>
      <c r="B139" t="s">
        <v>3</v>
      </c>
      <c r="C139">
        <v>115</v>
      </c>
      <c r="D139">
        <v>20500</v>
      </c>
      <c r="E139">
        <f t="shared" si="2"/>
        <v>2357500</v>
      </c>
    </row>
    <row r="140" spans="1:5" hidden="1" x14ac:dyDescent="0.3">
      <c r="A140" t="s">
        <v>13</v>
      </c>
      <c r="B140" t="s">
        <v>4</v>
      </c>
      <c r="C140">
        <v>0</v>
      </c>
      <c r="E140">
        <f t="shared" si="2"/>
        <v>0</v>
      </c>
    </row>
    <row r="141" spans="1:5" x14ac:dyDescent="0.3">
      <c r="A141" t="s">
        <v>14</v>
      </c>
      <c r="B141" t="s">
        <v>3</v>
      </c>
      <c r="C141">
        <v>60</v>
      </c>
      <c r="D141">
        <v>16500</v>
      </c>
      <c r="E141">
        <f t="shared" si="2"/>
        <v>990000</v>
      </c>
    </row>
    <row r="142" spans="1:5" hidden="1" x14ac:dyDescent="0.3">
      <c r="A142" t="s">
        <v>89</v>
      </c>
      <c r="B142" t="s">
        <v>4</v>
      </c>
      <c r="C142">
        <v>0</v>
      </c>
      <c r="E142">
        <f t="shared" si="2"/>
        <v>0</v>
      </c>
    </row>
    <row r="143" spans="1:5" hidden="1" x14ac:dyDescent="0.3">
      <c r="A143" t="s">
        <v>109</v>
      </c>
      <c r="B143" t="s">
        <v>3</v>
      </c>
      <c r="C143">
        <v>0</v>
      </c>
      <c r="E143">
        <f t="shared" si="2"/>
        <v>0</v>
      </c>
    </row>
    <row r="144" spans="1:5" x14ac:dyDescent="0.3">
      <c r="A144" t="s">
        <v>15</v>
      </c>
      <c r="B144" t="s">
        <v>3</v>
      </c>
      <c r="C144">
        <v>240</v>
      </c>
      <c r="D144">
        <v>17000</v>
      </c>
      <c r="E144">
        <f t="shared" si="2"/>
        <v>4080000</v>
      </c>
    </row>
    <row r="145" spans="1:5" x14ac:dyDescent="0.3">
      <c r="A145" t="s">
        <v>59</v>
      </c>
      <c r="B145" t="s">
        <v>3</v>
      </c>
      <c r="C145">
        <v>23</v>
      </c>
      <c r="D145">
        <v>11000</v>
      </c>
      <c r="E145">
        <f t="shared" si="2"/>
        <v>253000</v>
      </c>
    </row>
    <row r="146" spans="1:5" x14ac:dyDescent="0.3">
      <c r="A146" t="s">
        <v>60</v>
      </c>
      <c r="B146" t="s">
        <v>4</v>
      </c>
      <c r="C146">
        <v>25</v>
      </c>
      <c r="D146">
        <v>6000</v>
      </c>
      <c r="E146">
        <f t="shared" si="2"/>
        <v>150000</v>
      </c>
    </row>
    <row r="147" spans="1:5" x14ac:dyDescent="0.3">
      <c r="A147" t="s">
        <v>61</v>
      </c>
      <c r="B147" t="s">
        <v>4</v>
      </c>
      <c r="C147">
        <v>100</v>
      </c>
      <c r="D147">
        <v>9000</v>
      </c>
      <c r="E147">
        <f t="shared" si="2"/>
        <v>900000</v>
      </c>
    </row>
    <row r="148" spans="1:5" hidden="1" x14ac:dyDescent="0.3">
      <c r="A148" t="s">
        <v>32</v>
      </c>
      <c r="B148" t="s">
        <v>3</v>
      </c>
      <c r="C148">
        <v>0</v>
      </c>
      <c r="E148">
        <f t="shared" si="2"/>
        <v>0</v>
      </c>
    </row>
    <row r="149" spans="1:5" x14ac:dyDescent="0.3">
      <c r="A149" t="s">
        <v>32</v>
      </c>
      <c r="B149" t="s">
        <v>6</v>
      </c>
      <c r="C149">
        <v>50</v>
      </c>
      <c r="D149">
        <v>5000</v>
      </c>
      <c r="E149">
        <f t="shared" si="2"/>
        <v>250000</v>
      </c>
    </row>
    <row r="150" spans="1:5" hidden="1" x14ac:dyDescent="0.3">
      <c r="A150" t="s">
        <v>66</v>
      </c>
      <c r="B150" t="s">
        <v>3</v>
      </c>
      <c r="C150">
        <v>0</v>
      </c>
      <c r="E150">
        <f t="shared" si="2"/>
        <v>0</v>
      </c>
    </row>
    <row r="151" spans="1:5" x14ac:dyDescent="0.3">
      <c r="A151" t="s">
        <v>43</v>
      </c>
      <c r="B151" t="s">
        <v>3</v>
      </c>
      <c r="C151">
        <v>800</v>
      </c>
      <c r="D151">
        <v>27600</v>
      </c>
      <c r="E151">
        <f t="shared" si="2"/>
        <v>22080000</v>
      </c>
    </row>
    <row r="152" spans="1:5" hidden="1" x14ac:dyDescent="0.3">
      <c r="A152" t="s">
        <v>67</v>
      </c>
      <c r="B152" t="s">
        <v>3</v>
      </c>
      <c r="C152">
        <v>0</v>
      </c>
      <c r="E152">
        <f t="shared" si="2"/>
        <v>0</v>
      </c>
    </row>
    <row r="153" spans="1:5" hidden="1" x14ac:dyDescent="0.3">
      <c r="A153" t="s">
        <v>34</v>
      </c>
      <c r="B153" t="s">
        <v>3</v>
      </c>
      <c r="C153">
        <v>0</v>
      </c>
      <c r="E153">
        <f t="shared" si="2"/>
        <v>0</v>
      </c>
    </row>
    <row r="154" spans="1:5" hidden="1" x14ac:dyDescent="0.3">
      <c r="A154" t="s">
        <v>35</v>
      </c>
      <c r="B154" t="s">
        <v>3</v>
      </c>
      <c r="C154">
        <v>0</v>
      </c>
      <c r="E154">
        <f t="shared" si="2"/>
        <v>0</v>
      </c>
    </row>
    <row r="155" spans="1:5" x14ac:dyDescent="0.3">
      <c r="A155" t="s">
        <v>36</v>
      </c>
      <c r="B155" t="s">
        <v>3</v>
      </c>
      <c r="C155">
        <v>15</v>
      </c>
      <c r="D155">
        <v>18000</v>
      </c>
      <c r="E155">
        <f t="shared" si="2"/>
        <v>270000</v>
      </c>
    </row>
    <row r="156" spans="1:5" x14ac:dyDescent="0.3">
      <c r="A156" t="s">
        <v>116</v>
      </c>
      <c r="B156" t="s">
        <v>26</v>
      </c>
      <c r="C156">
        <v>1540</v>
      </c>
      <c r="D156">
        <v>10000</v>
      </c>
      <c r="E156">
        <f t="shared" si="2"/>
        <v>15400000</v>
      </c>
    </row>
    <row r="157" spans="1:5" x14ac:dyDescent="0.3">
      <c r="A157" t="s">
        <v>72</v>
      </c>
      <c r="B157" t="s">
        <v>3</v>
      </c>
      <c r="C157">
        <v>90</v>
      </c>
      <c r="D157">
        <v>7000</v>
      </c>
      <c r="E157">
        <f t="shared" si="2"/>
        <v>630000</v>
      </c>
    </row>
    <row r="158" spans="1:5" hidden="1" x14ac:dyDescent="0.3">
      <c r="A158" t="s">
        <v>23</v>
      </c>
      <c r="B158" t="s">
        <v>22</v>
      </c>
      <c r="C158">
        <v>0</v>
      </c>
      <c r="E158">
        <f t="shared" si="2"/>
        <v>0</v>
      </c>
    </row>
    <row r="159" spans="1:5" hidden="1" x14ac:dyDescent="0.3">
      <c r="A159" t="s">
        <v>84</v>
      </c>
      <c r="B159" t="s">
        <v>22</v>
      </c>
      <c r="C159">
        <v>0</v>
      </c>
      <c r="E159">
        <f t="shared" si="2"/>
        <v>0</v>
      </c>
    </row>
    <row r="160" spans="1:5" hidden="1" x14ac:dyDescent="0.3">
      <c r="A160" t="s">
        <v>86</v>
      </c>
      <c r="B160" t="s">
        <v>22</v>
      </c>
      <c r="C160">
        <v>0</v>
      </c>
      <c r="E160">
        <f t="shared" si="2"/>
        <v>0</v>
      </c>
    </row>
    <row r="161" spans="1:5" hidden="1" x14ac:dyDescent="0.3">
      <c r="A161" t="s">
        <v>85</v>
      </c>
      <c r="B161" t="s">
        <v>22</v>
      </c>
      <c r="C161">
        <v>0</v>
      </c>
      <c r="E161">
        <f t="shared" si="2"/>
        <v>0</v>
      </c>
    </row>
    <row r="162" spans="1:5" x14ac:dyDescent="0.3">
      <c r="E162">
        <f>SUM(E117:E157)</f>
        <v>59954000</v>
      </c>
    </row>
    <row r="163" spans="1:5" x14ac:dyDescent="0.3">
      <c r="E163">
        <f>E162+E114</f>
        <v>251617500</v>
      </c>
    </row>
  </sheetData>
  <autoFilter ref="A2:E161" xr:uid="{00000000-0009-0000-0000-000009000000}">
    <filterColumn colId="2">
      <filters>
        <filter val="10"/>
        <filter val="100"/>
        <filter val="11"/>
        <filter val="110"/>
        <filter val="115"/>
        <filter val="13"/>
        <filter val="130"/>
        <filter val="140"/>
        <filter val="15"/>
        <filter val="1540"/>
        <filter val="16"/>
        <filter val="172"/>
        <filter val="185"/>
        <filter val="19"/>
        <filter val="2"/>
        <filter val="20"/>
        <filter val="200"/>
        <filter val="2040"/>
        <filter val="2065"/>
        <filter val="220"/>
        <filter val="23"/>
        <filter val="240"/>
        <filter val="25"/>
        <filter val="26"/>
        <filter val="27"/>
        <filter val="280"/>
        <filter val="29"/>
        <filter val="30"/>
        <filter val="300"/>
        <filter val="35"/>
        <filter val="37"/>
        <filter val="4"/>
        <filter val="40"/>
        <filter val="405"/>
        <filter val="410"/>
        <filter val="434"/>
        <filter val="473"/>
        <filter val="5"/>
        <filter val="50"/>
        <filter val="55"/>
        <filter val="58"/>
        <filter val="60"/>
        <filter val="67"/>
        <filter val="7"/>
        <filter val="70"/>
        <filter val="71"/>
        <filter val="8"/>
        <filter val="80"/>
        <filter val="800"/>
        <filter val="90"/>
        <filter val="930"/>
        <filter val="Tồn_x000a_ĐL_x000a__x000a_現在庫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F144"/>
  <sheetViews>
    <sheetView workbookViewId="0">
      <selection activeCell="H95" sqref="H95"/>
    </sheetView>
  </sheetViews>
  <sheetFormatPr defaultRowHeight="14.4" x14ac:dyDescent="0.3"/>
  <cols>
    <col min="1" max="1" width="28.6640625" customWidth="1"/>
    <col min="4" max="4" width="12.77734375" customWidth="1"/>
    <col min="5" max="5" width="18" customWidth="1"/>
  </cols>
  <sheetData>
    <row r="1" spans="1:5" x14ac:dyDescent="0.3">
      <c r="A1" t="s">
        <v>139</v>
      </c>
    </row>
    <row r="2" spans="1:5" x14ac:dyDescent="0.3">
      <c r="A2" t="s">
        <v>0</v>
      </c>
      <c r="B2" t="s">
        <v>1</v>
      </c>
      <c r="C2" t="s">
        <v>102</v>
      </c>
      <c r="D2" t="s">
        <v>100</v>
      </c>
      <c r="E2" t="s">
        <v>101</v>
      </c>
    </row>
    <row r="3" spans="1:5" hidden="1" x14ac:dyDescent="0.3">
      <c r="A3" t="s">
        <v>2</v>
      </c>
      <c r="B3" t="s">
        <v>3</v>
      </c>
      <c r="C3">
        <v>0</v>
      </c>
      <c r="E3">
        <f>C3*D3</f>
        <v>0</v>
      </c>
    </row>
    <row r="4" spans="1:5" hidden="1" x14ac:dyDescent="0.3">
      <c r="A4" t="s">
        <v>2</v>
      </c>
      <c r="B4" t="s">
        <v>4</v>
      </c>
      <c r="C4">
        <v>0</v>
      </c>
      <c r="E4">
        <f t="shared" ref="E4:E67" si="0">C4*D4</f>
        <v>0</v>
      </c>
    </row>
    <row r="5" spans="1:5" x14ac:dyDescent="0.3">
      <c r="A5" t="s">
        <v>7</v>
      </c>
      <c r="B5" t="s">
        <v>8</v>
      </c>
      <c r="C5">
        <v>9</v>
      </c>
      <c r="D5">
        <v>6500</v>
      </c>
      <c r="E5">
        <f t="shared" si="0"/>
        <v>58500</v>
      </c>
    </row>
    <row r="6" spans="1:5" x14ac:dyDescent="0.3">
      <c r="A6" t="s">
        <v>9</v>
      </c>
      <c r="B6" t="s">
        <v>3</v>
      </c>
      <c r="C6">
        <v>30</v>
      </c>
      <c r="D6">
        <v>12000</v>
      </c>
      <c r="E6">
        <f t="shared" si="0"/>
        <v>360000</v>
      </c>
    </row>
    <row r="7" spans="1:5" hidden="1" x14ac:dyDescent="0.3">
      <c r="A7" t="s">
        <v>9</v>
      </c>
      <c r="B7" t="s">
        <v>4</v>
      </c>
      <c r="C7">
        <v>0</v>
      </c>
      <c r="E7">
        <f t="shared" si="0"/>
        <v>0</v>
      </c>
    </row>
    <row r="8" spans="1:5" x14ac:dyDescent="0.3">
      <c r="A8" t="s">
        <v>10</v>
      </c>
      <c r="B8" t="s">
        <v>3</v>
      </c>
      <c r="C8">
        <v>290</v>
      </c>
      <c r="D8">
        <v>19000</v>
      </c>
      <c r="E8">
        <f t="shared" si="0"/>
        <v>5510000</v>
      </c>
    </row>
    <row r="9" spans="1:5" hidden="1" x14ac:dyDescent="0.3">
      <c r="A9" t="s">
        <v>10</v>
      </c>
      <c r="B9" t="s">
        <v>11</v>
      </c>
      <c r="C9">
        <v>0</v>
      </c>
      <c r="E9">
        <f t="shared" si="0"/>
        <v>0</v>
      </c>
    </row>
    <row r="10" spans="1:5" x14ac:dyDescent="0.3">
      <c r="A10" t="s">
        <v>12</v>
      </c>
      <c r="B10" t="s">
        <v>4</v>
      </c>
      <c r="C10">
        <v>220</v>
      </c>
      <c r="D10">
        <v>6000</v>
      </c>
      <c r="E10">
        <f t="shared" si="0"/>
        <v>1320000</v>
      </c>
    </row>
    <row r="11" spans="1:5" x14ac:dyDescent="0.3">
      <c r="A11" t="s">
        <v>13</v>
      </c>
      <c r="B11" t="s">
        <v>3</v>
      </c>
      <c r="C11">
        <v>690</v>
      </c>
      <c r="D11">
        <v>24000</v>
      </c>
      <c r="E11">
        <f t="shared" si="0"/>
        <v>16560000</v>
      </c>
    </row>
    <row r="12" spans="1:5" x14ac:dyDescent="0.3">
      <c r="A12" t="s">
        <v>14</v>
      </c>
      <c r="B12" t="s">
        <v>3</v>
      </c>
      <c r="C12">
        <v>190</v>
      </c>
      <c r="D12">
        <v>16000</v>
      </c>
      <c r="E12">
        <f t="shared" si="0"/>
        <v>3040000</v>
      </c>
    </row>
    <row r="13" spans="1:5" x14ac:dyDescent="0.3">
      <c r="A13" t="s">
        <v>15</v>
      </c>
      <c r="B13" t="s">
        <v>3</v>
      </c>
      <c r="C13">
        <v>390</v>
      </c>
      <c r="D13">
        <v>17000</v>
      </c>
      <c r="E13">
        <f t="shared" si="0"/>
        <v>6630000</v>
      </c>
    </row>
    <row r="14" spans="1:5" hidden="1" x14ac:dyDescent="0.3">
      <c r="A14" t="s">
        <v>15</v>
      </c>
      <c r="B14" t="s">
        <v>4</v>
      </c>
      <c r="C14">
        <v>0</v>
      </c>
      <c r="E14">
        <f t="shared" si="0"/>
        <v>0</v>
      </c>
    </row>
    <row r="15" spans="1:5" hidden="1" x14ac:dyDescent="0.3">
      <c r="A15" t="s">
        <v>16</v>
      </c>
      <c r="B15" t="s">
        <v>6</v>
      </c>
      <c r="C15">
        <v>0</v>
      </c>
      <c r="E15">
        <f t="shared" si="0"/>
        <v>0</v>
      </c>
    </row>
    <row r="16" spans="1:5" x14ac:dyDescent="0.3">
      <c r="A16" t="s">
        <v>17</v>
      </c>
      <c r="B16" t="s">
        <v>3</v>
      </c>
      <c r="C16">
        <v>395</v>
      </c>
      <c r="D16">
        <v>7500</v>
      </c>
      <c r="E16">
        <f t="shared" si="0"/>
        <v>2962500</v>
      </c>
    </row>
    <row r="17" spans="1:5" hidden="1" x14ac:dyDescent="0.3">
      <c r="A17" t="s">
        <v>18</v>
      </c>
      <c r="B17" t="s">
        <v>3</v>
      </c>
      <c r="C17">
        <v>0</v>
      </c>
      <c r="E17">
        <f t="shared" si="0"/>
        <v>0</v>
      </c>
    </row>
    <row r="18" spans="1:5" x14ac:dyDescent="0.3">
      <c r="A18" t="s">
        <v>18</v>
      </c>
      <c r="B18" t="s">
        <v>4</v>
      </c>
      <c r="C18">
        <v>20</v>
      </c>
      <c r="D18">
        <v>6300</v>
      </c>
      <c r="E18">
        <f t="shared" si="0"/>
        <v>126000</v>
      </c>
    </row>
    <row r="19" spans="1:5" x14ac:dyDescent="0.3">
      <c r="A19" t="s">
        <v>19</v>
      </c>
      <c r="B19" t="s">
        <v>4</v>
      </c>
      <c r="C19">
        <v>12</v>
      </c>
      <c r="D19">
        <v>5250</v>
      </c>
      <c r="E19">
        <f t="shared" si="0"/>
        <v>63000</v>
      </c>
    </row>
    <row r="20" spans="1:5" hidden="1" x14ac:dyDescent="0.3">
      <c r="A20" t="s">
        <v>20</v>
      </c>
      <c r="B20" t="s">
        <v>3</v>
      </c>
      <c r="C20">
        <v>0</v>
      </c>
      <c r="E20">
        <f t="shared" si="0"/>
        <v>0</v>
      </c>
    </row>
    <row r="21" spans="1:5" hidden="1" x14ac:dyDescent="0.3">
      <c r="A21" t="s">
        <v>21</v>
      </c>
      <c r="B21" t="s">
        <v>22</v>
      </c>
      <c r="C21">
        <v>0</v>
      </c>
      <c r="E21">
        <f t="shared" si="0"/>
        <v>0</v>
      </c>
    </row>
    <row r="22" spans="1:5" x14ac:dyDescent="0.3">
      <c r="A22" t="s">
        <v>21</v>
      </c>
      <c r="B22" t="s">
        <v>3</v>
      </c>
      <c r="C22">
        <v>60</v>
      </c>
      <c r="D22">
        <v>16000</v>
      </c>
      <c r="E22">
        <f t="shared" si="0"/>
        <v>960000</v>
      </c>
    </row>
    <row r="23" spans="1:5" hidden="1" x14ac:dyDescent="0.3">
      <c r="A23" t="s">
        <v>23</v>
      </c>
      <c r="B23" t="s">
        <v>3</v>
      </c>
      <c r="C23">
        <v>0</v>
      </c>
      <c r="E23">
        <f t="shared" si="0"/>
        <v>0</v>
      </c>
    </row>
    <row r="24" spans="1:5" x14ac:dyDescent="0.3">
      <c r="A24" t="s">
        <v>24</v>
      </c>
      <c r="B24" t="s">
        <v>3</v>
      </c>
      <c r="C24">
        <v>350</v>
      </c>
      <c r="D24">
        <v>7000</v>
      </c>
      <c r="E24">
        <f t="shared" si="0"/>
        <v>2450000</v>
      </c>
    </row>
    <row r="25" spans="1:5" x14ac:dyDescent="0.3">
      <c r="A25" t="s">
        <v>25</v>
      </c>
      <c r="B25" t="s">
        <v>3</v>
      </c>
      <c r="C25">
        <v>165</v>
      </c>
      <c r="D25">
        <v>11000</v>
      </c>
      <c r="E25">
        <f t="shared" si="0"/>
        <v>1815000</v>
      </c>
    </row>
    <row r="26" spans="1:5" hidden="1" x14ac:dyDescent="0.3">
      <c r="A26" t="s">
        <v>25</v>
      </c>
      <c r="B26" t="s">
        <v>26</v>
      </c>
      <c r="C26">
        <v>0</v>
      </c>
      <c r="E26">
        <f t="shared" si="0"/>
        <v>0</v>
      </c>
    </row>
    <row r="27" spans="1:5" x14ac:dyDescent="0.3">
      <c r="A27" t="s">
        <v>27</v>
      </c>
      <c r="B27" t="s">
        <v>3</v>
      </c>
      <c r="C27">
        <v>138</v>
      </c>
      <c r="D27">
        <v>10000</v>
      </c>
      <c r="E27">
        <f t="shared" si="0"/>
        <v>1380000</v>
      </c>
    </row>
    <row r="28" spans="1:5" hidden="1" x14ac:dyDescent="0.3">
      <c r="A28" t="s">
        <v>27</v>
      </c>
      <c r="B28" t="s">
        <v>26</v>
      </c>
      <c r="C28">
        <v>0</v>
      </c>
      <c r="E28">
        <f t="shared" si="0"/>
        <v>0</v>
      </c>
    </row>
    <row r="29" spans="1:5" x14ac:dyDescent="0.3">
      <c r="A29" t="s">
        <v>28</v>
      </c>
      <c r="B29" t="s">
        <v>3</v>
      </c>
      <c r="C29">
        <v>143</v>
      </c>
      <c r="D29">
        <v>24000</v>
      </c>
      <c r="E29">
        <f t="shared" si="0"/>
        <v>3432000</v>
      </c>
    </row>
    <row r="30" spans="1:5" hidden="1" x14ac:dyDescent="0.3">
      <c r="A30" t="s">
        <v>28</v>
      </c>
      <c r="B30" t="s">
        <v>29</v>
      </c>
      <c r="C30">
        <v>0</v>
      </c>
      <c r="E30">
        <f t="shared" si="0"/>
        <v>0</v>
      </c>
    </row>
    <row r="31" spans="1:5" x14ac:dyDescent="0.3">
      <c r="A31" t="s">
        <v>30</v>
      </c>
      <c r="B31" t="s">
        <v>3</v>
      </c>
      <c r="C31">
        <v>120</v>
      </c>
      <c r="D31">
        <v>24000</v>
      </c>
      <c r="E31">
        <f t="shared" si="0"/>
        <v>2880000</v>
      </c>
    </row>
    <row r="32" spans="1:5" hidden="1" x14ac:dyDescent="0.3">
      <c r="A32" t="s">
        <v>30</v>
      </c>
      <c r="B32" t="s">
        <v>6</v>
      </c>
      <c r="C32">
        <v>0</v>
      </c>
      <c r="E32">
        <f t="shared" si="0"/>
        <v>0</v>
      </c>
    </row>
    <row r="33" spans="1:5" x14ac:dyDescent="0.3">
      <c r="A33" t="s">
        <v>31</v>
      </c>
      <c r="B33" t="s">
        <v>4</v>
      </c>
      <c r="C33">
        <v>170</v>
      </c>
      <c r="D33">
        <v>18000</v>
      </c>
      <c r="E33">
        <f t="shared" si="0"/>
        <v>3060000</v>
      </c>
    </row>
    <row r="34" spans="1:5" hidden="1" x14ac:dyDescent="0.3">
      <c r="A34" t="s">
        <v>32</v>
      </c>
      <c r="B34" t="s">
        <v>3</v>
      </c>
      <c r="C34">
        <v>0</v>
      </c>
      <c r="E34">
        <f t="shared" si="0"/>
        <v>0</v>
      </c>
    </row>
    <row r="35" spans="1:5" x14ac:dyDescent="0.3">
      <c r="A35" t="s">
        <v>32</v>
      </c>
      <c r="B35" t="s">
        <v>6</v>
      </c>
      <c r="C35">
        <v>622</v>
      </c>
      <c r="D35">
        <v>5000</v>
      </c>
      <c r="E35">
        <f t="shared" si="0"/>
        <v>3110000</v>
      </c>
    </row>
    <row r="36" spans="1:5" hidden="1" x14ac:dyDescent="0.3">
      <c r="A36" t="s">
        <v>33</v>
      </c>
      <c r="B36" t="s">
        <v>3</v>
      </c>
      <c r="C36">
        <v>0</v>
      </c>
      <c r="E36">
        <f t="shared" si="0"/>
        <v>0</v>
      </c>
    </row>
    <row r="37" spans="1:5" x14ac:dyDescent="0.3">
      <c r="A37" t="s">
        <v>34</v>
      </c>
      <c r="B37" t="s">
        <v>3</v>
      </c>
      <c r="C37">
        <v>95</v>
      </c>
      <c r="D37">
        <v>30000</v>
      </c>
      <c r="E37">
        <f t="shared" si="0"/>
        <v>2850000</v>
      </c>
    </row>
    <row r="38" spans="1:5" hidden="1" x14ac:dyDescent="0.3">
      <c r="A38" t="s">
        <v>34</v>
      </c>
      <c r="B38" t="s">
        <v>26</v>
      </c>
      <c r="C38">
        <v>0</v>
      </c>
      <c r="E38">
        <f t="shared" si="0"/>
        <v>0</v>
      </c>
    </row>
    <row r="39" spans="1:5" x14ac:dyDescent="0.3">
      <c r="A39" t="s">
        <v>35</v>
      </c>
      <c r="B39" t="s">
        <v>3</v>
      </c>
      <c r="C39">
        <v>80</v>
      </c>
      <c r="D39">
        <v>15000</v>
      </c>
      <c r="E39">
        <f t="shared" si="0"/>
        <v>1200000</v>
      </c>
    </row>
    <row r="40" spans="1:5" hidden="1" x14ac:dyDescent="0.3">
      <c r="A40" t="s">
        <v>35</v>
      </c>
      <c r="B40" t="s">
        <v>26</v>
      </c>
      <c r="C40">
        <v>0</v>
      </c>
      <c r="E40">
        <f t="shared" si="0"/>
        <v>0</v>
      </c>
    </row>
    <row r="41" spans="1:5" x14ac:dyDescent="0.3">
      <c r="A41" t="s">
        <v>36</v>
      </c>
      <c r="B41" t="s">
        <v>3</v>
      </c>
      <c r="C41">
        <v>90</v>
      </c>
      <c r="D41">
        <v>18000</v>
      </c>
      <c r="E41">
        <f t="shared" si="0"/>
        <v>1620000</v>
      </c>
    </row>
    <row r="42" spans="1:5" hidden="1" x14ac:dyDescent="0.3">
      <c r="A42" t="s">
        <v>36</v>
      </c>
      <c r="B42" t="s">
        <v>26</v>
      </c>
      <c r="C42">
        <v>0</v>
      </c>
      <c r="E42">
        <f t="shared" si="0"/>
        <v>0</v>
      </c>
    </row>
    <row r="43" spans="1:5" hidden="1" x14ac:dyDescent="0.3">
      <c r="A43" t="s">
        <v>37</v>
      </c>
      <c r="B43" t="s">
        <v>3</v>
      </c>
      <c r="C43">
        <v>0</v>
      </c>
      <c r="E43">
        <f t="shared" si="0"/>
        <v>0</v>
      </c>
    </row>
    <row r="44" spans="1:5" hidden="1" x14ac:dyDescent="0.3">
      <c r="A44" t="s">
        <v>38</v>
      </c>
      <c r="B44" t="s">
        <v>6</v>
      </c>
      <c r="C44">
        <v>0</v>
      </c>
      <c r="E44">
        <f t="shared" si="0"/>
        <v>0</v>
      </c>
    </row>
    <row r="45" spans="1:5" x14ac:dyDescent="0.3">
      <c r="A45" t="s">
        <v>39</v>
      </c>
      <c r="B45" t="s">
        <v>3</v>
      </c>
      <c r="C45">
        <v>1875</v>
      </c>
      <c r="D45">
        <v>24000</v>
      </c>
      <c r="E45">
        <f t="shared" si="0"/>
        <v>45000000</v>
      </c>
    </row>
    <row r="46" spans="1:5" x14ac:dyDescent="0.3">
      <c r="A46" t="s">
        <v>40</v>
      </c>
      <c r="B46" t="s">
        <v>3</v>
      </c>
      <c r="C46">
        <v>9</v>
      </c>
      <c r="D46">
        <v>30000</v>
      </c>
      <c r="E46">
        <f t="shared" si="0"/>
        <v>270000</v>
      </c>
    </row>
    <row r="47" spans="1:5" x14ac:dyDescent="0.3">
      <c r="A47" t="s">
        <v>40</v>
      </c>
      <c r="B47" t="s">
        <v>41</v>
      </c>
      <c r="C47">
        <v>78</v>
      </c>
      <c r="D47">
        <v>9000</v>
      </c>
      <c r="E47">
        <f t="shared" si="0"/>
        <v>702000</v>
      </c>
    </row>
    <row r="48" spans="1:5" x14ac:dyDescent="0.3">
      <c r="A48" t="s">
        <v>43</v>
      </c>
      <c r="B48" t="s">
        <v>3</v>
      </c>
      <c r="C48">
        <v>2400</v>
      </c>
      <c r="D48">
        <v>27600</v>
      </c>
      <c r="E48">
        <f t="shared" si="0"/>
        <v>66240000</v>
      </c>
    </row>
    <row r="49" spans="1:5" x14ac:dyDescent="0.3">
      <c r="A49" t="s">
        <v>44</v>
      </c>
      <c r="B49" t="s">
        <v>3</v>
      </c>
      <c r="C49">
        <v>84</v>
      </c>
      <c r="D49">
        <v>38000</v>
      </c>
      <c r="E49">
        <f t="shared" si="0"/>
        <v>3192000</v>
      </c>
    </row>
    <row r="50" spans="1:5" x14ac:dyDescent="0.3">
      <c r="A50" t="s">
        <v>45</v>
      </c>
      <c r="B50" t="s">
        <v>3</v>
      </c>
      <c r="C50">
        <v>17</v>
      </c>
      <c r="D50">
        <v>7000</v>
      </c>
      <c r="E50">
        <f t="shared" si="0"/>
        <v>119000</v>
      </c>
    </row>
    <row r="51" spans="1:5" x14ac:dyDescent="0.3">
      <c r="A51" t="s">
        <v>46</v>
      </c>
      <c r="B51" t="s">
        <v>3</v>
      </c>
      <c r="C51">
        <v>20</v>
      </c>
      <c r="D51">
        <v>15000</v>
      </c>
      <c r="E51">
        <f t="shared" si="0"/>
        <v>300000</v>
      </c>
    </row>
    <row r="52" spans="1:5" x14ac:dyDescent="0.3">
      <c r="A52" t="s">
        <v>48</v>
      </c>
      <c r="B52" t="s">
        <v>3</v>
      </c>
      <c r="C52">
        <v>63</v>
      </c>
      <c r="D52">
        <v>21000</v>
      </c>
      <c r="E52">
        <f t="shared" si="0"/>
        <v>1323000</v>
      </c>
    </row>
    <row r="53" spans="1:5" hidden="1" x14ac:dyDescent="0.3">
      <c r="A53" t="s">
        <v>48</v>
      </c>
      <c r="B53" t="s">
        <v>49</v>
      </c>
      <c r="C53">
        <v>0</v>
      </c>
      <c r="E53">
        <f t="shared" si="0"/>
        <v>0</v>
      </c>
    </row>
    <row r="54" spans="1:5" x14ac:dyDescent="0.3">
      <c r="A54" t="s">
        <v>50</v>
      </c>
      <c r="B54" t="s">
        <v>8</v>
      </c>
      <c r="C54">
        <v>20</v>
      </c>
      <c r="D54">
        <v>16500</v>
      </c>
      <c r="E54">
        <f t="shared" si="0"/>
        <v>330000</v>
      </c>
    </row>
    <row r="55" spans="1:5" hidden="1" x14ac:dyDescent="0.3">
      <c r="A55" t="s">
        <v>51</v>
      </c>
      <c r="B55" t="s">
        <v>3</v>
      </c>
      <c r="C55">
        <v>0</v>
      </c>
      <c r="E55">
        <f t="shared" si="0"/>
        <v>0</v>
      </c>
    </row>
    <row r="56" spans="1:5" x14ac:dyDescent="0.3">
      <c r="A56" t="s">
        <v>51</v>
      </c>
      <c r="B56" t="s">
        <v>52</v>
      </c>
      <c r="C56">
        <v>56</v>
      </c>
      <c r="D56">
        <v>12000</v>
      </c>
      <c r="E56">
        <f t="shared" si="0"/>
        <v>672000</v>
      </c>
    </row>
    <row r="57" spans="1:5" x14ac:dyDescent="0.3">
      <c r="A57" t="s">
        <v>53</v>
      </c>
      <c r="B57" t="s">
        <v>3</v>
      </c>
      <c r="C57">
        <v>35</v>
      </c>
      <c r="D57">
        <v>7000</v>
      </c>
      <c r="E57">
        <f t="shared" si="0"/>
        <v>245000</v>
      </c>
    </row>
    <row r="58" spans="1:5" hidden="1" x14ac:dyDescent="0.3">
      <c r="A58" t="s">
        <v>53</v>
      </c>
      <c r="B58" t="s">
        <v>54</v>
      </c>
      <c r="C58">
        <v>0</v>
      </c>
      <c r="E58">
        <f t="shared" si="0"/>
        <v>0</v>
      </c>
    </row>
    <row r="59" spans="1:5" x14ac:dyDescent="0.3">
      <c r="A59" t="s">
        <v>55</v>
      </c>
      <c r="B59" t="s">
        <v>4</v>
      </c>
      <c r="C59">
        <v>14</v>
      </c>
      <c r="D59">
        <v>3900</v>
      </c>
      <c r="E59">
        <f t="shared" si="0"/>
        <v>54600</v>
      </c>
    </row>
    <row r="60" spans="1:5" x14ac:dyDescent="0.3">
      <c r="A60" t="s">
        <v>56</v>
      </c>
      <c r="B60" t="s">
        <v>3</v>
      </c>
      <c r="C60">
        <v>25</v>
      </c>
      <c r="D60">
        <v>13000</v>
      </c>
      <c r="E60">
        <f t="shared" si="0"/>
        <v>325000</v>
      </c>
    </row>
    <row r="61" spans="1:5" x14ac:dyDescent="0.3">
      <c r="A61" t="s">
        <v>57</v>
      </c>
      <c r="B61" t="s">
        <v>3</v>
      </c>
      <c r="C61">
        <v>60</v>
      </c>
      <c r="D61">
        <v>4500</v>
      </c>
      <c r="E61">
        <f t="shared" si="0"/>
        <v>270000</v>
      </c>
    </row>
    <row r="62" spans="1:5" x14ac:dyDescent="0.3">
      <c r="A62" t="s">
        <v>58</v>
      </c>
      <c r="B62" t="s">
        <v>3</v>
      </c>
      <c r="C62">
        <v>3</v>
      </c>
      <c r="D62">
        <v>23000</v>
      </c>
      <c r="E62">
        <f t="shared" si="0"/>
        <v>69000</v>
      </c>
    </row>
    <row r="63" spans="1:5" x14ac:dyDescent="0.3">
      <c r="A63" t="s">
        <v>59</v>
      </c>
      <c r="B63" t="s">
        <v>3</v>
      </c>
      <c r="C63">
        <v>30</v>
      </c>
      <c r="D63">
        <v>11000</v>
      </c>
      <c r="E63">
        <f t="shared" si="0"/>
        <v>330000</v>
      </c>
    </row>
    <row r="64" spans="1:5" x14ac:dyDescent="0.3">
      <c r="A64" t="s">
        <v>60</v>
      </c>
      <c r="B64" t="s">
        <v>4</v>
      </c>
      <c r="C64">
        <v>18</v>
      </c>
      <c r="D64">
        <v>6000</v>
      </c>
      <c r="E64">
        <f t="shared" si="0"/>
        <v>108000</v>
      </c>
    </row>
    <row r="65" spans="1:5" x14ac:dyDescent="0.3">
      <c r="A65" t="s">
        <v>61</v>
      </c>
      <c r="B65" t="s">
        <v>3</v>
      </c>
      <c r="C65">
        <v>20</v>
      </c>
      <c r="D65">
        <v>9000</v>
      </c>
      <c r="E65">
        <f t="shared" si="0"/>
        <v>180000</v>
      </c>
    </row>
    <row r="66" spans="1:5" hidden="1" x14ac:dyDescent="0.3">
      <c r="A66" t="s">
        <v>61</v>
      </c>
      <c r="B66" t="s">
        <v>62</v>
      </c>
      <c r="C66">
        <v>0</v>
      </c>
      <c r="E66">
        <f t="shared" si="0"/>
        <v>0</v>
      </c>
    </row>
    <row r="67" spans="1:5" hidden="1" x14ac:dyDescent="0.3">
      <c r="A67" t="s">
        <v>63</v>
      </c>
      <c r="B67" t="s">
        <v>3</v>
      </c>
      <c r="C67">
        <v>0</v>
      </c>
      <c r="E67">
        <f t="shared" si="0"/>
        <v>0</v>
      </c>
    </row>
    <row r="68" spans="1:5" x14ac:dyDescent="0.3">
      <c r="A68" t="s">
        <v>64</v>
      </c>
      <c r="B68" t="s">
        <v>3</v>
      </c>
      <c r="C68">
        <v>1</v>
      </c>
      <c r="D68">
        <v>70000</v>
      </c>
      <c r="E68">
        <f t="shared" ref="E68:E133" si="1">C68*D68</f>
        <v>70000</v>
      </c>
    </row>
    <row r="69" spans="1:5" hidden="1" x14ac:dyDescent="0.3">
      <c r="A69" t="s">
        <v>65</v>
      </c>
      <c r="B69" t="s">
        <v>3</v>
      </c>
      <c r="C69">
        <v>0</v>
      </c>
      <c r="E69">
        <f t="shared" si="1"/>
        <v>0</v>
      </c>
    </row>
    <row r="70" spans="1:5" hidden="1" x14ac:dyDescent="0.3">
      <c r="A70" t="s">
        <v>66</v>
      </c>
      <c r="B70" t="s">
        <v>22</v>
      </c>
      <c r="C70">
        <v>0</v>
      </c>
      <c r="E70">
        <f t="shared" si="1"/>
        <v>0</v>
      </c>
    </row>
    <row r="71" spans="1:5" x14ac:dyDescent="0.3">
      <c r="A71" t="s">
        <v>66</v>
      </c>
      <c r="B71" t="s">
        <v>3</v>
      </c>
      <c r="C71">
        <v>20</v>
      </c>
      <c r="D71">
        <v>21000</v>
      </c>
      <c r="E71">
        <f t="shared" si="1"/>
        <v>420000</v>
      </c>
    </row>
    <row r="72" spans="1:5" hidden="1" x14ac:dyDescent="0.3">
      <c r="A72" t="s">
        <v>67</v>
      </c>
      <c r="B72" t="s">
        <v>3</v>
      </c>
      <c r="C72">
        <v>0</v>
      </c>
      <c r="E72">
        <f t="shared" si="1"/>
        <v>0</v>
      </c>
    </row>
    <row r="73" spans="1:5" hidden="1" x14ac:dyDescent="0.3">
      <c r="A73" t="s">
        <v>68</v>
      </c>
      <c r="B73" t="s">
        <v>4</v>
      </c>
      <c r="C73">
        <v>0</v>
      </c>
      <c r="E73">
        <f t="shared" si="1"/>
        <v>0</v>
      </c>
    </row>
    <row r="74" spans="1:5" x14ac:dyDescent="0.3">
      <c r="A74" t="s">
        <v>69</v>
      </c>
      <c r="B74" t="s">
        <v>3</v>
      </c>
      <c r="C74">
        <v>15</v>
      </c>
      <c r="D74">
        <v>14000</v>
      </c>
      <c r="E74">
        <f t="shared" si="1"/>
        <v>210000</v>
      </c>
    </row>
    <row r="75" spans="1:5" hidden="1" x14ac:dyDescent="0.3">
      <c r="A75" t="s">
        <v>70</v>
      </c>
      <c r="B75" t="s">
        <v>8</v>
      </c>
      <c r="C75">
        <v>0</v>
      </c>
      <c r="E75">
        <f t="shared" si="1"/>
        <v>0</v>
      </c>
    </row>
    <row r="76" spans="1:5" x14ac:dyDescent="0.3">
      <c r="A76" t="s">
        <v>70</v>
      </c>
      <c r="B76" t="s">
        <v>3</v>
      </c>
      <c r="C76">
        <v>7</v>
      </c>
      <c r="D76">
        <v>44000</v>
      </c>
      <c r="E76">
        <f t="shared" si="1"/>
        <v>308000</v>
      </c>
    </row>
    <row r="77" spans="1:5" hidden="1" x14ac:dyDescent="0.3">
      <c r="A77" t="s">
        <v>71</v>
      </c>
      <c r="B77" t="s">
        <v>4</v>
      </c>
      <c r="C77">
        <v>0</v>
      </c>
      <c r="E77">
        <f t="shared" si="1"/>
        <v>0</v>
      </c>
    </row>
    <row r="78" spans="1:5" x14ac:dyDescent="0.3">
      <c r="A78" t="s">
        <v>72</v>
      </c>
      <c r="B78" t="s">
        <v>3</v>
      </c>
      <c r="C78">
        <v>47</v>
      </c>
      <c r="D78">
        <v>7000</v>
      </c>
      <c r="E78">
        <f t="shared" si="1"/>
        <v>329000</v>
      </c>
    </row>
    <row r="79" spans="1:5" x14ac:dyDescent="0.3">
      <c r="A79" t="s">
        <v>73</v>
      </c>
      <c r="B79" t="s">
        <v>3</v>
      </c>
      <c r="C79">
        <v>7</v>
      </c>
      <c r="D79">
        <v>10000</v>
      </c>
      <c r="E79">
        <f t="shared" si="1"/>
        <v>70000</v>
      </c>
    </row>
    <row r="80" spans="1:5" x14ac:dyDescent="0.3">
      <c r="A80" t="s">
        <v>74</v>
      </c>
      <c r="B80" t="s">
        <v>3</v>
      </c>
      <c r="C80">
        <v>3</v>
      </c>
      <c r="D80">
        <v>28000</v>
      </c>
      <c r="E80">
        <f t="shared" si="1"/>
        <v>84000</v>
      </c>
    </row>
    <row r="81" spans="1:5" x14ac:dyDescent="0.3">
      <c r="A81" t="s">
        <v>76</v>
      </c>
      <c r="B81" t="s">
        <v>3</v>
      </c>
      <c r="C81">
        <v>5</v>
      </c>
      <c r="D81">
        <v>30000</v>
      </c>
      <c r="E81">
        <f t="shared" si="1"/>
        <v>150000</v>
      </c>
    </row>
    <row r="82" spans="1:5" hidden="1" x14ac:dyDescent="0.3">
      <c r="A82" t="s">
        <v>83</v>
      </c>
      <c r="B82" t="s">
        <v>4</v>
      </c>
      <c r="C82">
        <v>0</v>
      </c>
      <c r="E82">
        <f t="shared" si="1"/>
        <v>0</v>
      </c>
    </row>
    <row r="83" spans="1:5" hidden="1" x14ac:dyDescent="0.3">
      <c r="A83" t="s">
        <v>82</v>
      </c>
      <c r="B83" t="s">
        <v>3</v>
      </c>
      <c r="C83">
        <v>0</v>
      </c>
      <c r="E83">
        <f t="shared" si="1"/>
        <v>0</v>
      </c>
    </row>
    <row r="84" spans="1:5" x14ac:dyDescent="0.3">
      <c r="A84" t="s">
        <v>88</v>
      </c>
      <c r="B84" t="s">
        <v>3</v>
      </c>
      <c r="C84">
        <v>205</v>
      </c>
      <c r="D84">
        <v>28000</v>
      </c>
      <c r="E84">
        <f t="shared" si="1"/>
        <v>5740000</v>
      </c>
    </row>
    <row r="85" spans="1:5" hidden="1" x14ac:dyDescent="0.3">
      <c r="A85" t="s">
        <v>86</v>
      </c>
      <c r="B85" t="s">
        <v>22</v>
      </c>
      <c r="C85">
        <v>0</v>
      </c>
      <c r="E85">
        <f t="shared" si="1"/>
        <v>0</v>
      </c>
    </row>
    <row r="86" spans="1:5" hidden="1" x14ac:dyDescent="0.3">
      <c r="A86" t="s">
        <v>84</v>
      </c>
      <c r="B86" t="s">
        <v>22</v>
      </c>
      <c r="C86">
        <v>0</v>
      </c>
      <c r="E86">
        <f t="shared" si="1"/>
        <v>0</v>
      </c>
    </row>
    <row r="87" spans="1:5" x14ac:dyDescent="0.3">
      <c r="A87" t="s">
        <v>85</v>
      </c>
      <c r="B87" t="s">
        <v>22</v>
      </c>
      <c r="C87">
        <v>45</v>
      </c>
      <c r="D87">
        <v>6500</v>
      </c>
      <c r="E87">
        <f t="shared" si="1"/>
        <v>292500</v>
      </c>
    </row>
    <row r="88" spans="1:5" x14ac:dyDescent="0.3">
      <c r="A88" t="s">
        <v>87</v>
      </c>
      <c r="B88" t="s">
        <v>4</v>
      </c>
      <c r="C88">
        <v>16</v>
      </c>
      <c r="D88">
        <v>7500</v>
      </c>
      <c r="E88">
        <f t="shared" si="1"/>
        <v>120000</v>
      </c>
    </row>
    <row r="89" spans="1:5" hidden="1" x14ac:dyDescent="0.3">
      <c r="A89" t="s">
        <v>89</v>
      </c>
      <c r="B89" t="s">
        <v>4</v>
      </c>
      <c r="C89">
        <v>0</v>
      </c>
      <c r="E89">
        <f t="shared" si="1"/>
        <v>0</v>
      </c>
    </row>
    <row r="90" spans="1:5" x14ac:dyDescent="0.3">
      <c r="A90" t="s">
        <v>91</v>
      </c>
      <c r="B90" t="s">
        <v>3</v>
      </c>
      <c r="C90">
        <v>70</v>
      </c>
      <c r="D90">
        <v>10000</v>
      </c>
      <c r="E90">
        <f t="shared" si="1"/>
        <v>700000</v>
      </c>
    </row>
    <row r="91" spans="1:5" hidden="1" x14ac:dyDescent="0.3">
      <c r="A91" t="s">
        <v>123</v>
      </c>
      <c r="B91" t="s">
        <v>3</v>
      </c>
      <c r="C91">
        <v>0</v>
      </c>
      <c r="E91">
        <f t="shared" si="1"/>
        <v>0</v>
      </c>
    </row>
    <row r="92" spans="1:5" x14ac:dyDescent="0.3">
      <c r="A92" t="s">
        <v>81</v>
      </c>
      <c r="B92" t="s">
        <v>3</v>
      </c>
      <c r="C92">
        <v>25</v>
      </c>
      <c r="D92">
        <v>9000</v>
      </c>
      <c r="E92">
        <f t="shared" si="1"/>
        <v>225000</v>
      </c>
    </row>
    <row r="93" spans="1:5" x14ac:dyDescent="0.3">
      <c r="A93" t="s">
        <v>92</v>
      </c>
      <c r="B93" t="s">
        <v>3</v>
      </c>
      <c r="C93">
        <v>3</v>
      </c>
      <c r="D93">
        <v>11500</v>
      </c>
      <c r="E93">
        <f t="shared" si="1"/>
        <v>34500</v>
      </c>
    </row>
    <row r="94" spans="1:5" x14ac:dyDescent="0.3">
      <c r="A94" t="s">
        <v>93</v>
      </c>
      <c r="B94" t="s">
        <v>3</v>
      </c>
      <c r="C94">
        <v>20</v>
      </c>
      <c r="D94">
        <v>27000</v>
      </c>
      <c r="E94">
        <f t="shared" si="1"/>
        <v>540000</v>
      </c>
    </row>
    <row r="95" spans="1:5" x14ac:dyDescent="0.3">
      <c r="A95" t="s">
        <v>107</v>
      </c>
      <c r="B95" t="s">
        <v>3</v>
      </c>
      <c r="C95">
        <v>1.5</v>
      </c>
      <c r="D95">
        <v>16000</v>
      </c>
      <c r="E95">
        <f t="shared" si="1"/>
        <v>24000</v>
      </c>
    </row>
    <row r="96" spans="1:5" x14ac:dyDescent="0.3">
      <c r="A96" t="s">
        <v>106</v>
      </c>
      <c r="B96" t="s">
        <v>3</v>
      </c>
      <c r="C96">
        <v>13</v>
      </c>
      <c r="D96">
        <v>20000</v>
      </c>
      <c r="E96">
        <f t="shared" si="1"/>
        <v>260000</v>
      </c>
    </row>
    <row r="97" spans="1:5" x14ac:dyDescent="0.3">
      <c r="A97" t="s">
        <v>133</v>
      </c>
      <c r="B97" t="s">
        <v>3</v>
      </c>
      <c r="C97">
        <v>50</v>
      </c>
      <c r="D97">
        <v>17000</v>
      </c>
      <c r="E97">
        <f t="shared" si="1"/>
        <v>850000</v>
      </c>
    </row>
    <row r="98" spans="1:5" x14ac:dyDescent="0.3">
      <c r="A98" t="s">
        <v>79</v>
      </c>
      <c r="B98" t="s">
        <v>3</v>
      </c>
      <c r="C98">
        <v>0.5</v>
      </c>
      <c r="D98">
        <v>80000</v>
      </c>
      <c r="E98">
        <f t="shared" si="1"/>
        <v>40000</v>
      </c>
    </row>
    <row r="99" spans="1:5" x14ac:dyDescent="0.3">
      <c r="A99" t="s">
        <v>134</v>
      </c>
      <c r="B99" t="s">
        <v>3</v>
      </c>
      <c r="C99">
        <v>20</v>
      </c>
      <c r="D99">
        <v>8000</v>
      </c>
      <c r="E99">
        <f t="shared" si="1"/>
        <v>160000</v>
      </c>
    </row>
    <row r="100" spans="1:5" x14ac:dyDescent="0.3">
      <c r="E100">
        <f>SUM(E5:E99)</f>
        <v>191743600</v>
      </c>
    </row>
    <row r="101" spans="1:5" x14ac:dyDescent="0.3">
      <c r="A101" t="s">
        <v>103</v>
      </c>
    </row>
    <row r="102" spans="1:5" x14ac:dyDescent="0.3">
      <c r="A102" t="s">
        <v>0</v>
      </c>
      <c r="B102" t="s">
        <v>1</v>
      </c>
      <c r="C102" t="s">
        <v>102</v>
      </c>
      <c r="D102" t="s">
        <v>100</v>
      </c>
      <c r="E102" t="s">
        <v>101</v>
      </c>
    </row>
    <row r="103" spans="1:5" x14ac:dyDescent="0.3">
      <c r="A103" t="s">
        <v>2</v>
      </c>
      <c r="B103" t="s">
        <v>3</v>
      </c>
      <c r="C103">
        <v>220</v>
      </c>
      <c r="D103">
        <v>13000</v>
      </c>
      <c r="E103">
        <f t="shared" si="1"/>
        <v>2860000</v>
      </c>
    </row>
    <row r="104" spans="1:5" x14ac:dyDescent="0.3">
      <c r="A104" t="s">
        <v>57</v>
      </c>
      <c r="B104" t="s">
        <v>3</v>
      </c>
      <c r="C104">
        <v>85</v>
      </c>
      <c r="D104">
        <v>4500</v>
      </c>
      <c r="E104">
        <f t="shared" si="1"/>
        <v>382500</v>
      </c>
    </row>
    <row r="105" spans="1:5" x14ac:dyDescent="0.3">
      <c r="A105" t="s">
        <v>9</v>
      </c>
      <c r="B105" t="s">
        <v>3</v>
      </c>
      <c r="C105">
        <v>40</v>
      </c>
      <c r="D105">
        <v>12000</v>
      </c>
      <c r="E105">
        <f t="shared" si="1"/>
        <v>480000</v>
      </c>
    </row>
    <row r="106" spans="1:5" x14ac:dyDescent="0.3">
      <c r="A106" t="s">
        <v>10</v>
      </c>
      <c r="B106" t="s">
        <v>3</v>
      </c>
      <c r="C106">
        <v>80</v>
      </c>
      <c r="D106">
        <v>19000</v>
      </c>
      <c r="E106">
        <f t="shared" si="1"/>
        <v>1520000</v>
      </c>
    </row>
    <row r="107" spans="1:5" hidden="1" x14ac:dyDescent="0.3">
      <c r="A107" t="s">
        <v>14</v>
      </c>
      <c r="B107" t="s">
        <v>3</v>
      </c>
      <c r="C107">
        <v>0</v>
      </c>
      <c r="D107">
        <v>100</v>
      </c>
      <c r="E107">
        <f t="shared" si="1"/>
        <v>0</v>
      </c>
    </row>
    <row r="108" spans="1:5" hidden="1" x14ac:dyDescent="0.3">
      <c r="A108" t="s">
        <v>15</v>
      </c>
      <c r="B108" t="s">
        <v>3</v>
      </c>
      <c r="C108">
        <v>0</v>
      </c>
      <c r="D108">
        <v>160</v>
      </c>
      <c r="E108">
        <f t="shared" si="1"/>
        <v>0</v>
      </c>
    </row>
    <row r="109" spans="1:5" hidden="1" x14ac:dyDescent="0.3">
      <c r="A109" t="s">
        <v>59</v>
      </c>
      <c r="B109" t="s">
        <v>3</v>
      </c>
      <c r="C109">
        <v>0</v>
      </c>
      <c r="D109">
        <v>20</v>
      </c>
      <c r="E109">
        <f t="shared" si="1"/>
        <v>0</v>
      </c>
    </row>
    <row r="110" spans="1:5" hidden="1" x14ac:dyDescent="0.3">
      <c r="A110" t="s">
        <v>94</v>
      </c>
      <c r="B110" t="s">
        <v>3</v>
      </c>
      <c r="C110">
        <v>0</v>
      </c>
      <c r="D110">
        <v>0</v>
      </c>
      <c r="E110">
        <f t="shared" si="1"/>
        <v>0</v>
      </c>
    </row>
    <row r="111" spans="1:5" hidden="1" x14ac:dyDescent="0.3">
      <c r="A111" t="s">
        <v>44</v>
      </c>
      <c r="B111" t="s">
        <v>3</v>
      </c>
      <c r="C111">
        <v>0</v>
      </c>
      <c r="D111">
        <v>30</v>
      </c>
      <c r="E111">
        <f t="shared" si="1"/>
        <v>0</v>
      </c>
    </row>
    <row r="112" spans="1:5" x14ac:dyDescent="0.3">
      <c r="A112" t="s">
        <v>45</v>
      </c>
      <c r="B112" t="s">
        <v>3</v>
      </c>
      <c r="C112">
        <v>80</v>
      </c>
      <c r="D112">
        <v>7000</v>
      </c>
      <c r="E112">
        <f t="shared" si="1"/>
        <v>560000</v>
      </c>
    </row>
    <row r="113" spans="1:5" hidden="1" x14ac:dyDescent="0.3">
      <c r="A113" t="s">
        <v>17</v>
      </c>
      <c r="B113" t="s">
        <v>3</v>
      </c>
      <c r="C113">
        <v>0</v>
      </c>
      <c r="E113">
        <f t="shared" si="1"/>
        <v>0</v>
      </c>
    </row>
    <row r="114" spans="1:5" hidden="1" x14ac:dyDescent="0.3">
      <c r="A114" t="s">
        <v>20</v>
      </c>
      <c r="B114" t="s">
        <v>3</v>
      </c>
      <c r="C114">
        <v>0</v>
      </c>
      <c r="D114">
        <v>200</v>
      </c>
      <c r="E114">
        <f t="shared" si="1"/>
        <v>0</v>
      </c>
    </row>
    <row r="115" spans="1:5" x14ac:dyDescent="0.3">
      <c r="A115" t="s">
        <v>21</v>
      </c>
      <c r="B115" t="s">
        <v>3</v>
      </c>
      <c r="C115">
        <v>60</v>
      </c>
      <c r="D115">
        <v>16000</v>
      </c>
      <c r="E115">
        <f t="shared" si="1"/>
        <v>960000</v>
      </c>
    </row>
    <row r="116" spans="1:5" hidden="1" x14ac:dyDescent="0.3">
      <c r="A116" t="s">
        <v>66</v>
      </c>
      <c r="B116" t="s">
        <v>3</v>
      </c>
      <c r="C116">
        <v>0</v>
      </c>
      <c r="D116">
        <v>0</v>
      </c>
      <c r="E116">
        <f t="shared" si="1"/>
        <v>0</v>
      </c>
    </row>
    <row r="117" spans="1:5" hidden="1" x14ac:dyDescent="0.3">
      <c r="A117" t="s">
        <v>84</v>
      </c>
      <c r="B117" t="s">
        <v>22</v>
      </c>
      <c r="C117">
        <v>0</v>
      </c>
      <c r="D117">
        <v>0</v>
      </c>
      <c r="E117">
        <f t="shared" si="1"/>
        <v>0</v>
      </c>
    </row>
    <row r="118" spans="1:5" hidden="1" x14ac:dyDescent="0.3">
      <c r="A118" t="s">
        <v>86</v>
      </c>
      <c r="B118" t="s">
        <v>22</v>
      </c>
      <c r="C118">
        <v>0</v>
      </c>
      <c r="D118">
        <v>0</v>
      </c>
      <c r="E118">
        <f t="shared" si="1"/>
        <v>0</v>
      </c>
    </row>
    <row r="119" spans="1:5" hidden="1" x14ac:dyDescent="0.3">
      <c r="A119" t="s">
        <v>85</v>
      </c>
      <c r="B119" t="s">
        <v>22</v>
      </c>
      <c r="C119">
        <v>0</v>
      </c>
      <c r="D119">
        <v>0</v>
      </c>
      <c r="E119">
        <f t="shared" si="1"/>
        <v>0</v>
      </c>
    </row>
    <row r="120" spans="1:5" x14ac:dyDescent="0.3">
      <c r="A120" t="s">
        <v>95</v>
      </c>
      <c r="B120" t="s">
        <v>3</v>
      </c>
      <c r="C120">
        <v>40</v>
      </c>
      <c r="D120">
        <v>8000</v>
      </c>
      <c r="E120">
        <f t="shared" si="1"/>
        <v>320000</v>
      </c>
    </row>
    <row r="121" spans="1:5" x14ac:dyDescent="0.3">
      <c r="A121" t="s">
        <v>24</v>
      </c>
      <c r="B121" t="s">
        <v>3</v>
      </c>
      <c r="C121">
        <v>125</v>
      </c>
      <c r="D121">
        <v>7000</v>
      </c>
      <c r="E121">
        <f t="shared" si="1"/>
        <v>875000</v>
      </c>
    </row>
    <row r="122" spans="1:5" hidden="1" x14ac:dyDescent="0.3">
      <c r="A122" t="s">
        <v>25</v>
      </c>
      <c r="B122" t="s">
        <v>3</v>
      </c>
      <c r="C122">
        <v>0</v>
      </c>
      <c r="D122">
        <v>0</v>
      </c>
      <c r="E122">
        <f t="shared" si="1"/>
        <v>0</v>
      </c>
    </row>
    <row r="123" spans="1:5" x14ac:dyDescent="0.3">
      <c r="A123" t="s">
        <v>28</v>
      </c>
      <c r="B123" t="s">
        <v>3</v>
      </c>
      <c r="C123">
        <v>280</v>
      </c>
      <c r="D123">
        <v>24000</v>
      </c>
      <c r="E123">
        <f t="shared" si="1"/>
        <v>6720000</v>
      </c>
    </row>
    <row r="124" spans="1:5" hidden="1" x14ac:dyDescent="0.3">
      <c r="A124" t="s">
        <v>30</v>
      </c>
      <c r="B124" t="s">
        <v>3</v>
      </c>
      <c r="C124">
        <v>0</v>
      </c>
      <c r="D124">
        <v>100</v>
      </c>
      <c r="E124">
        <f t="shared" si="1"/>
        <v>0</v>
      </c>
    </row>
    <row r="125" spans="1:5" x14ac:dyDescent="0.3">
      <c r="A125" t="s">
        <v>53</v>
      </c>
      <c r="B125" t="s">
        <v>3</v>
      </c>
      <c r="C125">
        <v>40</v>
      </c>
      <c r="D125">
        <v>7000</v>
      </c>
      <c r="E125">
        <f t="shared" si="1"/>
        <v>280000</v>
      </c>
    </row>
    <row r="126" spans="1:5" hidden="1" x14ac:dyDescent="0.3">
      <c r="A126" t="s">
        <v>34</v>
      </c>
      <c r="B126" t="s">
        <v>3</v>
      </c>
      <c r="C126">
        <v>0</v>
      </c>
      <c r="D126">
        <v>20</v>
      </c>
      <c r="E126">
        <f t="shared" si="1"/>
        <v>0</v>
      </c>
    </row>
    <row r="127" spans="1:5" hidden="1" x14ac:dyDescent="0.3">
      <c r="A127" t="s">
        <v>35</v>
      </c>
      <c r="B127" t="s">
        <v>3</v>
      </c>
      <c r="C127">
        <v>0</v>
      </c>
      <c r="D127">
        <v>20</v>
      </c>
      <c r="E127">
        <f t="shared" si="1"/>
        <v>0</v>
      </c>
    </row>
    <row r="128" spans="1:5" hidden="1" x14ac:dyDescent="0.3">
      <c r="A128" t="s">
        <v>36</v>
      </c>
      <c r="B128" t="s">
        <v>3</v>
      </c>
      <c r="C128">
        <v>0</v>
      </c>
      <c r="D128">
        <v>20</v>
      </c>
      <c r="E128">
        <f t="shared" si="1"/>
        <v>0</v>
      </c>
    </row>
    <row r="129" spans="1:6" x14ac:dyDescent="0.3">
      <c r="A129" t="s">
        <v>72</v>
      </c>
      <c r="B129" t="s">
        <v>3</v>
      </c>
      <c r="C129">
        <v>80</v>
      </c>
      <c r="D129">
        <v>7000</v>
      </c>
      <c r="E129">
        <f t="shared" si="1"/>
        <v>560000</v>
      </c>
    </row>
    <row r="130" spans="1:6" x14ac:dyDescent="0.3">
      <c r="A130" t="s">
        <v>96</v>
      </c>
      <c r="B130" t="s">
        <v>3</v>
      </c>
      <c r="C130">
        <v>28</v>
      </c>
      <c r="D130">
        <v>25000</v>
      </c>
      <c r="E130">
        <f t="shared" si="1"/>
        <v>700000</v>
      </c>
    </row>
    <row r="131" spans="1:6" x14ac:dyDescent="0.3">
      <c r="A131" t="s">
        <v>97</v>
      </c>
      <c r="B131" t="s">
        <v>3</v>
      </c>
      <c r="C131">
        <v>8</v>
      </c>
      <c r="D131">
        <v>16000</v>
      </c>
      <c r="E131">
        <f t="shared" si="1"/>
        <v>128000</v>
      </c>
    </row>
    <row r="132" spans="1:6" hidden="1" x14ac:dyDescent="0.3">
      <c r="A132" t="s">
        <v>32</v>
      </c>
      <c r="B132" t="s">
        <v>3</v>
      </c>
      <c r="C132">
        <v>0</v>
      </c>
      <c r="D132">
        <v>0</v>
      </c>
      <c r="E132">
        <f t="shared" si="1"/>
        <v>0</v>
      </c>
    </row>
    <row r="133" spans="1:6" hidden="1" x14ac:dyDescent="0.3">
      <c r="A133" t="s">
        <v>32</v>
      </c>
      <c r="B133" t="s">
        <v>6</v>
      </c>
      <c r="C133">
        <v>0</v>
      </c>
      <c r="D133">
        <v>0</v>
      </c>
      <c r="E133">
        <f t="shared" si="1"/>
        <v>0</v>
      </c>
    </row>
    <row r="134" spans="1:6" x14ac:dyDescent="0.3">
      <c r="A134" t="s">
        <v>43</v>
      </c>
      <c r="B134" t="s">
        <v>3</v>
      </c>
      <c r="C134">
        <v>230</v>
      </c>
      <c r="D134">
        <v>27600</v>
      </c>
      <c r="E134">
        <f t="shared" ref="E134:E142" si="2">C134*D134</f>
        <v>6348000</v>
      </c>
    </row>
    <row r="135" spans="1:6" x14ac:dyDescent="0.3">
      <c r="A135" t="s">
        <v>60</v>
      </c>
      <c r="B135" t="s">
        <v>4</v>
      </c>
      <c r="C135">
        <v>20</v>
      </c>
      <c r="D135">
        <v>6000</v>
      </c>
      <c r="E135">
        <f t="shared" si="2"/>
        <v>120000</v>
      </c>
    </row>
    <row r="136" spans="1:6" x14ac:dyDescent="0.3">
      <c r="A136" t="s">
        <v>61</v>
      </c>
      <c r="B136" t="s">
        <v>4</v>
      </c>
      <c r="C136">
        <v>100</v>
      </c>
      <c r="D136">
        <v>9000</v>
      </c>
      <c r="E136">
        <f t="shared" si="2"/>
        <v>900000</v>
      </c>
    </row>
    <row r="137" spans="1:6" x14ac:dyDescent="0.3">
      <c r="A137" t="s">
        <v>116</v>
      </c>
      <c r="B137" t="s">
        <v>26</v>
      </c>
      <c r="C137">
        <v>2655</v>
      </c>
      <c r="D137">
        <v>13500</v>
      </c>
      <c r="E137">
        <f t="shared" si="2"/>
        <v>35842500</v>
      </c>
      <c r="F137" t="s">
        <v>140</v>
      </c>
    </row>
    <row r="138" spans="1:6" hidden="1" x14ac:dyDescent="0.3">
      <c r="A138" t="s">
        <v>46</v>
      </c>
      <c r="B138" t="s">
        <v>3</v>
      </c>
      <c r="C138">
        <v>0</v>
      </c>
      <c r="D138">
        <v>0</v>
      </c>
      <c r="E138">
        <f t="shared" si="2"/>
        <v>0</v>
      </c>
    </row>
    <row r="139" spans="1:6" hidden="1" x14ac:dyDescent="0.3">
      <c r="A139" t="s">
        <v>89</v>
      </c>
      <c r="B139" t="s">
        <v>4</v>
      </c>
      <c r="C139">
        <v>0</v>
      </c>
      <c r="D139">
        <v>0</v>
      </c>
      <c r="E139">
        <f t="shared" si="2"/>
        <v>0</v>
      </c>
    </row>
    <row r="140" spans="1:6" hidden="1" x14ac:dyDescent="0.3">
      <c r="A140" t="s">
        <v>37</v>
      </c>
      <c r="B140" t="s">
        <v>3</v>
      </c>
      <c r="C140">
        <v>0</v>
      </c>
      <c r="D140">
        <v>0</v>
      </c>
      <c r="E140">
        <f t="shared" si="2"/>
        <v>0</v>
      </c>
    </row>
    <row r="141" spans="1:6" hidden="1" x14ac:dyDescent="0.3">
      <c r="A141" t="s">
        <v>13</v>
      </c>
      <c r="B141" t="s">
        <v>4</v>
      </c>
      <c r="C141">
        <v>0</v>
      </c>
      <c r="D141">
        <v>0</v>
      </c>
      <c r="E141">
        <f t="shared" si="2"/>
        <v>0</v>
      </c>
    </row>
    <row r="142" spans="1:6" hidden="1" x14ac:dyDescent="0.3">
      <c r="A142" t="s">
        <v>98</v>
      </c>
      <c r="B142" t="s">
        <v>3</v>
      </c>
      <c r="C142">
        <v>0</v>
      </c>
      <c r="D142">
        <v>0</v>
      </c>
      <c r="E142">
        <f t="shared" si="2"/>
        <v>0</v>
      </c>
    </row>
    <row r="143" spans="1:6" x14ac:dyDescent="0.3">
      <c r="E143">
        <f>SUM(E103:E137)</f>
        <v>59556000</v>
      </c>
    </row>
    <row r="144" spans="1:6" x14ac:dyDescent="0.3">
      <c r="E144">
        <f>E143+E100</f>
        <v>251299600</v>
      </c>
    </row>
  </sheetData>
  <autoFilter ref="A2:E142" xr:uid="{00000000-0009-0000-0000-00000A000000}">
    <filterColumn colId="2">
      <filters>
        <filter val="0.5"/>
        <filter val="1"/>
        <filter val="1.5"/>
        <filter val="100"/>
        <filter val="12"/>
        <filter val="120"/>
        <filter val="125"/>
        <filter val="13"/>
        <filter val="138"/>
        <filter val="14"/>
        <filter val="143"/>
        <filter val="15"/>
        <filter val="16"/>
        <filter val="165"/>
        <filter val="17"/>
        <filter val="170"/>
        <filter val="18"/>
        <filter val="1875"/>
        <filter val="190"/>
        <filter val="20"/>
        <filter val="205"/>
        <filter val="220"/>
        <filter val="230"/>
        <filter val="2400"/>
        <filter val="25"/>
        <filter val="2655"/>
        <filter val="28"/>
        <filter val="280"/>
        <filter val="290"/>
        <filter val="3"/>
        <filter val="30"/>
        <filter val="35"/>
        <filter val="350"/>
        <filter val="390"/>
        <filter val="395"/>
        <filter val="40"/>
        <filter val="45"/>
        <filter val="47"/>
        <filter val="5"/>
        <filter val="50"/>
        <filter val="56"/>
        <filter val="60"/>
        <filter val="622"/>
        <filter val="63"/>
        <filter val="690"/>
        <filter val="7"/>
        <filter val="70"/>
        <filter val="78"/>
        <filter val="8"/>
        <filter val="80"/>
        <filter val="84"/>
        <filter val="85"/>
        <filter val="9"/>
        <filter val="90"/>
        <filter val="95"/>
        <filter val="Tồn_x000a_ĐL_x000a__x000a_現在庫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F183"/>
  <sheetViews>
    <sheetView workbookViewId="0">
      <selection activeCell="J28" sqref="J28"/>
    </sheetView>
  </sheetViews>
  <sheetFormatPr defaultRowHeight="14.4" x14ac:dyDescent="0.3"/>
  <cols>
    <col min="1" max="1" width="28.88671875" customWidth="1"/>
    <col min="3" max="3" width="10.88671875" customWidth="1"/>
    <col min="4" max="4" width="13.6640625" customWidth="1"/>
    <col min="5" max="5" width="17.88671875" customWidth="1"/>
  </cols>
  <sheetData>
    <row r="1" spans="1:5" x14ac:dyDescent="0.3">
      <c r="A1" t="s">
        <v>148</v>
      </c>
    </row>
    <row r="2" spans="1:5" x14ac:dyDescent="0.3">
      <c r="A2" t="s">
        <v>0</v>
      </c>
      <c r="B2" t="s">
        <v>1</v>
      </c>
      <c r="C2" t="s">
        <v>102</v>
      </c>
      <c r="D2" t="s">
        <v>100</v>
      </c>
      <c r="E2" t="s">
        <v>101</v>
      </c>
    </row>
    <row r="3" spans="1:5" x14ac:dyDescent="0.3">
      <c r="A3" t="s">
        <v>44</v>
      </c>
      <c r="B3" t="s">
        <v>3</v>
      </c>
      <c r="C3">
        <v>55</v>
      </c>
      <c r="D3">
        <v>38000</v>
      </c>
      <c r="E3">
        <f>C3*D3</f>
        <v>2090000</v>
      </c>
    </row>
    <row r="4" spans="1:5" x14ac:dyDescent="0.3">
      <c r="A4" t="s">
        <v>45</v>
      </c>
      <c r="B4" t="s">
        <v>3</v>
      </c>
      <c r="C4">
        <v>150</v>
      </c>
      <c r="D4">
        <v>5000</v>
      </c>
      <c r="E4">
        <f t="shared" ref="E4:E67" si="0">C4*D4</f>
        <v>750000</v>
      </c>
    </row>
    <row r="5" spans="1:5" x14ac:dyDescent="0.3">
      <c r="A5" t="s">
        <v>17</v>
      </c>
      <c r="B5" t="s">
        <v>3</v>
      </c>
      <c r="C5">
        <v>72</v>
      </c>
      <c r="D5">
        <v>5500</v>
      </c>
      <c r="E5">
        <f t="shared" si="0"/>
        <v>396000</v>
      </c>
    </row>
    <row r="6" spans="1:5" hidden="1" x14ac:dyDescent="0.3">
      <c r="A6" t="s">
        <v>95</v>
      </c>
      <c r="B6" t="s">
        <v>3</v>
      </c>
      <c r="C6">
        <v>0</v>
      </c>
      <c r="E6">
        <f t="shared" si="0"/>
        <v>0</v>
      </c>
    </row>
    <row r="7" spans="1:5" hidden="1" x14ac:dyDescent="0.3">
      <c r="A7" t="s">
        <v>92</v>
      </c>
      <c r="B7" t="s">
        <v>3</v>
      </c>
      <c r="C7">
        <v>0</v>
      </c>
      <c r="E7">
        <f t="shared" si="0"/>
        <v>0</v>
      </c>
    </row>
    <row r="8" spans="1:5" x14ac:dyDescent="0.3">
      <c r="A8" t="s">
        <v>24</v>
      </c>
      <c r="B8" t="s">
        <v>3</v>
      </c>
      <c r="C8">
        <v>460</v>
      </c>
      <c r="D8">
        <v>7000</v>
      </c>
      <c r="E8">
        <f t="shared" si="0"/>
        <v>3220000</v>
      </c>
    </row>
    <row r="9" spans="1:5" hidden="1" x14ac:dyDescent="0.3">
      <c r="A9" t="s">
        <v>141</v>
      </c>
      <c r="B9" t="s">
        <v>3</v>
      </c>
      <c r="C9">
        <v>0</v>
      </c>
      <c r="E9">
        <f t="shared" si="0"/>
        <v>0</v>
      </c>
    </row>
    <row r="10" spans="1:5" hidden="1" x14ac:dyDescent="0.3">
      <c r="A10" t="s">
        <v>78</v>
      </c>
      <c r="B10" t="s">
        <v>3</v>
      </c>
      <c r="C10">
        <v>0</v>
      </c>
      <c r="E10">
        <f t="shared" si="0"/>
        <v>0</v>
      </c>
    </row>
    <row r="11" spans="1:5" x14ac:dyDescent="0.3">
      <c r="A11" t="s">
        <v>25</v>
      </c>
      <c r="B11" t="s">
        <v>3</v>
      </c>
      <c r="C11">
        <v>20</v>
      </c>
      <c r="D11">
        <v>11000</v>
      </c>
      <c r="E11">
        <f t="shared" si="0"/>
        <v>220000</v>
      </c>
    </row>
    <row r="12" spans="1:5" hidden="1" x14ac:dyDescent="0.3">
      <c r="A12" t="s">
        <v>25</v>
      </c>
      <c r="B12" t="s">
        <v>26</v>
      </c>
      <c r="C12">
        <v>0</v>
      </c>
      <c r="E12">
        <f t="shared" si="0"/>
        <v>0</v>
      </c>
    </row>
    <row r="13" spans="1:5" x14ac:dyDescent="0.3">
      <c r="A13" t="s">
        <v>27</v>
      </c>
      <c r="B13" t="s">
        <v>3</v>
      </c>
      <c r="C13">
        <v>27</v>
      </c>
      <c r="D13">
        <v>13000</v>
      </c>
      <c r="E13">
        <f t="shared" si="0"/>
        <v>351000</v>
      </c>
    </row>
    <row r="14" spans="1:5" hidden="1" x14ac:dyDescent="0.3">
      <c r="A14" t="s">
        <v>27</v>
      </c>
      <c r="B14" t="s">
        <v>26</v>
      </c>
      <c r="C14">
        <v>0</v>
      </c>
      <c r="E14">
        <f t="shared" si="0"/>
        <v>0</v>
      </c>
    </row>
    <row r="15" spans="1:5" hidden="1" x14ac:dyDescent="0.3">
      <c r="A15" t="s">
        <v>136</v>
      </c>
      <c r="B15" t="s">
        <v>3</v>
      </c>
      <c r="C15">
        <v>0</v>
      </c>
      <c r="E15">
        <f t="shared" si="0"/>
        <v>0</v>
      </c>
    </row>
    <row r="16" spans="1:5" hidden="1" x14ac:dyDescent="0.3">
      <c r="A16" t="s">
        <v>37</v>
      </c>
      <c r="B16" t="s">
        <v>3</v>
      </c>
      <c r="C16">
        <v>0</v>
      </c>
      <c r="E16">
        <f t="shared" si="0"/>
        <v>0</v>
      </c>
    </row>
    <row r="17" spans="1:5" x14ac:dyDescent="0.3">
      <c r="A17" t="s">
        <v>46</v>
      </c>
      <c r="B17" t="s">
        <v>3</v>
      </c>
      <c r="C17">
        <v>20</v>
      </c>
      <c r="D17">
        <v>13000</v>
      </c>
      <c r="E17">
        <f t="shared" si="0"/>
        <v>260000</v>
      </c>
    </row>
    <row r="18" spans="1:5" x14ac:dyDescent="0.3">
      <c r="A18" t="s">
        <v>47</v>
      </c>
      <c r="B18" t="s">
        <v>3</v>
      </c>
      <c r="C18">
        <v>2</v>
      </c>
      <c r="D18">
        <v>19000</v>
      </c>
      <c r="E18">
        <f t="shared" si="0"/>
        <v>38000</v>
      </c>
    </row>
    <row r="19" spans="1:5" hidden="1" x14ac:dyDescent="0.3">
      <c r="A19" t="s">
        <v>123</v>
      </c>
      <c r="B19" t="s">
        <v>3</v>
      </c>
      <c r="C19">
        <v>0</v>
      </c>
      <c r="E19">
        <f t="shared" si="0"/>
        <v>0</v>
      </c>
    </row>
    <row r="20" spans="1:5" hidden="1" x14ac:dyDescent="0.3">
      <c r="A20" t="s">
        <v>82</v>
      </c>
      <c r="B20" t="s">
        <v>3</v>
      </c>
      <c r="C20">
        <v>0</v>
      </c>
      <c r="E20">
        <f t="shared" si="0"/>
        <v>0</v>
      </c>
    </row>
    <row r="21" spans="1:5" hidden="1" x14ac:dyDescent="0.3">
      <c r="A21" t="s">
        <v>16</v>
      </c>
      <c r="B21" t="s">
        <v>3</v>
      </c>
      <c r="C21">
        <v>0</v>
      </c>
      <c r="E21">
        <f t="shared" si="0"/>
        <v>0</v>
      </c>
    </row>
    <row r="22" spans="1:5" x14ac:dyDescent="0.3">
      <c r="A22" t="s">
        <v>16</v>
      </c>
      <c r="B22" t="s">
        <v>6</v>
      </c>
      <c r="C22">
        <v>24</v>
      </c>
      <c r="D22">
        <v>8000</v>
      </c>
      <c r="E22">
        <f t="shared" si="0"/>
        <v>192000</v>
      </c>
    </row>
    <row r="23" spans="1:5" x14ac:dyDescent="0.3">
      <c r="A23" t="s">
        <v>28</v>
      </c>
      <c r="B23" t="s">
        <v>3</v>
      </c>
      <c r="C23">
        <v>90</v>
      </c>
      <c r="D23">
        <v>24000</v>
      </c>
      <c r="E23">
        <f t="shared" si="0"/>
        <v>2160000</v>
      </c>
    </row>
    <row r="24" spans="1:5" hidden="1" x14ac:dyDescent="0.3">
      <c r="A24" t="s">
        <v>28</v>
      </c>
      <c r="B24" t="s">
        <v>6</v>
      </c>
      <c r="C24">
        <v>0</v>
      </c>
      <c r="E24">
        <f t="shared" si="0"/>
        <v>0</v>
      </c>
    </row>
    <row r="25" spans="1:5" hidden="1" x14ac:dyDescent="0.3">
      <c r="A25" t="s">
        <v>28</v>
      </c>
      <c r="B25" t="s">
        <v>29</v>
      </c>
      <c r="C25">
        <v>0</v>
      </c>
      <c r="E25">
        <f t="shared" si="0"/>
        <v>0</v>
      </c>
    </row>
    <row r="26" spans="1:5" x14ac:dyDescent="0.3">
      <c r="A26" t="s">
        <v>48</v>
      </c>
      <c r="B26" t="s">
        <v>3</v>
      </c>
      <c r="C26">
        <v>45</v>
      </c>
      <c r="D26">
        <v>19000</v>
      </c>
      <c r="E26">
        <f t="shared" si="0"/>
        <v>855000</v>
      </c>
    </row>
    <row r="27" spans="1:5" hidden="1" x14ac:dyDescent="0.3">
      <c r="A27" t="s">
        <v>48</v>
      </c>
      <c r="B27" t="s">
        <v>49</v>
      </c>
      <c r="C27">
        <v>0</v>
      </c>
      <c r="E27">
        <f t="shared" si="0"/>
        <v>0</v>
      </c>
    </row>
    <row r="28" spans="1:5" x14ac:dyDescent="0.3">
      <c r="A28" t="s">
        <v>40</v>
      </c>
      <c r="B28" t="s">
        <v>3</v>
      </c>
      <c r="C28">
        <v>20</v>
      </c>
      <c r="D28">
        <v>30000</v>
      </c>
      <c r="E28">
        <f t="shared" si="0"/>
        <v>600000</v>
      </c>
    </row>
    <row r="29" spans="1:5" x14ac:dyDescent="0.3">
      <c r="A29" t="s">
        <v>40</v>
      </c>
      <c r="B29" t="s">
        <v>41</v>
      </c>
      <c r="C29">
        <v>64</v>
      </c>
      <c r="D29">
        <v>9000</v>
      </c>
      <c r="E29">
        <f t="shared" si="0"/>
        <v>576000</v>
      </c>
    </row>
    <row r="30" spans="1:5" x14ac:dyDescent="0.3">
      <c r="A30" t="s">
        <v>50</v>
      </c>
      <c r="B30" t="s">
        <v>8</v>
      </c>
      <c r="C30">
        <v>20</v>
      </c>
      <c r="D30">
        <v>16500</v>
      </c>
      <c r="E30">
        <f t="shared" si="0"/>
        <v>330000</v>
      </c>
    </row>
    <row r="31" spans="1:5" hidden="1" x14ac:dyDescent="0.3">
      <c r="A31" t="s">
        <v>51</v>
      </c>
      <c r="B31" t="s">
        <v>3</v>
      </c>
      <c r="C31">
        <v>0</v>
      </c>
      <c r="E31">
        <f t="shared" si="0"/>
        <v>0</v>
      </c>
    </row>
    <row r="32" spans="1:5" hidden="1" x14ac:dyDescent="0.3">
      <c r="A32" t="s">
        <v>51</v>
      </c>
      <c r="B32" t="s">
        <v>41</v>
      </c>
      <c r="C32">
        <v>0</v>
      </c>
      <c r="E32">
        <f t="shared" si="0"/>
        <v>0</v>
      </c>
    </row>
    <row r="33" spans="1:5" hidden="1" x14ac:dyDescent="0.3">
      <c r="A33" t="s">
        <v>51</v>
      </c>
      <c r="B33" t="s">
        <v>52</v>
      </c>
      <c r="C33">
        <v>0</v>
      </c>
      <c r="E33">
        <f t="shared" si="0"/>
        <v>0</v>
      </c>
    </row>
    <row r="34" spans="1:5" x14ac:dyDescent="0.3">
      <c r="A34" t="s">
        <v>30</v>
      </c>
      <c r="B34" t="s">
        <v>3</v>
      </c>
      <c r="C34">
        <v>210</v>
      </c>
      <c r="D34">
        <v>22000</v>
      </c>
      <c r="E34">
        <f t="shared" si="0"/>
        <v>4620000</v>
      </c>
    </row>
    <row r="35" spans="1:5" hidden="1" x14ac:dyDescent="0.3">
      <c r="A35" t="s">
        <v>30</v>
      </c>
      <c r="B35" t="s">
        <v>6</v>
      </c>
      <c r="C35">
        <v>0</v>
      </c>
      <c r="E35">
        <f t="shared" si="0"/>
        <v>0</v>
      </c>
    </row>
    <row r="36" spans="1:5" x14ac:dyDescent="0.3">
      <c r="A36" t="s">
        <v>31</v>
      </c>
      <c r="B36" t="s">
        <v>4</v>
      </c>
      <c r="C36">
        <v>65</v>
      </c>
      <c r="D36">
        <v>18000</v>
      </c>
      <c r="E36">
        <f t="shared" si="0"/>
        <v>1170000</v>
      </c>
    </row>
    <row r="37" spans="1:5" x14ac:dyDescent="0.3">
      <c r="A37" t="s">
        <v>2</v>
      </c>
      <c r="B37" t="s">
        <v>3</v>
      </c>
      <c r="C37">
        <v>80</v>
      </c>
      <c r="D37">
        <v>12500</v>
      </c>
      <c r="E37">
        <f t="shared" si="0"/>
        <v>1000000</v>
      </c>
    </row>
    <row r="38" spans="1:5" hidden="1" x14ac:dyDescent="0.3">
      <c r="A38" t="s">
        <v>2</v>
      </c>
      <c r="B38" t="s">
        <v>4</v>
      </c>
      <c r="C38">
        <v>0</v>
      </c>
      <c r="E38">
        <f t="shared" si="0"/>
        <v>0</v>
      </c>
    </row>
    <row r="39" spans="1:5" hidden="1" x14ac:dyDescent="0.3">
      <c r="A39" t="s">
        <v>5</v>
      </c>
      <c r="B39" t="s">
        <v>3</v>
      </c>
      <c r="C39">
        <v>0</v>
      </c>
      <c r="E39">
        <f t="shared" si="0"/>
        <v>0</v>
      </c>
    </row>
    <row r="40" spans="1:5" x14ac:dyDescent="0.3">
      <c r="A40" t="s">
        <v>5</v>
      </c>
      <c r="B40" t="s">
        <v>6</v>
      </c>
      <c r="C40">
        <v>17</v>
      </c>
      <c r="D40">
        <v>9000</v>
      </c>
      <c r="E40">
        <f t="shared" si="0"/>
        <v>153000</v>
      </c>
    </row>
    <row r="41" spans="1:5" hidden="1" x14ac:dyDescent="0.3">
      <c r="A41" t="s">
        <v>53</v>
      </c>
      <c r="B41" t="s">
        <v>3</v>
      </c>
      <c r="C41">
        <v>0</v>
      </c>
      <c r="E41">
        <f t="shared" si="0"/>
        <v>0</v>
      </c>
    </row>
    <row r="42" spans="1:5" hidden="1" x14ac:dyDescent="0.3">
      <c r="A42" t="s">
        <v>53</v>
      </c>
      <c r="B42" t="s">
        <v>54</v>
      </c>
      <c r="C42">
        <v>0</v>
      </c>
      <c r="E42">
        <f t="shared" si="0"/>
        <v>0</v>
      </c>
    </row>
    <row r="43" spans="1:5" x14ac:dyDescent="0.3">
      <c r="A43" t="s">
        <v>18</v>
      </c>
      <c r="B43" t="s">
        <v>3</v>
      </c>
      <c r="C43">
        <v>10</v>
      </c>
      <c r="D43">
        <v>14000</v>
      </c>
      <c r="E43">
        <f t="shared" si="0"/>
        <v>140000</v>
      </c>
    </row>
    <row r="44" spans="1:5" hidden="1" x14ac:dyDescent="0.3">
      <c r="A44" t="s">
        <v>18</v>
      </c>
      <c r="B44" t="s">
        <v>4</v>
      </c>
      <c r="C44">
        <v>0</v>
      </c>
      <c r="E44">
        <f t="shared" si="0"/>
        <v>0</v>
      </c>
    </row>
    <row r="45" spans="1:5" hidden="1" x14ac:dyDescent="0.3">
      <c r="A45" t="s">
        <v>55</v>
      </c>
      <c r="B45" t="s">
        <v>3</v>
      </c>
      <c r="C45">
        <v>0</v>
      </c>
      <c r="E45">
        <f t="shared" si="0"/>
        <v>0</v>
      </c>
    </row>
    <row r="46" spans="1:5" x14ac:dyDescent="0.3">
      <c r="A46" t="s">
        <v>55</v>
      </c>
      <c r="B46" t="s">
        <v>4</v>
      </c>
      <c r="C46">
        <v>10</v>
      </c>
      <c r="D46">
        <v>3900</v>
      </c>
      <c r="E46">
        <f t="shared" si="0"/>
        <v>39000</v>
      </c>
    </row>
    <row r="47" spans="1:5" hidden="1" x14ac:dyDescent="0.3">
      <c r="A47" t="s">
        <v>19</v>
      </c>
      <c r="B47" t="s">
        <v>3</v>
      </c>
      <c r="C47">
        <v>0</v>
      </c>
      <c r="E47">
        <f t="shared" si="0"/>
        <v>0</v>
      </c>
    </row>
    <row r="48" spans="1:5" x14ac:dyDescent="0.3">
      <c r="A48" t="s">
        <v>19</v>
      </c>
      <c r="B48" t="s">
        <v>4</v>
      </c>
      <c r="C48">
        <v>1</v>
      </c>
      <c r="D48">
        <v>5250</v>
      </c>
      <c r="E48">
        <f t="shared" si="0"/>
        <v>5250</v>
      </c>
    </row>
    <row r="49" spans="1:5" hidden="1" x14ac:dyDescent="0.3">
      <c r="A49" t="s">
        <v>20</v>
      </c>
      <c r="B49" t="s">
        <v>3</v>
      </c>
      <c r="C49">
        <v>0</v>
      </c>
      <c r="E49">
        <f t="shared" si="0"/>
        <v>0</v>
      </c>
    </row>
    <row r="50" spans="1:5" hidden="1" x14ac:dyDescent="0.3">
      <c r="A50" t="s">
        <v>97</v>
      </c>
      <c r="B50" t="s">
        <v>3</v>
      </c>
      <c r="C50">
        <v>0</v>
      </c>
      <c r="E50">
        <f t="shared" si="0"/>
        <v>0</v>
      </c>
    </row>
    <row r="51" spans="1:5" hidden="1" x14ac:dyDescent="0.3">
      <c r="A51" t="s">
        <v>21</v>
      </c>
      <c r="B51" t="s">
        <v>22</v>
      </c>
      <c r="C51">
        <v>0</v>
      </c>
      <c r="E51">
        <f t="shared" si="0"/>
        <v>0</v>
      </c>
    </row>
    <row r="52" spans="1:5" x14ac:dyDescent="0.3">
      <c r="A52" t="s">
        <v>21</v>
      </c>
      <c r="B52" t="s">
        <v>3</v>
      </c>
      <c r="C52">
        <v>105</v>
      </c>
      <c r="D52">
        <v>16000</v>
      </c>
      <c r="E52">
        <f t="shared" si="0"/>
        <v>1680000</v>
      </c>
    </row>
    <row r="53" spans="1:5" hidden="1" x14ac:dyDescent="0.3">
      <c r="A53" t="s">
        <v>142</v>
      </c>
      <c r="B53" t="s">
        <v>6</v>
      </c>
      <c r="C53">
        <v>0</v>
      </c>
      <c r="E53">
        <f t="shared" si="0"/>
        <v>0</v>
      </c>
    </row>
    <row r="54" spans="1:5" x14ac:dyDescent="0.3">
      <c r="A54" t="s">
        <v>56</v>
      </c>
      <c r="B54" t="s">
        <v>3</v>
      </c>
      <c r="C54">
        <v>6</v>
      </c>
      <c r="D54">
        <v>13000</v>
      </c>
      <c r="E54">
        <f t="shared" si="0"/>
        <v>78000</v>
      </c>
    </row>
    <row r="55" spans="1:5" hidden="1" x14ac:dyDescent="0.3">
      <c r="A55" t="s">
        <v>7</v>
      </c>
      <c r="B55" t="s">
        <v>8</v>
      </c>
      <c r="C55">
        <v>0</v>
      </c>
      <c r="E55">
        <f t="shared" si="0"/>
        <v>0</v>
      </c>
    </row>
    <row r="56" spans="1:5" hidden="1" x14ac:dyDescent="0.3">
      <c r="A56" t="s">
        <v>7</v>
      </c>
      <c r="B56" t="s">
        <v>3</v>
      </c>
      <c r="C56">
        <v>0</v>
      </c>
      <c r="E56">
        <f t="shared" si="0"/>
        <v>0</v>
      </c>
    </row>
    <row r="57" spans="1:5" x14ac:dyDescent="0.3">
      <c r="A57" t="s">
        <v>107</v>
      </c>
      <c r="B57" t="s">
        <v>3</v>
      </c>
      <c r="C57">
        <v>1.5</v>
      </c>
      <c r="D57">
        <v>16000</v>
      </c>
      <c r="E57">
        <f t="shared" si="0"/>
        <v>24000</v>
      </c>
    </row>
    <row r="58" spans="1:5" x14ac:dyDescent="0.3">
      <c r="A58" t="s">
        <v>57</v>
      </c>
      <c r="B58" t="s">
        <v>3</v>
      </c>
      <c r="C58">
        <v>55</v>
      </c>
      <c r="D58">
        <v>4500</v>
      </c>
      <c r="E58">
        <f t="shared" si="0"/>
        <v>247500</v>
      </c>
    </row>
    <row r="59" spans="1:5" x14ac:dyDescent="0.3">
      <c r="A59" t="s">
        <v>9</v>
      </c>
      <c r="B59" t="s">
        <v>3</v>
      </c>
      <c r="C59">
        <v>50</v>
      </c>
      <c r="D59">
        <v>12000</v>
      </c>
      <c r="E59">
        <f t="shared" si="0"/>
        <v>600000</v>
      </c>
    </row>
    <row r="60" spans="1:5" hidden="1" x14ac:dyDescent="0.3">
      <c r="A60" t="s">
        <v>9</v>
      </c>
      <c r="B60" t="s">
        <v>4</v>
      </c>
      <c r="C60">
        <v>0</v>
      </c>
      <c r="E60">
        <f t="shared" si="0"/>
        <v>0</v>
      </c>
    </row>
    <row r="61" spans="1:5" x14ac:dyDescent="0.3">
      <c r="A61" t="s">
        <v>58</v>
      </c>
      <c r="B61" t="s">
        <v>3</v>
      </c>
      <c r="C61">
        <v>15</v>
      </c>
      <c r="D61">
        <v>23000</v>
      </c>
      <c r="E61">
        <f t="shared" si="0"/>
        <v>345000</v>
      </c>
    </row>
    <row r="62" spans="1:5" x14ac:dyDescent="0.3">
      <c r="A62" t="s">
        <v>10</v>
      </c>
      <c r="B62" t="s">
        <v>3</v>
      </c>
      <c r="C62">
        <v>170</v>
      </c>
      <c r="D62">
        <v>19000</v>
      </c>
      <c r="E62">
        <f t="shared" si="0"/>
        <v>3230000</v>
      </c>
    </row>
    <row r="63" spans="1:5" hidden="1" x14ac:dyDescent="0.3">
      <c r="A63" t="s">
        <v>10</v>
      </c>
      <c r="B63" t="s">
        <v>11</v>
      </c>
      <c r="C63">
        <v>0</v>
      </c>
      <c r="E63">
        <f t="shared" si="0"/>
        <v>0</v>
      </c>
    </row>
    <row r="64" spans="1:5" x14ac:dyDescent="0.3">
      <c r="A64" t="s">
        <v>106</v>
      </c>
      <c r="B64" t="s">
        <v>3</v>
      </c>
      <c r="C64">
        <v>13</v>
      </c>
      <c r="D64">
        <v>20000</v>
      </c>
      <c r="E64">
        <f t="shared" si="0"/>
        <v>260000</v>
      </c>
    </row>
    <row r="65" spans="1:5" x14ac:dyDescent="0.3">
      <c r="A65" t="s">
        <v>12</v>
      </c>
      <c r="B65" t="s">
        <v>4</v>
      </c>
      <c r="C65">
        <v>166</v>
      </c>
      <c r="D65">
        <v>6000</v>
      </c>
      <c r="E65">
        <f t="shared" si="0"/>
        <v>996000</v>
      </c>
    </row>
    <row r="66" spans="1:5" x14ac:dyDescent="0.3">
      <c r="A66" t="s">
        <v>39</v>
      </c>
      <c r="B66" t="s">
        <v>3</v>
      </c>
      <c r="C66">
        <v>2020</v>
      </c>
      <c r="D66">
        <v>24000</v>
      </c>
      <c r="E66">
        <f t="shared" si="0"/>
        <v>48480000</v>
      </c>
    </row>
    <row r="67" spans="1:5" x14ac:dyDescent="0.3">
      <c r="A67" t="s">
        <v>13</v>
      </c>
      <c r="B67" t="s">
        <v>3</v>
      </c>
      <c r="C67">
        <v>695</v>
      </c>
      <c r="D67">
        <v>24000</v>
      </c>
      <c r="E67">
        <f t="shared" si="0"/>
        <v>16680000</v>
      </c>
    </row>
    <row r="68" spans="1:5" hidden="1" x14ac:dyDescent="0.3">
      <c r="A68" t="s">
        <v>13</v>
      </c>
      <c r="B68" t="s">
        <v>4</v>
      </c>
      <c r="C68">
        <v>0</v>
      </c>
      <c r="E68">
        <f t="shared" ref="E68:E131" si="1">C68*D68</f>
        <v>0</v>
      </c>
    </row>
    <row r="69" spans="1:5" x14ac:dyDescent="0.3">
      <c r="A69" t="s">
        <v>133</v>
      </c>
      <c r="B69" t="s">
        <v>3</v>
      </c>
      <c r="C69">
        <v>250</v>
      </c>
      <c r="D69">
        <v>17000</v>
      </c>
      <c r="E69">
        <f t="shared" si="1"/>
        <v>4250000</v>
      </c>
    </row>
    <row r="70" spans="1:5" hidden="1" x14ac:dyDescent="0.3">
      <c r="A70" t="s">
        <v>14</v>
      </c>
      <c r="B70" t="s">
        <v>3</v>
      </c>
      <c r="C70">
        <v>0</v>
      </c>
      <c r="E70">
        <f t="shared" si="1"/>
        <v>0</v>
      </c>
    </row>
    <row r="71" spans="1:5" hidden="1" x14ac:dyDescent="0.3">
      <c r="A71" t="s">
        <v>14</v>
      </c>
      <c r="B71" t="s">
        <v>4</v>
      </c>
      <c r="C71">
        <v>0</v>
      </c>
      <c r="E71">
        <f t="shared" si="1"/>
        <v>0</v>
      </c>
    </row>
    <row r="72" spans="1:5" x14ac:dyDescent="0.3">
      <c r="A72" t="s">
        <v>93</v>
      </c>
      <c r="B72" t="s">
        <v>3</v>
      </c>
      <c r="C72">
        <v>20</v>
      </c>
      <c r="D72">
        <v>25000</v>
      </c>
      <c r="E72">
        <f t="shared" si="1"/>
        <v>500000</v>
      </c>
    </row>
    <row r="73" spans="1:5" hidden="1" x14ac:dyDescent="0.3">
      <c r="A73" t="s">
        <v>42</v>
      </c>
      <c r="B73" t="s">
        <v>3</v>
      </c>
      <c r="C73">
        <v>0</v>
      </c>
      <c r="E73">
        <f t="shared" si="1"/>
        <v>0</v>
      </c>
    </row>
    <row r="74" spans="1:5" hidden="1" x14ac:dyDescent="0.3">
      <c r="A74" t="s">
        <v>89</v>
      </c>
      <c r="B74" t="s">
        <v>4</v>
      </c>
      <c r="C74">
        <v>0</v>
      </c>
      <c r="E74">
        <f t="shared" si="1"/>
        <v>0</v>
      </c>
    </row>
    <row r="75" spans="1:5" x14ac:dyDescent="0.3">
      <c r="A75" t="s">
        <v>15</v>
      </c>
      <c r="B75" t="s">
        <v>3</v>
      </c>
      <c r="C75">
        <v>115</v>
      </c>
      <c r="D75">
        <v>17000</v>
      </c>
      <c r="E75">
        <f t="shared" si="1"/>
        <v>1955000</v>
      </c>
    </row>
    <row r="76" spans="1:5" hidden="1" x14ac:dyDescent="0.3">
      <c r="A76" t="s">
        <v>15</v>
      </c>
      <c r="B76" t="s">
        <v>4</v>
      </c>
      <c r="C76">
        <v>0</v>
      </c>
      <c r="E76">
        <f t="shared" si="1"/>
        <v>0</v>
      </c>
    </row>
    <row r="77" spans="1:5" hidden="1" x14ac:dyDescent="0.3">
      <c r="A77" t="s">
        <v>87</v>
      </c>
      <c r="B77" t="s">
        <v>4</v>
      </c>
      <c r="C77">
        <v>0</v>
      </c>
      <c r="E77">
        <f t="shared" si="1"/>
        <v>0</v>
      </c>
    </row>
    <row r="78" spans="1:5" x14ac:dyDescent="0.3">
      <c r="A78" t="s">
        <v>59</v>
      </c>
      <c r="B78" t="s">
        <v>3</v>
      </c>
      <c r="C78">
        <v>45</v>
      </c>
      <c r="D78">
        <v>11000</v>
      </c>
      <c r="E78">
        <f t="shared" si="1"/>
        <v>495000</v>
      </c>
    </row>
    <row r="79" spans="1:5" x14ac:dyDescent="0.3">
      <c r="A79" t="s">
        <v>60</v>
      </c>
      <c r="B79" t="s">
        <v>4</v>
      </c>
      <c r="C79">
        <v>13</v>
      </c>
      <c r="D79">
        <v>6000</v>
      </c>
      <c r="E79">
        <f t="shared" si="1"/>
        <v>78000</v>
      </c>
    </row>
    <row r="80" spans="1:5" hidden="1" x14ac:dyDescent="0.3">
      <c r="A80" t="s">
        <v>61</v>
      </c>
      <c r="B80" t="s">
        <v>3</v>
      </c>
      <c r="C80">
        <v>0</v>
      </c>
      <c r="E80">
        <f t="shared" si="1"/>
        <v>0</v>
      </c>
    </row>
    <row r="81" spans="1:5" x14ac:dyDescent="0.3">
      <c r="A81" t="s">
        <v>61</v>
      </c>
      <c r="B81" t="s">
        <v>4</v>
      </c>
      <c r="C81">
        <v>23</v>
      </c>
      <c r="D81">
        <v>9000</v>
      </c>
      <c r="E81">
        <f t="shared" si="1"/>
        <v>207000</v>
      </c>
    </row>
    <row r="82" spans="1:5" hidden="1" x14ac:dyDescent="0.3">
      <c r="A82" t="s">
        <v>61</v>
      </c>
      <c r="B82" t="s">
        <v>11</v>
      </c>
      <c r="C82">
        <v>0</v>
      </c>
      <c r="E82">
        <f t="shared" si="1"/>
        <v>0</v>
      </c>
    </row>
    <row r="83" spans="1:5" hidden="1" x14ac:dyDescent="0.3">
      <c r="A83" t="s">
        <v>61</v>
      </c>
      <c r="B83" t="s">
        <v>62</v>
      </c>
      <c r="C83">
        <v>0</v>
      </c>
      <c r="E83">
        <f t="shared" si="1"/>
        <v>0</v>
      </c>
    </row>
    <row r="84" spans="1:5" hidden="1" x14ac:dyDescent="0.3">
      <c r="A84" t="s">
        <v>63</v>
      </c>
      <c r="B84" t="s">
        <v>3</v>
      </c>
      <c r="C84">
        <v>0</v>
      </c>
      <c r="E84">
        <f t="shared" si="1"/>
        <v>0</v>
      </c>
    </row>
    <row r="85" spans="1:5" hidden="1" x14ac:dyDescent="0.3">
      <c r="A85" t="s">
        <v>63</v>
      </c>
      <c r="B85" t="s">
        <v>6</v>
      </c>
      <c r="C85">
        <v>0</v>
      </c>
      <c r="E85">
        <f t="shared" si="1"/>
        <v>0</v>
      </c>
    </row>
    <row r="86" spans="1:5" x14ac:dyDescent="0.3">
      <c r="A86" t="s">
        <v>79</v>
      </c>
      <c r="B86" t="s">
        <v>3</v>
      </c>
      <c r="C86">
        <v>0.5</v>
      </c>
      <c r="D86">
        <v>80000</v>
      </c>
      <c r="E86">
        <f t="shared" si="1"/>
        <v>40000</v>
      </c>
    </row>
    <row r="87" spans="1:5" hidden="1" x14ac:dyDescent="0.3">
      <c r="A87" t="s">
        <v>64</v>
      </c>
      <c r="B87" t="s">
        <v>3</v>
      </c>
      <c r="C87">
        <v>0</v>
      </c>
      <c r="E87">
        <f t="shared" si="1"/>
        <v>0</v>
      </c>
    </row>
    <row r="88" spans="1:5" hidden="1" x14ac:dyDescent="0.3">
      <c r="A88" t="s">
        <v>65</v>
      </c>
      <c r="B88" t="s">
        <v>3</v>
      </c>
      <c r="C88">
        <v>0</v>
      </c>
      <c r="E88">
        <f t="shared" si="1"/>
        <v>0</v>
      </c>
    </row>
    <row r="89" spans="1:5" hidden="1" x14ac:dyDescent="0.3">
      <c r="A89" t="s">
        <v>32</v>
      </c>
      <c r="B89" t="s">
        <v>3</v>
      </c>
      <c r="C89">
        <v>0</v>
      </c>
      <c r="E89">
        <f t="shared" si="1"/>
        <v>0</v>
      </c>
    </row>
    <row r="90" spans="1:5" x14ac:dyDescent="0.3">
      <c r="A90" t="s">
        <v>32</v>
      </c>
      <c r="B90" t="s">
        <v>6</v>
      </c>
      <c r="C90">
        <v>270</v>
      </c>
      <c r="D90">
        <v>5000</v>
      </c>
      <c r="E90">
        <f t="shared" si="1"/>
        <v>1350000</v>
      </c>
    </row>
    <row r="91" spans="1:5" hidden="1" x14ac:dyDescent="0.3">
      <c r="A91" t="s">
        <v>81</v>
      </c>
      <c r="B91" t="s">
        <v>3</v>
      </c>
      <c r="C91">
        <v>0</v>
      </c>
      <c r="E91">
        <f t="shared" si="1"/>
        <v>0</v>
      </c>
    </row>
    <row r="92" spans="1:5" x14ac:dyDescent="0.3">
      <c r="A92" t="s">
        <v>33</v>
      </c>
      <c r="B92" t="s">
        <v>3</v>
      </c>
      <c r="C92">
        <v>55</v>
      </c>
      <c r="D92">
        <v>4000</v>
      </c>
      <c r="E92">
        <f t="shared" si="1"/>
        <v>220000</v>
      </c>
    </row>
    <row r="93" spans="1:5" hidden="1" x14ac:dyDescent="0.3">
      <c r="A93" t="s">
        <v>66</v>
      </c>
      <c r="B93" t="s">
        <v>22</v>
      </c>
      <c r="C93">
        <v>0</v>
      </c>
      <c r="E93">
        <f t="shared" si="1"/>
        <v>0</v>
      </c>
    </row>
    <row r="94" spans="1:5" x14ac:dyDescent="0.3">
      <c r="A94" t="s">
        <v>66</v>
      </c>
      <c r="B94" t="s">
        <v>3</v>
      </c>
      <c r="C94">
        <v>19</v>
      </c>
      <c r="D94">
        <v>21000</v>
      </c>
      <c r="E94">
        <f t="shared" si="1"/>
        <v>399000</v>
      </c>
    </row>
    <row r="95" spans="1:5" x14ac:dyDescent="0.3">
      <c r="A95" t="s">
        <v>43</v>
      </c>
      <c r="B95" t="s">
        <v>3</v>
      </c>
      <c r="C95">
        <v>2320</v>
      </c>
      <c r="D95">
        <v>27600</v>
      </c>
      <c r="E95">
        <f t="shared" si="1"/>
        <v>64032000</v>
      </c>
    </row>
    <row r="96" spans="1:5" hidden="1" x14ac:dyDescent="0.3">
      <c r="A96" t="s">
        <v>67</v>
      </c>
      <c r="B96" t="s">
        <v>3</v>
      </c>
      <c r="C96">
        <v>0</v>
      </c>
      <c r="E96">
        <f t="shared" si="1"/>
        <v>0</v>
      </c>
    </row>
    <row r="97" spans="1:5" hidden="1" x14ac:dyDescent="0.3">
      <c r="A97" t="s">
        <v>137</v>
      </c>
      <c r="B97" t="s">
        <v>8</v>
      </c>
      <c r="C97">
        <v>0</v>
      </c>
      <c r="E97">
        <f t="shared" si="1"/>
        <v>0</v>
      </c>
    </row>
    <row r="98" spans="1:5" x14ac:dyDescent="0.3">
      <c r="A98" t="s">
        <v>68</v>
      </c>
      <c r="B98" t="s">
        <v>4</v>
      </c>
      <c r="C98">
        <v>38</v>
      </c>
      <c r="D98">
        <v>1900</v>
      </c>
      <c r="E98">
        <f t="shared" si="1"/>
        <v>72200</v>
      </c>
    </row>
    <row r="99" spans="1:5" hidden="1" x14ac:dyDescent="0.3">
      <c r="A99" t="s">
        <v>69</v>
      </c>
      <c r="B99" t="s">
        <v>3</v>
      </c>
      <c r="C99">
        <v>0</v>
      </c>
      <c r="E99">
        <f t="shared" si="1"/>
        <v>0</v>
      </c>
    </row>
    <row r="100" spans="1:5" hidden="1" x14ac:dyDescent="0.3">
      <c r="A100" t="s">
        <v>38</v>
      </c>
      <c r="B100" t="s">
        <v>6</v>
      </c>
      <c r="C100">
        <v>0</v>
      </c>
      <c r="E100">
        <f t="shared" si="1"/>
        <v>0</v>
      </c>
    </row>
    <row r="101" spans="1:5" hidden="1" x14ac:dyDescent="0.3">
      <c r="A101" t="s">
        <v>70</v>
      </c>
      <c r="B101" t="s">
        <v>8</v>
      </c>
      <c r="C101">
        <v>0</v>
      </c>
      <c r="E101">
        <f t="shared" si="1"/>
        <v>0</v>
      </c>
    </row>
    <row r="102" spans="1:5" x14ac:dyDescent="0.3">
      <c r="A102" t="s">
        <v>70</v>
      </c>
      <c r="B102" t="s">
        <v>3</v>
      </c>
      <c r="C102">
        <v>7</v>
      </c>
      <c r="D102">
        <v>44000</v>
      </c>
      <c r="E102">
        <f t="shared" si="1"/>
        <v>308000</v>
      </c>
    </row>
    <row r="103" spans="1:5" x14ac:dyDescent="0.3">
      <c r="A103" t="s">
        <v>34</v>
      </c>
      <c r="B103" t="s">
        <v>3</v>
      </c>
      <c r="C103">
        <v>50</v>
      </c>
      <c r="D103">
        <v>30000</v>
      </c>
      <c r="E103">
        <f t="shared" si="1"/>
        <v>1500000</v>
      </c>
    </row>
    <row r="104" spans="1:5" hidden="1" x14ac:dyDescent="0.3">
      <c r="A104" t="s">
        <v>34</v>
      </c>
      <c r="B104" t="s">
        <v>26</v>
      </c>
      <c r="C104">
        <v>0</v>
      </c>
      <c r="E104">
        <f t="shared" si="1"/>
        <v>0</v>
      </c>
    </row>
    <row r="105" spans="1:5" hidden="1" x14ac:dyDescent="0.3">
      <c r="A105" t="s">
        <v>143</v>
      </c>
      <c r="B105" t="s">
        <v>8</v>
      </c>
      <c r="C105">
        <v>0</v>
      </c>
      <c r="E105">
        <f t="shared" si="1"/>
        <v>0</v>
      </c>
    </row>
    <row r="106" spans="1:5" x14ac:dyDescent="0.3">
      <c r="A106" t="s">
        <v>35</v>
      </c>
      <c r="B106" t="s">
        <v>3</v>
      </c>
      <c r="C106">
        <v>61</v>
      </c>
      <c r="D106">
        <v>22000</v>
      </c>
      <c r="E106">
        <f t="shared" si="1"/>
        <v>1342000</v>
      </c>
    </row>
    <row r="107" spans="1:5" hidden="1" x14ac:dyDescent="0.3">
      <c r="A107" t="s">
        <v>35</v>
      </c>
      <c r="B107" t="s">
        <v>26</v>
      </c>
      <c r="C107">
        <v>0</v>
      </c>
      <c r="E107">
        <f t="shared" si="1"/>
        <v>0</v>
      </c>
    </row>
    <row r="108" spans="1:5" x14ac:dyDescent="0.3">
      <c r="A108" t="s">
        <v>134</v>
      </c>
      <c r="B108" t="s">
        <v>3</v>
      </c>
      <c r="C108">
        <v>8</v>
      </c>
      <c r="D108">
        <v>15000</v>
      </c>
      <c r="E108">
        <f t="shared" si="1"/>
        <v>120000</v>
      </c>
    </row>
    <row r="109" spans="1:5" x14ac:dyDescent="0.3">
      <c r="A109" t="s">
        <v>36</v>
      </c>
      <c r="B109" t="s">
        <v>3</v>
      </c>
      <c r="C109">
        <v>88</v>
      </c>
      <c r="D109">
        <v>17000</v>
      </c>
      <c r="E109">
        <f t="shared" si="1"/>
        <v>1496000</v>
      </c>
    </row>
    <row r="110" spans="1:5" hidden="1" x14ac:dyDescent="0.3">
      <c r="A110" t="s">
        <v>36</v>
      </c>
      <c r="B110" t="s">
        <v>26</v>
      </c>
      <c r="C110">
        <v>0</v>
      </c>
      <c r="E110">
        <f t="shared" si="1"/>
        <v>0</v>
      </c>
    </row>
    <row r="111" spans="1:5" x14ac:dyDescent="0.3">
      <c r="A111" t="s">
        <v>119</v>
      </c>
      <c r="B111" t="s">
        <v>3</v>
      </c>
      <c r="C111">
        <v>2</v>
      </c>
      <c r="D111">
        <v>12000</v>
      </c>
      <c r="E111">
        <f t="shared" si="1"/>
        <v>24000</v>
      </c>
    </row>
    <row r="112" spans="1:5" x14ac:dyDescent="0.3">
      <c r="A112" t="s">
        <v>71</v>
      </c>
      <c r="B112" t="s">
        <v>4</v>
      </c>
      <c r="C112">
        <v>35</v>
      </c>
      <c r="D112">
        <v>21000</v>
      </c>
      <c r="E112">
        <f t="shared" si="1"/>
        <v>735000</v>
      </c>
    </row>
    <row r="113" spans="1:5" hidden="1" x14ac:dyDescent="0.3">
      <c r="A113" t="s">
        <v>83</v>
      </c>
      <c r="B113" t="s">
        <v>4</v>
      </c>
      <c r="C113">
        <v>0</v>
      </c>
      <c r="E113">
        <f t="shared" si="1"/>
        <v>0</v>
      </c>
    </row>
    <row r="114" spans="1:5" hidden="1" x14ac:dyDescent="0.3">
      <c r="A114" t="s">
        <v>105</v>
      </c>
      <c r="B114" t="s">
        <v>3</v>
      </c>
      <c r="C114">
        <v>0</v>
      </c>
      <c r="E114">
        <f t="shared" si="1"/>
        <v>0</v>
      </c>
    </row>
    <row r="115" spans="1:5" hidden="1" x14ac:dyDescent="0.3">
      <c r="A115" t="s">
        <v>88</v>
      </c>
      <c r="B115" t="s">
        <v>3</v>
      </c>
      <c r="C115">
        <v>0</v>
      </c>
      <c r="E115">
        <f t="shared" si="1"/>
        <v>0</v>
      </c>
    </row>
    <row r="116" spans="1:5" hidden="1" x14ac:dyDescent="0.3">
      <c r="A116" t="s">
        <v>144</v>
      </c>
      <c r="B116" t="s">
        <v>3</v>
      </c>
      <c r="C116">
        <v>0</v>
      </c>
      <c r="E116">
        <f t="shared" si="1"/>
        <v>0</v>
      </c>
    </row>
    <row r="117" spans="1:5" hidden="1" x14ac:dyDescent="0.3">
      <c r="A117" t="s">
        <v>91</v>
      </c>
      <c r="B117" t="s">
        <v>3</v>
      </c>
      <c r="C117">
        <v>0</v>
      </c>
      <c r="E117">
        <f t="shared" si="1"/>
        <v>0</v>
      </c>
    </row>
    <row r="118" spans="1:5" x14ac:dyDescent="0.3">
      <c r="A118" t="s">
        <v>72</v>
      </c>
      <c r="B118" t="s">
        <v>3</v>
      </c>
      <c r="C118">
        <v>150</v>
      </c>
      <c r="D118">
        <v>6500</v>
      </c>
      <c r="E118">
        <f t="shared" si="1"/>
        <v>975000</v>
      </c>
    </row>
    <row r="119" spans="1:5" hidden="1" x14ac:dyDescent="0.3">
      <c r="A119" t="s">
        <v>80</v>
      </c>
      <c r="B119" t="s">
        <v>3</v>
      </c>
      <c r="C119">
        <v>0</v>
      </c>
      <c r="E119">
        <f t="shared" si="1"/>
        <v>0</v>
      </c>
    </row>
    <row r="120" spans="1:5" x14ac:dyDescent="0.3">
      <c r="A120" t="s">
        <v>73</v>
      </c>
      <c r="B120" t="s">
        <v>3</v>
      </c>
      <c r="C120">
        <v>4</v>
      </c>
      <c r="D120">
        <v>10000</v>
      </c>
      <c r="E120">
        <f t="shared" si="1"/>
        <v>40000</v>
      </c>
    </row>
    <row r="121" spans="1:5" hidden="1" x14ac:dyDescent="0.3">
      <c r="A121" t="s">
        <v>73</v>
      </c>
      <c r="B121" t="s">
        <v>4</v>
      </c>
      <c r="C121">
        <v>0</v>
      </c>
      <c r="E121">
        <f t="shared" si="1"/>
        <v>0</v>
      </c>
    </row>
    <row r="122" spans="1:5" hidden="1" x14ac:dyDescent="0.3">
      <c r="A122" t="s">
        <v>23</v>
      </c>
      <c r="B122" t="s">
        <v>3</v>
      </c>
      <c r="C122">
        <v>0</v>
      </c>
      <c r="E122">
        <f t="shared" si="1"/>
        <v>0</v>
      </c>
    </row>
    <row r="123" spans="1:5" x14ac:dyDescent="0.3">
      <c r="A123" t="s">
        <v>84</v>
      </c>
      <c r="B123" t="s">
        <v>22</v>
      </c>
      <c r="C123">
        <v>25</v>
      </c>
      <c r="D123">
        <v>6800</v>
      </c>
      <c r="E123">
        <f t="shared" si="1"/>
        <v>170000</v>
      </c>
    </row>
    <row r="124" spans="1:5" hidden="1" x14ac:dyDescent="0.3">
      <c r="A124" t="s">
        <v>145</v>
      </c>
      <c r="B124" t="s">
        <v>3</v>
      </c>
      <c r="C124">
        <v>0</v>
      </c>
      <c r="E124">
        <f t="shared" si="1"/>
        <v>0</v>
      </c>
    </row>
    <row r="125" spans="1:5" x14ac:dyDescent="0.3">
      <c r="A125" t="s">
        <v>74</v>
      </c>
      <c r="B125" t="s">
        <v>3</v>
      </c>
      <c r="C125">
        <v>7</v>
      </c>
      <c r="D125">
        <v>28000</v>
      </c>
      <c r="E125">
        <f t="shared" si="1"/>
        <v>196000</v>
      </c>
    </row>
    <row r="126" spans="1:5" x14ac:dyDescent="0.3">
      <c r="A126" t="s">
        <v>86</v>
      </c>
      <c r="B126" t="s">
        <v>22</v>
      </c>
      <c r="C126">
        <v>30</v>
      </c>
      <c r="D126">
        <v>6800</v>
      </c>
      <c r="E126">
        <f t="shared" si="1"/>
        <v>204000</v>
      </c>
    </row>
    <row r="127" spans="1:5" hidden="1" x14ac:dyDescent="0.3">
      <c r="A127" t="s">
        <v>146</v>
      </c>
      <c r="B127" t="s">
        <v>3</v>
      </c>
      <c r="C127">
        <v>0</v>
      </c>
      <c r="E127">
        <f t="shared" si="1"/>
        <v>0</v>
      </c>
    </row>
    <row r="128" spans="1:5" hidden="1" x14ac:dyDescent="0.3">
      <c r="A128" t="s">
        <v>77</v>
      </c>
      <c r="B128" t="s">
        <v>3</v>
      </c>
      <c r="C128">
        <v>0</v>
      </c>
      <c r="E128">
        <f t="shared" si="1"/>
        <v>0</v>
      </c>
    </row>
    <row r="129" spans="1:5" hidden="1" x14ac:dyDescent="0.3">
      <c r="A129" t="s">
        <v>147</v>
      </c>
      <c r="B129" t="s">
        <v>4</v>
      </c>
      <c r="C129">
        <v>0</v>
      </c>
      <c r="E129">
        <f t="shared" si="1"/>
        <v>0</v>
      </c>
    </row>
    <row r="130" spans="1:5" hidden="1" x14ac:dyDescent="0.3">
      <c r="A130" t="s">
        <v>75</v>
      </c>
      <c r="B130" t="s">
        <v>3</v>
      </c>
      <c r="C130">
        <v>0</v>
      </c>
      <c r="E130">
        <f t="shared" si="1"/>
        <v>0</v>
      </c>
    </row>
    <row r="131" spans="1:5" x14ac:dyDescent="0.3">
      <c r="A131" t="s">
        <v>76</v>
      </c>
      <c r="B131" t="s">
        <v>3</v>
      </c>
      <c r="C131">
        <v>7</v>
      </c>
      <c r="D131">
        <v>28000</v>
      </c>
      <c r="E131">
        <f t="shared" si="1"/>
        <v>196000</v>
      </c>
    </row>
    <row r="132" spans="1:5" hidden="1" x14ac:dyDescent="0.3">
      <c r="A132" t="s">
        <v>85</v>
      </c>
      <c r="B132" t="s">
        <v>22</v>
      </c>
      <c r="C132">
        <v>0</v>
      </c>
      <c r="E132">
        <f t="shared" ref="E132" si="2">C132*D132</f>
        <v>0</v>
      </c>
    </row>
    <row r="133" spans="1:5" x14ac:dyDescent="0.3">
      <c r="E133">
        <f>SUM(E3:E131)</f>
        <v>172689950</v>
      </c>
    </row>
    <row r="134" spans="1:5" x14ac:dyDescent="0.3">
      <c r="A134" t="s">
        <v>103</v>
      </c>
    </row>
    <row r="135" spans="1:5" x14ac:dyDescent="0.3">
      <c r="A135" t="s">
        <v>0</v>
      </c>
      <c r="B135" t="s">
        <v>1</v>
      </c>
      <c r="C135" t="s">
        <v>102</v>
      </c>
      <c r="D135" t="s">
        <v>100</v>
      </c>
      <c r="E135" t="s">
        <v>101</v>
      </c>
    </row>
    <row r="136" spans="1:5" x14ac:dyDescent="0.3">
      <c r="A136" t="s">
        <v>44</v>
      </c>
      <c r="B136" t="s">
        <v>3</v>
      </c>
      <c r="C136">
        <v>20</v>
      </c>
      <c r="D136">
        <v>38000</v>
      </c>
      <c r="E136">
        <f>C136*D136</f>
        <v>760000</v>
      </c>
    </row>
    <row r="137" spans="1:5" x14ac:dyDescent="0.3">
      <c r="A137" t="s">
        <v>45</v>
      </c>
      <c r="B137" t="s">
        <v>3</v>
      </c>
      <c r="C137">
        <v>25</v>
      </c>
      <c r="D137">
        <v>6000</v>
      </c>
      <c r="E137">
        <f t="shared" ref="E137:E181" si="3">C137*D137</f>
        <v>150000</v>
      </c>
    </row>
    <row r="138" spans="1:5" x14ac:dyDescent="0.3">
      <c r="A138" t="s">
        <v>17</v>
      </c>
      <c r="B138" t="s">
        <v>3</v>
      </c>
      <c r="C138">
        <v>150</v>
      </c>
      <c r="D138">
        <v>6500</v>
      </c>
      <c r="E138">
        <f t="shared" si="3"/>
        <v>975000</v>
      </c>
    </row>
    <row r="139" spans="1:5" x14ac:dyDescent="0.3">
      <c r="A139" t="s">
        <v>95</v>
      </c>
      <c r="B139" t="s">
        <v>3</v>
      </c>
      <c r="C139">
        <v>50</v>
      </c>
      <c r="D139">
        <v>8000</v>
      </c>
      <c r="E139">
        <f t="shared" si="3"/>
        <v>400000</v>
      </c>
    </row>
    <row r="140" spans="1:5" x14ac:dyDescent="0.3">
      <c r="A140" t="s">
        <v>24</v>
      </c>
      <c r="B140" t="s">
        <v>3</v>
      </c>
      <c r="C140">
        <v>60</v>
      </c>
      <c r="D140">
        <v>7000</v>
      </c>
      <c r="E140">
        <f t="shared" si="3"/>
        <v>420000</v>
      </c>
    </row>
    <row r="141" spans="1:5" hidden="1" x14ac:dyDescent="0.3">
      <c r="A141" t="s">
        <v>78</v>
      </c>
      <c r="B141" t="s">
        <v>3</v>
      </c>
      <c r="C141">
        <v>0</v>
      </c>
      <c r="E141">
        <f t="shared" si="3"/>
        <v>0</v>
      </c>
    </row>
    <row r="142" spans="1:5" x14ac:dyDescent="0.3">
      <c r="A142" t="s">
        <v>25</v>
      </c>
      <c r="B142" t="s">
        <v>3</v>
      </c>
      <c r="C142">
        <v>70</v>
      </c>
      <c r="D142">
        <v>11000</v>
      </c>
      <c r="E142">
        <f t="shared" si="3"/>
        <v>770000</v>
      </c>
    </row>
    <row r="143" spans="1:5" hidden="1" x14ac:dyDescent="0.3">
      <c r="A143" t="s">
        <v>37</v>
      </c>
      <c r="B143" t="s">
        <v>3</v>
      </c>
      <c r="C143">
        <v>0</v>
      </c>
      <c r="E143">
        <f t="shared" si="3"/>
        <v>0</v>
      </c>
    </row>
    <row r="144" spans="1:5" hidden="1" x14ac:dyDescent="0.3">
      <c r="A144" t="s">
        <v>46</v>
      </c>
      <c r="B144" t="s">
        <v>3</v>
      </c>
      <c r="C144">
        <v>0</v>
      </c>
      <c r="E144">
        <f t="shared" si="3"/>
        <v>0</v>
      </c>
    </row>
    <row r="145" spans="1:5" hidden="1" x14ac:dyDescent="0.3">
      <c r="A145" t="s">
        <v>94</v>
      </c>
      <c r="B145" t="s">
        <v>3</v>
      </c>
      <c r="C145">
        <v>0</v>
      </c>
      <c r="E145">
        <f t="shared" si="3"/>
        <v>0</v>
      </c>
    </row>
    <row r="146" spans="1:5" x14ac:dyDescent="0.3">
      <c r="A146" t="s">
        <v>28</v>
      </c>
      <c r="B146" t="s">
        <v>3</v>
      </c>
      <c r="C146">
        <v>60</v>
      </c>
      <c r="D146">
        <v>24000</v>
      </c>
      <c r="E146">
        <f t="shared" si="3"/>
        <v>1440000</v>
      </c>
    </row>
    <row r="147" spans="1:5" x14ac:dyDescent="0.3">
      <c r="A147" t="s">
        <v>30</v>
      </c>
      <c r="B147" t="s">
        <v>3</v>
      </c>
      <c r="C147">
        <v>60</v>
      </c>
      <c r="D147">
        <v>22000</v>
      </c>
      <c r="E147">
        <f t="shared" si="3"/>
        <v>1320000</v>
      </c>
    </row>
    <row r="148" spans="1:5" hidden="1" x14ac:dyDescent="0.3">
      <c r="A148" t="s">
        <v>2</v>
      </c>
      <c r="B148" t="s">
        <v>3</v>
      </c>
      <c r="C148">
        <v>0</v>
      </c>
      <c r="E148">
        <f t="shared" si="3"/>
        <v>0</v>
      </c>
    </row>
    <row r="149" spans="1:5" x14ac:dyDescent="0.3">
      <c r="A149" t="s">
        <v>53</v>
      </c>
      <c r="B149" t="s">
        <v>3</v>
      </c>
      <c r="C149">
        <v>87</v>
      </c>
      <c r="D149">
        <v>7000</v>
      </c>
      <c r="E149">
        <f t="shared" si="3"/>
        <v>609000</v>
      </c>
    </row>
    <row r="150" spans="1:5" x14ac:dyDescent="0.3">
      <c r="A150" t="s">
        <v>20</v>
      </c>
      <c r="B150" t="s">
        <v>3</v>
      </c>
      <c r="C150">
        <v>390</v>
      </c>
      <c r="D150">
        <v>5500</v>
      </c>
      <c r="E150">
        <f t="shared" si="3"/>
        <v>2145000</v>
      </c>
    </row>
    <row r="151" spans="1:5" hidden="1" x14ac:dyDescent="0.3">
      <c r="A151" t="s">
        <v>97</v>
      </c>
      <c r="B151" t="s">
        <v>3</v>
      </c>
      <c r="C151">
        <v>0</v>
      </c>
      <c r="E151">
        <f t="shared" si="3"/>
        <v>0</v>
      </c>
    </row>
    <row r="152" spans="1:5" x14ac:dyDescent="0.3">
      <c r="A152" t="s">
        <v>98</v>
      </c>
      <c r="B152" t="s">
        <v>3</v>
      </c>
      <c r="C152">
        <v>8</v>
      </c>
      <c r="D152">
        <v>3500</v>
      </c>
      <c r="E152">
        <f t="shared" si="3"/>
        <v>28000</v>
      </c>
    </row>
    <row r="153" spans="1:5" x14ac:dyDescent="0.3">
      <c r="A153" t="s">
        <v>21</v>
      </c>
      <c r="B153" t="s">
        <v>3</v>
      </c>
      <c r="C153">
        <v>30</v>
      </c>
      <c r="D153">
        <v>14000</v>
      </c>
      <c r="E153">
        <f t="shared" si="3"/>
        <v>420000</v>
      </c>
    </row>
    <row r="154" spans="1:5" x14ac:dyDescent="0.3">
      <c r="A154" t="s">
        <v>96</v>
      </c>
      <c r="B154" t="s">
        <v>3</v>
      </c>
      <c r="C154">
        <v>10</v>
      </c>
      <c r="D154">
        <v>25000</v>
      </c>
      <c r="E154">
        <f t="shared" si="3"/>
        <v>250000</v>
      </c>
    </row>
    <row r="155" spans="1:5" hidden="1" x14ac:dyDescent="0.3">
      <c r="A155" t="s">
        <v>56</v>
      </c>
      <c r="B155" t="s">
        <v>3</v>
      </c>
      <c r="C155">
        <v>0</v>
      </c>
      <c r="E155">
        <f t="shared" si="3"/>
        <v>0</v>
      </c>
    </row>
    <row r="156" spans="1:5" hidden="1" x14ac:dyDescent="0.3">
      <c r="A156" t="s">
        <v>107</v>
      </c>
      <c r="B156" t="s">
        <v>6</v>
      </c>
      <c r="C156">
        <v>0</v>
      </c>
      <c r="E156">
        <f t="shared" si="3"/>
        <v>0</v>
      </c>
    </row>
    <row r="157" spans="1:5" x14ac:dyDescent="0.3">
      <c r="A157" t="s">
        <v>57</v>
      </c>
      <c r="B157" t="s">
        <v>3</v>
      </c>
      <c r="C157">
        <v>90</v>
      </c>
      <c r="D157">
        <v>4500</v>
      </c>
      <c r="E157">
        <f t="shared" si="3"/>
        <v>405000</v>
      </c>
    </row>
    <row r="158" spans="1:5" x14ac:dyDescent="0.3">
      <c r="A158" t="s">
        <v>9</v>
      </c>
      <c r="B158" t="s">
        <v>3</v>
      </c>
      <c r="C158">
        <v>60</v>
      </c>
      <c r="D158">
        <v>12000</v>
      </c>
      <c r="E158">
        <f t="shared" si="3"/>
        <v>720000</v>
      </c>
    </row>
    <row r="159" spans="1:5" x14ac:dyDescent="0.3">
      <c r="A159" t="s">
        <v>10</v>
      </c>
      <c r="B159" t="s">
        <v>3</v>
      </c>
      <c r="C159">
        <v>40</v>
      </c>
      <c r="D159">
        <v>19000</v>
      </c>
      <c r="E159">
        <f t="shared" si="3"/>
        <v>760000</v>
      </c>
    </row>
    <row r="160" spans="1:5" hidden="1" x14ac:dyDescent="0.3">
      <c r="A160" t="s">
        <v>13</v>
      </c>
      <c r="B160" t="s">
        <v>4</v>
      </c>
      <c r="C160">
        <v>0</v>
      </c>
      <c r="E160">
        <f t="shared" si="3"/>
        <v>0</v>
      </c>
    </row>
    <row r="161" spans="1:6" x14ac:dyDescent="0.3">
      <c r="A161" t="s">
        <v>14</v>
      </c>
      <c r="B161" t="s">
        <v>3</v>
      </c>
      <c r="C161">
        <v>90</v>
      </c>
      <c r="D161">
        <v>16000</v>
      </c>
      <c r="E161">
        <f t="shared" si="3"/>
        <v>1440000</v>
      </c>
    </row>
    <row r="162" spans="1:6" hidden="1" x14ac:dyDescent="0.3">
      <c r="A162" t="s">
        <v>89</v>
      </c>
      <c r="B162" t="s">
        <v>4</v>
      </c>
      <c r="C162">
        <v>0</v>
      </c>
      <c r="E162">
        <f t="shared" si="3"/>
        <v>0</v>
      </c>
    </row>
    <row r="163" spans="1:6" hidden="1" x14ac:dyDescent="0.3">
      <c r="A163" t="s">
        <v>109</v>
      </c>
      <c r="B163" t="s">
        <v>3</v>
      </c>
      <c r="C163">
        <v>0</v>
      </c>
      <c r="E163">
        <f t="shared" si="3"/>
        <v>0</v>
      </c>
    </row>
    <row r="164" spans="1:6" x14ac:dyDescent="0.3">
      <c r="A164" t="s">
        <v>15</v>
      </c>
      <c r="B164" t="s">
        <v>3</v>
      </c>
      <c r="C164">
        <v>370</v>
      </c>
      <c r="D164">
        <v>17000</v>
      </c>
      <c r="E164">
        <f t="shared" si="3"/>
        <v>6290000</v>
      </c>
    </row>
    <row r="165" spans="1:6" x14ac:dyDescent="0.3">
      <c r="A165" t="s">
        <v>59</v>
      </c>
      <c r="B165" t="s">
        <v>3</v>
      </c>
      <c r="C165">
        <v>30</v>
      </c>
      <c r="D165">
        <v>11000</v>
      </c>
      <c r="E165">
        <f t="shared" si="3"/>
        <v>330000</v>
      </c>
    </row>
    <row r="166" spans="1:6" x14ac:dyDescent="0.3">
      <c r="A166" t="s">
        <v>60</v>
      </c>
      <c r="B166" t="s">
        <v>4</v>
      </c>
      <c r="C166">
        <v>20</v>
      </c>
      <c r="D166">
        <v>6000</v>
      </c>
      <c r="E166">
        <f t="shared" si="3"/>
        <v>120000</v>
      </c>
    </row>
    <row r="167" spans="1:6" x14ac:dyDescent="0.3">
      <c r="A167" t="s">
        <v>61</v>
      </c>
      <c r="B167" t="s">
        <v>4</v>
      </c>
      <c r="C167">
        <v>100</v>
      </c>
      <c r="D167">
        <v>9000</v>
      </c>
      <c r="E167">
        <f t="shared" si="3"/>
        <v>900000</v>
      </c>
    </row>
    <row r="168" spans="1:6" hidden="1" x14ac:dyDescent="0.3">
      <c r="A168" t="s">
        <v>32</v>
      </c>
      <c r="B168" t="s">
        <v>3</v>
      </c>
      <c r="C168">
        <v>0</v>
      </c>
      <c r="E168">
        <f t="shared" si="3"/>
        <v>0</v>
      </c>
    </row>
    <row r="169" spans="1:6" hidden="1" x14ac:dyDescent="0.3">
      <c r="A169" t="s">
        <v>32</v>
      </c>
      <c r="B169" t="s">
        <v>6</v>
      </c>
      <c r="C169">
        <v>0</v>
      </c>
      <c r="E169">
        <f t="shared" si="3"/>
        <v>0</v>
      </c>
    </row>
    <row r="170" spans="1:6" hidden="1" x14ac:dyDescent="0.3">
      <c r="A170" t="s">
        <v>66</v>
      </c>
      <c r="B170" t="s">
        <v>3</v>
      </c>
      <c r="C170">
        <v>0</v>
      </c>
      <c r="E170">
        <f t="shared" si="3"/>
        <v>0</v>
      </c>
    </row>
    <row r="171" spans="1:6" x14ac:dyDescent="0.3">
      <c r="A171" t="s">
        <v>43</v>
      </c>
      <c r="B171" t="s">
        <v>3</v>
      </c>
      <c r="C171">
        <v>110</v>
      </c>
      <c r="D171">
        <v>27600</v>
      </c>
      <c r="E171">
        <f t="shared" si="3"/>
        <v>3036000</v>
      </c>
    </row>
    <row r="172" spans="1:6" hidden="1" x14ac:dyDescent="0.3">
      <c r="A172" t="s">
        <v>67</v>
      </c>
      <c r="B172" t="s">
        <v>3</v>
      </c>
      <c r="C172">
        <v>0</v>
      </c>
      <c r="E172">
        <f t="shared" si="3"/>
        <v>0</v>
      </c>
    </row>
    <row r="173" spans="1:6" hidden="1" x14ac:dyDescent="0.3">
      <c r="A173" t="s">
        <v>34</v>
      </c>
      <c r="B173" t="s">
        <v>3</v>
      </c>
      <c r="C173">
        <v>0</v>
      </c>
      <c r="E173">
        <f t="shared" si="3"/>
        <v>0</v>
      </c>
    </row>
    <row r="174" spans="1:6" hidden="1" x14ac:dyDescent="0.3">
      <c r="A174" t="s">
        <v>35</v>
      </c>
      <c r="B174" t="s">
        <v>3</v>
      </c>
      <c r="C174">
        <v>0</v>
      </c>
      <c r="E174">
        <f t="shared" si="3"/>
        <v>0</v>
      </c>
    </row>
    <row r="175" spans="1:6" hidden="1" x14ac:dyDescent="0.3">
      <c r="A175" t="s">
        <v>36</v>
      </c>
      <c r="B175" t="s">
        <v>3</v>
      </c>
      <c r="C175">
        <v>0</v>
      </c>
      <c r="E175">
        <f t="shared" si="3"/>
        <v>0</v>
      </c>
    </row>
    <row r="176" spans="1:6" x14ac:dyDescent="0.3">
      <c r="A176" t="s">
        <v>116</v>
      </c>
      <c r="B176" t="s">
        <v>26</v>
      </c>
      <c r="C176">
        <v>1945</v>
      </c>
      <c r="D176">
        <v>13500</v>
      </c>
      <c r="E176">
        <f t="shared" si="3"/>
        <v>26257500</v>
      </c>
      <c r="F176" t="s">
        <v>140</v>
      </c>
    </row>
    <row r="177" spans="1:6" x14ac:dyDescent="0.3">
      <c r="A177" t="s">
        <v>72</v>
      </c>
      <c r="B177" t="s">
        <v>3</v>
      </c>
      <c r="C177">
        <v>40</v>
      </c>
      <c r="D177">
        <v>8000</v>
      </c>
      <c r="E177">
        <f t="shared" si="3"/>
        <v>320000</v>
      </c>
      <c r="F177" t="s">
        <v>149</v>
      </c>
    </row>
    <row r="178" spans="1:6" hidden="1" x14ac:dyDescent="0.3">
      <c r="A178" t="s">
        <v>23</v>
      </c>
      <c r="B178" t="s">
        <v>22</v>
      </c>
      <c r="C178">
        <v>0</v>
      </c>
      <c r="E178">
        <f t="shared" si="3"/>
        <v>0</v>
      </c>
    </row>
    <row r="179" spans="1:6" hidden="1" x14ac:dyDescent="0.3">
      <c r="A179" t="s">
        <v>84</v>
      </c>
      <c r="B179" t="s">
        <v>22</v>
      </c>
      <c r="C179">
        <v>0</v>
      </c>
      <c r="E179">
        <f t="shared" si="3"/>
        <v>0</v>
      </c>
    </row>
    <row r="180" spans="1:6" hidden="1" x14ac:dyDescent="0.3">
      <c r="A180" t="s">
        <v>86</v>
      </c>
      <c r="B180" t="s">
        <v>22</v>
      </c>
      <c r="C180">
        <v>0</v>
      </c>
      <c r="E180">
        <f t="shared" si="3"/>
        <v>0</v>
      </c>
    </row>
    <row r="181" spans="1:6" hidden="1" x14ac:dyDescent="0.3">
      <c r="A181" t="s">
        <v>85</v>
      </c>
      <c r="B181" t="s">
        <v>22</v>
      </c>
      <c r="C181">
        <v>0</v>
      </c>
      <c r="E181">
        <f t="shared" si="3"/>
        <v>0</v>
      </c>
    </row>
    <row r="182" spans="1:6" x14ac:dyDescent="0.3">
      <c r="E182">
        <f>SUM(E136:E177)</f>
        <v>50265500</v>
      </c>
    </row>
    <row r="183" spans="1:6" x14ac:dyDescent="0.3">
      <c r="E183">
        <f>E182+E133</f>
        <v>222955450</v>
      </c>
    </row>
  </sheetData>
  <autoFilter ref="A2:F181" xr:uid="{00000000-0009-0000-0000-00000B000000}">
    <filterColumn colId="2">
      <filters>
        <filter val="0.5"/>
        <filter val="1"/>
        <filter val="1.5"/>
        <filter val="10"/>
        <filter val="100"/>
        <filter val="105"/>
        <filter val="110"/>
        <filter val="115"/>
        <filter val="13"/>
        <filter val="15"/>
        <filter val="150"/>
        <filter val="166"/>
        <filter val="17"/>
        <filter val="170"/>
        <filter val="19"/>
        <filter val="1945"/>
        <filter val="2"/>
        <filter val="20"/>
        <filter val="2020"/>
        <filter val="210"/>
        <filter val="23"/>
        <filter val="2320"/>
        <filter val="24"/>
        <filter val="25"/>
        <filter val="250"/>
        <filter val="27"/>
        <filter val="270"/>
        <filter val="30"/>
        <filter val="35"/>
        <filter val="370"/>
        <filter val="38"/>
        <filter val="390"/>
        <filter val="4"/>
        <filter val="40"/>
        <filter val="45"/>
        <filter val="460"/>
        <filter val="50"/>
        <filter val="55"/>
        <filter val="6"/>
        <filter val="60"/>
        <filter val="61"/>
        <filter val="64"/>
        <filter val="65"/>
        <filter val="695"/>
        <filter val="7"/>
        <filter val="70"/>
        <filter val="72"/>
        <filter val="8"/>
        <filter val="80"/>
        <filter val="87"/>
        <filter val="88"/>
        <filter val="90"/>
        <filter val="tồn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E157"/>
  <sheetViews>
    <sheetView topLeftCell="A106" workbookViewId="0">
      <selection activeCell="H48" sqref="H48"/>
    </sheetView>
  </sheetViews>
  <sheetFormatPr defaultRowHeight="14.4" x14ac:dyDescent="0.3"/>
  <cols>
    <col min="1" max="1" width="30.44140625" customWidth="1"/>
    <col min="3" max="3" width="11.33203125" customWidth="1"/>
    <col min="4" max="4" width="11.5546875" style="2" customWidth="1"/>
    <col min="5" max="5" width="19.6640625" style="2" customWidth="1"/>
  </cols>
  <sheetData>
    <row r="1" spans="1:5" x14ac:dyDescent="0.3">
      <c r="A1" t="s">
        <v>151</v>
      </c>
    </row>
    <row r="2" spans="1:5" x14ac:dyDescent="0.3">
      <c r="A2" t="s">
        <v>0</v>
      </c>
      <c r="B2" t="s">
        <v>1</v>
      </c>
      <c r="C2" t="s">
        <v>102</v>
      </c>
      <c r="D2" s="2" t="s">
        <v>100</v>
      </c>
      <c r="E2" s="2" t="s">
        <v>101</v>
      </c>
    </row>
    <row r="3" spans="1:5" x14ac:dyDescent="0.3">
      <c r="A3" t="s">
        <v>44</v>
      </c>
      <c r="B3" t="s">
        <v>3</v>
      </c>
      <c r="C3">
        <v>20</v>
      </c>
      <c r="D3" s="2">
        <v>32000</v>
      </c>
      <c r="E3" s="2">
        <f>C3*D3</f>
        <v>640000</v>
      </c>
    </row>
    <row r="4" spans="1:5" x14ac:dyDescent="0.3">
      <c r="A4" t="s">
        <v>45</v>
      </c>
      <c r="B4" t="s">
        <v>3</v>
      </c>
      <c r="C4">
        <v>274</v>
      </c>
      <c r="D4" s="2">
        <v>6000</v>
      </c>
      <c r="E4" s="2">
        <f t="shared" ref="E4:E67" si="0">C4*D4</f>
        <v>1644000</v>
      </c>
    </row>
    <row r="5" spans="1:5" x14ac:dyDescent="0.3">
      <c r="A5" t="s">
        <v>17</v>
      </c>
      <c r="B5" t="s">
        <v>3</v>
      </c>
      <c r="C5">
        <v>110</v>
      </c>
      <c r="D5" s="2">
        <v>5500</v>
      </c>
      <c r="E5" s="2">
        <f t="shared" si="0"/>
        <v>605000</v>
      </c>
    </row>
    <row r="6" spans="1:5" hidden="1" x14ac:dyDescent="0.3">
      <c r="A6" t="s">
        <v>92</v>
      </c>
      <c r="B6" t="s">
        <v>3</v>
      </c>
      <c r="C6">
        <v>0</v>
      </c>
      <c r="D6"/>
      <c r="E6">
        <f t="shared" si="0"/>
        <v>0</v>
      </c>
    </row>
    <row r="7" spans="1:5" x14ac:dyDescent="0.3">
      <c r="A7" t="s">
        <v>24</v>
      </c>
      <c r="B7" t="s">
        <v>3</v>
      </c>
      <c r="C7">
        <v>350</v>
      </c>
      <c r="D7" s="2">
        <v>7000</v>
      </c>
      <c r="E7" s="2">
        <f t="shared" si="0"/>
        <v>2450000</v>
      </c>
    </row>
    <row r="8" spans="1:5" x14ac:dyDescent="0.3">
      <c r="A8" t="s">
        <v>25</v>
      </c>
      <c r="B8" t="s">
        <v>3</v>
      </c>
      <c r="C8">
        <v>165</v>
      </c>
      <c r="D8" s="2">
        <v>11000</v>
      </c>
      <c r="E8" s="2">
        <f t="shared" si="0"/>
        <v>1815000</v>
      </c>
    </row>
    <row r="9" spans="1:5" hidden="1" x14ac:dyDescent="0.3">
      <c r="A9" t="s">
        <v>25</v>
      </c>
      <c r="B9" t="s">
        <v>26</v>
      </c>
      <c r="C9">
        <v>0</v>
      </c>
      <c r="D9"/>
      <c r="E9">
        <f t="shared" si="0"/>
        <v>0</v>
      </c>
    </row>
    <row r="10" spans="1:5" x14ac:dyDescent="0.3">
      <c r="A10" t="s">
        <v>27</v>
      </c>
      <c r="B10" t="s">
        <v>3</v>
      </c>
      <c r="C10">
        <v>65</v>
      </c>
      <c r="D10" s="2">
        <v>13000</v>
      </c>
      <c r="E10" s="2">
        <f t="shared" si="0"/>
        <v>845000</v>
      </c>
    </row>
    <row r="11" spans="1:5" hidden="1" x14ac:dyDescent="0.3">
      <c r="A11" t="s">
        <v>27</v>
      </c>
      <c r="B11" t="s">
        <v>26</v>
      </c>
      <c r="C11">
        <v>0</v>
      </c>
      <c r="D11"/>
      <c r="E11">
        <f t="shared" si="0"/>
        <v>0</v>
      </c>
    </row>
    <row r="12" spans="1:5" hidden="1" x14ac:dyDescent="0.3">
      <c r="A12" t="s">
        <v>37</v>
      </c>
      <c r="B12" t="s">
        <v>3</v>
      </c>
      <c r="C12">
        <v>0</v>
      </c>
      <c r="D12"/>
      <c r="E12">
        <f t="shared" si="0"/>
        <v>0</v>
      </c>
    </row>
    <row r="13" spans="1:5" hidden="1" x14ac:dyDescent="0.3">
      <c r="A13" t="s">
        <v>46</v>
      </c>
      <c r="B13" t="s">
        <v>3</v>
      </c>
      <c r="C13">
        <v>0</v>
      </c>
      <c r="D13"/>
      <c r="E13">
        <f t="shared" si="0"/>
        <v>0</v>
      </c>
    </row>
    <row r="14" spans="1:5" hidden="1" x14ac:dyDescent="0.3">
      <c r="A14" t="s">
        <v>47</v>
      </c>
      <c r="B14" t="s">
        <v>3</v>
      </c>
      <c r="C14">
        <v>0</v>
      </c>
      <c r="D14"/>
      <c r="E14">
        <f t="shared" si="0"/>
        <v>0</v>
      </c>
    </row>
    <row r="15" spans="1:5" x14ac:dyDescent="0.3">
      <c r="A15" t="s">
        <v>123</v>
      </c>
      <c r="B15" t="s">
        <v>3</v>
      </c>
      <c r="C15">
        <v>10</v>
      </c>
      <c r="D15" s="2">
        <v>16000</v>
      </c>
      <c r="E15" s="2">
        <f t="shared" si="0"/>
        <v>160000</v>
      </c>
    </row>
    <row r="16" spans="1:5" x14ac:dyDescent="0.3">
      <c r="A16" t="s">
        <v>82</v>
      </c>
      <c r="B16" t="s">
        <v>3</v>
      </c>
      <c r="C16">
        <v>35</v>
      </c>
      <c r="D16" s="2">
        <v>26000</v>
      </c>
      <c r="E16" s="2">
        <f t="shared" si="0"/>
        <v>910000</v>
      </c>
    </row>
    <row r="17" spans="1:5" x14ac:dyDescent="0.3">
      <c r="A17" t="s">
        <v>16</v>
      </c>
      <c r="B17" t="s">
        <v>6</v>
      </c>
      <c r="C17">
        <v>16</v>
      </c>
      <c r="D17" s="2">
        <v>8000</v>
      </c>
      <c r="E17" s="2">
        <f t="shared" si="0"/>
        <v>128000</v>
      </c>
    </row>
    <row r="18" spans="1:5" x14ac:dyDescent="0.3">
      <c r="A18" t="s">
        <v>28</v>
      </c>
      <c r="B18" t="s">
        <v>3</v>
      </c>
      <c r="C18">
        <v>110</v>
      </c>
      <c r="D18" s="2">
        <v>24000</v>
      </c>
      <c r="E18" s="2">
        <f t="shared" si="0"/>
        <v>2640000</v>
      </c>
    </row>
    <row r="19" spans="1:5" hidden="1" x14ac:dyDescent="0.3">
      <c r="A19" t="s">
        <v>28</v>
      </c>
      <c r="B19" t="s">
        <v>6</v>
      </c>
      <c r="C19">
        <v>0</v>
      </c>
      <c r="D19"/>
      <c r="E19">
        <f t="shared" si="0"/>
        <v>0</v>
      </c>
    </row>
    <row r="20" spans="1:5" hidden="1" x14ac:dyDescent="0.3">
      <c r="A20" t="s">
        <v>28</v>
      </c>
      <c r="B20" t="s">
        <v>29</v>
      </c>
      <c r="C20">
        <v>0</v>
      </c>
      <c r="D20"/>
      <c r="E20">
        <f t="shared" si="0"/>
        <v>0</v>
      </c>
    </row>
    <row r="21" spans="1:5" hidden="1" x14ac:dyDescent="0.3">
      <c r="A21" t="s">
        <v>48</v>
      </c>
      <c r="B21" t="s">
        <v>3</v>
      </c>
      <c r="C21">
        <v>0</v>
      </c>
      <c r="D21"/>
      <c r="E21">
        <f t="shared" si="0"/>
        <v>0</v>
      </c>
    </row>
    <row r="22" spans="1:5" hidden="1" x14ac:dyDescent="0.3">
      <c r="A22" t="s">
        <v>48</v>
      </c>
      <c r="B22" t="s">
        <v>49</v>
      </c>
      <c r="C22">
        <v>0</v>
      </c>
      <c r="D22"/>
      <c r="E22">
        <f t="shared" si="0"/>
        <v>0</v>
      </c>
    </row>
    <row r="23" spans="1:5" x14ac:dyDescent="0.3">
      <c r="A23" t="s">
        <v>40</v>
      </c>
      <c r="B23" t="s">
        <v>3</v>
      </c>
      <c r="C23">
        <v>12</v>
      </c>
      <c r="D23" s="2">
        <v>30000</v>
      </c>
      <c r="E23" s="2">
        <f t="shared" si="0"/>
        <v>360000</v>
      </c>
    </row>
    <row r="24" spans="1:5" x14ac:dyDescent="0.3">
      <c r="A24" t="s">
        <v>40</v>
      </c>
      <c r="B24" t="s">
        <v>41</v>
      </c>
      <c r="C24">
        <v>97</v>
      </c>
      <c r="D24" s="2">
        <v>9000</v>
      </c>
      <c r="E24" s="2">
        <f t="shared" si="0"/>
        <v>873000</v>
      </c>
    </row>
    <row r="25" spans="1:5" hidden="1" x14ac:dyDescent="0.3">
      <c r="A25" t="s">
        <v>50</v>
      </c>
      <c r="B25" t="s">
        <v>8</v>
      </c>
      <c r="C25">
        <v>0</v>
      </c>
      <c r="D25"/>
      <c r="E25">
        <f t="shared" si="0"/>
        <v>0</v>
      </c>
    </row>
    <row r="26" spans="1:5" hidden="1" x14ac:dyDescent="0.3">
      <c r="A26" t="s">
        <v>51</v>
      </c>
      <c r="B26" t="s">
        <v>3</v>
      </c>
      <c r="C26">
        <v>0</v>
      </c>
      <c r="D26"/>
      <c r="E26">
        <f t="shared" si="0"/>
        <v>0</v>
      </c>
    </row>
    <row r="27" spans="1:5" hidden="1" x14ac:dyDescent="0.3">
      <c r="A27" t="s">
        <v>51</v>
      </c>
      <c r="B27" t="s">
        <v>52</v>
      </c>
      <c r="C27">
        <v>0</v>
      </c>
      <c r="D27"/>
      <c r="E27">
        <f t="shared" si="0"/>
        <v>0</v>
      </c>
    </row>
    <row r="28" spans="1:5" x14ac:dyDescent="0.3">
      <c r="A28" t="s">
        <v>30</v>
      </c>
      <c r="B28" t="s">
        <v>3</v>
      </c>
      <c r="C28">
        <v>85</v>
      </c>
      <c r="D28" s="2">
        <v>20000</v>
      </c>
      <c r="E28" s="2">
        <f t="shared" si="0"/>
        <v>1700000</v>
      </c>
    </row>
    <row r="29" spans="1:5" hidden="1" x14ac:dyDescent="0.3">
      <c r="A29" t="s">
        <v>30</v>
      </c>
      <c r="B29" t="s">
        <v>6</v>
      </c>
      <c r="C29">
        <v>0</v>
      </c>
      <c r="D29"/>
      <c r="E29">
        <f t="shared" si="0"/>
        <v>0</v>
      </c>
    </row>
    <row r="30" spans="1:5" x14ac:dyDescent="0.3">
      <c r="A30" t="s">
        <v>31</v>
      </c>
      <c r="B30" t="s">
        <v>4</v>
      </c>
      <c r="C30">
        <v>75</v>
      </c>
      <c r="D30" s="2">
        <v>18000</v>
      </c>
      <c r="E30" s="2">
        <f t="shared" si="0"/>
        <v>1350000</v>
      </c>
    </row>
    <row r="31" spans="1:5" hidden="1" x14ac:dyDescent="0.3">
      <c r="A31" t="s">
        <v>2</v>
      </c>
      <c r="B31" t="s">
        <v>3</v>
      </c>
      <c r="C31">
        <v>0</v>
      </c>
      <c r="D31"/>
      <c r="E31">
        <f t="shared" si="0"/>
        <v>0</v>
      </c>
    </row>
    <row r="32" spans="1:5" hidden="1" x14ac:dyDescent="0.3">
      <c r="A32" t="s">
        <v>2</v>
      </c>
      <c r="B32" t="s">
        <v>4</v>
      </c>
      <c r="C32">
        <v>0</v>
      </c>
      <c r="D32"/>
      <c r="E32">
        <f t="shared" si="0"/>
        <v>0</v>
      </c>
    </row>
    <row r="33" spans="1:5" hidden="1" x14ac:dyDescent="0.3">
      <c r="A33" t="s">
        <v>5</v>
      </c>
      <c r="B33" t="s">
        <v>6</v>
      </c>
      <c r="C33">
        <v>0</v>
      </c>
      <c r="D33"/>
      <c r="E33">
        <f t="shared" si="0"/>
        <v>0</v>
      </c>
    </row>
    <row r="34" spans="1:5" x14ac:dyDescent="0.3">
      <c r="A34" t="s">
        <v>53</v>
      </c>
      <c r="B34" t="s">
        <v>3</v>
      </c>
      <c r="C34">
        <v>40</v>
      </c>
      <c r="D34" s="2">
        <v>7000</v>
      </c>
      <c r="E34" s="2">
        <f t="shared" si="0"/>
        <v>280000</v>
      </c>
    </row>
    <row r="35" spans="1:5" hidden="1" x14ac:dyDescent="0.3">
      <c r="A35" t="s">
        <v>53</v>
      </c>
      <c r="B35" t="s">
        <v>54</v>
      </c>
      <c r="C35">
        <v>0</v>
      </c>
      <c r="D35"/>
      <c r="E35">
        <f t="shared" si="0"/>
        <v>0</v>
      </c>
    </row>
    <row r="36" spans="1:5" hidden="1" x14ac:dyDescent="0.3">
      <c r="A36" t="s">
        <v>18</v>
      </c>
      <c r="B36" t="s">
        <v>3</v>
      </c>
      <c r="C36">
        <v>0</v>
      </c>
      <c r="D36"/>
      <c r="E36">
        <f t="shared" si="0"/>
        <v>0</v>
      </c>
    </row>
    <row r="37" spans="1:5" hidden="1" x14ac:dyDescent="0.3">
      <c r="A37" t="s">
        <v>18</v>
      </c>
      <c r="B37" t="s">
        <v>4</v>
      </c>
      <c r="C37">
        <v>0</v>
      </c>
      <c r="D37"/>
      <c r="E37">
        <f t="shared" si="0"/>
        <v>0</v>
      </c>
    </row>
    <row r="38" spans="1:5" x14ac:dyDescent="0.3">
      <c r="A38" t="s">
        <v>55</v>
      </c>
      <c r="B38" t="s">
        <v>4</v>
      </c>
      <c r="C38">
        <v>10</v>
      </c>
      <c r="D38" s="2">
        <v>3900</v>
      </c>
      <c r="E38" s="2">
        <f t="shared" si="0"/>
        <v>39000</v>
      </c>
    </row>
    <row r="39" spans="1:5" x14ac:dyDescent="0.3">
      <c r="A39" t="s">
        <v>19</v>
      </c>
      <c r="B39" t="s">
        <v>4</v>
      </c>
      <c r="C39">
        <v>10</v>
      </c>
      <c r="D39" s="2">
        <v>5250</v>
      </c>
      <c r="E39" s="2">
        <f t="shared" si="0"/>
        <v>52500</v>
      </c>
    </row>
    <row r="40" spans="1:5" hidden="1" x14ac:dyDescent="0.3">
      <c r="A40" t="s">
        <v>20</v>
      </c>
      <c r="B40" t="s">
        <v>3</v>
      </c>
      <c r="C40">
        <v>0</v>
      </c>
      <c r="D40"/>
      <c r="E40">
        <f t="shared" si="0"/>
        <v>0</v>
      </c>
    </row>
    <row r="41" spans="1:5" hidden="1" x14ac:dyDescent="0.3">
      <c r="A41" t="s">
        <v>97</v>
      </c>
      <c r="B41" t="s">
        <v>3</v>
      </c>
      <c r="C41">
        <v>0</v>
      </c>
      <c r="D41"/>
      <c r="E41">
        <f t="shared" si="0"/>
        <v>0</v>
      </c>
    </row>
    <row r="42" spans="1:5" hidden="1" x14ac:dyDescent="0.3">
      <c r="A42" t="s">
        <v>21</v>
      </c>
      <c r="B42" t="s">
        <v>22</v>
      </c>
      <c r="C42">
        <v>0</v>
      </c>
      <c r="D42"/>
      <c r="E42">
        <f t="shared" si="0"/>
        <v>0</v>
      </c>
    </row>
    <row r="43" spans="1:5" x14ac:dyDescent="0.3">
      <c r="A43" t="s">
        <v>21</v>
      </c>
      <c r="B43" t="s">
        <v>3</v>
      </c>
      <c r="C43">
        <v>70</v>
      </c>
      <c r="D43" s="2">
        <v>16000</v>
      </c>
      <c r="E43" s="2">
        <f t="shared" si="0"/>
        <v>1120000</v>
      </c>
    </row>
    <row r="44" spans="1:5" hidden="1" x14ac:dyDescent="0.3">
      <c r="A44" t="s">
        <v>56</v>
      </c>
      <c r="B44" t="s">
        <v>3</v>
      </c>
      <c r="C44">
        <v>0</v>
      </c>
      <c r="D44"/>
      <c r="E44">
        <f t="shared" si="0"/>
        <v>0</v>
      </c>
    </row>
    <row r="45" spans="1:5" x14ac:dyDescent="0.3">
      <c r="A45" t="s">
        <v>7</v>
      </c>
      <c r="B45" t="s">
        <v>8</v>
      </c>
      <c r="C45">
        <v>8</v>
      </c>
      <c r="D45" s="2">
        <v>6500</v>
      </c>
      <c r="E45" s="2">
        <f t="shared" si="0"/>
        <v>52000</v>
      </c>
    </row>
    <row r="46" spans="1:5" x14ac:dyDescent="0.3">
      <c r="A46" t="s">
        <v>107</v>
      </c>
      <c r="B46" t="s">
        <v>3</v>
      </c>
      <c r="C46">
        <v>1.5</v>
      </c>
      <c r="D46" s="2">
        <v>16000</v>
      </c>
      <c r="E46" s="2">
        <f t="shared" si="0"/>
        <v>24000</v>
      </c>
    </row>
    <row r="47" spans="1:5" x14ac:dyDescent="0.3">
      <c r="A47" t="s">
        <v>57</v>
      </c>
      <c r="B47" t="s">
        <v>3</v>
      </c>
      <c r="C47">
        <v>40</v>
      </c>
      <c r="D47" s="2">
        <v>4500</v>
      </c>
      <c r="E47" s="2">
        <f t="shared" si="0"/>
        <v>180000</v>
      </c>
    </row>
    <row r="48" spans="1:5" x14ac:dyDescent="0.3">
      <c r="A48" t="s">
        <v>9</v>
      </c>
      <c r="B48" t="s">
        <v>3</v>
      </c>
      <c r="C48">
        <v>30</v>
      </c>
      <c r="D48" s="2">
        <v>12000</v>
      </c>
      <c r="E48" s="2">
        <f t="shared" si="0"/>
        <v>360000</v>
      </c>
    </row>
    <row r="49" spans="1:5" hidden="1" x14ac:dyDescent="0.3">
      <c r="A49" t="s">
        <v>9</v>
      </c>
      <c r="B49" t="s">
        <v>4</v>
      </c>
      <c r="C49">
        <v>0</v>
      </c>
      <c r="D49"/>
      <c r="E49">
        <f t="shared" si="0"/>
        <v>0</v>
      </c>
    </row>
    <row r="50" spans="1:5" x14ac:dyDescent="0.3">
      <c r="A50" t="s">
        <v>58</v>
      </c>
      <c r="B50" t="s">
        <v>3</v>
      </c>
      <c r="C50">
        <v>10</v>
      </c>
      <c r="D50" s="2">
        <v>23000</v>
      </c>
      <c r="E50" s="2">
        <f t="shared" si="0"/>
        <v>230000</v>
      </c>
    </row>
    <row r="51" spans="1:5" x14ac:dyDescent="0.3">
      <c r="A51" t="s">
        <v>10</v>
      </c>
      <c r="B51" t="s">
        <v>3</v>
      </c>
      <c r="C51">
        <v>143</v>
      </c>
      <c r="D51" s="2">
        <v>19000</v>
      </c>
      <c r="E51" s="2">
        <f t="shared" si="0"/>
        <v>2717000</v>
      </c>
    </row>
    <row r="52" spans="1:5" hidden="1" x14ac:dyDescent="0.3">
      <c r="A52" t="s">
        <v>10</v>
      </c>
      <c r="B52" t="s">
        <v>11</v>
      </c>
      <c r="C52">
        <v>0</v>
      </c>
      <c r="D52"/>
      <c r="E52">
        <f t="shared" si="0"/>
        <v>0</v>
      </c>
    </row>
    <row r="53" spans="1:5" x14ac:dyDescent="0.3">
      <c r="A53" t="s">
        <v>106</v>
      </c>
      <c r="B53" t="s">
        <v>3</v>
      </c>
      <c r="C53">
        <v>13</v>
      </c>
      <c r="D53" s="2">
        <v>20000</v>
      </c>
      <c r="E53" s="2">
        <f t="shared" si="0"/>
        <v>260000</v>
      </c>
    </row>
    <row r="54" spans="1:5" x14ac:dyDescent="0.3">
      <c r="A54" t="s">
        <v>12</v>
      </c>
      <c r="B54" t="s">
        <v>4</v>
      </c>
      <c r="C54">
        <v>66</v>
      </c>
      <c r="D54" s="2">
        <v>6000</v>
      </c>
      <c r="E54" s="2">
        <f t="shared" si="0"/>
        <v>396000</v>
      </c>
    </row>
    <row r="55" spans="1:5" x14ac:dyDescent="0.3">
      <c r="A55" t="s">
        <v>39</v>
      </c>
      <c r="B55" t="s">
        <v>3</v>
      </c>
      <c r="C55">
        <v>1715</v>
      </c>
      <c r="D55" s="2">
        <v>24000</v>
      </c>
      <c r="E55" s="2">
        <f t="shared" si="0"/>
        <v>41160000</v>
      </c>
    </row>
    <row r="56" spans="1:5" x14ac:dyDescent="0.3">
      <c r="A56" t="s">
        <v>13</v>
      </c>
      <c r="B56" t="s">
        <v>3</v>
      </c>
      <c r="C56">
        <v>650</v>
      </c>
      <c r="D56" s="2">
        <v>24000</v>
      </c>
      <c r="E56" s="2">
        <f t="shared" si="0"/>
        <v>15600000</v>
      </c>
    </row>
    <row r="57" spans="1:5" hidden="1" x14ac:dyDescent="0.3">
      <c r="A57" t="s">
        <v>13</v>
      </c>
      <c r="B57" t="s">
        <v>4</v>
      </c>
      <c r="C57">
        <v>0</v>
      </c>
      <c r="D57"/>
      <c r="E57">
        <f t="shared" si="0"/>
        <v>0</v>
      </c>
    </row>
    <row r="58" spans="1:5" x14ac:dyDescent="0.3">
      <c r="A58" t="s">
        <v>133</v>
      </c>
      <c r="B58" t="s">
        <v>3</v>
      </c>
      <c r="C58">
        <v>210</v>
      </c>
      <c r="D58" s="2">
        <v>17000</v>
      </c>
      <c r="E58" s="2">
        <f t="shared" si="0"/>
        <v>3570000</v>
      </c>
    </row>
    <row r="59" spans="1:5" x14ac:dyDescent="0.3">
      <c r="A59" t="s">
        <v>14</v>
      </c>
      <c r="B59" t="s">
        <v>3</v>
      </c>
      <c r="C59">
        <v>110</v>
      </c>
      <c r="D59" s="2">
        <v>16000</v>
      </c>
      <c r="E59" s="2">
        <f t="shared" si="0"/>
        <v>1760000</v>
      </c>
    </row>
    <row r="60" spans="1:5" x14ac:dyDescent="0.3">
      <c r="A60" t="s">
        <v>93</v>
      </c>
      <c r="B60" t="s">
        <v>3</v>
      </c>
      <c r="C60">
        <v>20</v>
      </c>
      <c r="D60" s="2">
        <v>25000</v>
      </c>
      <c r="E60" s="2">
        <f t="shared" si="0"/>
        <v>500000</v>
      </c>
    </row>
    <row r="61" spans="1:5" hidden="1" x14ac:dyDescent="0.3">
      <c r="A61" t="s">
        <v>42</v>
      </c>
      <c r="B61" t="s">
        <v>3</v>
      </c>
      <c r="C61">
        <v>0</v>
      </c>
      <c r="D61"/>
      <c r="E61">
        <f t="shared" si="0"/>
        <v>0</v>
      </c>
    </row>
    <row r="62" spans="1:5" x14ac:dyDescent="0.3">
      <c r="A62" t="s">
        <v>89</v>
      </c>
      <c r="B62" t="s">
        <v>4</v>
      </c>
      <c r="C62">
        <v>14</v>
      </c>
      <c r="D62" s="2">
        <v>6000</v>
      </c>
      <c r="E62" s="2">
        <f t="shared" si="0"/>
        <v>84000</v>
      </c>
    </row>
    <row r="63" spans="1:5" x14ac:dyDescent="0.3">
      <c r="A63" t="s">
        <v>15</v>
      </c>
      <c r="B63" t="s">
        <v>3</v>
      </c>
      <c r="C63">
        <v>660</v>
      </c>
      <c r="D63" s="2">
        <v>17000</v>
      </c>
      <c r="E63" s="2">
        <f t="shared" si="0"/>
        <v>11220000</v>
      </c>
    </row>
    <row r="64" spans="1:5" hidden="1" x14ac:dyDescent="0.3">
      <c r="A64" t="s">
        <v>15</v>
      </c>
      <c r="B64" t="s">
        <v>4</v>
      </c>
      <c r="C64">
        <v>0</v>
      </c>
      <c r="D64"/>
      <c r="E64">
        <f t="shared" si="0"/>
        <v>0</v>
      </c>
    </row>
    <row r="65" spans="1:5" x14ac:dyDescent="0.3">
      <c r="A65" t="s">
        <v>87</v>
      </c>
      <c r="B65" t="s">
        <v>4</v>
      </c>
      <c r="C65">
        <v>40</v>
      </c>
      <c r="D65" s="2">
        <v>7500</v>
      </c>
      <c r="E65" s="2">
        <f t="shared" si="0"/>
        <v>300000</v>
      </c>
    </row>
    <row r="66" spans="1:5" x14ac:dyDescent="0.3">
      <c r="A66" t="s">
        <v>59</v>
      </c>
      <c r="B66" t="s">
        <v>3</v>
      </c>
      <c r="C66">
        <v>40</v>
      </c>
      <c r="D66" s="2">
        <v>10000</v>
      </c>
      <c r="E66" s="2">
        <f t="shared" si="0"/>
        <v>400000</v>
      </c>
    </row>
    <row r="67" spans="1:5" hidden="1" x14ac:dyDescent="0.3">
      <c r="A67" t="s">
        <v>60</v>
      </c>
      <c r="B67" t="s">
        <v>4</v>
      </c>
      <c r="C67">
        <v>0</v>
      </c>
      <c r="D67"/>
      <c r="E67">
        <f t="shared" si="0"/>
        <v>0</v>
      </c>
    </row>
    <row r="68" spans="1:5" hidden="1" x14ac:dyDescent="0.3">
      <c r="A68" t="s">
        <v>61</v>
      </c>
      <c r="B68" t="s">
        <v>3</v>
      </c>
      <c r="C68">
        <v>0</v>
      </c>
      <c r="D68"/>
      <c r="E68">
        <f t="shared" ref="E68:E133" si="1">C68*D68</f>
        <v>0</v>
      </c>
    </row>
    <row r="69" spans="1:5" x14ac:dyDescent="0.3">
      <c r="A69" t="s">
        <v>61</v>
      </c>
      <c r="B69" t="s">
        <v>62</v>
      </c>
      <c r="C69">
        <v>20</v>
      </c>
      <c r="D69" s="2">
        <v>9000</v>
      </c>
      <c r="E69" s="2">
        <f t="shared" si="1"/>
        <v>180000</v>
      </c>
    </row>
    <row r="70" spans="1:5" hidden="1" x14ac:dyDescent="0.3">
      <c r="A70" t="s">
        <v>63</v>
      </c>
      <c r="B70" t="s">
        <v>3</v>
      </c>
      <c r="C70">
        <v>0</v>
      </c>
      <c r="D70"/>
      <c r="E70">
        <f t="shared" si="1"/>
        <v>0</v>
      </c>
    </row>
    <row r="71" spans="1:5" hidden="1" x14ac:dyDescent="0.3">
      <c r="A71" t="s">
        <v>64</v>
      </c>
      <c r="B71" t="s">
        <v>3</v>
      </c>
      <c r="C71">
        <v>0</v>
      </c>
      <c r="D71"/>
      <c r="E71">
        <f t="shared" si="1"/>
        <v>0</v>
      </c>
    </row>
    <row r="72" spans="1:5" hidden="1" x14ac:dyDescent="0.3">
      <c r="A72" t="s">
        <v>65</v>
      </c>
      <c r="B72" t="s">
        <v>3</v>
      </c>
      <c r="C72">
        <v>0</v>
      </c>
      <c r="D72"/>
      <c r="E72">
        <f t="shared" si="1"/>
        <v>0</v>
      </c>
    </row>
    <row r="73" spans="1:5" hidden="1" x14ac:dyDescent="0.3">
      <c r="A73" t="s">
        <v>32</v>
      </c>
      <c r="B73" t="s">
        <v>3</v>
      </c>
      <c r="C73">
        <v>0</v>
      </c>
      <c r="D73"/>
      <c r="E73">
        <f t="shared" si="1"/>
        <v>0</v>
      </c>
    </row>
    <row r="74" spans="1:5" x14ac:dyDescent="0.3">
      <c r="A74" t="s">
        <v>32</v>
      </c>
      <c r="B74" t="s">
        <v>6</v>
      </c>
      <c r="C74">
        <v>25</v>
      </c>
      <c r="D74" s="2">
        <v>5000</v>
      </c>
      <c r="E74" s="2">
        <f t="shared" si="1"/>
        <v>125000</v>
      </c>
    </row>
    <row r="75" spans="1:5" hidden="1" x14ac:dyDescent="0.3">
      <c r="A75" t="s">
        <v>81</v>
      </c>
      <c r="B75" t="s">
        <v>3</v>
      </c>
      <c r="C75">
        <v>0</v>
      </c>
      <c r="D75"/>
      <c r="E75">
        <f t="shared" si="1"/>
        <v>0</v>
      </c>
    </row>
    <row r="76" spans="1:5" x14ac:dyDescent="0.3">
      <c r="A76" t="s">
        <v>33</v>
      </c>
      <c r="B76" t="s">
        <v>3</v>
      </c>
      <c r="C76">
        <v>8</v>
      </c>
      <c r="D76" s="2">
        <v>6000</v>
      </c>
      <c r="E76" s="2">
        <f t="shared" si="1"/>
        <v>48000</v>
      </c>
    </row>
    <row r="77" spans="1:5" hidden="1" x14ac:dyDescent="0.3">
      <c r="A77" t="s">
        <v>66</v>
      </c>
      <c r="B77" t="s">
        <v>22</v>
      </c>
      <c r="C77">
        <v>0</v>
      </c>
      <c r="D77"/>
      <c r="E77">
        <f t="shared" si="1"/>
        <v>0</v>
      </c>
    </row>
    <row r="78" spans="1:5" hidden="1" x14ac:dyDescent="0.3">
      <c r="A78" t="s">
        <v>66</v>
      </c>
      <c r="B78" t="s">
        <v>3</v>
      </c>
      <c r="C78">
        <v>0</v>
      </c>
      <c r="D78"/>
      <c r="E78">
        <f t="shared" si="1"/>
        <v>0</v>
      </c>
    </row>
    <row r="79" spans="1:5" x14ac:dyDescent="0.3">
      <c r="A79" t="s">
        <v>43</v>
      </c>
      <c r="B79" t="s">
        <v>3</v>
      </c>
      <c r="C79">
        <v>655</v>
      </c>
      <c r="D79" s="2">
        <v>27600</v>
      </c>
      <c r="E79" s="2">
        <f t="shared" si="1"/>
        <v>18078000</v>
      </c>
    </row>
    <row r="80" spans="1:5" hidden="1" x14ac:dyDescent="0.3">
      <c r="A80" t="s">
        <v>67</v>
      </c>
      <c r="B80" t="s">
        <v>3</v>
      </c>
      <c r="C80">
        <v>0</v>
      </c>
      <c r="D80"/>
      <c r="E80">
        <f t="shared" si="1"/>
        <v>0</v>
      </c>
    </row>
    <row r="81" spans="1:5" x14ac:dyDescent="0.3">
      <c r="A81" t="s">
        <v>68</v>
      </c>
      <c r="B81" t="s">
        <v>4</v>
      </c>
      <c r="C81">
        <v>13</v>
      </c>
      <c r="D81" s="2">
        <v>1900</v>
      </c>
      <c r="E81" s="2">
        <f t="shared" si="1"/>
        <v>24700</v>
      </c>
    </row>
    <row r="82" spans="1:5" x14ac:dyDescent="0.3">
      <c r="A82" t="s">
        <v>69</v>
      </c>
      <c r="B82" t="s">
        <v>3</v>
      </c>
      <c r="C82">
        <v>10</v>
      </c>
      <c r="D82" s="2">
        <v>14000</v>
      </c>
      <c r="E82" s="2">
        <f t="shared" si="1"/>
        <v>140000</v>
      </c>
    </row>
    <row r="83" spans="1:5" hidden="1" x14ac:dyDescent="0.3">
      <c r="A83" t="s">
        <v>38</v>
      </c>
      <c r="B83" t="s">
        <v>6</v>
      </c>
      <c r="C83">
        <v>0</v>
      </c>
      <c r="D83"/>
      <c r="E83">
        <f t="shared" si="1"/>
        <v>0</v>
      </c>
    </row>
    <row r="84" spans="1:5" hidden="1" x14ac:dyDescent="0.3">
      <c r="A84" t="s">
        <v>70</v>
      </c>
      <c r="B84" t="s">
        <v>8</v>
      </c>
      <c r="C84">
        <v>0</v>
      </c>
      <c r="D84"/>
      <c r="E84">
        <f t="shared" si="1"/>
        <v>0</v>
      </c>
    </row>
    <row r="85" spans="1:5" x14ac:dyDescent="0.3">
      <c r="A85" t="s">
        <v>70</v>
      </c>
      <c r="B85" t="s">
        <v>3</v>
      </c>
      <c r="C85">
        <v>2</v>
      </c>
      <c r="D85" s="2">
        <v>44000</v>
      </c>
      <c r="E85" s="2">
        <f t="shared" si="1"/>
        <v>88000</v>
      </c>
    </row>
    <row r="86" spans="1:5" x14ac:dyDescent="0.3">
      <c r="A86" t="s">
        <v>34</v>
      </c>
      <c r="B86" t="s">
        <v>3</v>
      </c>
      <c r="C86">
        <v>44</v>
      </c>
      <c r="D86" s="2">
        <v>32000</v>
      </c>
      <c r="E86" s="2">
        <f t="shared" si="1"/>
        <v>1408000</v>
      </c>
    </row>
    <row r="87" spans="1:5" hidden="1" x14ac:dyDescent="0.3">
      <c r="A87" t="s">
        <v>34</v>
      </c>
      <c r="B87" t="s">
        <v>26</v>
      </c>
      <c r="C87">
        <v>0</v>
      </c>
      <c r="D87"/>
      <c r="E87">
        <f t="shared" si="1"/>
        <v>0</v>
      </c>
    </row>
    <row r="88" spans="1:5" x14ac:dyDescent="0.3">
      <c r="A88" t="s">
        <v>35</v>
      </c>
      <c r="B88" t="s">
        <v>3</v>
      </c>
      <c r="C88">
        <v>97</v>
      </c>
      <c r="D88" s="2">
        <v>20000</v>
      </c>
      <c r="E88" s="2">
        <f t="shared" si="1"/>
        <v>1940000</v>
      </c>
    </row>
    <row r="89" spans="1:5" hidden="1" x14ac:dyDescent="0.3">
      <c r="A89" t="s">
        <v>35</v>
      </c>
      <c r="B89" t="s">
        <v>26</v>
      </c>
      <c r="C89">
        <v>0</v>
      </c>
      <c r="D89"/>
      <c r="E89">
        <f t="shared" si="1"/>
        <v>0</v>
      </c>
    </row>
    <row r="90" spans="1:5" x14ac:dyDescent="0.3">
      <c r="A90" t="s">
        <v>36</v>
      </c>
      <c r="B90" t="s">
        <v>3</v>
      </c>
      <c r="C90">
        <v>135</v>
      </c>
      <c r="D90" s="2">
        <v>17000</v>
      </c>
      <c r="E90" s="2">
        <f t="shared" si="1"/>
        <v>2295000</v>
      </c>
    </row>
    <row r="91" spans="1:5" hidden="1" x14ac:dyDescent="0.3">
      <c r="A91" t="s">
        <v>36</v>
      </c>
      <c r="B91" t="s">
        <v>26</v>
      </c>
      <c r="C91">
        <v>0</v>
      </c>
      <c r="D91"/>
      <c r="E91">
        <f t="shared" si="1"/>
        <v>0</v>
      </c>
    </row>
    <row r="92" spans="1:5" hidden="1" x14ac:dyDescent="0.3">
      <c r="A92" t="s">
        <v>71</v>
      </c>
      <c r="B92" t="s">
        <v>4</v>
      </c>
      <c r="C92">
        <v>0</v>
      </c>
      <c r="D92"/>
      <c r="E92">
        <f t="shared" si="1"/>
        <v>0</v>
      </c>
    </row>
    <row r="93" spans="1:5" hidden="1" x14ac:dyDescent="0.3">
      <c r="A93" t="s">
        <v>83</v>
      </c>
      <c r="B93" t="s">
        <v>4</v>
      </c>
      <c r="C93">
        <v>0</v>
      </c>
      <c r="D93"/>
      <c r="E93">
        <f t="shared" si="1"/>
        <v>0</v>
      </c>
    </row>
    <row r="94" spans="1:5" x14ac:dyDescent="0.3">
      <c r="A94" t="s">
        <v>88</v>
      </c>
      <c r="B94" t="s">
        <v>3</v>
      </c>
      <c r="C94">
        <v>350</v>
      </c>
      <c r="D94" s="2">
        <v>28000</v>
      </c>
      <c r="E94" s="2">
        <f t="shared" si="1"/>
        <v>9800000</v>
      </c>
    </row>
    <row r="95" spans="1:5" hidden="1" x14ac:dyDescent="0.3">
      <c r="A95" t="s">
        <v>91</v>
      </c>
      <c r="B95" t="s">
        <v>3</v>
      </c>
      <c r="C95">
        <v>0</v>
      </c>
      <c r="D95"/>
      <c r="E95">
        <f t="shared" si="1"/>
        <v>0</v>
      </c>
    </row>
    <row r="96" spans="1:5" x14ac:dyDescent="0.3">
      <c r="A96" t="s">
        <v>72</v>
      </c>
      <c r="B96" t="s">
        <v>3</v>
      </c>
      <c r="C96">
        <v>15</v>
      </c>
      <c r="D96" s="2">
        <v>7000</v>
      </c>
      <c r="E96" s="2">
        <f t="shared" si="1"/>
        <v>105000</v>
      </c>
    </row>
    <row r="97" spans="1:5" x14ac:dyDescent="0.3">
      <c r="A97" t="s">
        <v>73</v>
      </c>
      <c r="B97" t="s">
        <v>3</v>
      </c>
      <c r="C97">
        <v>4</v>
      </c>
      <c r="D97" s="2">
        <v>14000</v>
      </c>
      <c r="E97" s="2">
        <f t="shared" si="1"/>
        <v>56000</v>
      </c>
    </row>
    <row r="98" spans="1:5" x14ac:dyDescent="0.3">
      <c r="A98" t="s">
        <v>23</v>
      </c>
      <c r="B98" t="s">
        <v>3</v>
      </c>
      <c r="C98">
        <v>42</v>
      </c>
      <c r="D98" s="2">
        <v>28000</v>
      </c>
      <c r="E98" s="2">
        <f t="shared" si="1"/>
        <v>1176000</v>
      </c>
    </row>
    <row r="99" spans="1:5" hidden="1" x14ac:dyDescent="0.3">
      <c r="A99" t="s">
        <v>84</v>
      </c>
      <c r="B99" t="s">
        <v>22</v>
      </c>
      <c r="C99">
        <v>0</v>
      </c>
      <c r="D99"/>
      <c r="E99">
        <f t="shared" si="1"/>
        <v>0</v>
      </c>
    </row>
    <row r="100" spans="1:5" hidden="1" x14ac:dyDescent="0.3">
      <c r="A100" t="s">
        <v>74</v>
      </c>
      <c r="B100" t="s">
        <v>3</v>
      </c>
      <c r="C100">
        <v>0</v>
      </c>
      <c r="D100"/>
      <c r="E100">
        <f t="shared" si="1"/>
        <v>0</v>
      </c>
    </row>
    <row r="101" spans="1:5" hidden="1" x14ac:dyDescent="0.3">
      <c r="A101" t="s">
        <v>86</v>
      </c>
      <c r="B101" t="s">
        <v>22</v>
      </c>
      <c r="C101">
        <v>0</v>
      </c>
      <c r="D101"/>
      <c r="E101">
        <f t="shared" si="1"/>
        <v>0</v>
      </c>
    </row>
    <row r="102" spans="1:5" hidden="1" x14ac:dyDescent="0.3">
      <c r="A102" t="s">
        <v>75</v>
      </c>
      <c r="B102" t="s">
        <v>3</v>
      </c>
      <c r="C102">
        <v>0</v>
      </c>
      <c r="D102"/>
      <c r="E102">
        <f t="shared" si="1"/>
        <v>0</v>
      </c>
    </row>
    <row r="103" spans="1:5" x14ac:dyDescent="0.3">
      <c r="A103" t="s">
        <v>76</v>
      </c>
      <c r="B103" t="s">
        <v>3</v>
      </c>
      <c r="C103">
        <v>31</v>
      </c>
      <c r="D103" s="2">
        <v>28000</v>
      </c>
      <c r="E103" s="2">
        <f t="shared" si="1"/>
        <v>868000</v>
      </c>
    </row>
    <row r="104" spans="1:5" x14ac:dyDescent="0.3">
      <c r="A104" t="s">
        <v>85</v>
      </c>
      <c r="B104" t="s">
        <v>22</v>
      </c>
      <c r="C104">
        <v>40</v>
      </c>
      <c r="D104" s="2">
        <v>6800</v>
      </c>
      <c r="E104" s="2">
        <f t="shared" si="1"/>
        <v>272000</v>
      </c>
    </row>
    <row r="105" spans="1:5" x14ac:dyDescent="0.3">
      <c r="E105" s="2">
        <f>SUM(E3:E104)</f>
        <v>133028200</v>
      </c>
    </row>
    <row r="107" spans="1:5" x14ac:dyDescent="0.3">
      <c r="A107" t="s">
        <v>0</v>
      </c>
      <c r="B107" t="s">
        <v>1</v>
      </c>
      <c r="C107" t="s">
        <v>102</v>
      </c>
      <c r="D107" s="2" t="s">
        <v>100</v>
      </c>
      <c r="E107" s="2" t="s">
        <v>101</v>
      </c>
    </row>
    <row r="108" spans="1:5" x14ac:dyDescent="0.3">
      <c r="A108" t="s">
        <v>44</v>
      </c>
      <c r="B108" t="s">
        <v>3</v>
      </c>
      <c r="C108">
        <v>27</v>
      </c>
      <c r="D108" s="2">
        <v>32000</v>
      </c>
      <c r="E108" s="2">
        <f t="shared" si="1"/>
        <v>864000</v>
      </c>
    </row>
    <row r="109" spans="1:5" x14ac:dyDescent="0.3">
      <c r="A109" t="s">
        <v>45</v>
      </c>
      <c r="B109" t="s">
        <v>3</v>
      </c>
      <c r="C109">
        <v>170</v>
      </c>
      <c r="D109" s="2">
        <v>6000</v>
      </c>
      <c r="E109" s="2">
        <f t="shared" si="1"/>
        <v>1020000</v>
      </c>
    </row>
    <row r="110" spans="1:5" hidden="1" x14ac:dyDescent="0.3">
      <c r="A110" t="s">
        <v>17</v>
      </c>
      <c r="B110" t="s">
        <v>3</v>
      </c>
      <c r="C110">
        <v>0</v>
      </c>
      <c r="D110"/>
      <c r="E110">
        <f t="shared" si="1"/>
        <v>0</v>
      </c>
    </row>
    <row r="111" spans="1:5" hidden="1" x14ac:dyDescent="0.3">
      <c r="A111" t="s">
        <v>95</v>
      </c>
      <c r="B111" t="s">
        <v>3</v>
      </c>
      <c r="C111">
        <v>0</v>
      </c>
      <c r="D111"/>
      <c r="E111">
        <f t="shared" si="1"/>
        <v>0</v>
      </c>
    </row>
    <row r="112" spans="1:5" x14ac:dyDescent="0.3">
      <c r="A112" t="s">
        <v>24</v>
      </c>
      <c r="B112" t="s">
        <v>3</v>
      </c>
      <c r="C112">
        <v>50</v>
      </c>
      <c r="D112" s="2">
        <v>7000</v>
      </c>
      <c r="E112" s="2">
        <f t="shared" si="1"/>
        <v>350000</v>
      </c>
    </row>
    <row r="113" spans="1:5" hidden="1" x14ac:dyDescent="0.3">
      <c r="A113" t="s">
        <v>78</v>
      </c>
      <c r="B113" t="s">
        <v>3</v>
      </c>
      <c r="C113">
        <v>0</v>
      </c>
      <c r="D113"/>
      <c r="E113">
        <f t="shared" si="1"/>
        <v>0</v>
      </c>
    </row>
    <row r="114" spans="1:5" hidden="1" x14ac:dyDescent="0.3">
      <c r="A114" t="s">
        <v>25</v>
      </c>
      <c r="B114" t="s">
        <v>3</v>
      </c>
      <c r="C114">
        <v>0</v>
      </c>
      <c r="D114"/>
      <c r="E114">
        <f t="shared" si="1"/>
        <v>0</v>
      </c>
    </row>
    <row r="115" spans="1:5" hidden="1" x14ac:dyDescent="0.3">
      <c r="A115" t="s">
        <v>37</v>
      </c>
      <c r="B115" t="s">
        <v>3</v>
      </c>
      <c r="C115">
        <v>0</v>
      </c>
      <c r="D115"/>
      <c r="E115">
        <f t="shared" si="1"/>
        <v>0</v>
      </c>
    </row>
    <row r="116" spans="1:5" hidden="1" x14ac:dyDescent="0.3">
      <c r="A116" t="s">
        <v>46</v>
      </c>
      <c r="B116" t="s">
        <v>3</v>
      </c>
      <c r="C116">
        <v>0</v>
      </c>
      <c r="D116"/>
      <c r="E116">
        <f t="shared" si="1"/>
        <v>0</v>
      </c>
    </row>
    <row r="117" spans="1:5" x14ac:dyDescent="0.3">
      <c r="A117" t="s">
        <v>94</v>
      </c>
      <c r="B117" t="s">
        <v>3</v>
      </c>
      <c r="C117">
        <v>10</v>
      </c>
      <c r="D117" s="2">
        <v>17000</v>
      </c>
      <c r="E117" s="2">
        <f t="shared" si="1"/>
        <v>170000</v>
      </c>
    </row>
    <row r="118" spans="1:5" hidden="1" x14ac:dyDescent="0.3">
      <c r="A118" t="s">
        <v>28</v>
      </c>
      <c r="B118" t="s">
        <v>3</v>
      </c>
      <c r="C118">
        <v>0</v>
      </c>
      <c r="D118"/>
      <c r="E118">
        <f t="shared" si="1"/>
        <v>0</v>
      </c>
    </row>
    <row r="119" spans="1:5" hidden="1" x14ac:dyDescent="0.3">
      <c r="A119" t="s">
        <v>30</v>
      </c>
      <c r="B119" t="s">
        <v>3</v>
      </c>
      <c r="C119">
        <v>0</v>
      </c>
      <c r="D119"/>
      <c r="E119">
        <f t="shared" si="1"/>
        <v>0</v>
      </c>
    </row>
    <row r="120" spans="1:5" x14ac:dyDescent="0.3">
      <c r="A120" t="s">
        <v>2</v>
      </c>
      <c r="B120" t="s">
        <v>3</v>
      </c>
      <c r="C120">
        <v>200</v>
      </c>
      <c r="D120" s="2">
        <v>12000</v>
      </c>
      <c r="E120" s="2">
        <f t="shared" si="1"/>
        <v>2400000</v>
      </c>
    </row>
    <row r="121" spans="1:5" x14ac:dyDescent="0.3">
      <c r="A121" t="s">
        <v>53</v>
      </c>
      <c r="B121" t="s">
        <v>3</v>
      </c>
      <c r="C121">
        <v>50</v>
      </c>
      <c r="D121" s="2">
        <v>7000</v>
      </c>
      <c r="E121" s="2">
        <f t="shared" si="1"/>
        <v>350000</v>
      </c>
    </row>
    <row r="122" spans="1:5" x14ac:dyDescent="0.3">
      <c r="A122" t="s">
        <v>20</v>
      </c>
      <c r="B122" t="s">
        <v>3</v>
      </c>
      <c r="C122">
        <v>890</v>
      </c>
      <c r="D122" s="2">
        <v>5500</v>
      </c>
      <c r="E122" s="2">
        <f t="shared" si="1"/>
        <v>4895000</v>
      </c>
    </row>
    <row r="123" spans="1:5" x14ac:dyDescent="0.3">
      <c r="A123" t="s">
        <v>97</v>
      </c>
      <c r="B123" t="s">
        <v>3</v>
      </c>
      <c r="C123">
        <v>15</v>
      </c>
      <c r="D123" s="2">
        <v>16000</v>
      </c>
      <c r="E123" s="2">
        <f t="shared" si="1"/>
        <v>240000</v>
      </c>
    </row>
    <row r="124" spans="1:5" x14ac:dyDescent="0.3">
      <c r="A124" t="s">
        <v>98</v>
      </c>
      <c r="B124" t="s">
        <v>3</v>
      </c>
      <c r="C124">
        <v>180</v>
      </c>
      <c r="D124" s="2">
        <v>3500</v>
      </c>
      <c r="E124" s="2">
        <f t="shared" si="1"/>
        <v>630000</v>
      </c>
    </row>
    <row r="125" spans="1:5" x14ac:dyDescent="0.3">
      <c r="A125" t="s">
        <v>21</v>
      </c>
      <c r="B125" t="s">
        <v>3</v>
      </c>
      <c r="C125">
        <v>60</v>
      </c>
      <c r="D125" s="2">
        <v>13000</v>
      </c>
      <c r="E125" s="2">
        <f t="shared" si="1"/>
        <v>780000</v>
      </c>
    </row>
    <row r="126" spans="1:5" x14ac:dyDescent="0.3">
      <c r="A126" t="s">
        <v>96</v>
      </c>
      <c r="B126" t="s">
        <v>3</v>
      </c>
      <c r="C126">
        <v>24</v>
      </c>
      <c r="D126" s="2">
        <v>25000</v>
      </c>
      <c r="E126" s="2">
        <f t="shared" si="1"/>
        <v>600000</v>
      </c>
    </row>
    <row r="127" spans="1:5" hidden="1" x14ac:dyDescent="0.3">
      <c r="A127" t="s">
        <v>56</v>
      </c>
      <c r="B127" t="s">
        <v>3</v>
      </c>
      <c r="C127">
        <v>0</v>
      </c>
      <c r="D127"/>
      <c r="E127">
        <f t="shared" si="1"/>
        <v>0</v>
      </c>
    </row>
    <row r="128" spans="1:5" hidden="1" x14ac:dyDescent="0.3">
      <c r="A128" t="s">
        <v>107</v>
      </c>
      <c r="B128" t="s">
        <v>6</v>
      </c>
      <c r="C128">
        <v>0</v>
      </c>
      <c r="D128"/>
      <c r="E128">
        <f t="shared" si="1"/>
        <v>0</v>
      </c>
    </row>
    <row r="129" spans="1:5" x14ac:dyDescent="0.3">
      <c r="A129" t="s">
        <v>57</v>
      </c>
      <c r="B129" t="s">
        <v>3</v>
      </c>
      <c r="C129">
        <v>75</v>
      </c>
      <c r="D129" s="2">
        <v>4500</v>
      </c>
      <c r="E129" s="2">
        <f t="shared" si="1"/>
        <v>337500</v>
      </c>
    </row>
    <row r="130" spans="1:5" x14ac:dyDescent="0.3">
      <c r="A130" t="s">
        <v>9</v>
      </c>
      <c r="B130" t="s">
        <v>3</v>
      </c>
      <c r="C130">
        <v>50</v>
      </c>
      <c r="D130" s="2">
        <v>12000</v>
      </c>
      <c r="E130" s="2">
        <f t="shared" si="1"/>
        <v>600000</v>
      </c>
    </row>
    <row r="131" spans="1:5" hidden="1" x14ac:dyDescent="0.3">
      <c r="A131" t="s">
        <v>10</v>
      </c>
      <c r="B131" t="s">
        <v>3</v>
      </c>
      <c r="C131">
        <v>0</v>
      </c>
      <c r="D131"/>
      <c r="E131">
        <f t="shared" si="1"/>
        <v>0</v>
      </c>
    </row>
    <row r="132" spans="1:5" hidden="1" x14ac:dyDescent="0.3">
      <c r="A132" t="s">
        <v>13</v>
      </c>
      <c r="B132" t="s">
        <v>4</v>
      </c>
      <c r="C132">
        <v>0</v>
      </c>
      <c r="D132"/>
      <c r="E132">
        <f t="shared" si="1"/>
        <v>0</v>
      </c>
    </row>
    <row r="133" spans="1:5" hidden="1" x14ac:dyDescent="0.3">
      <c r="A133" t="s">
        <v>14</v>
      </c>
      <c r="B133" t="s">
        <v>3</v>
      </c>
      <c r="C133">
        <v>0</v>
      </c>
      <c r="D133"/>
      <c r="E133">
        <f t="shared" si="1"/>
        <v>0</v>
      </c>
    </row>
    <row r="134" spans="1:5" hidden="1" x14ac:dyDescent="0.3">
      <c r="A134" t="s">
        <v>89</v>
      </c>
      <c r="B134" t="s">
        <v>4</v>
      </c>
      <c r="C134">
        <v>0</v>
      </c>
      <c r="D134"/>
      <c r="E134">
        <f t="shared" ref="E134:E155" si="2">C134*D134</f>
        <v>0</v>
      </c>
    </row>
    <row r="135" spans="1:5" hidden="1" x14ac:dyDescent="0.3">
      <c r="A135" t="s">
        <v>109</v>
      </c>
      <c r="B135" t="s">
        <v>3</v>
      </c>
      <c r="C135">
        <v>0</v>
      </c>
      <c r="D135"/>
      <c r="E135">
        <f t="shared" si="2"/>
        <v>0</v>
      </c>
    </row>
    <row r="136" spans="1:5" hidden="1" x14ac:dyDescent="0.3">
      <c r="A136" t="s">
        <v>15</v>
      </c>
      <c r="B136" t="s">
        <v>3</v>
      </c>
      <c r="C136">
        <v>0</v>
      </c>
      <c r="D136"/>
      <c r="E136">
        <f t="shared" si="2"/>
        <v>0</v>
      </c>
    </row>
    <row r="137" spans="1:5" x14ac:dyDescent="0.3">
      <c r="A137" t="s">
        <v>59</v>
      </c>
      <c r="B137" t="s">
        <v>3</v>
      </c>
      <c r="C137">
        <v>20</v>
      </c>
      <c r="D137" s="2">
        <v>10000</v>
      </c>
      <c r="E137" s="2">
        <f t="shared" si="2"/>
        <v>200000</v>
      </c>
    </row>
    <row r="138" spans="1:5" x14ac:dyDescent="0.3">
      <c r="A138" t="s">
        <v>60</v>
      </c>
      <c r="B138" t="s">
        <v>4</v>
      </c>
      <c r="C138">
        <v>20</v>
      </c>
      <c r="D138" s="2">
        <v>6000</v>
      </c>
      <c r="E138" s="2">
        <f t="shared" si="2"/>
        <v>120000</v>
      </c>
    </row>
    <row r="139" spans="1:5" x14ac:dyDescent="0.3">
      <c r="A139" t="s">
        <v>61</v>
      </c>
      <c r="B139" t="s">
        <v>4</v>
      </c>
      <c r="C139">
        <v>110</v>
      </c>
      <c r="D139" s="2">
        <v>9000</v>
      </c>
      <c r="E139" s="2">
        <f t="shared" si="2"/>
        <v>990000</v>
      </c>
    </row>
    <row r="140" spans="1:5" hidden="1" x14ac:dyDescent="0.3">
      <c r="A140" t="s">
        <v>32</v>
      </c>
      <c r="B140" t="s">
        <v>3</v>
      </c>
      <c r="C140">
        <v>0</v>
      </c>
      <c r="D140"/>
      <c r="E140">
        <f t="shared" si="2"/>
        <v>0</v>
      </c>
    </row>
    <row r="141" spans="1:5" hidden="1" x14ac:dyDescent="0.3">
      <c r="A141" t="s">
        <v>32</v>
      </c>
      <c r="B141" t="s">
        <v>6</v>
      </c>
      <c r="C141">
        <v>0</v>
      </c>
      <c r="D141"/>
      <c r="E141">
        <f t="shared" si="2"/>
        <v>0</v>
      </c>
    </row>
    <row r="142" spans="1:5" hidden="1" x14ac:dyDescent="0.3">
      <c r="A142" t="s">
        <v>66</v>
      </c>
      <c r="B142" t="s">
        <v>3</v>
      </c>
      <c r="C142">
        <v>0</v>
      </c>
      <c r="D142"/>
      <c r="E142">
        <f t="shared" si="2"/>
        <v>0</v>
      </c>
    </row>
    <row r="143" spans="1:5" hidden="1" x14ac:dyDescent="0.3">
      <c r="A143" t="s">
        <v>43</v>
      </c>
      <c r="B143" t="s">
        <v>3</v>
      </c>
      <c r="C143">
        <v>0</v>
      </c>
      <c r="D143"/>
      <c r="E143">
        <f t="shared" si="2"/>
        <v>0</v>
      </c>
    </row>
    <row r="144" spans="1:5" hidden="1" x14ac:dyDescent="0.3">
      <c r="A144" t="s">
        <v>67</v>
      </c>
      <c r="B144" t="s">
        <v>3</v>
      </c>
      <c r="C144">
        <v>0</v>
      </c>
      <c r="D144"/>
      <c r="E144">
        <f t="shared" si="2"/>
        <v>0</v>
      </c>
    </row>
    <row r="145" spans="1:5" hidden="1" x14ac:dyDescent="0.3">
      <c r="A145" t="s">
        <v>34</v>
      </c>
      <c r="B145" t="s">
        <v>3</v>
      </c>
      <c r="C145">
        <v>0</v>
      </c>
      <c r="D145"/>
      <c r="E145">
        <f t="shared" si="2"/>
        <v>0</v>
      </c>
    </row>
    <row r="146" spans="1:5" hidden="1" x14ac:dyDescent="0.3">
      <c r="A146" t="s">
        <v>35</v>
      </c>
      <c r="B146" t="s">
        <v>3</v>
      </c>
      <c r="C146">
        <v>0</v>
      </c>
      <c r="D146"/>
      <c r="E146">
        <f t="shared" si="2"/>
        <v>0</v>
      </c>
    </row>
    <row r="147" spans="1:5" hidden="1" x14ac:dyDescent="0.3">
      <c r="A147" t="s">
        <v>36</v>
      </c>
      <c r="B147" t="s">
        <v>3</v>
      </c>
      <c r="C147">
        <v>0</v>
      </c>
      <c r="D147"/>
      <c r="E147">
        <f t="shared" si="2"/>
        <v>0</v>
      </c>
    </row>
    <row r="148" spans="1:5" x14ac:dyDescent="0.3">
      <c r="A148" t="s">
        <v>116</v>
      </c>
      <c r="B148" t="s">
        <v>26</v>
      </c>
      <c r="C148">
        <v>200</v>
      </c>
      <c r="D148" s="2">
        <v>10000</v>
      </c>
      <c r="E148" s="2">
        <f t="shared" si="2"/>
        <v>2000000</v>
      </c>
    </row>
    <row r="149" spans="1:5" x14ac:dyDescent="0.3">
      <c r="A149" t="s">
        <v>150</v>
      </c>
      <c r="B149" t="s">
        <v>26</v>
      </c>
      <c r="C149">
        <v>1170</v>
      </c>
      <c r="D149" s="2">
        <v>17000</v>
      </c>
      <c r="E149" s="2">
        <f t="shared" si="2"/>
        <v>19890000</v>
      </c>
    </row>
    <row r="150" spans="1:5" hidden="1" x14ac:dyDescent="0.3">
      <c r="A150" t="s">
        <v>88</v>
      </c>
      <c r="B150" t="s">
        <v>3</v>
      </c>
      <c r="C150">
        <v>0</v>
      </c>
      <c r="D150"/>
      <c r="E150">
        <f t="shared" si="2"/>
        <v>0</v>
      </c>
    </row>
    <row r="151" spans="1:5" x14ac:dyDescent="0.3">
      <c r="A151" t="s">
        <v>72</v>
      </c>
      <c r="B151" t="s">
        <v>3</v>
      </c>
      <c r="C151">
        <v>50</v>
      </c>
      <c r="D151" s="2">
        <v>7000</v>
      </c>
      <c r="E151" s="2">
        <f t="shared" si="2"/>
        <v>350000</v>
      </c>
    </row>
    <row r="152" spans="1:5" hidden="1" x14ac:dyDescent="0.3">
      <c r="A152" t="s">
        <v>23</v>
      </c>
      <c r="B152" t="s">
        <v>22</v>
      </c>
      <c r="C152">
        <v>0</v>
      </c>
      <c r="D152"/>
      <c r="E152">
        <f t="shared" si="2"/>
        <v>0</v>
      </c>
    </row>
    <row r="153" spans="1:5" hidden="1" x14ac:dyDescent="0.3">
      <c r="A153" t="s">
        <v>84</v>
      </c>
      <c r="B153" t="s">
        <v>22</v>
      </c>
      <c r="C153">
        <v>0</v>
      </c>
      <c r="D153"/>
      <c r="E153">
        <f t="shared" si="2"/>
        <v>0</v>
      </c>
    </row>
    <row r="154" spans="1:5" hidden="1" x14ac:dyDescent="0.3">
      <c r="A154" t="s">
        <v>86</v>
      </c>
      <c r="B154" t="s">
        <v>22</v>
      </c>
      <c r="C154">
        <v>0</v>
      </c>
      <c r="D154"/>
      <c r="E154">
        <f t="shared" si="2"/>
        <v>0</v>
      </c>
    </row>
    <row r="155" spans="1:5" hidden="1" x14ac:dyDescent="0.3">
      <c r="A155" t="s">
        <v>85</v>
      </c>
      <c r="B155" t="s">
        <v>22</v>
      </c>
      <c r="C155">
        <v>0</v>
      </c>
      <c r="D155"/>
      <c r="E155">
        <f t="shared" si="2"/>
        <v>0</v>
      </c>
    </row>
    <row r="156" spans="1:5" x14ac:dyDescent="0.3">
      <c r="E156" s="2">
        <f>SUM(E108:E151)</f>
        <v>36786500</v>
      </c>
    </row>
    <row r="157" spans="1:5" x14ac:dyDescent="0.3">
      <c r="E157" s="2">
        <f>E156+E105</f>
        <v>169814700</v>
      </c>
    </row>
  </sheetData>
  <autoFilter ref="A2:E155" xr:uid="{00000000-0009-0000-0000-00000C000000}">
    <filterColumn colId="2">
      <filters>
        <filter val="1.5"/>
        <filter val="10"/>
        <filter val="110"/>
        <filter val="1170"/>
        <filter val="12"/>
        <filter val="13"/>
        <filter val="135"/>
        <filter val="14"/>
        <filter val="143"/>
        <filter val="15"/>
        <filter val="16"/>
        <filter val="165"/>
        <filter val="170"/>
        <filter val="1715"/>
        <filter val="180"/>
        <filter val="2"/>
        <filter val="20"/>
        <filter val="200"/>
        <filter val="210"/>
        <filter val="24"/>
        <filter val="25"/>
        <filter val="27"/>
        <filter val="274"/>
        <filter val="30"/>
        <filter val="31"/>
        <filter val="35"/>
        <filter val="350"/>
        <filter val="4"/>
        <filter val="40"/>
        <filter val="42"/>
        <filter val="44"/>
        <filter val="50"/>
        <filter val="60"/>
        <filter val="65"/>
        <filter val="650"/>
        <filter val="655"/>
        <filter val="66"/>
        <filter val="660"/>
        <filter val="70"/>
        <filter val="75"/>
        <filter val="8"/>
        <filter val="85"/>
        <filter val="890"/>
        <filter val="97"/>
        <filter val="Tồn_x000a_ĐL_x000a__x000a_現在庫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E156"/>
  <sheetViews>
    <sheetView workbookViewId="0">
      <pane xSplit="1" ySplit="1" topLeftCell="C136" activePane="bottomRight" state="frozen"/>
      <selection pane="topRight" activeCell="B1" sqref="B1"/>
      <selection pane="bottomLeft" activeCell="A2" sqref="A2"/>
      <selection pane="bottomRight" activeCell="H137" sqref="H137"/>
    </sheetView>
  </sheetViews>
  <sheetFormatPr defaultRowHeight="15.6" x14ac:dyDescent="0.3"/>
  <cols>
    <col min="1" max="1" width="27.109375" style="4" bestFit="1" customWidth="1"/>
    <col min="2" max="2" width="8.88671875" style="4"/>
    <col min="3" max="3" width="14.5546875" style="4" customWidth="1"/>
    <col min="4" max="4" width="20.88671875" style="16" customWidth="1"/>
    <col min="5" max="5" width="33.109375" style="16" customWidth="1"/>
    <col min="6" max="16384" width="8.88671875" style="4"/>
  </cols>
  <sheetData>
    <row r="1" spans="1:5" ht="59.4" customHeight="1" x14ac:dyDescent="0.3">
      <c r="A1" s="9" t="s">
        <v>124</v>
      </c>
      <c r="B1" s="9" t="s">
        <v>1</v>
      </c>
      <c r="C1" s="10" t="s">
        <v>122</v>
      </c>
      <c r="D1" s="14" t="s">
        <v>125</v>
      </c>
      <c r="E1" s="14" t="s">
        <v>126</v>
      </c>
    </row>
    <row r="2" spans="1:5" x14ac:dyDescent="0.3">
      <c r="A2" s="5" t="s">
        <v>44</v>
      </c>
      <c r="B2" s="5" t="s">
        <v>3</v>
      </c>
      <c r="C2" s="6">
        <v>26</v>
      </c>
      <c r="D2" s="15">
        <v>32000</v>
      </c>
      <c r="E2" s="15">
        <f>+D2*C2</f>
        <v>832000</v>
      </c>
    </row>
    <row r="3" spans="1:5" x14ac:dyDescent="0.3">
      <c r="A3" s="5" t="s">
        <v>45</v>
      </c>
      <c r="B3" s="5" t="s">
        <v>3</v>
      </c>
      <c r="C3" s="6">
        <v>543</v>
      </c>
      <c r="D3" s="15">
        <v>6000</v>
      </c>
      <c r="E3" s="15">
        <f t="shared" ref="E3:E7" si="0">+D3*C3</f>
        <v>3258000</v>
      </c>
    </row>
    <row r="4" spans="1:5" x14ac:dyDescent="0.3">
      <c r="A4" s="5" t="s">
        <v>17</v>
      </c>
      <c r="B4" s="5" t="s">
        <v>3</v>
      </c>
      <c r="C4" s="6">
        <v>335</v>
      </c>
      <c r="D4" s="15">
        <v>5500</v>
      </c>
      <c r="E4" s="15">
        <f t="shared" si="0"/>
        <v>1842500</v>
      </c>
    </row>
    <row r="5" spans="1:5" x14ac:dyDescent="0.3">
      <c r="A5" s="5" t="s">
        <v>92</v>
      </c>
      <c r="B5" s="5" t="s">
        <v>3</v>
      </c>
      <c r="C5" s="6">
        <v>45</v>
      </c>
      <c r="D5" s="15">
        <v>11500</v>
      </c>
      <c r="E5" s="15">
        <f t="shared" si="0"/>
        <v>517500</v>
      </c>
    </row>
    <row r="6" spans="1:5" x14ac:dyDescent="0.3">
      <c r="A6" s="5" t="s">
        <v>24</v>
      </c>
      <c r="B6" s="5" t="s">
        <v>3</v>
      </c>
      <c r="C6" s="6">
        <v>195</v>
      </c>
      <c r="D6" s="15">
        <v>7000</v>
      </c>
      <c r="E6" s="15">
        <f t="shared" si="0"/>
        <v>1365000</v>
      </c>
    </row>
    <row r="7" spans="1:5" x14ac:dyDescent="0.3">
      <c r="A7" s="5" t="s">
        <v>25</v>
      </c>
      <c r="B7" s="5" t="s">
        <v>3</v>
      </c>
      <c r="C7" s="6">
        <v>100</v>
      </c>
      <c r="D7" s="15">
        <v>11000</v>
      </c>
      <c r="E7" s="15">
        <f t="shared" si="0"/>
        <v>1100000</v>
      </c>
    </row>
    <row r="8" spans="1:5" hidden="1" x14ac:dyDescent="0.3">
      <c r="A8" s="5" t="s">
        <v>25</v>
      </c>
      <c r="B8" s="5" t="s">
        <v>26</v>
      </c>
      <c r="C8" s="6">
        <v>0</v>
      </c>
      <c r="D8" s="3"/>
      <c r="E8" s="3"/>
    </row>
    <row r="9" spans="1:5" x14ac:dyDescent="0.3">
      <c r="A9" s="5" t="s">
        <v>27</v>
      </c>
      <c r="B9" s="5" t="s">
        <v>3</v>
      </c>
      <c r="C9" s="6">
        <v>25</v>
      </c>
      <c r="D9" s="15">
        <v>13000</v>
      </c>
      <c r="E9" s="15">
        <f>+D9*C9</f>
        <v>325000</v>
      </c>
    </row>
    <row r="10" spans="1:5" hidden="1" x14ac:dyDescent="0.3">
      <c r="A10" s="5" t="s">
        <v>27</v>
      </c>
      <c r="B10" s="5" t="s">
        <v>26</v>
      </c>
      <c r="C10" s="6">
        <v>0</v>
      </c>
      <c r="D10" s="3"/>
      <c r="E10" s="3"/>
    </row>
    <row r="11" spans="1:5" hidden="1" x14ac:dyDescent="0.3">
      <c r="A11" s="5" t="s">
        <v>136</v>
      </c>
      <c r="B11" s="5" t="s">
        <v>3</v>
      </c>
      <c r="C11" s="6">
        <v>0</v>
      </c>
      <c r="D11" s="3"/>
      <c r="E11" s="3"/>
    </row>
    <row r="12" spans="1:5" hidden="1" x14ac:dyDescent="0.3">
      <c r="A12" s="5" t="s">
        <v>37</v>
      </c>
      <c r="B12" s="5" t="s">
        <v>3</v>
      </c>
      <c r="C12" s="6">
        <v>0</v>
      </c>
      <c r="D12" s="3"/>
      <c r="E12" s="3"/>
    </row>
    <row r="13" spans="1:5" x14ac:dyDescent="0.3">
      <c r="A13" s="5" t="s">
        <v>46</v>
      </c>
      <c r="B13" s="5" t="s">
        <v>3</v>
      </c>
      <c r="C13" s="6">
        <v>33</v>
      </c>
      <c r="D13" s="15">
        <v>15000</v>
      </c>
      <c r="E13" s="15">
        <f>+D13*C13</f>
        <v>495000</v>
      </c>
    </row>
    <row r="14" spans="1:5" hidden="1" x14ac:dyDescent="0.3">
      <c r="A14" s="5" t="s">
        <v>47</v>
      </c>
      <c r="B14" s="5" t="s">
        <v>3</v>
      </c>
      <c r="C14" s="6">
        <v>0</v>
      </c>
      <c r="D14" s="3"/>
      <c r="E14" s="3"/>
    </row>
    <row r="15" spans="1:5" x14ac:dyDescent="0.3">
      <c r="A15" s="5" t="s">
        <v>123</v>
      </c>
      <c r="B15" s="5" t="s">
        <v>3</v>
      </c>
      <c r="C15" s="6">
        <v>50</v>
      </c>
      <c r="D15" s="15">
        <v>16000</v>
      </c>
      <c r="E15" s="15">
        <f>+D15*C15</f>
        <v>800000</v>
      </c>
    </row>
    <row r="16" spans="1:5" hidden="1" x14ac:dyDescent="0.3">
      <c r="A16" s="5" t="s">
        <v>82</v>
      </c>
      <c r="B16" s="5" t="s">
        <v>3</v>
      </c>
      <c r="C16" s="6">
        <v>0</v>
      </c>
      <c r="D16" s="3"/>
      <c r="E16" s="3"/>
    </row>
    <row r="17" spans="1:5" hidden="1" x14ac:dyDescent="0.3">
      <c r="A17" s="5" t="s">
        <v>16</v>
      </c>
      <c r="B17" s="5" t="s">
        <v>6</v>
      </c>
      <c r="C17" s="6">
        <v>0</v>
      </c>
      <c r="D17" s="3"/>
      <c r="E17" s="3"/>
    </row>
    <row r="18" spans="1:5" x14ac:dyDescent="0.3">
      <c r="A18" s="5" t="s">
        <v>28</v>
      </c>
      <c r="B18" s="5" t="s">
        <v>3</v>
      </c>
      <c r="C18" s="6">
        <v>125</v>
      </c>
      <c r="D18" s="15">
        <v>24000</v>
      </c>
      <c r="E18" s="15">
        <f>+D18*C18</f>
        <v>3000000</v>
      </c>
    </row>
    <row r="19" spans="1:5" hidden="1" x14ac:dyDescent="0.3">
      <c r="A19" s="5" t="s">
        <v>28</v>
      </c>
      <c r="B19" s="5" t="s">
        <v>6</v>
      </c>
      <c r="C19" s="6">
        <v>0</v>
      </c>
      <c r="D19" s="3"/>
      <c r="E19" s="3"/>
    </row>
    <row r="20" spans="1:5" hidden="1" x14ac:dyDescent="0.3">
      <c r="A20" s="5" t="s">
        <v>28</v>
      </c>
      <c r="B20" s="5" t="s">
        <v>29</v>
      </c>
      <c r="C20" s="6">
        <v>0</v>
      </c>
      <c r="D20" s="3"/>
      <c r="E20" s="3"/>
    </row>
    <row r="21" spans="1:5" x14ac:dyDescent="0.3">
      <c r="A21" s="5" t="s">
        <v>48</v>
      </c>
      <c r="B21" s="5" t="s">
        <v>3</v>
      </c>
      <c r="C21" s="6">
        <v>8</v>
      </c>
      <c r="D21" s="15">
        <v>19000</v>
      </c>
      <c r="E21" s="15">
        <f>+D21*C21</f>
        <v>152000</v>
      </c>
    </row>
    <row r="22" spans="1:5" hidden="1" x14ac:dyDescent="0.3">
      <c r="A22" s="5" t="s">
        <v>48</v>
      </c>
      <c r="B22" s="5" t="s">
        <v>49</v>
      </c>
      <c r="C22" s="6">
        <v>0</v>
      </c>
      <c r="D22" s="3"/>
      <c r="E22" s="3"/>
    </row>
    <row r="23" spans="1:5" x14ac:dyDescent="0.3">
      <c r="A23" s="5" t="s">
        <v>40</v>
      </c>
      <c r="B23" s="5" t="s">
        <v>3</v>
      </c>
      <c r="C23" s="6">
        <v>8</v>
      </c>
      <c r="D23" s="15">
        <v>30000</v>
      </c>
      <c r="E23" s="15">
        <f t="shared" ref="E23:E26" si="1">+D23*C23</f>
        <v>240000</v>
      </c>
    </row>
    <row r="24" spans="1:5" x14ac:dyDescent="0.3">
      <c r="A24" s="5" t="s">
        <v>40</v>
      </c>
      <c r="B24" s="5" t="s">
        <v>41</v>
      </c>
      <c r="C24" s="6">
        <v>60</v>
      </c>
      <c r="D24" s="15">
        <v>9000</v>
      </c>
      <c r="E24" s="15">
        <f t="shared" si="1"/>
        <v>540000</v>
      </c>
    </row>
    <row r="25" spans="1:5" x14ac:dyDescent="0.3">
      <c r="A25" s="5" t="s">
        <v>50</v>
      </c>
      <c r="B25" s="5" t="s">
        <v>8</v>
      </c>
      <c r="C25" s="6">
        <v>12</v>
      </c>
      <c r="D25" s="15">
        <v>16500</v>
      </c>
      <c r="E25" s="15">
        <f t="shared" si="1"/>
        <v>198000</v>
      </c>
    </row>
    <row r="26" spans="1:5" x14ac:dyDescent="0.3">
      <c r="A26" s="5" t="s">
        <v>51</v>
      </c>
      <c r="B26" s="5" t="s">
        <v>3</v>
      </c>
      <c r="C26" s="6">
        <v>10</v>
      </c>
      <c r="D26" s="15">
        <v>34000</v>
      </c>
      <c r="E26" s="15">
        <f t="shared" si="1"/>
        <v>340000</v>
      </c>
    </row>
    <row r="27" spans="1:5" hidden="1" x14ac:dyDescent="0.3">
      <c r="A27" s="5" t="s">
        <v>51</v>
      </c>
      <c r="B27" s="5" t="s">
        <v>52</v>
      </c>
      <c r="C27" s="6">
        <v>0</v>
      </c>
      <c r="D27" s="3"/>
      <c r="E27" s="3"/>
    </row>
    <row r="28" spans="1:5" x14ac:dyDescent="0.3">
      <c r="A28" s="5" t="s">
        <v>30</v>
      </c>
      <c r="B28" s="5" t="s">
        <v>3</v>
      </c>
      <c r="C28" s="6">
        <v>400</v>
      </c>
      <c r="D28" s="15">
        <v>20000</v>
      </c>
      <c r="E28" s="15">
        <f>+D28*C28</f>
        <v>8000000</v>
      </c>
    </row>
    <row r="29" spans="1:5" hidden="1" x14ac:dyDescent="0.3">
      <c r="A29" s="5" t="s">
        <v>30</v>
      </c>
      <c r="B29" s="5" t="s">
        <v>6</v>
      </c>
      <c r="C29" s="6">
        <v>0</v>
      </c>
      <c r="D29" s="3"/>
      <c r="E29" s="3"/>
    </row>
    <row r="30" spans="1:5" x14ac:dyDescent="0.3">
      <c r="A30" s="5" t="s">
        <v>31</v>
      </c>
      <c r="B30" s="5" t="s">
        <v>4</v>
      </c>
      <c r="C30" s="6">
        <v>108</v>
      </c>
      <c r="D30" s="15">
        <v>18000</v>
      </c>
      <c r="E30" s="15">
        <f>+D30*C30</f>
        <v>1944000</v>
      </c>
    </row>
    <row r="31" spans="1:5" hidden="1" x14ac:dyDescent="0.3">
      <c r="A31" s="5" t="s">
        <v>2</v>
      </c>
      <c r="B31" s="5" t="s">
        <v>3</v>
      </c>
      <c r="C31" s="6">
        <v>0</v>
      </c>
      <c r="D31" s="3"/>
      <c r="E31" s="3"/>
    </row>
    <row r="32" spans="1:5" hidden="1" x14ac:dyDescent="0.3">
      <c r="A32" s="5" t="s">
        <v>2</v>
      </c>
      <c r="B32" s="5" t="s">
        <v>4</v>
      </c>
      <c r="C32" s="6">
        <v>0</v>
      </c>
      <c r="D32" s="3"/>
      <c r="E32" s="3"/>
    </row>
    <row r="33" spans="1:5" hidden="1" x14ac:dyDescent="0.3">
      <c r="A33" s="5" t="s">
        <v>5</v>
      </c>
      <c r="B33" s="5" t="s">
        <v>6</v>
      </c>
      <c r="C33" s="6">
        <v>0</v>
      </c>
      <c r="D33" s="3"/>
      <c r="E33" s="3"/>
    </row>
    <row r="34" spans="1:5" hidden="1" x14ac:dyDescent="0.3">
      <c r="A34" s="5" t="s">
        <v>53</v>
      </c>
      <c r="B34" s="5" t="s">
        <v>3</v>
      </c>
      <c r="C34" s="6">
        <v>0</v>
      </c>
      <c r="D34" s="3"/>
      <c r="E34" s="3"/>
    </row>
    <row r="35" spans="1:5" hidden="1" x14ac:dyDescent="0.3">
      <c r="A35" s="5" t="s">
        <v>53</v>
      </c>
      <c r="B35" s="5" t="s">
        <v>54</v>
      </c>
      <c r="C35" s="6">
        <v>0</v>
      </c>
      <c r="D35" s="3"/>
      <c r="E35" s="3"/>
    </row>
    <row r="36" spans="1:5" x14ac:dyDescent="0.3">
      <c r="A36" s="5" t="s">
        <v>18</v>
      </c>
      <c r="B36" s="5" t="s">
        <v>3</v>
      </c>
      <c r="C36" s="6">
        <v>7</v>
      </c>
      <c r="D36" s="15">
        <v>14000</v>
      </c>
      <c r="E36" s="15">
        <f>+D36*C36</f>
        <v>98000</v>
      </c>
    </row>
    <row r="37" spans="1:5" hidden="1" x14ac:dyDescent="0.3">
      <c r="A37" s="5" t="s">
        <v>18</v>
      </c>
      <c r="B37" s="5" t="s">
        <v>4</v>
      </c>
      <c r="C37" s="6">
        <v>0</v>
      </c>
      <c r="D37" s="3"/>
      <c r="E37" s="3"/>
    </row>
    <row r="38" spans="1:5" hidden="1" x14ac:dyDescent="0.3">
      <c r="A38" s="5" t="s">
        <v>55</v>
      </c>
      <c r="B38" s="5" t="s">
        <v>4</v>
      </c>
      <c r="C38" s="6">
        <v>0</v>
      </c>
      <c r="D38" s="3"/>
      <c r="E38" s="3"/>
    </row>
    <row r="39" spans="1:5" x14ac:dyDescent="0.3">
      <c r="A39" s="5" t="s">
        <v>19</v>
      </c>
      <c r="B39" s="5" t="s">
        <v>4</v>
      </c>
      <c r="C39" s="6">
        <v>15</v>
      </c>
      <c r="D39" s="15">
        <v>5250</v>
      </c>
      <c r="E39" s="15">
        <f t="shared" ref="E39:E40" si="2">+D39*C39</f>
        <v>78750</v>
      </c>
    </row>
    <row r="40" spans="1:5" x14ac:dyDescent="0.3">
      <c r="A40" s="5" t="s">
        <v>20</v>
      </c>
      <c r="B40" s="5" t="s">
        <v>3</v>
      </c>
      <c r="C40" s="6">
        <v>800</v>
      </c>
      <c r="D40" s="15">
        <v>5500</v>
      </c>
      <c r="E40" s="15">
        <f t="shared" si="2"/>
        <v>4400000</v>
      </c>
    </row>
    <row r="41" spans="1:5" hidden="1" x14ac:dyDescent="0.3">
      <c r="A41" s="5" t="s">
        <v>21</v>
      </c>
      <c r="B41" s="5" t="s">
        <v>22</v>
      </c>
      <c r="C41" s="6">
        <v>0</v>
      </c>
      <c r="D41" s="3"/>
      <c r="E41" s="3"/>
    </row>
    <row r="42" spans="1:5" x14ac:dyDescent="0.3">
      <c r="A42" s="5" t="s">
        <v>21</v>
      </c>
      <c r="B42" s="5" t="s">
        <v>3</v>
      </c>
      <c r="C42" s="6">
        <v>60</v>
      </c>
      <c r="D42" s="15">
        <v>16000</v>
      </c>
      <c r="E42" s="15">
        <f t="shared" ref="E42:E44" si="3">+D42*C42</f>
        <v>960000</v>
      </c>
    </row>
    <row r="43" spans="1:5" x14ac:dyDescent="0.3">
      <c r="A43" s="5" t="s">
        <v>56</v>
      </c>
      <c r="B43" s="5" t="s">
        <v>3</v>
      </c>
      <c r="C43" s="6">
        <v>40</v>
      </c>
      <c r="D43" s="15">
        <v>13000</v>
      </c>
      <c r="E43" s="15">
        <f t="shared" si="3"/>
        <v>520000</v>
      </c>
    </row>
    <row r="44" spans="1:5" x14ac:dyDescent="0.3">
      <c r="A44" s="5" t="s">
        <v>7</v>
      </c>
      <c r="B44" s="5" t="s">
        <v>8</v>
      </c>
      <c r="C44" s="6">
        <v>13</v>
      </c>
      <c r="D44" s="15">
        <v>6500</v>
      </c>
      <c r="E44" s="15">
        <f t="shared" si="3"/>
        <v>84500</v>
      </c>
    </row>
    <row r="45" spans="1:5" hidden="1" x14ac:dyDescent="0.3">
      <c r="A45" s="5" t="s">
        <v>7</v>
      </c>
      <c r="B45" s="5" t="s">
        <v>3</v>
      </c>
      <c r="C45" s="6">
        <v>0</v>
      </c>
      <c r="D45" s="3"/>
      <c r="E45" s="3"/>
    </row>
    <row r="46" spans="1:5" x14ac:dyDescent="0.3">
      <c r="A46" s="5" t="s">
        <v>107</v>
      </c>
      <c r="B46" s="5" t="s">
        <v>3</v>
      </c>
      <c r="C46" s="6">
        <v>1.5</v>
      </c>
      <c r="D46" s="15">
        <v>16000</v>
      </c>
      <c r="E46" s="15">
        <f t="shared" ref="E46:E48" si="4">+D46*C46</f>
        <v>24000</v>
      </c>
    </row>
    <row r="47" spans="1:5" x14ac:dyDescent="0.3">
      <c r="A47" s="5" t="s">
        <v>57</v>
      </c>
      <c r="B47" s="5" t="s">
        <v>3</v>
      </c>
      <c r="C47" s="6">
        <v>51</v>
      </c>
      <c r="D47" s="15">
        <v>4500</v>
      </c>
      <c r="E47" s="15">
        <f t="shared" si="4"/>
        <v>229500</v>
      </c>
    </row>
    <row r="48" spans="1:5" x14ac:dyDescent="0.3">
      <c r="A48" s="5" t="s">
        <v>9</v>
      </c>
      <c r="B48" s="5" t="s">
        <v>3</v>
      </c>
      <c r="C48" s="6">
        <v>10</v>
      </c>
      <c r="D48" s="15">
        <v>12000</v>
      </c>
      <c r="E48" s="15">
        <f t="shared" si="4"/>
        <v>120000</v>
      </c>
    </row>
    <row r="49" spans="1:5" hidden="1" x14ac:dyDescent="0.3">
      <c r="A49" s="5" t="s">
        <v>9</v>
      </c>
      <c r="B49" s="5" t="s">
        <v>4</v>
      </c>
      <c r="C49" s="6">
        <v>0</v>
      </c>
      <c r="D49" s="3"/>
      <c r="E49" s="3"/>
    </row>
    <row r="50" spans="1:5" x14ac:dyDescent="0.3">
      <c r="A50" s="5" t="s">
        <v>58</v>
      </c>
      <c r="B50" s="5" t="s">
        <v>3</v>
      </c>
      <c r="C50" s="6">
        <v>10</v>
      </c>
      <c r="D50" s="15">
        <v>23000</v>
      </c>
      <c r="E50" s="15">
        <f>+D50*C50</f>
        <v>230000</v>
      </c>
    </row>
    <row r="51" spans="1:5" hidden="1" x14ac:dyDescent="0.3">
      <c r="A51" s="5" t="s">
        <v>152</v>
      </c>
      <c r="B51" s="5" t="s">
        <v>3</v>
      </c>
      <c r="C51" s="6">
        <v>0</v>
      </c>
      <c r="D51" s="3"/>
      <c r="E51" s="3"/>
    </row>
    <row r="52" spans="1:5" x14ac:dyDescent="0.3">
      <c r="A52" s="5" t="s">
        <v>10</v>
      </c>
      <c r="B52" s="5" t="s">
        <v>3</v>
      </c>
      <c r="C52" s="6">
        <v>463</v>
      </c>
      <c r="D52" s="15">
        <v>19000</v>
      </c>
      <c r="E52" s="15">
        <f>+D52*C52</f>
        <v>8797000</v>
      </c>
    </row>
    <row r="53" spans="1:5" hidden="1" x14ac:dyDescent="0.3">
      <c r="A53" s="5" t="s">
        <v>10</v>
      </c>
      <c r="B53" s="5" t="s">
        <v>11</v>
      </c>
      <c r="C53" s="6">
        <v>0</v>
      </c>
      <c r="D53" s="3"/>
      <c r="E53" s="3"/>
    </row>
    <row r="54" spans="1:5" x14ac:dyDescent="0.3">
      <c r="A54" s="5" t="s">
        <v>106</v>
      </c>
      <c r="B54" s="5" t="s">
        <v>3</v>
      </c>
      <c r="C54" s="6">
        <v>5</v>
      </c>
      <c r="D54" s="15">
        <v>20000</v>
      </c>
      <c r="E54" s="15">
        <f t="shared" ref="E54:E57" si="5">+D54*C54</f>
        <v>100000</v>
      </c>
    </row>
    <row r="55" spans="1:5" x14ac:dyDescent="0.3">
      <c r="A55" s="5" t="s">
        <v>12</v>
      </c>
      <c r="B55" s="5" t="s">
        <v>4</v>
      </c>
      <c r="C55" s="6">
        <v>200</v>
      </c>
      <c r="D55" s="15">
        <v>6000</v>
      </c>
      <c r="E55" s="15">
        <f t="shared" si="5"/>
        <v>1200000</v>
      </c>
    </row>
    <row r="56" spans="1:5" x14ac:dyDescent="0.3">
      <c r="A56" s="5" t="s">
        <v>39</v>
      </c>
      <c r="B56" s="5" t="s">
        <v>3</v>
      </c>
      <c r="C56" s="6">
        <v>1390</v>
      </c>
      <c r="D56" s="15">
        <v>24000</v>
      </c>
      <c r="E56" s="15">
        <f t="shared" si="5"/>
        <v>33360000</v>
      </c>
    </row>
    <row r="57" spans="1:5" x14ac:dyDescent="0.3">
      <c r="A57" s="5" t="s">
        <v>13</v>
      </c>
      <c r="B57" s="5" t="s">
        <v>3</v>
      </c>
      <c r="C57" s="6">
        <v>460</v>
      </c>
      <c r="D57" s="15">
        <v>24000</v>
      </c>
      <c r="E57" s="15">
        <f t="shared" si="5"/>
        <v>11040000</v>
      </c>
    </row>
    <row r="58" spans="1:5" hidden="1" x14ac:dyDescent="0.3">
      <c r="A58" s="5" t="s">
        <v>13</v>
      </c>
      <c r="B58" s="5" t="s">
        <v>4</v>
      </c>
      <c r="C58" s="6">
        <v>0</v>
      </c>
      <c r="D58" s="3"/>
      <c r="E58" s="3"/>
    </row>
    <row r="59" spans="1:5" x14ac:dyDescent="0.3">
      <c r="A59" s="5" t="s">
        <v>133</v>
      </c>
      <c r="B59" s="5" t="s">
        <v>3</v>
      </c>
      <c r="C59" s="6">
        <v>205</v>
      </c>
      <c r="D59" s="15">
        <v>17000</v>
      </c>
      <c r="E59" s="15">
        <f t="shared" ref="E59:E61" si="6">+D59*C59</f>
        <v>3485000</v>
      </c>
    </row>
    <row r="60" spans="1:5" x14ac:dyDescent="0.3">
      <c r="A60" s="5" t="s">
        <v>14</v>
      </c>
      <c r="B60" s="5" t="s">
        <v>3</v>
      </c>
      <c r="C60" s="6">
        <v>80</v>
      </c>
      <c r="D60" s="15">
        <v>16000</v>
      </c>
      <c r="E60" s="15">
        <f t="shared" si="6"/>
        <v>1280000</v>
      </c>
    </row>
    <row r="61" spans="1:5" x14ac:dyDescent="0.3">
      <c r="A61" s="5" t="s">
        <v>93</v>
      </c>
      <c r="B61" s="5" t="s">
        <v>3</v>
      </c>
      <c r="C61" s="6">
        <v>18</v>
      </c>
      <c r="D61" s="15">
        <v>25000</v>
      </c>
      <c r="E61" s="15">
        <f t="shared" si="6"/>
        <v>450000</v>
      </c>
    </row>
    <row r="62" spans="1:5" hidden="1" x14ac:dyDescent="0.3">
      <c r="A62" s="5" t="s">
        <v>42</v>
      </c>
      <c r="B62" s="5" t="s">
        <v>3</v>
      </c>
      <c r="C62" s="6">
        <v>0</v>
      </c>
      <c r="D62" s="3"/>
      <c r="E62" s="3"/>
    </row>
    <row r="63" spans="1:5" x14ac:dyDescent="0.3">
      <c r="A63" s="5" t="s">
        <v>89</v>
      </c>
      <c r="B63" s="5" t="s">
        <v>4</v>
      </c>
      <c r="C63" s="6">
        <v>20</v>
      </c>
      <c r="D63" s="15">
        <v>6000</v>
      </c>
      <c r="E63" s="15">
        <f t="shared" ref="E63:E64" si="7">+D63*C63</f>
        <v>120000</v>
      </c>
    </row>
    <row r="64" spans="1:5" x14ac:dyDescent="0.3">
      <c r="A64" s="5" t="s">
        <v>15</v>
      </c>
      <c r="B64" s="5" t="s">
        <v>3</v>
      </c>
      <c r="C64" s="6">
        <v>50</v>
      </c>
      <c r="D64" s="15">
        <v>17000</v>
      </c>
      <c r="E64" s="15">
        <f t="shared" si="7"/>
        <v>850000</v>
      </c>
    </row>
    <row r="65" spans="1:5" hidden="1" x14ac:dyDescent="0.3">
      <c r="A65" s="5" t="s">
        <v>15</v>
      </c>
      <c r="B65" s="5" t="s">
        <v>4</v>
      </c>
      <c r="C65" s="6">
        <v>0</v>
      </c>
      <c r="D65" s="3"/>
      <c r="E65" s="3"/>
    </row>
    <row r="66" spans="1:5" x14ac:dyDescent="0.3">
      <c r="A66" s="5" t="s">
        <v>87</v>
      </c>
      <c r="B66" s="5" t="s">
        <v>4</v>
      </c>
      <c r="C66" s="6">
        <v>40</v>
      </c>
      <c r="D66" s="15">
        <v>7500</v>
      </c>
      <c r="E66" s="15">
        <f t="shared" ref="E66:E68" si="8">+D66*C66</f>
        <v>300000</v>
      </c>
    </row>
    <row r="67" spans="1:5" x14ac:dyDescent="0.3">
      <c r="A67" s="5" t="s">
        <v>59</v>
      </c>
      <c r="B67" s="5" t="s">
        <v>3</v>
      </c>
      <c r="C67" s="6">
        <v>50</v>
      </c>
      <c r="D67" s="15">
        <v>10000</v>
      </c>
      <c r="E67" s="15">
        <f t="shared" si="8"/>
        <v>500000</v>
      </c>
    </row>
    <row r="68" spans="1:5" x14ac:dyDescent="0.3">
      <c r="A68" s="5" t="s">
        <v>60</v>
      </c>
      <c r="B68" s="5" t="s">
        <v>4</v>
      </c>
      <c r="C68" s="6">
        <v>28</v>
      </c>
      <c r="D68" s="15">
        <v>6000</v>
      </c>
      <c r="E68" s="15">
        <f t="shared" si="8"/>
        <v>168000</v>
      </c>
    </row>
    <row r="69" spans="1:5" hidden="1" x14ac:dyDescent="0.3">
      <c r="A69" s="5" t="s">
        <v>61</v>
      </c>
      <c r="B69" s="5" t="s">
        <v>3</v>
      </c>
      <c r="C69" s="6">
        <v>0</v>
      </c>
      <c r="D69" s="3"/>
      <c r="E69" s="3"/>
    </row>
    <row r="70" spans="1:5" x14ac:dyDescent="0.3">
      <c r="A70" s="5" t="s">
        <v>61</v>
      </c>
      <c r="B70" s="5" t="s">
        <v>62</v>
      </c>
      <c r="C70" s="6">
        <v>43</v>
      </c>
      <c r="D70" s="15">
        <v>9000</v>
      </c>
      <c r="E70" s="15">
        <f t="shared" ref="E70:E73" si="9">+D70*C70</f>
        <v>387000</v>
      </c>
    </row>
    <row r="71" spans="1:5" x14ac:dyDescent="0.3">
      <c r="A71" s="5" t="s">
        <v>63</v>
      </c>
      <c r="B71" s="5" t="s">
        <v>3</v>
      </c>
      <c r="C71" s="6">
        <v>5.5</v>
      </c>
      <c r="D71" s="15">
        <v>80000</v>
      </c>
      <c r="E71" s="15">
        <f t="shared" si="9"/>
        <v>440000</v>
      </c>
    </row>
    <row r="72" spans="1:5" x14ac:dyDescent="0.3">
      <c r="A72" s="5" t="s">
        <v>64</v>
      </c>
      <c r="B72" s="5" t="s">
        <v>3</v>
      </c>
      <c r="C72" s="6">
        <v>1</v>
      </c>
      <c r="D72" s="15">
        <v>70000</v>
      </c>
      <c r="E72" s="15">
        <f t="shared" si="9"/>
        <v>70000</v>
      </c>
    </row>
    <row r="73" spans="1:5" x14ac:dyDescent="0.3">
      <c r="A73" s="5" t="s">
        <v>65</v>
      </c>
      <c r="B73" s="5" t="s">
        <v>3</v>
      </c>
      <c r="C73" s="6">
        <v>0.5</v>
      </c>
      <c r="D73" s="15">
        <v>70000</v>
      </c>
      <c r="E73" s="15">
        <f t="shared" si="9"/>
        <v>35000</v>
      </c>
    </row>
    <row r="74" spans="1:5" hidden="1" x14ac:dyDescent="0.3">
      <c r="A74" s="5" t="s">
        <v>90</v>
      </c>
      <c r="B74" s="5" t="s">
        <v>4</v>
      </c>
      <c r="C74" s="6">
        <v>0</v>
      </c>
      <c r="D74" s="3"/>
      <c r="E74" s="3"/>
    </row>
    <row r="75" spans="1:5" x14ac:dyDescent="0.3">
      <c r="A75" s="5" t="s">
        <v>32</v>
      </c>
      <c r="B75" s="5" t="s">
        <v>3</v>
      </c>
      <c r="C75" s="6">
        <v>52</v>
      </c>
      <c r="D75" s="15">
        <v>14000</v>
      </c>
      <c r="E75" s="15">
        <f t="shared" ref="E75:E78" si="10">+D75*C75</f>
        <v>728000</v>
      </c>
    </row>
    <row r="76" spans="1:5" x14ac:dyDescent="0.3">
      <c r="A76" s="5" t="s">
        <v>32</v>
      </c>
      <c r="B76" s="5" t="s">
        <v>6</v>
      </c>
      <c r="C76" s="6">
        <v>323</v>
      </c>
      <c r="D76" s="15">
        <v>7000</v>
      </c>
      <c r="E76" s="15">
        <f t="shared" si="10"/>
        <v>2261000</v>
      </c>
    </row>
    <row r="77" spans="1:5" x14ac:dyDescent="0.3">
      <c r="A77" s="5" t="s">
        <v>81</v>
      </c>
      <c r="B77" s="5" t="s">
        <v>3</v>
      </c>
      <c r="C77" s="6">
        <v>5</v>
      </c>
      <c r="D77" s="15">
        <v>9000</v>
      </c>
      <c r="E77" s="15">
        <f t="shared" si="10"/>
        <v>45000</v>
      </c>
    </row>
    <row r="78" spans="1:5" x14ac:dyDescent="0.3">
      <c r="A78" s="5" t="s">
        <v>33</v>
      </c>
      <c r="B78" s="5" t="s">
        <v>3</v>
      </c>
      <c r="C78" s="6">
        <v>30</v>
      </c>
      <c r="D78" s="15">
        <v>6000</v>
      </c>
      <c r="E78" s="15">
        <f t="shared" si="10"/>
        <v>180000</v>
      </c>
    </row>
    <row r="79" spans="1:5" hidden="1" x14ac:dyDescent="0.3">
      <c r="A79" s="5" t="s">
        <v>66</v>
      </c>
      <c r="B79" s="5" t="s">
        <v>22</v>
      </c>
      <c r="C79" s="6">
        <v>0</v>
      </c>
      <c r="D79" s="3"/>
      <c r="E79" s="3"/>
    </row>
    <row r="80" spans="1:5" hidden="1" x14ac:dyDescent="0.3">
      <c r="A80" s="5" t="s">
        <v>66</v>
      </c>
      <c r="B80" s="5" t="s">
        <v>3</v>
      </c>
      <c r="C80" s="6">
        <v>0</v>
      </c>
      <c r="D80" s="3"/>
      <c r="E80" s="3"/>
    </row>
    <row r="81" spans="1:5" x14ac:dyDescent="0.3">
      <c r="A81" s="5" t="s">
        <v>43</v>
      </c>
      <c r="B81" s="5" t="s">
        <v>3</v>
      </c>
      <c r="C81" s="6">
        <v>1800</v>
      </c>
      <c r="D81" s="15">
        <v>27600</v>
      </c>
      <c r="E81" s="15">
        <f>+D81*C81</f>
        <v>49680000</v>
      </c>
    </row>
    <row r="82" spans="1:5" hidden="1" x14ac:dyDescent="0.3">
      <c r="A82" s="5" t="s">
        <v>67</v>
      </c>
      <c r="B82" s="5" t="s">
        <v>3</v>
      </c>
      <c r="C82" s="6">
        <v>0</v>
      </c>
      <c r="D82" s="3"/>
      <c r="E82" s="3"/>
    </row>
    <row r="83" spans="1:5" hidden="1" x14ac:dyDescent="0.3">
      <c r="A83" s="5" t="s">
        <v>68</v>
      </c>
      <c r="B83" s="5" t="s">
        <v>4</v>
      </c>
      <c r="C83" s="6">
        <v>0</v>
      </c>
      <c r="D83" s="3"/>
      <c r="E83" s="3"/>
    </row>
    <row r="84" spans="1:5" hidden="1" x14ac:dyDescent="0.3">
      <c r="A84" s="5" t="s">
        <v>69</v>
      </c>
      <c r="B84" s="5" t="s">
        <v>3</v>
      </c>
      <c r="C84" s="6">
        <v>0</v>
      </c>
      <c r="D84" s="3"/>
      <c r="E84" s="3"/>
    </row>
    <row r="85" spans="1:5" hidden="1" x14ac:dyDescent="0.3">
      <c r="A85" s="5" t="s">
        <v>38</v>
      </c>
      <c r="B85" s="5" t="s">
        <v>6</v>
      </c>
      <c r="C85" s="6">
        <v>0</v>
      </c>
      <c r="D85" s="3"/>
      <c r="E85" s="3"/>
    </row>
    <row r="86" spans="1:5" hidden="1" x14ac:dyDescent="0.3">
      <c r="A86" s="5" t="s">
        <v>70</v>
      </c>
      <c r="B86" s="5" t="s">
        <v>8</v>
      </c>
      <c r="C86" s="6">
        <v>0</v>
      </c>
      <c r="D86" s="3"/>
      <c r="E86" s="3"/>
    </row>
    <row r="87" spans="1:5" hidden="1" x14ac:dyDescent="0.3">
      <c r="A87" s="5" t="s">
        <v>34</v>
      </c>
      <c r="B87" s="5" t="s">
        <v>3</v>
      </c>
      <c r="C87" s="6">
        <v>0</v>
      </c>
      <c r="D87" s="3"/>
      <c r="E87" s="3"/>
    </row>
    <row r="88" spans="1:5" hidden="1" x14ac:dyDescent="0.3">
      <c r="A88" s="5" t="s">
        <v>34</v>
      </c>
      <c r="B88" s="5" t="s">
        <v>26</v>
      </c>
      <c r="C88" s="6">
        <v>0</v>
      </c>
      <c r="D88" s="3"/>
      <c r="E88" s="3"/>
    </row>
    <row r="89" spans="1:5" x14ac:dyDescent="0.3">
      <c r="A89" s="5" t="s">
        <v>118</v>
      </c>
      <c r="B89" s="5" t="s">
        <v>3</v>
      </c>
      <c r="C89" s="6">
        <v>18</v>
      </c>
      <c r="D89" s="15">
        <v>27000</v>
      </c>
      <c r="E89" s="15">
        <f t="shared" ref="E89:E90" si="11">+D89*C89</f>
        <v>486000</v>
      </c>
    </row>
    <row r="90" spans="1:5" x14ac:dyDescent="0.3">
      <c r="A90" s="5" t="s">
        <v>35</v>
      </c>
      <c r="B90" s="5" t="s">
        <v>3</v>
      </c>
      <c r="C90" s="6">
        <v>43</v>
      </c>
      <c r="D90" s="15">
        <v>20000</v>
      </c>
      <c r="E90" s="15">
        <f t="shared" si="11"/>
        <v>860000</v>
      </c>
    </row>
    <row r="91" spans="1:5" hidden="1" x14ac:dyDescent="0.3">
      <c r="A91" s="5" t="s">
        <v>35</v>
      </c>
      <c r="B91" s="5" t="s">
        <v>26</v>
      </c>
      <c r="C91" s="6">
        <v>0</v>
      </c>
      <c r="D91" s="3"/>
      <c r="E91" s="3"/>
    </row>
    <row r="92" spans="1:5" x14ac:dyDescent="0.3">
      <c r="A92" s="5" t="s">
        <v>36</v>
      </c>
      <c r="B92" s="5" t="s">
        <v>3</v>
      </c>
      <c r="C92" s="6">
        <v>50</v>
      </c>
      <c r="D92" s="15">
        <v>17000</v>
      </c>
      <c r="E92" s="15">
        <f>+D92*C92</f>
        <v>850000</v>
      </c>
    </row>
    <row r="93" spans="1:5" hidden="1" x14ac:dyDescent="0.3">
      <c r="A93" s="5" t="s">
        <v>36</v>
      </c>
      <c r="B93" s="5" t="s">
        <v>26</v>
      </c>
      <c r="C93" s="6">
        <v>0</v>
      </c>
      <c r="D93" s="3"/>
      <c r="E93" s="3"/>
    </row>
    <row r="94" spans="1:5" x14ac:dyDescent="0.3">
      <c r="A94" s="5" t="s">
        <v>71</v>
      </c>
      <c r="B94" s="5" t="s">
        <v>4</v>
      </c>
      <c r="C94" s="6">
        <v>130</v>
      </c>
      <c r="D94" s="15">
        <v>21000</v>
      </c>
      <c r="E94" s="15">
        <f>+D94*C94</f>
        <v>2730000</v>
      </c>
    </row>
    <row r="95" spans="1:5" hidden="1" x14ac:dyDescent="0.3">
      <c r="A95" s="5" t="s">
        <v>83</v>
      </c>
      <c r="B95" s="5" t="s">
        <v>4</v>
      </c>
      <c r="C95" s="6">
        <v>0</v>
      </c>
      <c r="D95" s="3"/>
      <c r="E95" s="3"/>
    </row>
    <row r="96" spans="1:5" x14ac:dyDescent="0.3">
      <c r="A96" s="5" t="s">
        <v>88</v>
      </c>
      <c r="B96" s="5" t="s">
        <v>3</v>
      </c>
      <c r="C96" s="6">
        <v>880</v>
      </c>
      <c r="D96" s="15">
        <v>28000</v>
      </c>
      <c r="E96" s="15">
        <f>+D96*C96</f>
        <v>24640000</v>
      </c>
    </row>
    <row r="97" spans="1:5" hidden="1" x14ac:dyDescent="0.3">
      <c r="A97" s="5" t="s">
        <v>91</v>
      </c>
      <c r="B97" s="5" t="s">
        <v>3</v>
      </c>
      <c r="C97" s="6">
        <v>0</v>
      </c>
      <c r="D97" s="3"/>
      <c r="E97" s="3"/>
    </row>
    <row r="98" spans="1:5" x14ac:dyDescent="0.3">
      <c r="A98" s="5" t="s">
        <v>72</v>
      </c>
      <c r="B98" s="5" t="s">
        <v>3</v>
      </c>
      <c r="C98" s="6">
        <v>175</v>
      </c>
      <c r="D98" s="15">
        <v>7000</v>
      </c>
      <c r="E98" s="15">
        <f t="shared" ref="E98:E102" si="12">+D98*C98</f>
        <v>1225000</v>
      </c>
    </row>
    <row r="99" spans="1:5" x14ac:dyDescent="0.3">
      <c r="A99" s="5" t="s">
        <v>73</v>
      </c>
      <c r="B99" s="5" t="s">
        <v>3</v>
      </c>
      <c r="C99" s="6">
        <v>2</v>
      </c>
      <c r="D99" s="15">
        <v>28000</v>
      </c>
      <c r="E99" s="15">
        <f t="shared" si="12"/>
        <v>56000</v>
      </c>
    </row>
    <row r="100" spans="1:5" x14ac:dyDescent="0.3">
      <c r="A100" s="5" t="s">
        <v>23</v>
      </c>
      <c r="B100" s="5" t="s">
        <v>3</v>
      </c>
      <c r="C100" s="6">
        <v>8</v>
      </c>
      <c r="D100" s="15">
        <v>12000</v>
      </c>
      <c r="E100" s="15">
        <f t="shared" si="12"/>
        <v>96000</v>
      </c>
    </row>
    <row r="101" spans="1:5" x14ac:dyDescent="0.3">
      <c r="A101" s="5" t="s">
        <v>84</v>
      </c>
      <c r="B101" s="5" t="s">
        <v>22</v>
      </c>
      <c r="C101" s="6">
        <v>135</v>
      </c>
      <c r="D101" s="15">
        <v>28000</v>
      </c>
      <c r="E101" s="15">
        <f t="shared" si="12"/>
        <v>3780000</v>
      </c>
    </row>
    <row r="102" spans="1:5" x14ac:dyDescent="0.3">
      <c r="A102" s="5" t="s">
        <v>74</v>
      </c>
      <c r="B102" s="5" t="s">
        <v>3</v>
      </c>
      <c r="C102" s="6">
        <v>17</v>
      </c>
      <c r="D102" s="15">
        <v>27000</v>
      </c>
      <c r="E102" s="15">
        <f t="shared" si="12"/>
        <v>459000</v>
      </c>
    </row>
    <row r="103" spans="1:5" hidden="1" x14ac:dyDescent="0.3">
      <c r="A103" s="5" t="s">
        <v>86</v>
      </c>
      <c r="B103" s="5" t="s">
        <v>22</v>
      </c>
      <c r="C103" s="6">
        <v>0</v>
      </c>
      <c r="D103" s="3"/>
      <c r="E103" s="3"/>
    </row>
    <row r="104" spans="1:5" hidden="1" x14ac:dyDescent="0.3">
      <c r="A104" s="5" t="s">
        <v>75</v>
      </c>
      <c r="B104" s="5" t="s">
        <v>3</v>
      </c>
      <c r="C104" s="6">
        <v>0</v>
      </c>
      <c r="D104" s="3"/>
      <c r="E104" s="3"/>
    </row>
    <row r="105" spans="1:5" x14ac:dyDescent="0.3">
      <c r="A105" s="5" t="s">
        <v>76</v>
      </c>
      <c r="B105" s="5" t="s">
        <v>3</v>
      </c>
      <c r="C105" s="6">
        <v>13</v>
      </c>
      <c r="D105" s="15">
        <v>30000</v>
      </c>
      <c r="E105" s="15">
        <f t="shared" ref="E105:E106" si="13">+D105*C105</f>
        <v>390000</v>
      </c>
    </row>
    <row r="106" spans="1:5" x14ac:dyDescent="0.3">
      <c r="A106" s="5" t="s">
        <v>85</v>
      </c>
      <c r="B106" s="5" t="s">
        <v>22</v>
      </c>
      <c r="C106" s="6">
        <v>90</v>
      </c>
      <c r="D106" s="15">
        <v>6800</v>
      </c>
      <c r="E106" s="15">
        <f t="shared" si="13"/>
        <v>612000</v>
      </c>
    </row>
    <row r="107" spans="1:5" x14ac:dyDescent="0.3">
      <c r="A107" s="12" t="s">
        <v>153</v>
      </c>
      <c r="B107" s="12">
        <v>0</v>
      </c>
      <c r="C107" s="13">
        <v>9920.5</v>
      </c>
      <c r="D107" s="33"/>
      <c r="E107" s="17">
        <f>SUBTOTAL(9,E2:E106)</f>
        <v>183353750</v>
      </c>
    </row>
    <row r="108" spans="1:5" ht="62.4" x14ac:dyDescent="0.3">
      <c r="A108" s="9" t="s">
        <v>124</v>
      </c>
      <c r="B108" s="9" t="s">
        <v>1</v>
      </c>
      <c r="C108" s="10" t="s">
        <v>122</v>
      </c>
      <c r="D108" s="14" t="s">
        <v>125</v>
      </c>
      <c r="E108" s="14" t="s">
        <v>126</v>
      </c>
    </row>
    <row r="109" spans="1:5" hidden="1" x14ac:dyDescent="0.3">
      <c r="A109" s="5" t="s">
        <v>44</v>
      </c>
      <c r="B109" s="5" t="s">
        <v>3</v>
      </c>
      <c r="C109" s="8">
        <v>0</v>
      </c>
      <c r="D109" s="3"/>
      <c r="E109" s="3"/>
    </row>
    <row r="110" spans="1:5" hidden="1" x14ac:dyDescent="0.3">
      <c r="A110" s="5" t="s">
        <v>45</v>
      </c>
      <c r="B110" s="5" t="s">
        <v>3</v>
      </c>
      <c r="C110" s="8">
        <v>0</v>
      </c>
      <c r="D110" s="3"/>
      <c r="E110" s="3"/>
    </row>
    <row r="111" spans="1:5" x14ac:dyDescent="0.3">
      <c r="A111" s="5" t="s">
        <v>17</v>
      </c>
      <c r="B111" s="5" t="s">
        <v>3</v>
      </c>
      <c r="C111" s="8">
        <v>561</v>
      </c>
      <c r="D111" s="15">
        <v>5500</v>
      </c>
      <c r="E111" s="15">
        <f>+D111*C111</f>
        <v>3085500</v>
      </c>
    </row>
    <row r="112" spans="1:5" x14ac:dyDescent="0.3">
      <c r="A112" s="5" t="s">
        <v>95</v>
      </c>
      <c r="B112" s="5" t="s">
        <v>3</v>
      </c>
      <c r="C112" s="8">
        <v>40</v>
      </c>
      <c r="D112" s="15">
        <v>8000</v>
      </c>
      <c r="E112" s="15">
        <f>+D112*C112</f>
        <v>320000</v>
      </c>
    </row>
    <row r="113" spans="1:5" hidden="1" x14ac:dyDescent="0.3">
      <c r="A113" s="5" t="s">
        <v>24</v>
      </c>
      <c r="B113" s="5" t="s">
        <v>3</v>
      </c>
      <c r="C113" s="8">
        <v>0</v>
      </c>
      <c r="D113" s="3"/>
      <c r="E113" s="3"/>
    </row>
    <row r="114" spans="1:5" hidden="1" x14ac:dyDescent="0.3">
      <c r="A114" s="5" t="s">
        <v>25</v>
      </c>
      <c r="B114" s="5" t="s">
        <v>3</v>
      </c>
      <c r="C114" s="8">
        <v>0</v>
      </c>
      <c r="D114" s="3"/>
      <c r="E114" s="3"/>
    </row>
    <row r="115" spans="1:5" hidden="1" x14ac:dyDescent="0.3">
      <c r="A115" s="5" t="s">
        <v>37</v>
      </c>
      <c r="B115" s="5" t="s">
        <v>3</v>
      </c>
      <c r="C115" s="8">
        <v>0</v>
      </c>
      <c r="D115" s="3"/>
      <c r="E115" s="3"/>
    </row>
    <row r="116" spans="1:5" hidden="1" x14ac:dyDescent="0.3">
      <c r="A116" s="5" t="s">
        <v>46</v>
      </c>
      <c r="B116" s="5" t="s">
        <v>3</v>
      </c>
      <c r="C116" s="8">
        <v>0</v>
      </c>
      <c r="D116" s="3"/>
      <c r="E116" s="3"/>
    </row>
    <row r="117" spans="1:5" hidden="1" x14ac:dyDescent="0.3">
      <c r="A117" s="5" t="s">
        <v>94</v>
      </c>
      <c r="B117" s="5" t="s">
        <v>3</v>
      </c>
      <c r="C117" s="8">
        <v>0</v>
      </c>
      <c r="D117" s="3"/>
      <c r="E117" s="3"/>
    </row>
    <row r="118" spans="1:5" x14ac:dyDescent="0.3">
      <c r="A118" s="5" t="s">
        <v>28</v>
      </c>
      <c r="B118" s="5" t="s">
        <v>3</v>
      </c>
      <c r="C118" s="8">
        <v>145</v>
      </c>
      <c r="D118" s="15">
        <v>24000</v>
      </c>
      <c r="E118" s="15">
        <f t="shared" ref="E118:E124" si="14">+D118*C118</f>
        <v>3480000</v>
      </c>
    </row>
    <row r="119" spans="1:5" x14ac:dyDescent="0.3">
      <c r="A119" s="5" t="s">
        <v>30</v>
      </c>
      <c r="B119" s="5" t="s">
        <v>3</v>
      </c>
      <c r="C119" s="8">
        <v>60</v>
      </c>
      <c r="D119" s="15">
        <v>20000</v>
      </c>
      <c r="E119" s="15">
        <f t="shared" si="14"/>
        <v>1200000</v>
      </c>
    </row>
    <row r="120" spans="1:5" x14ac:dyDescent="0.3">
      <c r="A120" s="5" t="s">
        <v>2</v>
      </c>
      <c r="B120" s="5" t="s">
        <v>3</v>
      </c>
      <c r="C120" s="8">
        <v>299</v>
      </c>
      <c r="D120" s="15">
        <v>12000</v>
      </c>
      <c r="E120" s="15">
        <f t="shared" si="14"/>
        <v>3588000</v>
      </c>
    </row>
    <row r="121" spans="1:5" x14ac:dyDescent="0.3">
      <c r="A121" s="5" t="s">
        <v>53</v>
      </c>
      <c r="B121" s="5" t="s">
        <v>3</v>
      </c>
      <c r="C121" s="8">
        <v>30</v>
      </c>
      <c r="D121" s="15">
        <v>7000</v>
      </c>
      <c r="E121" s="15">
        <f t="shared" si="14"/>
        <v>210000</v>
      </c>
    </row>
    <row r="122" spans="1:5" x14ac:dyDescent="0.3">
      <c r="A122" s="5" t="s">
        <v>20</v>
      </c>
      <c r="B122" s="5" t="s">
        <v>3</v>
      </c>
      <c r="C122" s="8">
        <v>455</v>
      </c>
      <c r="D122" s="15">
        <v>5500</v>
      </c>
      <c r="E122" s="15">
        <f t="shared" si="14"/>
        <v>2502500</v>
      </c>
    </row>
    <row r="123" spans="1:5" x14ac:dyDescent="0.3">
      <c r="A123" s="5" t="s">
        <v>97</v>
      </c>
      <c r="B123" s="5" t="s">
        <v>3</v>
      </c>
      <c r="C123" s="8">
        <v>8</v>
      </c>
      <c r="D123" s="15">
        <v>16000</v>
      </c>
      <c r="E123" s="15">
        <f t="shared" si="14"/>
        <v>128000</v>
      </c>
    </row>
    <row r="124" spans="1:5" x14ac:dyDescent="0.3">
      <c r="A124" s="5" t="s">
        <v>98</v>
      </c>
      <c r="B124" s="5" t="s">
        <v>3</v>
      </c>
      <c r="C124" s="8">
        <v>220</v>
      </c>
      <c r="D124" s="15">
        <v>3500</v>
      </c>
      <c r="E124" s="15">
        <f t="shared" si="14"/>
        <v>770000</v>
      </c>
    </row>
    <row r="125" spans="1:5" hidden="1" x14ac:dyDescent="0.3">
      <c r="A125" s="5" t="s">
        <v>21</v>
      </c>
      <c r="B125" s="5" t="s">
        <v>3</v>
      </c>
      <c r="C125" s="8">
        <v>0</v>
      </c>
      <c r="D125" s="3"/>
      <c r="E125" s="3"/>
    </row>
    <row r="126" spans="1:5" hidden="1" x14ac:dyDescent="0.3">
      <c r="A126" s="5" t="s">
        <v>96</v>
      </c>
      <c r="B126" s="5" t="s">
        <v>3</v>
      </c>
      <c r="C126" s="8">
        <v>0</v>
      </c>
      <c r="D126" s="3"/>
      <c r="E126" s="3"/>
    </row>
    <row r="127" spans="1:5" hidden="1" x14ac:dyDescent="0.3">
      <c r="A127" s="5" t="s">
        <v>56</v>
      </c>
      <c r="B127" s="5" t="s">
        <v>3</v>
      </c>
      <c r="C127" s="8">
        <v>0</v>
      </c>
      <c r="D127" s="3"/>
      <c r="E127" s="3"/>
    </row>
    <row r="128" spans="1:5" hidden="1" x14ac:dyDescent="0.3">
      <c r="A128" s="5" t="s">
        <v>107</v>
      </c>
      <c r="B128" s="5" t="s">
        <v>6</v>
      </c>
      <c r="C128" s="8">
        <v>0</v>
      </c>
      <c r="D128" s="3"/>
      <c r="E128" s="3"/>
    </row>
    <row r="129" spans="1:5" x14ac:dyDescent="0.3">
      <c r="A129" s="5" t="s">
        <v>57</v>
      </c>
      <c r="B129" s="5" t="s">
        <v>3</v>
      </c>
      <c r="C129" s="8">
        <v>75</v>
      </c>
      <c r="D129" s="15">
        <v>4500</v>
      </c>
      <c r="E129" s="15">
        <f t="shared" ref="E129:E130" si="15">+D129*C129</f>
        <v>337500</v>
      </c>
    </row>
    <row r="130" spans="1:5" x14ac:dyDescent="0.3">
      <c r="A130" s="5" t="s">
        <v>9</v>
      </c>
      <c r="B130" s="5" t="s">
        <v>3</v>
      </c>
      <c r="C130" s="8">
        <v>65</v>
      </c>
      <c r="D130" s="15">
        <v>12000</v>
      </c>
      <c r="E130" s="15">
        <f t="shared" si="15"/>
        <v>780000</v>
      </c>
    </row>
    <row r="131" spans="1:5" hidden="1" x14ac:dyDescent="0.3">
      <c r="A131" s="5" t="s">
        <v>10</v>
      </c>
      <c r="B131" s="5" t="s">
        <v>3</v>
      </c>
      <c r="C131" s="8">
        <v>0</v>
      </c>
      <c r="D131" s="3"/>
      <c r="E131" s="3"/>
    </row>
    <row r="132" spans="1:5" hidden="1" x14ac:dyDescent="0.3">
      <c r="A132" s="5" t="s">
        <v>13</v>
      </c>
      <c r="B132" s="5" t="s">
        <v>4</v>
      </c>
      <c r="C132" s="8">
        <v>0</v>
      </c>
      <c r="D132" s="3"/>
      <c r="E132" s="3"/>
    </row>
    <row r="133" spans="1:5" x14ac:dyDescent="0.3">
      <c r="A133" s="5" t="s">
        <v>14</v>
      </c>
      <c r="B133" s="5" t="s">
        <v>3</v>
      </c>
      <c r="C133" s="8">
        <v>105</v>
      </c>
      <c r="D133" s="15">
        <v>16000</v>
      </c>
      <c r="E133" s="15">
        <f>+D133*C133</f>
        <v>1680000</v>
      </c>
    </row>
    <row r="134" spans="1:5" hidden="1" x14ac:dyDescent="0.3">
      <c r="A134" s="5" t="s">
        <v>89</v>
      </c>
      <c r="B134" s="5" t="s">
        <v>4</v>
      </c>
      <c r="C134" s="8">
        <v>0</v>
      </c>
      <c r="D134" s="3"/>
      <c r="E134" s="3"/>
    </row>
    <row r="135" spans="1:5" hidden="1" x14ac:dyDescent="0.3">
      <c r="A135" s="5" t="s">
        <v>109</v>
      </c>
      <c r="B135" s="5" t="s">
        <v>3</v>
      </c>
      <c r="C135" s="8">
        <v>0</v>
      </c>
      <c r="D135" s="3"/>
      <c r="E135" s="3"/>
    </row>
    <row r="136" spans="1:5" x14ac:dyDescent="0.3">
      <c r="A136" s="5" t="s">
        <v>15</v>
      </c>
      <c r="B136" s="5" t="s">
        <v>3</v>
      </c>
      <c r="C136" s="8">
        <v>330</v>
      </c>
      <c r="D136" s="15">
        <v>17000</v>
      </c>
      <c r="E136" s="15">
        <f t="shared" ref="E136:E139" si="16">+D136*C136</f>
        <v>5610000</v>
      </c>
    </row>
    <row r="137" spans="1:5" x14ac:dyDescent="0.3">
      <c r="A137" s="5" t="s">
        <v>59</v>
      </c>
      <c r="B137" s="5" t="s">
        <v>3</v>
      </c>
      <c r="C137" s="8">
        <v>25</v>
      </c>
      <c r="D137" s="15">
        <v>10000</v>
      </c>
      <c r="E137" s="15">
        <f t="shared" si="16"/>
        <v>250000</v>
      </c>
    </row>
    <row r="138" spans="1:5" x14ac:dyDescent="0.3">
      <c r="A138" s="5" t="s">
        <v>60</v>
      </c>
      <c r="B138" s="5" t="s">
        <v>4</v>
      </c>
      <c r="C138" s="8">
        <v>15</v>
      </c>
      <c r="D138" s="15">
        <v>6000</v>
      </c>
      <c r="E138" s="15">
        <f t="shared" si="16"/>
        <v>90000</v>
      </c>
    </row>
    <row r="139" spans="1:5" x14ac:dyDescent="0.3">
      <c r="A139" s="5" t="s">
        <v>61</v>
      </c>
      <c r="B139" s="5" t="s">
        <v>4</v>
      </c>
      <c r="C139" s="8">
        <v>68</v>
      </c>
      <c r="D139" s="15">
        <v>9000</v>
      </c>
      <c r="E139" s="15">
        <f t="shared" si="16"/>
        <v>612000</v>
      </c>
    </row>
    <row r="140" spans="1:5" hidden="1" x14ac:dyDescent="0.3">
      <c r="A140" s="5" t="s">
        <v>32</v>
      </c>
      <c r="B140" s="5" t="s">
        <v>3</v>
      </c>
      <c r="C140" s="8">
        <v>0</v>
      </c>
      <c r="D140" s="3"/>
      <c r="E140" s="3"/>
    </row>
    <row r="141" spans="1:5" hidden="1" x14ac:dyDescent="0.3">
      <c r="A141" s="5" t="s">
        <v>32</v>
      </c>
      <c r="B141" s="5" t="s">
        <v>6</v>
      </c>
      <c r="C141" s="8">
        <v>0</v>
      </c>
      <c r="D141" s="3"/>
      <c r="E141" s="3"/>
    </row>
    <row r="142" spans="1:5" hidden="1" x14ac:dyDescent="0.3">
      <c r="A142" s="5" t="s">
        <v>66</v>
      </c>
      <c r="B142" s="5" t="s">
        <v>3</v>
      </c>
      <c r="C142" s="8">
        <v>0</v>
      </c>
      <c r="D142" s="3"/>
      <c r="E142" s="3"/>
    </row>
    <row r="143" spans="1:5" x14ac:dyDescent="0.3">
      <c r="A143" s="5" t="s">
        <v>43</v>
      </c>
      <c r="B143" s="5" t="s">
        <v>3</v>
      </c>
      <c r="C143" s="8">
        <v>785</v>
      </c>
      <c r="D143" s="15">
        <v>27600</v>
      </c>
      <c r="E143" s="15">
        <f>+D143*C143</f>
        <v>21666000</v>
      </c>
    </row>
    <row r="144" spans="1:5" hidden="1" x14ac:dyDescent="0.3">
      <c r="A144" s="5" t="s">
        <v>67</v>
      </c>
      <c r="B144" s="5" t="s">
        <v>3</v>
      </c>
      <c r="C144" s="8">
        <v>0</v>
      </c>
      <c r="D144" s="3"/>
      <c r="E144" s="3"/>
    </row>
    <row r="145" spans="1:5" x14ac:dyDescent="0.3">
      <c r="A145" s="5" t="s">
        <v>34</v>
      </c>
      <c r="B145" s="5" t="s">
        <v>3</v>
      </c>
      <c r="C145" s="8">
        <v>20</v>
      </c>
      <c r="D145" s="15">
        <v>32000</v>
      </c>
      <c r="E145" s="15">
        <f t="shared" ref="E145:E149" si="17">+D145*C145</f>
        <v>640000</v>
      </c>
    </row>
    <row r="146" spans="1:5" x14ac:dyDescent="0.3">
      <c r="A146" s="5" t="s">
        <v>35</v>
      </c>
      <c r="B146" s="5" t="s">
        <v>3</v>
      </c>
      <c r="C146" s="8">
        <v>20</v>
      </c>
      <c r="D146" s="15">
        <v>20000</v>
      </c>
      <c r="E146" s="15">
        <f t="shared" si="17"/>
        <v>400000</v>
      </c>
    </row>
    <row r="147" spans="1:5" x14ac:dyDescent="0.3">
      <c r="A147" s="5" t="s">
        <v>36</v>
      </c>
      <c r="B147" s="5" t="s">
        <v>3</v>
      </c>
      <c r="C147" s="8">
        <v>40</v>
      </c>
      <c r="D147" s="15">
        <v>17000</v>
      </c>
      <c r="E147" s="15">
        <f t="shared" si="17"/>
        <v>680000</v>
      </c>
    </row>
    <row r="148" spans="1:5" x14ac:dyDescent="0.3">
      <c r="A148" s="5" t="s">
        <v>116</v>
      </c>
      <c r="B148" s="5" t="s">
        <v>26</v>
      </c>
      <c r="C148" s="8">
        <v>20</v>
      </c>
      <c r="D148" s="15">
        <v>10000</v>
      </c>
      <c r="E148" s="15">
        <f t="shared" si="17"/>
        <v>200000</v>
      </c>
    </row>
    <row r="149" spans="1:5" x14ac:dyDescent="0.3">
      <c r="A149" s="5" t="s">
        <v>72</v>
      </c>
      <c r="B149" s="5" t="s">
        <v>3</v>
      </c>
      <c r="C149" s="8">
        <v>100</v>
      </c>
      <c r="D149" s="15">
        <v>7000</v>
      </c>
      <c r="E149" s="15">
        <f t="shared" si="17"/>
        <v>700000</v>
      </c>
    </row>
    <row r="150" spans="1:5" hidden="1" x14ac:dyDescent="0.3">
      <c r="A150" s="5" t="s">
        <v>23</v>
      </c>
      <c r="B150" s="5" t="s">
        <v>22</v>
      </c>
      <c r="C150" s="8">
        <v>0</v>
      </c>
      <c r="D150" s="3"/>
      <c r="E150" s="3"/>
    </row>
    <row r="151" spans="1:5" hidden="1" x14ac:dyDescent="0.3">
      <c r="A151" s="5" t="s">
        <v>84</v>
      </c>
      <c r="B151" s="5" t="s">
        <v>22</v>
      </c>
      <c r="C151" s="8">
        <v>0</v>
      </c>
      <c r="D151" s="3"/>
      <c r="E151" s="3"/>
    </row>
    <row r="152" spans="1:5" hidden="1" x14ac:dyDescent="0.3">
      <c r="A152" s="5" t="s">
        <v>86</v>
      </c>
      <c r="B152" s="5" t="s">
        <v>22</v>
      </c>
      <c r="C152" s="8">
        <v>0</v>
      </c>
      <c r="D152" s="3"/>
      <c r="E152" s="3"/>
    </row>
    <row r="153" spans="1:5" hidden="1" x14ac:dyDescent="0.3">
      <c r="A153" s="5" t="s">
        <v>85</v>
      </c>
      <c r="B153" s="5" t="s">
        <v>22</v>
      </c>
      <c r="C153" s="8">
        <v>0</v>
      </c>
      <c r="D153" s="3"/>
      <c r="E153" s="3"/>
    </row>
    <row r="154" spans="1:5" hidden="1" x14ac:dyDescent="0.3">
      <c r="A154" s="5" t="e">
        <v>#N/A</v>
      </c>
      <c r="B154" s="5">
        <v>0</v>
      </c>
      <c r="C154" s="8">
        <v>0</v>
      </c>
      <c r="D154" s="3"/>
      <c r="E154" s="3"/>
    </row>
    <row r="155" spans="1:5" x14ac:dyDescent="0.3">
      <c r="A155" s="12" t="s">
        <v>153</v>
      </c>
      <c r="B155" s="12">
        <v>0</v>
      </c>
      <c r="C155" s="13">
        <v>9920.5</v>
      </c>
      <c r="D155" s="33"/>
      <c r="E155" s="17">
        <f>SUBTOTAL(9,E111:E149)</f>
        <v>48929500</v>
      </c>
    </row>
    <row r="156" spans="1:5" x14ac:dyDescent="0.3">
      <c r="E156" s="21">
        <f>+E155+E107</f>
        <v>232283250</v>
      </c>
    </row>
  </sheetData>
  <autoFilter ref="A1:E156" xr:uid="{00000000-0009-0000-0000-00000D000000}">
    <filterColumn colId="3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2:E149"/>
  <sheetViews>
    <sheetView topLeftCell="A129" workbookViewId="0">
      <selection activeCell="I146" sqref="I146"/>
    </sheetView>
  </sheetViews>
  <sheetFormatPr defaultRowHeight="14.4" x14ac:dyDescent="0.3"/>
  <cols>
    <col min="1" max="1" width="27" customWidth="1"/>
    <col min="4" max="4" width="11.44140625" customWidth="1"/>
    <col min="5" max="5" width="17.33203125" customWidth="1"/>
  </cols>
  <sheetData>
    <row r="2" spans="1:5" x14ac:dyDescent="0.3">
      <c r="A2" t="s">
        <v>154</v>
      </c>
    </row>
    <row r="3" spans="1:5" x14ac:dyDescent="0.3">
      <c r="A3" t="s">
        <v>0</v>
      </c>
      <c r="B3" t="s">
        <v>1</v>
      </c>
      <c r="C3" t="s">
        <v>102</v>
      </c>
      <c r="D3" t="s">
        <v>100</v>
      </c>
      <c r="E3" t="s">
        <v>101</v>
      </c>
    </row>
    <row r="4" spans="1:5" hidden="1" x14ac:dyDescent="0.3">
      <c r="A4" t="s">
        <v>2</v>
      </c>
      <c r="B4" t="s">
        <v>3</v>
      </c>
      <c r="C4">
        <v>0</v>
      </c>
      <c r="E4">
        <f>C4*D4</f>
        <v>0</v>
      </c>
    </row>
    <row r="5" spans="1:5" hidden="1" x14ac:dyDescent="0.3">
      <c r="A5" t="s">
        <v>2</v>
      </c>
      <c r="B5" t="s">
        <v>4</v>
      </c>
      <c r="C5">
        <v>0</v>
      </c>
      <c r="E5">
        <f t="shared" ref="E5:E68" si="0">C5*D5</f>
        <v>0</v>
      </c>
    </row>
    <row r="6" spans="1:5" hidden="1" x14ac:dyDescent="0.3">
      <c r="A6" t="s">
        <v>5</v>
      </c>
      <c r="B6" t="s">
        <v>6</v>
      </c>
      <c r="C6">
        <v>0</v>
      </c>
      <c r="E6">
        <f t="shared" si="0"/>
        <v>0</v>
      </c>
    </row>
    <row r="7" spans="1:5" x14ac:dyDescent="0.3">
      <c r="A7" t="s">
        <v>7</v>
      </c>
      <c r="B7" t="s">
        <v>8</v>
      </c>
      <c r="C7">
        <v>13</v>
      </c>
      <c r="D7">
        <v>6500</v>
      </c>
      <c r="E7">
        <f t="shared" si="0"/>
        <v>84500</v>
      </c>
    </row>
    <row r="8" spans="1:5" hidden="1" x14ac:dyDescent="0.3">
      <c r="A8" t="s">
        <v>7</v>
      </c>
      <c r="B8" t="s">
        <v>3</v>
      </c>
      <c r="C8">
        <v>0</v>
      </c>
      <c r="E8">
        <f t="shared" si="0"/>
        <v>0</v>
      </c>
    </row>
    <row r="9" spans="1:5" x14ac:dyDescent="0.3">
      <c r="A9" t="s">
        <v>9</v>
      </c>
      <c r="B9" t="s">
        <v>3</v>
      </c>
      <c r="C9">
        <v>10</v>
      </c>
      <c r="D9">
        <v>11000</v>
      </c>
      <c r="E9">
        <f t="shared" si="0"/>
        <v>110000</v>
      </c>
    </row>
    <row r="10" spans="1:5" hidden="1" x14ac:dyDescent="0.3">
      <c r="A10" t="s">
        <v>9</v>
      </c>
      <c r="B10" t="s">
        <v>4</v>
      </c>
      <c r="C10">
        <v>0</v>
      </c>
      <c r="E10">
        <f t="shared" si="0"/>
        <v>0</v>
      </c>
    </row>
    <row r="11" spans="1:5" x14ac:dyDescent="0.3">
      <c r="A11" t="s">
        <v>10</v>
      </c>
      <c r="B11" t="s">
        <v>3</v>
      </c>
      <c r="C11">
        <v>463</v>
      </c>
      <c r="D11">
        <v>19000</v>
      </c>
      <c r="E11">
        <f t="shared" si="0"/>
        <v>8797000</v>
      </c>
    </row>
    <row r="12" spans="1:5" hidden="1" x14ac:dyDescent="0.3">
      <c r="A12" t="s">
        <v>10</v>
      </c>
      <c r="B12" t="s">
        <v>11</v>
      </c>
      <c r="C12">
        <v>0</v>
      </c>
      <c r="E12">
        <f t="shared" si="0"/>
        <v>0</v>
      </c>
    </row>
    <row r="13" spans="1:5" x14ac:dyDescent="0.3">
      <c r="A13" t="s">
        <v>12</v>
      </c>
      <c r="B13" t="s">
        <v>4</v>
      </c>
      <c r="C13">
        <v>200</v>
      </c>
      <c r="D13">
        <v>4800</v>
      </c>
      <c r="E13">
        <f t="shared" si="0"/>
        <v>960000</v>
      </c>
    </row>
    <row r="14" spans="1:5" x14ac:dyDescent="0.3">
      <c r="A14" t="s">
        <v>13</v>
      </c>
      <c r="B14" t="s">
        <v>3</v>
      </c>
      <c r="C14">
        <v>460</v>
      </c>
      <c r="D14">
        <v>24000</v>
      </c>
      <c r="E14">
        <f t="shared" si="0"/>
        <v>11040000</v>
      </c>
    </row>
    <row r="15" spans="1:5" hidden="1" x14ac:dyDescent="0.3">
      <c r="A15" t="s">
        <v>13</v>
      </c>
      <c r="B15" t="s">
        <v>4</v>
      </c>
      <c r="C15">
        <v>0</v>
      </c>
      <c r="E15">
        <f t="shared" si="0"/>
        <v>0</v>
      </c>
    </row>
    <row r="16" spans="1:5" x14ac:dyDescent="0.3">
      <c r="A16" t="s">
        <v>14</v>
      </c>
      <c r="B16" t="s">
        <v>3</v>
      </c>
      <c r="C16">
        <v>80</v>
      </c>
      <c r="D16">
        <v>16000</v>
      </c>
      <c r="E16">
        <f t="shared" si="0"/>
        <v>1280000</v>
      </c>
    </row>
    <row r="17" spans="1:5" x14ac:dyDescent="0.3">
      <c r="A17" t="s">
        <v>15</v>
      </c>
      <c r="B17" t="s">
        <v>3</v>
      </c>
      <c r="C17">
        <v>50</v>
      </c>
      <c r="D17">
        <v>17000</v>
      </c>
      <c r="E17">
        <f t="shared" si="0"/>
        <v>850000</v>
      </c>
    </row>
    <row r="18" spans="1:5" hidden="1" x14ac:dyDescent="0.3">
      <c r="A18" t="s">
        <v>15</v>
      </c>
      <c r="B18" t="s">
        <v>4</v>
      </c>
      <c r="C18">
        <v>0</v>
      </c>
      <c r="E18">
        <f t="shared" si="0"/>
        <v>0</v>
      </c>
    </row>
    <row r="19" spans="1:5" hidden="1" x14ac:dyDescent="0.3">
      <c r="A19" t="s">
        <v>16</v>
      </c>
      <c r="B19" t="s">
        <v>6</v>
      </c>
      <c r="C19">
        <v>0</v>
      </c>
      <c r="E19">
        <f t="shared" si="0"/>
        <v>0</v>
      </c>
    </row>
    <row r="20" spans="1:5" x14ac:dyDescent="0.3">
      <c r="A20" t="s">
        <v>17</v>
      </c>
      <c r="B20" t="s">
        <v>3</v>
      </c>
      <c r="C20">
        <v>335</v>
      </c>
      <c r="D20">
        <v>5500</v>
      </c>
      <c r="E20">
        <f t="shared" si="0"/>
        <v>1842500</v>
      </c>
    </row>
    <row r="21" spans="1:5" x14ac:dyDescent="0.3">
      <c r="A21" t="s">
        <v>18</v>
      </c>
      <c r="B21" t="s">
        <v>3</v>
      </c>
      <c r="C21">
        <v>7</v>
      </c>
      <c r="D21">
        <v>16000</v>
      </c>
      <c r="E21">
        <f t="shared" si="0"/>
        <v>112000</v>
      </c>
    </row>
    <row r="22" spans="1:5" hidden="1" x14ac:dyDescent="0.3">
      <c r="A22" t="s">
        <v>18</v>
      </c>
      <c r="B22" t="s">
        <v>4</v>
      </c>
      <c r="C22">
        <v>0</v>
      </c>
      <c r="E22">
        <f t="shared" si="0"/>
        <v>0</v>
      </c>
    </row>
    <row r="23" spans="1:5" x14ac:dyDescent="0.3">
      <c r="A23" t="s">
        <v>19</v>
      </c>
      <c r="B23" t="s">
        <v>4</v>
      </c>
      <c r="C23">
        <v>15</v>
      </c>
      <c r="D23">
        <v>5250</v>
      </c>
      <c r="E23">
        <f t="shared" si="0"/>
        <v>78750</v>
      </c>
    </row>
    <row r="24" spans="1:5" x14ac:dyDescent="0.3">
      <c r="A24" t="s">
        <v>20</v>
      </c>
      <c r="B24" t="s">
        <v>3</v>
      </c>
      <c r="C24">
        <v>800</v>
      </c>
      <c r="D24">
        <v>5500</v>
      </c>
      <c r="E24">
        <f t="shared" si="0"/>
        <v>4400000</v>
      </c>
    </row>
    <row r="25" spans="1:5" hidden="1" x14ac:dyDescent="0.3">
      <c r="A25" t="s">
        <v>21</v>
      </c>
      <c r="B25" t="s">
        <v>22</v>
      </c>
      <c r="C25">
        <v>0</v>
      </c>
      <c r="E25">
        <f t="shared" si="0"/>
        <v>0</v>
      </c>
    </row>
    <row r="26" spans="1:5" x14ac:dyDescent="0.3">
      <c r="A26" t="s">
        <v>21</v>
      </c>
      <c r="B26" t="s">
        <v>3</v>
      </c>
      <c r="C26">
        <v>60</v>
      </c>
      <c r="D26">
        <v>13000</v>
      </c>
      <c r="E26">
        <f t="shared" si="0"/>
        <v>780000</v>
      </c>
    </row>
    <row r="27" spans="1:5" x14ac:dyDescent="0.3">
      <c r="A27" t="s">
        <v>23</v>
      </c>
      <c r="B27" t="s">
        <v>3</v>
      </c>
      <c r="C27">
        <v>8</v>
      </c>
      <c r="D27">
        <v>28000</v>
      </c>
      <c r="E27">
        <f t="shared" si="0"/>
        <v>224000</v>
      </c>
    </row>
    <row r="28" spans="1:5" x14ac:dyDescent="0.3">
      <c r="A28" t="s">
        <v>24</v>
      </c>
      <c r="B28" t="s">
        <v>3</v>
      </c>
      <c r="C28">
        <v>195</v>
      </c>
      <c r="D28">
        <v>7000</v>
      </c>
      <c r="E28">
        <f t="shared" si="0"/>
        <v>1365000</v>
      </c>
    </row>
    <row r="29" spans="1:5" x14ac:dyDescent="0.3">
      <c r="A29" t="s">
        <v>25</v>
      </c>
      <c r="B29" t="s">
        <v>3</v>
      </c>
      <c r="C29">
        <v>100</v>
      </c>
      <c r="D29">
        <v>13000</v>
      </c>
      <c r="E29">
        <f t="shared" si="0"/>
        <v>1300000</v>
      </c>
    </row>
    <row r="30" spans="1:5" hidden="1" x14ac:dyDescent="0.3">
      <c r="A30" t="s">
        <v>25</v>
      </c>
      <c r="B30" t="s">
        <v>26</v>
      </c>
      <c r="C30">
        <v>0</v>
      </c>
      <c r="E30">
        <f t="shared" si="0"/>
        <v>0</v>
      </c>
    </row>
    <row r="31" spans="1:5" x14ac:dyDescent="0.3">
      <c r="A31" t="s">
        <v>27</v>
      </c>
      <c r="B31" t="s">
        <v>3</v>
      </c>
      <c r="C31">
        <v>25</v>
      </c>
      <c r="D31">
        <v>10000</v>
      </c>
      <c r="E31">
        <f t="shared" si="0"/>
        <v>250000</v>
      </c>
    </row>
    <row r="32" spans="1:5" hidden="1" x14ac:dyDescent="0.3">
      <c r="A32" t="s">
        <v>27</v>
      </c>
      <c r="B32" t="s">
        <v>26</v>
      </c>
      <c r="C32">
        <v>0</v>
      </c>
      <c r="E32">
        <f t="shared" si="0"/>
        <v>0</v>
      </c>
    </row>
    <row r="33" spans="1:5" x14ac:dyDescent="0.3">
      <c r="A33" t="s">
        <v>28</v>
      </c>
      <c r="B33" t="s">
        <v>3</v>
      </c>
      <c r="C33">
        <v>125</v>
      </c>
      <c r="D33">
        <v>24000</v>
      </c>
      <c r="E33">
        <f t="shared" si="0"/>
        <v>3000000</v>
      </c>
    </row>
    <row r="34" spans="1:5" hidden="1" x14ac:dyDescent="0.3">
      <c r="A34" t="s">
        <v>28</v>
      </c>
      <c r="B34" t="s">
        <v>29</v>
      </c>
      <c r="C34">
        <v>0</v>
      </c>
      <c r="E34">
        <f t="shared" si="0"/>
        <v>0</v>
      </c>
    </row>
    <row r="35" spans="1:5" x14ac:dyDescent="0.3">
      <c r="A35" t="s">
        <v>30</v>
      </c>
      <c r="B35" t="s">
        <v>3</v>
      </c>
      <c r="C35">
        <v>400</v>
      </c>
      <c r="D35">
        <v>20000</v>
      </c>
      <c r="E35">
        <f t="shared" si="0"/>
        <v>8000000</v>
      </c>
    </row>
    <row r="36" spans="1:5" hidden="1" x14ac:dyDescent="0.3">
      <c r="A36" t="s">
        <v>30</v>
      </c>
      <c r="B36" t="s">
        <v>6</v>
      </c>
      <c r="C36">
        <v>0</v>
      </c>
      <c r="E36">
        <f t="shared" si="0"/>
        <v>0</v>
      </c>
    </row>
    <row r="37" spans="1:5" x14ac:dyDescent="0.3">
      <c r="A37" t="s">
        <v>31</v>
      </c>
      <c r="B37" t="s">
        <v>4</v>
      </c>
      <c r="C37">
        <v>108</v>
      </c>
      <c r="D37">
        <v>17000</v>
      </c>
      <c r="E37">
        <f t="shared" si="0"/>
        <v>1836000</v>
      </c>
    </row>
    <row r="38" spans="1:5" x14ac:dyDescent="0.3">
      <c r="A38" t="s">
        <v>32</v>
      </c>
      <c r="B38" t="s">
        <v>3</v>
      </c>
      <c r="C38">
        <v>52</v>
      </c>
      <c r="D38">
        <v>7000</v>
      </c>
      <c r="E38">
        <f t="shared" si="0"/>
        <v>364000</v>
      </c>
    </row>
    <row r="39" spans="1:5" x14ac:dyDescent="0.3">
      <c r="A39" t="s">
        <v>32</v>
      </c>
      <c r="B39" t="s">
        <v>6</v>
      </c>
      <c r="C39">
        <v>323</v>
      </c>
      <c r="D39">
        <v>5000</v>
      </c>
      <c r="E39">
        <f t="shared" si="0"/>
        <v>1615000</v>
      </c>
    </row>
    <row r="40" spans="1:5" x14ac:dyDescent="0.3">
      <c r="A40" t="s">
        <v>33</v>
      </c>
      <c r="B40" t="s">
        <v>3</v>
      </c>
      <c r="C40">
        <v>30</v>
      </c>
      <c r="D40">
        <v>6000</v>
      </c>
      <c r="E40">
        <f t="shared" si="0"/>
        <v>180000</v>
      </c>
    </row>
    <row r="41" spans="1:5" hidden="1" x14ac:dyDescent="0.3">
      <c r="A41" t="s">
        <v>34</v>
      </c>
      <c r="B41" t="s">
        <v>3</v>
      </c>
      <c r="C41">
        <v>0</v>
      </c>
      <c r="E41">
        <f t="shared" si="0"/>
        <v>0</v>
      </c>
    </row>
    <row r="42" spans="1:5" hidden="1" x14ac:dyDescent="0.3">
      <c r="A42" t="s">
        <v>34</v>
      </c>
      <c r="B42" t="s">
        <v>26</v>
      </c>
      <c r="C42">
        <v>0</v>
      </c>
      <c r="E42">
        <f t="shared" si="0"/>
        <v>0</v>
      </c>
    </row>
    <row r="43" spans="1:5" x14ac:dyDescent="0.3">
      <c r="A43" t="s">
        <v>35</v>
      </c>
      <c r="B43" t="s">
        <v>3</v>
      </c>
      <c r="C43">
        <v>43</v>
      </c>
      <c r="D43">
        <v>20000</v>
      </c>
      <c r="E43">
        <f t="shared" si="0"/>
        <v>860000</v>
      </c>
    </row>
    <row r="44" spans="1:5" hidden="1" x14ac:dyDescent="0.3">
      <c r="A44" t="s">
        <v>35</v>
      </c>
      <c r="B44" t="s">
        <v>26</v>
      </c>
      <c r="C44">
        <v>0</v>
      </c>
      <c r="E44">
        <f t="shared" si="0"/>
        <v>0</v>
      </c>
    </row>
    <row r="45" spans="1:5" x14ac:dyDescent="0.3">
      <c r="A45" t="s">
        <v>36</v>
      </c>
      <c r="B45" t="s">
        <v>3</v>
      </c>
      <c r="C45">
        <v>50</v>
      </c>
      <c r="D45">
        <v>17000</v>
      </c>
      <c r="E45">
        <f t="shared" si="0"/>
        <v>850000</v>
      </c>
    </row>
    <row r="46" spans="1:5" hidden="1" x14ac:dyDescent="0.3">
      <c r="A46" t="s">
        <v>36</v>
      </c>
      <c r="B46" t="s">
        <v>26</v>
      </c>
      <c r="C46">
        <v>0</v>
      </c>
      <c r="E46">
        <f t="shared" si="0"/>
        <v>0</v>
      </c>
    </row>
    <row r="47" spans="1:5" hidden="1" x14ac:dyDescent="0.3">
      <c r="A47" t="s">
        <v>38</v>
      </c>
      <c r="B47" t="s">
        <v>6</v>
      </c>
      <c r="C47">
        <v>0</v>
      </c>
      <c r="E47">
        <f t="shared" si="0"/>
        <v>0</v>
      </c>
    </row>
    <row r="48" spans="1:5" x14ac:dyDescent="0.3">
      <c r="A48" t="s">
        <v>39</v>
      </c>
      <c r="B48" t="s">
        <v>3</v>
      </c>
      <c r="C48">
        <v>1390</v>
      </c>
      <c r="D48">
        <v>24000</v>
      </c>
      <c r="E48">
        <f t="shared" si="0"/>
        <v>33360000</v>
      </c>
    </row>
    <row r="49" spans="1:5" x14ac:dyDescent="0.3">
      <c r="A49" t="s">
        <v>40</v>
      </c>
      <c r="B49" t="s">
        <v>3</v>
      </c>
      <c r="C49">
        <v>8</v>
      </c>
      <c r="D49">
        <v>30000</v>
      </c>
      <c r="E49">
        <f t="shared" si="0"/>
        <v>240000</v>
      </c>
    </row>
    <row r="50" spans="1:5" x14ac:dyDescent="0.3">
      <c r="A50" t="s">
        <v>40</v>
      </c>
      <c r="B50" t="s">
        <v>41</v>
      </c>
      <c r="C50">
        <v>60</v>
      </c>
      <c r="D50">
        <v>9000</v>
      </c>
      <c r="E50">
        <f t="shared" si="0"/>
        <v>540000</v>
      </c>
    </row>
    <row r="51" spans="1:5" x14ac:dyDescent="0.3">
      <c r="A51" t="s">
        <v>43</v>
      </c>
      <c r="B51" t="s">
        <v>3</v>
      </c>
      <c r="C51">
        <v>1800</v>
      </c>
      <c r="D51">
        <v>27600</v>
      </c>
      <c r="E51">
        <f t="shared" si="0"/>
        <v>49680000</v>
      </c>
    </row>
    <row r="52" spans="1:5" x14ac:dyDescent="0.3">
      <c r="A52" t="s">
        <v>44</v>
      </c>
      <c r="B52" t="s">
        <v>3</v>
      </c>
      <c r="C52">
        <v>26</v>
      </c>
      <c r="D52">
        <v>32000</v>
      </c>
      <c r="E52">
        <f t="shared" si="0"/>
        <v>832000</v>
      </c>
    </row>
    <row r="53" spans="1:5" x14ac:dyDescent="0.3">
      <c r="A53" t="s">
        <v>45</v>
      </c>
      <c r="B53" t="s">
        <v>3</v>
      </c>
      <c r="C53">
        <v>543</v>
      </c>
      <c r="D53">
        <v>5500</v>
      </c>
      <c r="E53">
        <f t="shared" si="0"/>
        <v>2986500</v>
      </c>
    </row>
    <row r="54" spans="1:5" x14ac:dyDescent="0.3">
      <c r="A54" t="s">
        <v>46</v>
      </c>
      <c r="B54" t="s">
        <v>3</v>
      </c>
      <c r="C54">
        <v>33</v>
      </c>
      <c r="D54">
        <v>25000</v>
      </c>
      <c r="E54">
        <f t="shared" si="0"/>
        <v>825000</v>
      </c>
    </row>
    <row r="55" spans="1:5" x14ac:dyDescent="0.3">
      <c r="A55" t="s">
        <v>48</v>
      </c>
      <c r="B55" t="s">
        <v>3</v>
      </c>
      <c r="C55">
        <v>8</v>
      </c>
      <c r="D55">
        <v>21000</v>
      </c>
      <c r="E55">
        <f t="shared" si="0"/>
        <v>168000</v>
      </c>
    </row>
    <row r="56" spans="1:5" hidden="1" x14ac:dyDescent="0.3">
      <c r="A56" t="s">
        <v>48</v>
      </c>
      <c r="B56" t="s">
        <v>49</v>
      </c>
      <c r="C56">
        <v>0</v>
      </c>
      <c r="E56">
        <f t="shared" si="0"/>
        <v>0</v>
      </c>
    </row>
    <row r="57" spans="1:5" x14ac:dyDescent="0.3">
      <c r="A57" t="s">
        <v>50</v>
      </c>
      <c r="B57" t="s">
        <v>8</v>
      </c>
      <c r="C57">
        <v>12</v>
      </c>
      <c r="D57">
        <v>16500</v>
      </c>
      <c r="E57">
        <f t="shared" si="0"/>
        <v>198000</v>
      </c>
    </row>
    <row r="58" spans="1:5" x14ac:dyDescent="0.3">
      <c r="A58" t="s">
        <v>51</v>
      </c>
      <c r="B58" t="s">
        <v>3</v>
      </c>
      <c r="C58">
        <v>10</v>
      </c>
      <c r="D58">
        <v>38000</v>
      </c>
      <c r="E58">
        <f t="shared" si="0"/>
        <v>380000</v>
      </c>
    </row>
    <row r="59" spans="1:5" hidden="1" x14ac:dyDescent="0.3">
      <c r="A59" t="s">
        <v>51</v>
      </c>
      <c r="B59" t="s">
        <v>52</v>
      </c>
      <c r="C59">
        <v>0</v>
      </c>
      <c r="E59">
        <f t="shared" si="0"/>
        <v>0</v>
      </c>
    </row>
    <row r="60" spans="1:5" hidden="1" x14ac:dyDescent="0.3">
      <c r="A60" t="s">
        <v>53</v>
      </c>
      <c r="B60" t="s">
        <v>3</v>
      </c>
      <c r="C60">
        <v>0</v>
      </c>
      <c r="E60">
        <f t="shared" si="0"/>
        <v>0</v>
      </c>
    </row>
    <row r="61" spans="1:5" hidden="1" x14ac:dyDescent="0.3">
      <c r="A61" t="s">
        <v>53</v>
      </c>
      <c r="B61" t="s">
        <v>54</v>
      </c>
      <c r="C61">
        <v>0</v>
      </c>
      <c r="E61">
        <f t="shared" si="0"/>
        <v>0</v>
      </c>
    </row>
    <row r="62" spans="1:5" hidden="1" x14ac:dyDescent="0.3">
      <c r="A62" t="s">
        <v>55</v>
      </c>
      <c r="B62" t="s">
        <v>4</v>
      </c>
      <c r="C62">
        <v>0</v>
      </c>
      <c r="E62">
        <f t="shared" si="0"/>
        <v>0</v>
      </c>
    </row>
    <row r="63" spans="1:5" x14ac:dyDescent="0.3">
      <c r="A63" t="s">
        <v>56</v>
      </c>
      <c r="B63" t="s">
        <v>3</v>
      </c>
      <c r="C63">
        <v>40</v>
      </c>
      <c r="D63">
        <v>13000</v>
      </c>
      <c r="E63">
        <f t="shared" si="0"/>
        <v>520000</v>
      </c>
    </row>
    <row r="64" spans="1:5" x14ac:dyDescent="0.3">
      <c r="A64" t="s">
        <v>57</v>
      </c>
      <c r="B64" t="s">
        <v>3</v>
      </c>
      <c r="C64">
        <v>51</v>
      </c>
      <c r="D64">
        <v>4500</v>
      </c>
      <c r="E64">
        <f t="shared" si="0"/>
        <v>229500</v>
      </c>
    </row>
    <row r="65" spans="1:5" x14ac:dyDescent="0.3">
      <c r="A65" t="s">
        <v>58</v>
      </c>
      <c r="B65" t="s">
        <v>3</v>
      </c>
      <c r="C65">
        <v>10</v>
      </c>
      <c r="D65">
        <v>23000</v>
      </c>
      <c r="E65">
        <f t="shared" si="0"/>
        <v>230000</v>
      </c>
    </row>
    <row r="66" spans="1:5" x14ac:dyDescent="0.3">
      <c r="A66" t="s">
        <v>59</v>
      </c>
      <c r="B66" t="s">
        <v>3</v>
      </c>
      <c r="C66">
        <v>50</v>
      </c>
      <c r="D66">
        <v>10000</v>
      </c>
      <c r="E66">
        <f t="shared" si="0"/>
        <v>500000</v>
      </c>
    </row>
    <row r="67" spans="1:5" x14ac:dyDescent="0.3">
      <c r="A67" t="s">
        <v>60</v>
      </c>
      <c r="B67" t="s">
        <v>4</v>
      </c>
      <c r="C67">
        <v>28</v>
      </c>
      <c r="D67">
        <v>6000</v>
      </c>
      <c r="E67">
        <f t="shared" si="0"/>
        <v>168000</v>
      </c>
    </row>
    <row r="68" spans="1:5" hidden="1" x14ac:dyDescent="0.3">
      <c r="A68" t="s">
        <v>61</v>
      </c>
      <c r="B68" t="s">
        <v>3</v>
      </c>
      <c r="C68">
        <v>0</v>
      </c>
      <c r="E68">
        <f t="shared" si="0"/>
        <v>0</v>
      </c>
    </row>
    <row r="69" spans="1:5" x14ac:dyDescent="0.3">
      <c r="A69" t="s">
        <v>61</v>
      </c>
      <c r="B69" t="s">
        <v>62</v>
      </c>
      <c r="C69">
        <v>43</v>
      </c>
      <c r="D69">
        <v>9000</v>
      </c>
      <c r="E69">
        <f t="shared" ref="E69:E134" si="1">C69*D69</f>
        <v>387000</v>
      </c>
    </row>
    <row r="70" spans="1:5" x14ac:dyDescent="0.3">
      <c r="A70" t="s">
        <v>63</v>
      </c>
      <c r="B70" t="s">
        <v>3</v>
      </c>
      <c r="C70">
        <v>5.5</v>
      </c>
      <c r="D70">
        <v>80000</v>
      </c>
      <c r="E70">
        <f t="shared" si="1"/>
        <v>440000</v>
      </c>
    </row>
    <row r="71" spans="1:5" x14ac:dyDescent="0.3">
      <c r="A71" t="s">
        <v>64</v>
      </c>
      <c r="B71" t="s">
        <v>3</v>
      </c>
      <c r="C71">
        <v>1</v>
      </c>
      <c r="D71">
        <v>70000</v>
      </c>
      <c r="E71">
        <f t="shared" si="1"/>
        <v>70000</v>
      </c>
    </row>
    <row r="72" spans="1:5" x14ac:dyDescent="0.3">
      <c r="A72" t="s">
        <v>65</v>
      </c>
      <c r="B72" t="s">
        <v>3</v>
      </c>
      <c r="C72">
        <v>0.5</v>
      </c>
      <c r="D72">
        <v>70000</v>
      </c>
      <c r="E72">
        <f t="shared" si="1"/>
        <v>35000</v>
      </c>
    </row>
    <row r="73" spans="1:5" hidden="1" x14ac:dyDescent="0.3">
      <c r="A73" t="s">
        <v>66</v>
      </c>
      <c r="B73" t="s">
        <v>22</v>
      </c>
      <c r="C73">
        <v>0</v>
      </c>
      <c r="E73">
        <f t="shared" si="1"/>
        <v>0</v>
      </c>
    </row>
    <row r="74" spans="1:5" hidden="1" x14ac:dyDescent="0.3">
      <c r="A74" t="s">
        <v>66</v>
      </c>
      <c r="B74" t="s">
        <v>3</v>
      </c>
      <c r="C74">
        <v>0</v>
      </c>
      <c r="E74">
        <f t="shared" si="1"/>
        <v>0</v>
      </c>
    </row>
    <row r="75" spans="1:5" hidden="1" x14ac:dyDescent="0.3">
      <c r="A75" t="s">
        <v>68</v>
      </c>
      <c r="B75" t="s">
        <v>4</v>
      </c>
      <c r="C75">
        <v>0</v>
      </c>
      <c r="E75">
        <f t="shared" si="1"/>
        <v>0</v>
      </c>
    </row>
    <row r="76" spans="1:5" hidden="1" x14ac:dyDescent="0.3">
      <c r="A76" t="s">
        <v>69</v>
      </c>
      <c r="B76" t="s">
        <v>3</v>
      </c>
      <c r="C76">
        <v>0</v>
      </c>
      <c r="E76">
        <f t="shared" si="1"/>
        <v>0</v>
      </c>
    </row>
    <row r="77" spans="1:5" hidden="1" x14ac:dyDescent="0.3">
      <c r="A77" t="s">
        <v>70</v>
      </c>
      <c r="B77" t="s">
        <v>8</v>
      </c>
      <c r="C77">
        <v>0</v>
      </c>
      <c r="E77">
        <f t="shared" si="1"/>
        <v>0</v>
      </c>
    </row>
    <row r="78" spans="1:5" x14ac:dyDescent="0.3">
      <c r="A78" t="s">
        <v>71</v>
      </c>
      <c r="B78" t="s">
        <v>4</v>
      </c>
      <c r="C78">
        <v>130</v>
      </c>
      <c r="D78">
        <v>21000</v>
      </c>
      <c r="E78">
        <f t="shared" si="1"/>
        <v>2730000</v>
      </c>
    </row>
    <row r="79" spans="1:5" x14ac:dyDescent="0.3">
      <c r="A79" t="s">
        <v>72</v>
      </c>
      <c r="B79" t="s">
        <v>3</v>
      </c>
      <c r="C79">
        <v>175</v>
      </c>
      <c r="D79">
        <v>7000</v>
      </c>
      <c r="E79">
        <f t="shared" si="1"/>
        <v>1225000</v>
      </c>
    </row>
    <row r="80" spans="1:5" x14ac:dyDescent="0.3">
      <c r="A80" t="s">
        <v>73</v>
      </c>
      <c r="B80" t="s">
        <v>3</v>
      </c>
      <c r="C80">
        <v>2</v>
      </c>
      <c r="D80">
        <v>14000</v>
      </c>
      <c r="E80">
        <f t="shared" si="1"/>
        <v>28000</v>
      </c>
    </row>
    <row r="81" spans="1:5" x14ac:dyDescent="0.3">
      <c r="A81" t="s">
        <v>74</v>
      </c>
      <c r="B81" t="s">
        <v>3</v>
      </c>
      <c r="C81">
        <v>17</v>
      </c>
      <c r="D81">
        <v>28000</v>
      </c>
      <c r="E81">
        <f t="shared" si="1"/>
        <v>476000</v>
      </c>
    </row>
    <row r="82" spans="1:5" x14ac:dyDescent="0.3">
      <c r="A82" t="s">
        <v>76</v>
      </c>
      <c r="B82" t="s">
        <v>3</v>
      </c>
      <c r="C82">
        <v>13</v>
      </c>
      <c r="D82">
        <v>30000</v>
      </c>
      <c r="E82">
        <f t="shared" si="1"/>
        <v>390000</v>
      </c>
    </row>
    <row r="83" spans="1:5" hidden="1" x14ac:dyDescent="0.3">
      <c r="A83" t="s">
        <v>82</v>
      </c>
      <c r="B83" t="s">
        <v>3</v>
      </c>
      <c r="C83">
        <v>0</v>
      </c>
      <c r="E83">
        <f t="shared" si="1"/>
        <v>0</v>
      </c>
    </row>
    <row r="84" spans="1:5" hidden="1" x14ac:dyDescent="0.3">
      <c r="A84" t="s">
        <v>83</v>
      </c>
      <c r="B84" t="s">
        <v>4</v>
      </c>
      <c r="C84">
        <v>0</v>
      </c>
      <c r="E84">
        <f t="shared" si="1"/>
        <v>0</v>
      </c>
    </row>
    <row r="85" spans="1:5" x14ac:dyDescent="0.3">
      <c r="A85" t="s">
        <v>84</v>
      </c>
      <c r="B85" t="s">
        <v>22</v>
      </c>
      <c r="C85">
        <v>135</v>
      </c>
      <c r="D85">
        <v>6800</v>
      </c>
      <c r="E85">
        <f t="shared" si="1"/>
        <v>918000</v>
      </c>
    </row>
    <row r="86" spans="1:5" x14ac:dyDescent="0.3">
      <c r="A86" t="s">
        <v>85</v>
      </c>
      <c r="B86" t="s">
        <v>22</v>
      </c>
      <c r="C86">
        <v>90</v>
      </c>
      <c r="D86">
        <v>6500</v>
      </c>
      <c r="E86">
        <f t="shared" si="1"/>
        <v>585000</v>
      </c>
    </row>
    <row r="87" spans="1:5" hidden="1" x14ac:dyDescent="0.3">
      <c r="A87" t="s">
        <v>86</v>
      </c>
      <c r="B87" t="s">
        <v>22</v>
      </c>
      <c r="C87">
        <v>0</v>
      </c>
      <c r="E87">
        <f t="shared" si="1"/>
        <v>0</v>
      </c>
    </row>
    <row r="88" spans="1:5" x14ac:dyDescent="0.3">
      <c r="A88" t="s">
        <v>87</v>
      </c>
      <c r="B88" t="s">
        <v>4</v>
      </c>
      <c r="C88">
        <v>40</v>
      </c>
      <c r="D88">
        <v>8000</v>
      </c>
      <c r="E88">
        <f t="shared" si="1"/>
        <v>320000</v>
      </c>
    </row>
    <row r="89" spans="1:5" x14ac:dyDescent="0.3">
      <c r="A89" t="s">
        <v>92</v>
      </c>
      <c r="B89" t="s">
        <v>3</v>
      </c>
      <c r="C89">
        <v>45</v>
      </c>
      <c r="D89">
        <v>11500</v>
      </c>
      <c r="E89">
        <f t="shared" si="1"/>
        <v>517500</v>
      </c>
    </row>
    <row r="90" spans="1:5" hidden="1" x14ac:dyDescent="0.3">
      <c r="A90" t="s">
        <v>152</v>
      </c>
      <c r="B90" t="s">
        <v>3</v>
      </c>
      <c r="C90">
        <v>0</v>
      </c>
      <c r="E90">
        <f t="shared" si="1"/>
        <v>0</v>
      </c>
    </row>
    <row r="91" spans="1:5" x14ac:dyDescent="0.3">
      <c r="A91" t="s">
        <v>88</v>
      </c>
      <c r="B91" t="s">
        <v>3</v>
      </c>
      <c r="C91">
        <v>880</v>
      </c>
      <c r="D91">
        <v>28000</v>
      </c>
      <c r="E91">
        <f t="shared" si="1"/>
        <v>24640000</v>
      </c>
    </row>
    <row r="92" spans="1:5" hidden="1" x14ac:dyDescent="0.3">
      <c r="A92" t="s">
        <v>136</v>
      </c>
      <c r="B92" t="s">
        <v>3</v>
      </c>
      <c r="C92">
        <v>0</v>
      </c>
      <c r="E92">
        <f t="shared" si="1"/>
        <v>0</v>
      </c>
    </row>
    <row r="93" spans="1:5" hidden="1" x14ac:dyDescent="0.3">
      <c r="A93" t="s">
        <v>90</v>
      </c>
      <c r="B93" t="s">
        <v>4</v>
      </c>
      <c r="C93">
        <v>0</v>
      </c>
      <c r="E93">
        <f t="shared" si="1"/>
        <v>0</v>
      </c>
    </row>
    <row r="94" spans="1:5" hidden="1" x14ac:dyDescent="0.3">
      <c r="A94" t="s">
        <v>91</v>
      </c>
      <c r="B94" t="s">
        <v>3</v>
      </c>
      <c r="C94">
        <v>0</v>
      </c>
      <c r="E94">
        <f t="shared" si="1"/>
        <v>0</v>
      </c>
    </row>
    <row r="95" spans="1:5" x14ac:dyDescent="0.3">
      <c r="A95" t="s">
        <v>89</v>
      </c>
      <c r="B95" t="s">
        <v>4</v>
      </c>
      <c r="C95">
        <v>20</v>
      </c>
      <c r="D95">
        <v>6000</v>
      </c>
      <c r="E95">
        <f t="shared" si="1"/>
        <v>120000</v>
      </c>
    </row>
    <row r="96" spans="1:5" x14ac:dyDescent="0.3">
      <c r="A96" t="s">
        <v>123</v>
      </c>
      <c r="B96" t="s">
        <v>3</v>
      </c>
      <c r="C96">
        <v>50</v>
      </c>
      <c r="D96">
        <v>16000</v>
      </c>
      <c r="E96">
        <f t="shared" si="1"/>
        <v>800000</v>
      </c>
    </row>
    <row r="97" spans="1:5" x14ac:dyDescent="0.3">
      <c r="A97" t="s">
        <v>93</v>
      </c>
      <c r="B97" t="s">
        <v>3</v>
      </c>
      <c r="C97">
        <v>18</v>
      </c>
      <c r="D97">
        <v>25000</v>
      </c>
      <c r="E97">
        <f t="shared" si="1"/>
        <v>450000</v>
      </c>
    </row>
    <row r="98" spans="1:5" x14ac:dyDescent="0.3">
      <c r="A98" t="s">
        <v>107</v>
      </c>
      <c r="B98" t="s">
        <v>3</v>
      </c>
      <c r="C98">
        <v>1.5</v>
      </c>
      <c r="D98">
        <v>16000</v>
      </c>
      <c r="E98">
        <f t="shared" si="1"/>
        <v>24000</v>
      </c>
    </row>
    <row r="99" spans="1:5" x14ac:dyDescent="0.3">
      <c r="A99" t="s">
        <v>106</v>
      </c>
      <c r="B99" t="s">
        <v>3</v>
      </c>
      <c r="C99">
        <v>5</v>
      </c>
      <c r="D99">
        <v>20000</v>
      </c>
      <c r="E99">
        <f t="shared" si="1"/>
        <v>100000</v>
      </c>
    </row>
    <row r="100" spans="1:5" x14ac:dyDescent="0.3">
      <c r="A100" t="s">
        <v>133</v>
      </c>
      <c r="B100" t="s">
        <v>3</v>
      </c>
      <c r="C100">
        <v>205</v>
      </c>
      <c r="D100">
        <v>17000</v>
      </c>
      <c r="E100">
        <f t="shared" si="1"/>
        <v>3485000</v>
      </c>
    </row>
    <row r="101" spans="1:5" x14ac:dyDescent="0.3">
      <c r="A101" t="s">
        <v>118</v>
      </c>
      <c r="B101" t="s">
        <v>3</v>
      </c>
      <c r="C101">
        <v>18</v>
      </c>
      <c r="D101">
        <v>25000</v>
      </c>
      <c r="E101">
        <f t="shared" si="1"/>
        <v>450000</v>
      </c>
    </row>
    <row r="102" spans="1:5" x14ac:dyDescent="0.3">
      <c r="E102">
        <f>SUM(E7:E101)</f>
        <v>179226250</v>
      </c>
    </row>
    <row r="103" spans="1:5" x14ac:dyDescent="0.3">
      <c r="A103" t="s">
        <v>103</v>
      </c>
    </row>
    <row r="104" spans="1:5" x14ac:dyDescent="0.3">
      <c r="A104" t="s">
        <v>0</v>
      </c>
      <c r="B104" t="s">
        <v>1</v>
      </c>
      <c r="C104" t="s">
        <v>102</v>
      </c>
      <c r="E104" t="s">
        <v>101</v>
      </c>
    </row>
    <row r="105" spans="1:5" x14ac:dyDescent="0.3">
      <c r="A105" t="s">
        <v>2</v>
      </c>
      <c r="B105" t="s">
        <v>3</v>
      </c>
      <c r="C105">
        <v>299</v>
      </c>
      <c r="D105">
        <v>13000</v>
      </c>
      <c r="E105">
        <f t="shared" si="1"/>
        <v>3887000</v>
      </c>
    </row>
    <row r="106" spans="1:5" x14ac:dyDescent="0.3">
      <c r="A106" t="s">
        <v>57</v>
      </c>
      <c r="B106" t="s">
        <v>3</v>
      </c>
      <c r="C106">
        <v>75</v>
      </c>
      <c r="D106">
        <v>4500</v>
      </c>
      <c r="E106">
        <f t="shared" si="1"/>
        <v>337500</v>
      </c>
    </row>
    <row r="107" spans="1:5" x14ac:dyDescent="0.3">
      <c r="A107" t="s">
        <v>9</v>
      </c>
      <c r="B107" t="s">
        <v>3</v>
      </c>
      <c r="C107">
        <v>65</v>
      </c>
      <c r="D107">
        <v>11000</v>
      </c>
      <c r="E107">
        <f t="shared" si="1"/>
        <v>715000</v>
      </c>
    </row>
    <row r="108" spans="1:5" hidden="1" x14ac:dyDescent="0.3">
      <c r="A108" t="s">
        <v>10</v>
      </c>
      <c r="B108" t="s">
        <v>3</v>
      </c>
      <c r="C108">
        <v>0</v>
      </c>
      <c r="E108">
        <f t="shared" si="1"/>
        <v>0</v>
      </c>
    </row>
    <row r="109" spans="1:5" hidden="1" x14ac:dyDescent="0.3">
      <c r="A109" t="s">
        <v>13</v>
      </c>
      <c r="B109" t="s">
        <v>4</v>
      </c>
      <c r="C109">
        <v>0</v>
      </c>
      <c r="E109">
        <f t="shared" si="1"/>
        <v>0</v>
      </c>
    </row>
    <row r="110" spans="1:5" x14ac:dyDescent="0.3">
      <c r="A110" t="s">
        <v>14</v>
      </c>
      <c r="B110" t="s">
        <v>3</v>
      </c>
      <c r="C110">
        <v>105</v>
      </c>
      <c r="D110">
        <v>16000</v>
      </c>
      <c r="E110">
        <f t="shared" si="1"/>
        <v>1680000</v>
      </c>
    </row>
    <row r="111" spans="1:5" hidden="1" x14ac:dyDescent="0.3">
      <c r="A111" t="s">
        <v>89</v>
      </c>
      <c r="B111" t="s">
        <v>4</v>
      </c>
      <c r="C111">
        <v>0</v>
      </c>
      <c r="E111">
        <f t="shared" si="1"/>
        <v>0</v>
      </c>
    </row>
    <row r="112" spans="1:5" x14ac:dyDescent="0.3">
      <c r="A112" t="s">
        <v>15</v>
      </c>
      <c r="B112" t="s">
        <v>3</v>
      </c>
      <c r="C112">
        <v>330</v>
      </c>
      <c r="D112">
        <v>17000</v>
      </c>
      <c r="E112">
        <f t="shared" si="1"/>
        <v>5610000</v>
      </c>
    </row>
    <row r="113" spans="1:5" x14ac:dyDescent="0.3">
      <c r="A113" t="s">
        <v>59</v>
      </c>
      <c r="B113" t="s">
        <v>3</v>
      </c>
      <c r="C113">
        <v>25</v>
      </c>
      <c r="D113">
        <v>10000</v>
      </c>
      <c r="E113">
        <f t="shared" si="1"/>
        <v>250000</v>
      </c>
    </row>
    <row r="114" spans="1:5" hidden="1" x14ac:dyDescent="0.3">
      <c r="A114" t="s">
        <v>46</v>
      </c>
      <c r="B114" t="s">
        <v>3</v>
      </c>
      <c r="C114">
        <v>0</v>
      </c>
      <c r="E114">
        <f t="shared" si="1"/>
        <v>0</v>
      </c>
    </row>
    <row r="115" spans="1:5" hidden="1" x14ac:dyDescent="0.3">
      <c r="A115" t="s">
        <v>94</v>
      </c>
      <c r="B115" t="s">
        <v>3</v>
      </c>
      <c r="C115">
        <v>0</v>
      </c>
      <c r="E115">
        <f t="shared" si="1"/>
        <v>0</v>
      </c>
    </row>
    <row r="116" spans="1:5" hidden="1" x14ac:dyDescent="0.3">
      <c r="A116" t="s">
        <v>44</v>
      </c>
      <c r="B116" t="s">
        <v>3</v>
      </c>
      <c r="C116">
        <v>0</v>
      </c>
      <c r="E116">
        <f t="shared" si="1"/>
        <v>0</v>
      </c>
    </row>
    <row r="117" spans="1:5" hidden="1" x14ac:dyDescent="0.3">
      <c r="A117" t="s">
        <v>45</v>
      </c>
      <c r="B117" t="s">
        <v>3</v>
      </c>
      <c r="C117">
        <v>0</v>
      </c>
      <c r="E117">
        <f t="shared" si="1"/>
        <v>0</v>
      </c>
    </row>
    <row r="118" spans="1:5" x14ac:dyDescent="0.3">
      <c r="A118" t="s">
        <v>17</v>
      </c>
      <c r="B118" t="s">
        <v>3</v>
      </c>
      <c r="C118">
        <v>561</v>
      </c>
      <c r="D118">
        <v>6500</v>
      </c>
      <c r="E118">
        <f t="shared" si="1"/>
        <v>3646500</v>
      </c>
    </row>
    <row r="119" spans="1:5" x14ac:dyDescent="0.3">
      <c r="A119" t="s">
        <v>20</v>
      </c>
      <c r="B119" t="s">
        <v>3</v>
      </c>
      <c r="C119">
        <v>455</v>
      </c>
      <c r="D119">
        <v>5500</v>
      </c>
      <c r="E119">
        <f t="shared" si="1"/>
        <v>2502500</v>
      </c>
    </row>
    <row r="120" spans="1:5" hidden="1" x14ac:dyDescent="0.3">
      <c r="A120" t="s">
        <v>21</v>
      </c>
      <c r="B120" t="s">
        <v>3</v>
      </c>
      <c r="C120">
        <v>0</v>
      </c>
      <c r="E120">
        <f t="shared" si="1"/>
        <v>0</v>
      </c>
    </row>
    <row r="121" spans="1:5" hidden="1" x14ac:dyDescent="0.3">
      <c r="A121" t="s">
        <v>66</v>
      </c>
      <c r="B121" t="s">
        <v>3</v>
      </c>
      <c r="C121">
        <v>0</v>
      </c>
      <c r="E121">
        <f t="shared" si="1"/>
        <v>0</v>
      </c>
    </row>
    <row r="122" spans="1:5" hidden="1" x14ac:dyDescent="0.3">
      <c r="A122" t="s">
        <v>84</v>
      </c>
      <c r="B122" t="s">
        <v>22</v>
      </c>
      <c r="C122">
        <v>0</v>
      </c>
      <c r="E122">
        <f t="shared" si="1"/>
        <v>0</v>
      </c>
    </row>
    <row r="123" spans="1:5" hidden="1" x14ac:dyDescent="0.3">
      <c r="A123" t="s">
        <v>86</v>
      </c>
      <c r="B123" t="s">
        <v>22</v>
      </c>
      <c r="C123">
        <v>0</v>
      </c>
      <c r="E123">
        <f t="shared" si="1"/>
        <v>0</v>
      </c>
    </row>
    <row r="124" spans="1:5" hidden="1" x14ac:dyDescent="0.3">
      <c r="A124" t="s">
        <v>85</v>
      </c>
      <c r="B124" t="s">
        <v>22</v>
      </c>
      <c r="C124">
        <v>0</v>
      </c>
      <c r="E124">
        <f t="shared" si="1"/>
        <v>0</v>
      </c>
    </row>
    <row r="125" spans="1:5" x14ac:dyDescent="0.3">
      <c r="A125" t="s">
        <v>95</v>
      </c>
      <c r="B125" t="s">
        <v>3</v>
      </c>
      <c r="C125">
        <v>40</v>
      </c>
      <c r="D125">
        <v>8000</v>
      </c>
      <c r="E125">
        <f t="shared" si="1"/>
        <v>320000</v>
      </c>
    </row>
    <row r="126" spans="1:5" hidden="1" x14ac:dyDescent="0.3">
      <c r="A126" t="s">
        <v>24</v>
      </c>
      <c r="B126" t="s">
        <v>3</v>
      </c>
      <c r="C126">
        <v>0</v>
      </c>
      <c r="E126">
        <f t="shared" si="1"/>
        <v>0</v>
      </c>
    </row>
    <row r="127" spans="1:5" hidden="1" x14ac:dyDescent="0.3">
      <c r="A127" t="s">
        <v>25</v>
      </c>
      <c r="B127" t="s">
        <v>3</v>
      </c>
      <c r="C127">
        <v>0</v>
      </c>
      <c r="E127">
        <f t="shared" si="1"/>
        <v>0</v>
      </c>
    </row>
    <row r="128" spans="1:5" x14ac:dyDescent="0.3">
      <c r="A128" t="s">
        <v>28</v>
      </c>
      <c r="B128" t="s">
        <v>3</v>
      </c>
      <c r="C128">
        <v>145</v>
      </c>
      <c r="D128">
        <v>24000</v>
      </c>
      <c r="E128">
        <f t="shared" si="1"/>
        <v>3480000</v>
      </c>
    </row>
    <row r="129" spans="1:5" x14ac:dyDescent="0.3">
      <c r="A129" t="s">
        <v>30</v>
      </c>
      <c r="B129" t="s">
        <v>3</v>
      </c>
      <c r="C129">
        <v>60</v>
      </c>
      <c r="D129">
        <v>20000</v>
      </c>
      <c r="E129">
        <f t="shared" si="1"/>
        <v>1200000</v>
      </c>
    </row>
    <row r="130" spans="1:5" x14ac:dyDescent="0.3">
      <c r="A130" t="s">
        <v>53</v>
      </c>
      <c r="B130" t="s">
        <v>3</v>
      </c>
      <c r="C130">
        <v>30</v>
      </c>
      <c r="D130">
        <v>8000</v>
      </c>
      <c r="E130">
        <f t="shared" si="1"/>
        <v>240000</v>
      </c>
    </row>
    <row r="131" spans="1:5" x14ac:dyDescent="0.3">
      <c r="A131" t="s">
        <v>34</v>
      </c>
      <c r="B131" t="s">
        <v>3</v>
      </c>
      <c r="C131">
        <v>20</v>
      </c>
      <c r="D131">
        <v>30000</v>
      </c>
      <c r="E131">
        <f t="shared" si="1"/>
        <v>600000</v>
      </c>
    </row>
    <row r="132" spans="1:5" x14ac:dyDescent="0.3">
      <c r="A132" t="s">
        <v>35</v>
      </c>
      <c r="B132" t="s">
        <v>3</v>
      </c>
      <c r="C132">
        <v>20</v>
      </c>
      <c r="D132">
        <v>20000</v>
      </c>
      <c r="E132">
        <f t="shared" si="1"/>
        <v>400000</v>
      </c>
    </row>
    <row r="133" spans="1:5" x14ac:dyDescent="0.3">
      <c r="A133" t="s">
        <v>36</v>
      </c>
      <c r="B133" t="s">
        <v>3</v>
      </c>
      <c r="C133">
        <v>40</v>
      </c>
      <c r="D133">
        <v>20000</v>
      </c>
      <c r="E133">
        <f t="shared" si="1"/>
        <v>800000</v>
      </c>
    </row>
    <row r="134" spans="1:5" x14ac:dyDescent="0.3">
      <c r="A134" t="s">
        <v>72</v>
      </c>
      <c r="B134" t="s">
        <v>3</v>
      </c>
      <c r="C134">
        <v>100</v>
      </c>
      <c r="D134">
        <v>7000</v>
      </c>
      <c r="E134">
        <f t="shared" si="1"/>
        <v>700000</v>
      </c>
    </row>
    <row r="135" spans="1:5" hidden="1" x14ac:dyDescent="0.3">
      <c r="A135" t="s">
        <v>56</v>
      </c>
      <c r="B135" t="s">
        <v>3</v>
      </c>
      <c r="C135">
        <v>0</v>
      </c>
      <c r="E135">
        <f t="shared" ref="E135:E147" si="2">C135*D135</f>
        <v>0</v>
      </c>
    </row>
    <row r="136" spans="1:5" hidden="1" x14ac:dyDescent="0.3">
      <c r="A136" t="s">
        <v>96</v>
      </c>
      <c r="B136" t="s">
        <v>3</v>
      </c>
      <c r="C136">
        <v>0</v>
      </c>
      <c r="E136">
        <f t="shared" si="2"/>
        <v>0</v>
      </c>
    </row>
    <row r="137" spans="1:5" x14ac:dyDescent="0.3">
      <c r="A137" t="s">
        <v>97</v>
      </c>
      <c r="B137" t="s">
        <v>3</v>
      </c>
      <c r="C137">
        <v>8</v>
      </c>
      <c r="D137">
        <v>16000</v>
      </c>
      <c r="E137">
        <f t="shared" si="2"/>
        <v>128000</v>
      </c>
    </row>
    <row r="138" spans="1:5" hidden="1" x14ac:dyDescent="0.3">
      <c r="A138" t="s">
        <v>32</v>
      </c>
      <c r="B138" t="s">
        <v>3</v>
      </c>
      <c r="C138">
        <v>0</v>
      </c>
      <c r="E138">
        <f t="shared" si="2"/>
        <v>0</v>
      </c>
    </row>
    <row r="139" spans="1:5" hidden="1" x14ac:dyDescent="0.3">
      <c r="A139" t="s">
        <v>32</v>
      </c>
      <c r="B139" t="s">
        <v>6</v>
      </c>
      <c r="C139">
        <v>0</v>
      </c>
      <c r="E139">
        <f t="shared" si="2"/>
        <v>0</v>
      </c>
    </row>
    <row r="140" spans="1:5" x14ac:dyDescent="0.3">
      <c r="A140" t="s">
        <v>43</v>
      </c>
      <c r="B140" t="s">
        <v>3</v>
      </c>
      <c r="C140">
        <v>785</v>
      </c>
      <c r="D140">
        <v>27600</v>
      </c>
      <c r="E140">
        <f t="shared" si="2"/>
        <v>21666000</v>
      </c>
    </row>
    <row r="141" spans="1:5" x14ac:dyDescent="0.3">
      <c r="A141" t="s">
        <v>60</v>
      </c>
      <c r="B141" t="s">
        <v>4</v>
      </c>
      <c r="C141">
        <v>15</v>
      </c>
      <c r="D141">
        <v>6000</v>
      </c>
      <c r="E141">
        <f t="shared" si="2"/>
        <v>90000</v>
      </c>
    </row>
    <row r="142" spans="1:5" x14ac:dyDescent="0.3">
      <c r="A142" t="s">
        <v>61</v>
      </c>
      <c r="B142" t="s">
        <v>4</v>
      </c>
      <c r="C142">
        <v>68</v>
      </c>
      <c r="D142">
        <v>9000</v>
      </c>
      <c r="E142">
        <f t="shared" si="2"/>
        <v>612000</v>
      </c>
    </row>
    <row r="143" spans="1:5" hidden="1" x14ac:dyDescent="0.3">
      <c r="A143" t="s">
        <v>37</v>
      </c>
      <c r="B143" t="s">
        <v>3</v>
      </c>
      <c r="C143">
        <v>0</v>
      </c>
      <c r="E143">
        <f t="shared" si="2"/>
        <v>0</v>
      </c>
    </row>
    <row r="144" spans="1:5" hidden="1" x14ac:dyDescent="0.3">
      <c r="A144" t="s">
        <v>67</v>
      </c>
      <c r="B144" t="s">
        <v>3</v>
      </c>
      <c r="C144">
        <v>0</v>
      </c>
      <c r="E144">
        <f t="shared" si="2"/>
        <v>0</v>
      </c>
    </row>
    <row r="145" spans="1:5" x14ac:dyDescent="0.3">
      <c r="A145" t="s">
        <v>98</v>
      </c>
      <c r="B145" t="s">
        <v>3</v>
      </c>
      <c r="C145">
        <v>220</v>
      </c>
      <c r="D145">
        <v>3500</v>
      </c>
      <c r="E145">
        <f t="shared" si="2"/>
        <v>770000</v>
      </c>
    </row>
    <row r="146" spans="1:5" x14ac:dyDescent="0.3">
      <c r="A146" t="s">
        <v>116</v>
      </c>
      <c r="B146" t="s">
        <v>26</v>
      </c>
      <c r="C146">
        <v>20</v>
      </c>
      <c r="D146">
        <v>10000</v>
      </c>
      <c r="E146">
        <f t="shared" si="2"/>
        <v>200000</v>
      </c>
    </row>
    <row r="147" spans="1:5" x14ac:dyDescent="0.3">
      <c r="A147" t="s">
        <v>150</v>
      </c>
      <c r="B147" t="s">
        <v>26</v>
      </c>
      <c r="C147">
        <v>1170</v>
      </c>
      <c r="D147">
        <v>17000</v>
      </c>
      <c r="E147">
        <f t="shared" si="2"/>
        <v>19890000</v>
      </c>
    </row>
    <row r="148" spans="1:5" x14ac:dyDescent="0.3">
      <c r="E148">
        <f>SUM(E105:E147)</f>
        <v>69724500</v>
      </c>
    </row>
    <row r="149" spans="1:5" x14ac:dyDescent="0.3">
      <c r="E149">
        <f>E148+E102</f>
        <v>248950750</v>
      </c>
    </row>
  </sheetData>
  <autoFilter ref="A3:E147" xr:uid="{00000000-0009-0000-0000-00000E000000}">
    <filterColumn colId="2">
      <filters>
        <filter val="0.5"/>
        <filter val="1"/>
        <filter val="1.5"/>
        <filter val="10"/>
        <filter val="100"/>
        <filter val="105"/>
        <filter val="108"/>
        <filter val="1170"/>
        <filter val="12"/>
        <filter val="125"/>
        <filter val="13"/>
        <filter val="130"/>
        <filter val="135"/>
        <filter val="1390"/>
        <filter val="145"/>
        <filter val="15"/>
        <filter val="17"/>
        <filter val="175"/>
        <filter val="18"/>
        <filter val="1800"/>
        <filter val="195"/>
        <filter val="2"/>
        <filter val="20"/>
        <filter val="200"/>
        <filter val="205"/>
        <filter val="220"/>
        <filter val="25"/>
        <filter val="26"/>
        <filter val="28"/>
        <filter val="299"/>
        <filter val="30"/>
        <filter val="323"/>
        <filter val="33"/>
        <filter val="330"/>
        <filter val="335"/>
        <filter val="40"/>
        <filter val="400"/>
        <filter val="43"/>
        <filter val="45"/>
        <filter val="455"/>
        <filter val="460"/>
        <filter val="463"/>
        <filter val="5"/>
        <filter val="5.5"/>
        <filter val="50"/>
        <filter val="51"/>
        <filter val="52"/>
        <filter val="543"/>
        <filter val="561"/>
        <filter val="60"/>
        <filter val="65"/>
        <filter val="68"/>
        <filter val="7"/>
        <filter val="75"/>
        <filter val="785"/>
        <filter val="8"/>
        <filter val="80"/>
        <filter val="800"/>
        <filter val="880"/>
        <filter val="90"/>
        <filter val="tồn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2:E154"/>
  <sheetViews>
    <sheetView topLeftCell="A93" zoomScale="80" zoomScaleNormal="80" workbookViewId="0">
      <selection activeCell="A143" sqref="A143"/>
    </sheetView>
  </sheetViews>
  <sheetFormatPr defaultRowHeight="14.4" x14ac:dyDescent="0.3"/>
  <cols>
    <col min="1" max="1" width="27.77734375" customWidth="1"/>
    <col min="4" max="4" width="13" customWidth="1"/>
    <col min="5" max="5" width="16.109375" customWidth="1"/>
  </cols>
  <sheetData>
    <row r="2" spans="1:5" x14ac:dyDescent="0.3">
      <c r="A2" t="s">
        <v>155</v>
      </c>
    </row>
    <row r="3" spans="1:5" x14ac:dyDescent="0.3">
      <c r="A3" t="s">
        <v>0</v>
      </c>
      <c r="B3" t="s">
        <v>1</v>
      </c>
      <c r="C3" s="1" t="s">
        <v>102</v>
      </c>
      <c r="D3" t="s">
        <v>100</v>
      </c>
      <c r="E3" t="s">
        <v>101</v>
      </c>
    </row>
    <row r="4" spans="1:5" hidden="1" x14ac:dyDescent="0.3">
      <c r="A4" t="s">
        <v>2</v>
      </c>
      <c r="B4" t="s">
        <v>3</v>
      </c>
      <c r="C4">
        <v>0</v>
      </c>
      <c r="E4">
        <f>C4*D4</f>
        <v>0</v>
      </c>
    </row>
    <row r="5" spans="1:5" hidden="1" x14ac:dyDescent="0.3">
      <c r="A5" t="s">
        <v>2</v>
      </c>
      <c r="B5" t="s">
        <v>4</v>
      </c>
      <c r="C5">
        <v>0</v>
      </c>
      <c r="E5">
        <f t="shared" ref="E5:E68" si="0">C5*D5</f>
        <v>0</v>
      </c>
    </row>
    <row r="6" spans="1:5" hidden="1" x14ac:dyDescent="0.3">
      <c r="A6" t="s">
        <v>5</v>
      </c>
      <c r="B6" t="s">
        <v>6</v>
      </c>
      <c r="C6">
        <v>0</v>
      </c>
      <c r="E6">
        <f t="shared" si="0"/>
        <v>0</v>
      </c>
    </row>
    <row r="7" spans="1:5" x14ac:dyDescent="0.3">
      <c r="A7" t="s">
        <v>7</v>
      </c>
      <c r="B7" t="s">
        <v>8</v>
      </c>
      <c r="C7">
        <v>20</v>
      </c>
      <c r="D7">
        <v>6500</v>
      </c>
      <c r="E7">
        <f t="shared" si="0"/>
        <v>130000</v>
      </c>
    </row>
    <row r="8" spans="1:5" hidden="1" x14ac:dyDescent="0.3">
      <c r="A8" t="s">
        <v>7</v>
      </c>
      <c r="B8" t="s">
        <v>3</v>
      </c>
      <c r="C8">
        <v>0</v>
      </c>
      <c r="E8">
        <f t="shared" si="0"/>
        <v>0</v>
      </c>
    </row>
    <row r="9" spans="1:5" hidden="1" x14ac:dyDescent="0.3">
      <c r="A9" t="s">
        <v>9</v>
      </c>
      <c r="B9" t="s">
        <v>3</v>
      </c>
      <c r="C9">
        <v>0</v>
      </c>
      <c r="E9">
        <f t="shared" si="0"/>
        <v>0</v>
      </c>
    </row>
    <row r="10" spans="1:5" hidden="1" x14ac:dyDescent="0.3">
      <c r="A10" t="s">
        <v>9</v>
      </c>
      <c r="B10" t="s">
        <v>4</v>
      </c>
      <c r="C10">
        <v>0</v>
      </c>
      <c r="E10">
        <f t="shared" si="0"/>
        <v>0</v>
      </c>
    </row>
    <row r="11" spans="1:5" x14ac:dyDescent="0.3">
      <c r="A11" t="s">
        <v>10</v>
      </c>
      <c r="B11" t="s">
        <v>3</v>
      </c>
      <c r="C11">
        <v>250</v>
      </c>
      <c r="D11">
        <v>19000</v>
      </c>
      <c r="E11">
        <f t="shared" si="0"/>
        <v>4750000</v>
      </c>
    </row>
    <row r="12" spans="1:5" hidden="1" x14ac:dyDescent="0.3">
      <c r="A12" t="s">
        <v>10</v>
      </c>
      <c r="B12" t="s">
        <v>11</v>
      </c>
      <c r="C12">
        <v>0</v>
      </c>
      <c r="E12">
        <f t="shared" si="0"/>
        <v>0</v>
      </c>
    </row>
    <row r="13" spans="1:5" x14ac:dyDescent="0.3">
      <c r="A13" t="s">
        <v>12</v>
      </c>
      <c r="B13" t="s">
        <v>4</v>
      </c>
      <c r="C13">
        <v>170</v>
      </c>
      <c r="D13">
        <v>4800</v>
      </c>
      <c r="E13">
        <f t="shared" si="0"/>
        <v>816000</v>
      </c>
    </row>
    <row r="14" spans="1:5" x14ac:dyDescent="0.3">
      <c r="A14" t="s">
        <v>13</v>
      </c>
      <c r="B14" t="s">
        <v>3</v>
      </c>
      <c r="C14">
        <v>305</v>
      </c>
      <c r="D14">
        <v>24000</v>
      </c>
      <c r="E14">
        <f t="shared" si="0"/>
        <v>7320000</v>
      </c>
    </row>
    <row r="15" spans="1:5" hidden="1" x14ac:dyDescent="0.3">
      <c r="A15" t="s">
        <v>13</v>
      </c>
      <c r="B15" t="s">
        <v>4</v>
      </c>
      <c r="C15">
        <v>0</v>
      </c>
      <c r="E15">
        <f t="shared" si="0"/>
        <v>0</v>
      </c>
    </row>
    <row r="16" spans="1:5" x14ac:dyDescent="0.3">
      <c r="A16" t="s">
        <v>14</v>
      </c>
      <c r="B16" t="s">
        <v>3</v>
      </c>
      <c r="C16">
        <v>100</v>
      </c>
      <c r="D16">
        <v>16000</v>
      </c>
      <c r="E16">
        <f t="shared" si="0"/>
        <v>1600000</v>
      </c>
    </row>
    <row r="17" spans="1:5" x14ac:dyDescent="0.3">
      <c r="A17" t="s">
        <v>15</v>
      </c>
      <c r="B17" t="s">
        <v>3</v>
      </c>
      <c r="C17">
        <v>440</v>
      </c>
      <c r="D17">
        <v>18000</v>
      </c>
      <c r="E17">
        <f t="shared" si="0"/>
        <v>7920000</v>
      </c>
    </row>
    <row r="18" spans="1:5" hidden="1" x14ac:dyDescent="0.3">
      <c r="A18" t="s">
        <v>15</v>
      </c>
      <c r="B18" t="s">
        <v>4</v>
      </c>
      <c r="C18">
        <v>0</v>
      </c>
      <c r="E18">
        <f t="shared" si="0"/>
        <v>0</v>
      </c>
    </row>
    <row r="19" spans="1:5" hidden="1" x14ac:dyDescent="0.3">
      <c r="A19" t="s">
        <v>16</v>
      </c>
      <c r="B19" t="s">
        <v>6</v>
      </c>
      <c r="C19">
        <v>0</v>
      </c>
      <c r="E19">
        <f t="shared" si="0"/>
        <v>0</v>
      </c>
    </row>
    <row r="20" spans="1:5" x14ac:dyDescent="0.3">
      <c r="A20" t="s">
        <v>17</v>
      </c>
      <c r="B20" t="s">
        <v>3</v>
      </c>
      <c r="C20">
        <v>165</v>
      </c>
      <c r="D20">
        <v>5500</v>
      </c>
      <c r="E20">
        <f t="shared" si="0"/>
        <v>907500</v>
      </c>
    </row>
    <row r="21" spans="1:5" x14ac:dyDescent="0.3">
      <c r="A21" t="s">
        <v>18</v>
      </c>
      <c r="B21" t="s">
        <v>3</v>
      </c>
      <c r="C21">
        <v>16</v>
      </c>
      <c r="D21">
        <v>16000</v>
      </c>
      <c r="E21">
        <f t="shared" si="0"/>
        <v>256000</v>
      </c>
    </row>
    <row r="22" spans="1:5" hidden="1" x14ac:dyDescent="0.3">
      <c r="A22" t="s">
        <v>18</v>
      </c>
      <c r="B22" t="s">
        <v>4</v>
      </c>
      <c r="C22">
        <v>0</v>
      </c>
      <c r="E22">
        <f t="shared" si="0"/>
        <v>0</v>
      </c>
    </row>
    <row r="23" spans="1:5" x14ac:dyDescent="0.3">
      <c r="A23" t="s">
        <v>19</v>
      </c>
      <c r="B23" t="s">
        <v>4</v>
      </c>
      <c r="C23">
        <v>16</v>
      </c>
      <c r="D23">
        <v>3900</v>
      </c>
      <c r="E23">
        <f t="shared" si="0"/>
        <v>62400</v>
      </c>
    </row>
    <row r="24" spans="1:5" x14ac:dyDescent="0.3">
      <c r="A24" t="s">
        <v>20</v>
      </c>
      <c r="B24" t="s">
        <v>3</v>
      </c>
      <c r="C24">
        <v>250</v>
      </c>
      <c r="D24">
        <v>5500</v>
      </c>
      <c r="E24">
        <f t="shared" si="0"/>
        <v>1375000</v>
      </c>
    </row>
    <row r="25" spans="1:5" hidden="1" x14ac:dyDescent="0.3">
      <c r="A25" t="s">
        <v>21</v>
      </c>
      <c r="B25" t="s">
        <v>22</v>
      </c>
      <c r="C25">
        <v>0</v>
      </c>
      <c r="E25">
        <f t="shared" si="0"/>
        <v>0</v>
      </c>
    </row>
    <row r="26" spans="1:5" hidden="1" x14ac:dyDescent="0.3">
      <c r="A26" t="s">
        <v>21</v>
      </c>
      <c r="B26" t="s">
        <v>3</v>
      </c>
      <c r="C26">
        <v>0</v>
      </c>
      <c r="E26">
        <f t="shared" si="0"/>
        <v>0</v>
      </c>
    </row>
    <row r="27" spans="1:5" x14ac:dyDescent="0.3">
      <c r="A27" t="s">
        <v>23</v>
      </c>
      <c r="B27" t="s">
        <v>3</v>
      </c>
      <c r="C27">
        <v>3</v>
      </c>
      <c r="D27">
        <v>28000</v>
      </c>
      <c r="E27">
        <f t="shared" si="0"/>
        <v>84000</v>
      </c>
    </row>
    <row r="28" spans="1:5" hidden="1" x14ac:dyDescent="0.3">
      <c r="A28" t="s">
        <v>24</v>
      </c>
      <c r="B28" t="s">
        <v>3</v>
      </c>
      <c r="C28">
        <v>0</v>
      </c>
      <c r="E28">
        <f t="shared" si="0"/>
        <v>0</v>
      </c>
    </row>
    <row r="29" spans="1:5" x14ac:dyDescent="0.3">
      <c r="A29" t="s">
        <v>25</v>
      </c>
      <c r="B29" t="s">
        <v>3</v>
      </c>
      <c r="C29">
        <v>80</v>
      </c>
      <c r="D29">
        <v>13000</v>
      </c>
      <c r="E29">
        <f t="shared" si="0"/>
        <v>1040000</v>
      </c>
    </row>
    <row r="30" spans="1:5" hidden="1" x14ac:dyDescent="0.3">
      <c r="A30" t="s">
        <v>25</v>
      </c>
      <c r="B30" t="s">
        <v>26</v>
      </c>
      <c r="C30">
        <v>0</v>
      </c>
      <c r="E30">
        <f t="shared" si="0"/>
        <v>0</v>
      </c>
    </row>
    <row r="31" spans="1:5" x14ac:dyDescent="0.3">
      <c r="A31" t="s">
        <v>27</v>
      </c>
      <c r="B31" t="s">
        <v>3</v>
      </c>
      <c r="C31">
        <v>22</v>
      </c>
      <c r="D31">
        <v>13000</v>
      </c>
      <c r="E31">
        <f t="shared" si="0"/>
        <v>286000</v>
      </c>
    </row>
    <row r="32" spans="1:5" hidden="1" x14ac:dyDescent="0.3">
      <c r="A32" t="s">
        <v>27</v>
      </c>
      <c r="B32" t="s">
        <v>26</v>
      </c>
      <c r="C32">
        <v>0</v>
      </c>
      <c r="E32">
        <f t="shared" si="0"/>
        <v>0</v>
      </c>
    </row>
    <row r="33" spans="1:5" x14ac:dyDescent="0.3">
      <c r="A33" t="s">
        <v>28</v>
      </c>
      <c r="B33" t="s">
        <v>3</v>
      </c>
      <c r="C33">
        <v>185</v>
      </c>
      <c r="D33">
        <v>24000</v>
      </c>
      <c r="E33">
        <f t="shared" si="0"/>
        <v>4440000</v>
      </c>
    </row>
    <row r="34" spans="1:5" hidden="1" x14ac:dyDescent="0.3">
      <c r="A34" t="s">
        <v>28</v>
      </c>
      <c r="B34" t="s">
        <v>29</v>
      </c>
      <c r="C34">
        <v>0</v>
      </c>
      <c r="E34">
        <f t="shared" si="0"/>
        <v>0</v>
      </c>
    </row>
    <row r="35" spans="1:5" x14ac:dyDescent="0.3">
      <c r="A35" t="s">
        <v>30</v>
      </c>
      <c r="B35" t="s">
        <v>3</v>
      </c>
      <c r="C35">
        <v>260</v>
      </c>
      <c r="D35">
        <v>20000</v>
      </c>
      <c r="E35">
        <f t="shared" si="0"/>
        <v>5200000</v>
      </c>
    </row>
    <row r="36" spans="1:5" hidden="1" x14ac:dyDescent="0.3">
      <c r="A36" t="s">
        <v>30</v>
      </c>
      <c r="B36" t="s">
        <v>6</v>
      </c>
      <c r="C36">
        <v>0</v>
      </c>
      <c r="E36">
        <f t="shared" si="0"/>
        <v>0</v>
      </c>
    </row>
    <row r="37" spans="1:5" x14ac:dyDescent="0.3">
      <c r="A37" t="s">
        <v>31</v>
      </c>
      <c r="B37" t="s">
        <v>4</v>
      </c>
      <c r="C37">
        <v>65</v>
      </c>
      <c r="D37">
        <v>17000</v>
      </c>
      <c r="E37">
        <f t="shared" si="0"/>
        <v>1105000</v>
      </c>
    </row>
    <row r="38" spans="1:5" hidden="1" x14ac:dyDescent="0.3">
      <c r="A38" t="s">
        <v>32</v>
      </c>
      <c r="B38" t="s">
        <v>3</v>
      </c>
      <c r="C38">
        <v>0</v>
      </c>
      <c r="E38">
        <f t="shared" si="0"/>
        <v>0</v>
      </c>
    </row>
    <row r="39" spans="1:5" x14ac:dyDescent="0.3">
      <c r="A39" t="s">
        <v>32</v>
      </c>
      <c r="B39" t="s">
        <v>6</v>
      </c>
      <c r="C39">
        <v>65</v>
      </c>
      <c r="D39">
        <v>5000</v>
      </c>
      <c r="E39">
        <f t="shared" si="0"/>
        <v>325000</v>
      </c>
    </row>
    <row r="40" spans="1:5" x14ac:dyDescent="0.3">
      <c r="A40" t="s">
        <v>33</v>
      </c>
      <c r="B40" t="s">
        <v>3</v>
      </c>
      <c r="C40">
        <v>20</v>
      </c>
      <c r="D40">
        <v>6000</v>
      </c>
      <c r="E40">
        <f t="shared" si="0"/>
        <v>120000</v>
      </c>
    </row>
    <row r="41" spans="1:5" x14ac:dyDescent="0.3">
      <c r="A41" t="s">
        <v>34</v>
      </c>
      <c r="B41" t="s">
        <v>3</v>
      </c>
      <c r="C41">
        <v>105</v>
      </c>
      <c r="D41">
        <v>38000</v>
      </c>
      <c r="E41">
        <f t="shared" si="0"/>
        <v>3990000</v>
      </c>
    </row>
    <row r="42" spans="1:5" hidden="1" x14ac:dyDescent="0.3">
      <c r="A42" t="s">
        <v>34</v>
      </c>
      <c r="B42" t="s">
        <v>26</v>
      </c>
      <c r="C42">
        <v>0</v>
      </c>
      <c r="E42">
        <f t="shared" si="0"/>
        <v>0</v>
      </c>
    </row>
    <row r="43" spans="1:5" hidden="1" x14ac:dyDescent="0.3">
      <c r="A43" t="s">
        <v>35</v>
      </c>
      <c r="B43" t="s">
        <v>3</v>
      </c>
      <c r="C43">
        <v>0</v>
      </c>
      <c r="E43">
        <f t="shared" si="0"/>
        <v>0</v>
      </c>
    </row>
    <row r="44" spans="1:5" hidden="1" x14ac:dyDescent="0.3">
      <c r="A44" t="s">
        <v>35</v>
      </c>
      <c r="B44" t="s">
        <v>26</v>
      </c>
      <c r="C44">
        <v>0</v>
      </c>
      <c r="E44">
        <f t="shared" si="0"/>
        <v>0</v>
      </c>
    </row>
    <row r="45" spans="1:5" x14ac:dyDescent="0.3">
      <c r="A45" t="s">
        <v>36</v>
      </c>
      <c r="B45" t="s">
        <v>3</v>
      </c>
      <c r="C45">
        <v>30</v>
      </c>
      <c r="D45">
        <v>20000</v>
      </c>
      <c r="E45">
        <f t="shared" si="0"/>
        <v>600000</v>
      </c>
    </row>
    <row r="46" spans="1:5" hidden="1" x14ac:dyDescent="0.3">
      <c r="A46" t="s">
        <v>36</v>
      </c>
      <c r="B46" t="s">
        <v>26</v>
      </c>
      <c r="C46">
        <v>0</v>
      </c>
      <c r="E46">
        <f t="shared" si="0"/>
        <v>0</v>
      </c>
    </row>
    <row r="47" spans="1:5" hidden="1" x14ac:dyDescent="0.3">
      <c r="A47" t="s">
        <v>37</v>
      </c>
      <c r="B47" t="s">
        <v>3</v>
      </c>
      <c r="C47">
        <v>0</v>
      </c>
      <c r="E47">
        <f t="shared" si="0"/>
        <v>0</v>
      </c>
    </row>
    <row r="48" spans="1:5" hidden="1" x14ac:dyDescent="0.3">
      <c r="A48" t="s">
        <v>38</v>
      </c>
      <c r="B48" t="s">
        <v>6</v>
      </c>
      <c r="C48">
        <v>0</v>
      </c>
      <c r="E48">
        <f t="shared" si="0"/>
        <v>0</v>
      </c>
    </row>
    <row r="49" spans="1:5" x14ac:dyDescent="0.3">
      <c r="A49" t="s">
        <v>39</v>
      </c>
      <c r="B49" t="s">
        <v>3</v>
      </c>
      <c r="C49">
        <v>1315</v>
      </c>
      <c r="D49">
        <v>24000</v>
      </c>
      <c r="E49">
        <f t="shared" si="0"/>
        <v>31560000</v>
      </c>
    </row>
    <row r="50" spans="1:5" x14ac:dyDescent="0.3">
      <c r="A50" t="s">
        <v>40</v>
      </c>
      <c r="B50" t="s">
        <v>3</v>
      </c>
      <c r="C50">
        <v>3</v>
      </c>
      <c r="D50">
        <v>30000</v>
      </c>
      <c r="E50">
        <f t="shared" si="0"/>
        <v>90000</v>
      </c>
    </row>
    <row r="51" spans="1:5" hidden="1" x14ac:dyDescent="0.3">
      <c r="A51" t="s">
        <v>40</v>
      </c>
      <c r="B51" t="s">
        <v>41</v>
      </c>
      <c r="C51">
        <v>0</v>
      </c>
      <c r="E51">
        <f t="shared" si="0"/>
        <v>0</v>
      </c>
    </row>
    <row r="52" spans="1:5" hidden="1" x14ac:dyDescent="0.3">
      <c r="A52" t="s">
        <v>43</v>
      </c>
      <c r="B52" t="s">
        <v>3</v>
      </c>
      <c r="C52">
        <v>0</v>
      </c>
      <c r="D52">
        <v>27600</v>
      </c>
      <c r="E52">
        <f t="shared" si="0"/>
        <v>0</v>
      </c>
    </row>
    <row r="53" spans="1:5" x14ac:dyDescent="0.3">
      <c r="A53" t="s">
        <v>44</v>
      </c>
      <c r="B53" t="s">
        <v>3</v>
      </c>
      <c r="C53">
        <v>6</v>
      </c>
      <c r="D53">
        <v>32000</v>
      </c>
      <c r="E53">
        <f t="shared" si="0"/>
        <v>192000</v>
      </c>
    </row>
    <row r="54" spans="1:5" x14ac:dyDescent="0.3">
      <c r="A54" t="s">
        <v>45</v>
      </c>
      <c r="B54" t="s">
        <v>3</v>
      </c>
      <c r="C54">
        <v>770</v>
      </c>
      <c r="D54">
        <v>5500</v>
      </c>
      <c r="E54">
        <f t="shared" si="0"/>
        <v>4235000</v>
      </c>
    </row>
    <row r="55" spans="1:5" hidden="1" x14ac:dyDescent="0.3">
      <c r="A55" t="s">
        <v>46</v>
      </c>
      <c r="B55" t="s">
        <v>3</v>
      </c>
      <c r="C55">
        <v>0</v>
      </c>
      <c r="E55">
        <f t="shared" si="0"/>
        <v>0</v>
      </c>
    </row>
    <row r="56" spans="1:5" x14ac:dyDescent="0.3">
      <c r="A56" t="s">
        <v>48</v>
      </c>
      <c r="B56" t="s">
        <v>3</v>
      </c>
      <c r="C56">
        <v>20</v>
      </c>
      <c r="D56">
        <v>21000</v>
      </c>
      <c r="E56">
        <f t="shared" si="0"/>
        <v>420000</v>
      </c>
    </row>
    <row r="57" spans="1:5" x14ac:dyDescent="0.3">
      <c r="A57" t="s">
        <v>48</v>
      </c>
      <c r="B57" t="s">
        <v>49</v>
      </c>
      <c r="C57">
        <v>70</v>
      </c>
      <c r="D57">
        <v>10500</v>
      </c>
      <c r="E57">
        <f t="shared" si="0"/>
        <v>735000</v>
      </c>
    </row>
    <row r="58" spans="1:5" x14ac:dyDescent="0.3">
      <c r="A58" t="s">
        <v>50</v>
      </c>
      <c r="B58" t="s">
        <v>8</v>
      </c>
      <c r="C58">
        <v>32</v>
      </c>
      <c r="D58">
        <v>16500</v>
      </c>
      <c r="E58">
        <f t="shared" si="0"/>
        <v>528000</v>
      </c>
    </row>
    <row r="59" spans="1:5" hidden="1" x14ac:dyDescent="0.3">
      <c r="A59" t="s">
        <v>51</v>
      </c>
      <c r="B59" t="s">
        <v>3</v>
      </c>
      <c r="C59">
        <v>0</v>
      </c>
      <c r="E59">
        <f t="shared" si="0"/>
        <v>0</v>
      </c>
    </row>
    <row r="60" spans="1:5" x14ac:dyDescent="0.3">
      <c r="A60" t="s">
        <v>51</v>
      </c>
      <c r="B60" t="s">
        <v>52</v>
      </c>
      <c r="C60">
        <v>184</v>
      </c>
      <c r="D60">
        <v>12000</v>
      </c>
      <c r="E60">
        <f t="shared" si="0"/>
        <v>2208000</v>
      </c>
    </row>
    <row r="61" spans="1:5" x14ac:dyDescent="0.3">
      <c r="A61" t="s">
        <v>53</v>
      </c>
      <c r="B61" t="s">
        <v>3</v>
      </c>
      <c r="C61">
        <v>40</v>
      </c>
      <c r="D61">
        <v>10000</v>
      </c>
      <c r="E61">
        <f t="shared" si="0"/>
        <v>400000</v>
      </c>
    </row>
    <row r="62" spans="1:5" hidden="1" x14ac:dyDescent="0.3">
      <c r="A62" t="s">
        <v>53</v>
      </c>
      <c r="B62" t="s">
        <v>54</v>
      </c>
      <c r="C62">
        <v>0</v>
      </c>
      <c r="E62">
        <f t="shared" si="0"/>
        <v>0</v>
      </c>
    </row>
    <row r="63" spans="1:5" hidden="1" x14ac:dyDescent="0.3">
      <c r="A63" t="s">
        <v>55</v>
      </c>
      <c r="B63" t="s">
        <v>3</v>
      </c>
      <c r="C63">
        <v>0</v>
      </c>
      <c r="E63">
        <f t="shared" si="0"/>
        <v>0</v>
      </c>
    </row>
    <row r="64" spans="1:5" x14ac:dyDescent="0.3">
      <c r="A64" t="s">
        <v>55</v>
      </c>
      <c r="B64" t="s">
        <v>4</v>
      </c>
      <c r="C64">
        <v>8</v>
      </c>
      <c r="D64">
        <v>3900</v>
      </c>
      <c r="E64">
        <f t="shared" si="0"/>
        <v>31200</v>
      </c>
    </row>
    <row r="65" spans="1:5" hidden="1" x14ac:dyDescent="0.3">
      <c r="A65" t="s">
        <v>56</v>
      </c>
      <c r="B65" t="s">
        <v>3</v>
      </c>
      <c r="C65">
        <v>0</v>
      </c>
      <c r="E65">
        <f t="shared" si="0"/>
        <v>0</v>
      </c>
    </row>
    <row r="66" spans="1:5" x14ac:dyDescent="0.3">
      <c r="A66" t="s">
        <v>57</v>
      </c>
      <c r="B66" t="s">
        <v>3</v>
      </c>
      <c r="C66">
        <v>35</v>
      </c>
      <c r="D66">
        <v>4500</v>
      </c>
      <c r="E66">
        <f t="shared" si="0"/>
        <v>157500</v>
      </c>
    </row>
    <row r="67" spans="1:5" x14ac:dyDescent="0.3">
      <c r="A67" t="s">
        <v>58</v>
      </c>
      <c r="B67" t="s">
        <v>3</v>
      </c>
      <c r="C67">
        <v>5</v>
      </c>
      <c r="D67">
        <v>23000</v>
      </c>
      <c r="E67">
        <f t="shared" si="0"/>
        <v>115000</v>
      </c>
    </row>
    <row r="68" spans="1:5" x14ac:dyDescent="0.3">
      <c r="A68" t="s">
        <v>59</v>
      </c>
      <c r="B68" t="s">
        <v>3</v>
      </c>
      <c r="C68">
        <v>55</v>
      </c>
      <c r="D68">
        <v>9000</v>
      </c>
      <c r="E68">
        <f t="shared" si="0"/>
        <v>495000</v>
      </c>
    </row>
    <row r="69" spans="1:5" x14ac:dyDescent="0.3">
      <c r="A69" t="s">
        <v>60</v>
      </c>
      <c r="B69" t="s">
        <v>4</v>
      </c>
      <c r="C69">
        <v>9</v>
      </c>
      <c r="D69">
        <v>6000</v>
      </c>
      <c r="E69">
        <f t="shared" ref="E69:E134" si="1">C69*D69</f>
        <v>54000</v>
      </c>
    </row>
    <row r="70" spans="1:5" hidden="1" x14ac:dyDescent="0.3">
      <c r="A70" t="s">
        <v>61</v>
      </c>
      <c r="B70" t="s">
        <v>3</v>
      </c>
      <c r="C70">
        <v>0</v>
      </c>
      <c r="E70">
        <f t="shared" si="1"/>
        <v>0</v>
      </c>
    </row>
    <row r="71" spans="1:5" x14ac:dyDescent="0.3">
      <c r="A71" t="s">
        <v>61</v>
      </c>
      <c r="B71" t="s">
        <v>62</v>
      </c>
      <c r="C71">
        <v>5</v>
      </c>
      <c r="D71">
        <v>9000</v>
      </c>
      <c r="E71">
        <f t="shared" si="1"/>
        <v>45000</v>
      </c>
    </row>
    <row r="72" spans="1:5" x14ac:dyDescent="0.3">
      <c r="A72" t="s">
        <v>63</v>
      </c>
      <c r="B72" t="s">
        <v>3</v>
      </c>
      <c r="C72">
        <v>12.5</v>
      </c>
      <c r="D72">
        <v>60000</v>
      </c>
      <c r="E72">
        <f t="shared" si="1"/>
        <v>750000</v>
      </c>
    </row>
    <row r="73" spans="1:5" x14ac:dyDescent="0.3">
      <c r="A73" t="s">
        <v>65</v>
      </c>
      <c r="B73" t="s">
        <v>3</v>
      </c>
      <c r="C73">
        <v>0.5</v>
      </c>
      <c r="D73">
        <v>70000</v>
      </c>
      <c r="E73">
        <f t="shared" si="1"/>
        <v>35000</v>
      </c>
    </row>
    <row r="74" spans="1:5" hidden="1" x14ac:dyDescent="0.3">
      <c r="A74" t="s">
        <v>66</v>
      </c>
      <c r="B74" t="s">
        <v>22</v>
      </c>
      <c r="C74">
        <v>0</v>
      </c>
      <c r="E74">
        <f t="shared" si="1"/>
        <v>0</v>
      </c>
    </row>
    <row r="75" spans="1:5" x14ac:dyDescent="0.3">
      <c r="A75" t="s">
        <v>66</v>
      </c>
      <c r="B75" t="s">
        <v>3</v>
      </c>
      <c r="C75">
        <v>10</v>
      </c>
      <c r="D75">
        <v>21000</v>
      </c>
      <c r="E75">
        <f t="shared" si="1"/>
        <v>210000</v>
      </c>
    </row>
    <row r="76" spans="1:5" hidden="1" x14ac:dyDescent="0.3">
      <c r="A76" t="s">
        <v>68</v>
      </c>
      <c r="B76" t="s">
        <v>4</v>
      </c>
      <c r="C76">
        <v>0</v>
      </c>
      <c r="E76">
        <f t="shared" si="1"/>
        <v>0</v>
      </c>
    </row>
    <row r="77" spans="1:5" x14ac:dyDescent="0.3">
      <c r="A77" t="s">
        <v>69</v>
      </c>
      <c r="B77" t="s">
        <v>3</v>
      </c>
      <c r="C77">
        <v>12</v>
      </c>
      <c r="D77">
        <v>14000</v>
      </c>
      <c r="E77">
        <f t="shared" si="1"/>
        <v>168000</v>
      </c>
    </row>
    <row r="78" spans="1:5" hidden="1" x14ac:dyDescent="0.3">
      <c r="A78" t="s">
        <v>70</v>
      </c>
      <c r="B78" t="s">
        <v>8</v>
      </c>
      <c r="C78">
        <v>0</v>
      </c>
      <c r="E78">
        <f t="shared" si="1"/>
        <v>0</v>
      </c>
    </row>
    <row r="79" spans="1:5" x14ac:dyDescent="0.3">
      <c r="A79" t="s">
        <v>71</v>
      </c>
      <c r="B79" t="s">
        <v>4</v>
      </c>
      <c r="C79">
        <v>79</v>
      </c>
      <c r="D79">
        <v>21000</v>
      </c>
      <c r="E79">
        <f t="shared" si="1"/>
        <v>1659000</v>
      </c>
    </row>
    <row r="80" spans="1:5" x14ac:dyDescent="0.3">
      <c r="A80" t="s">
        <v>72</v>
      </c>
      <c r="B80" t="s">
        <v>3</v>
      </c>
      <c r="C80">
        <v>5</v>
      </c>
      <c r="D80">
        <v>7000</v>
      </c>
      <c r="E80">
        <f t="shared" si="1"/>
        <v>35000</v>
      </c>
    </row>
    <row r="81" spans="1:5" x14ac:dyDescent="0.3">
      <c r="A81" t="s">
        <v>73</v>
      </c>
      <c r="B81" t="s">
        <v>3</v>
      </c>
      <c r="C81">
        <v>5</v>
      </c>
      <c r="D81">
        <v>12000</v>
      </c>
      <c r="E81">
        <f t="shared" si="1"/>
        <v>60000</v>
      </c>
    </row>
    <row r="82" spans="1:5" hidden="1" x14ac:dyDescent="0.3">
      <c r="A82" t="s">
        <v>74</v>
      </c>
      <c r="B82" t="s">
        <v>3</v>
      </c>
      <c r="C82">
        <v>0</v>
      </c>
      <c r="E82">
        <f t="shared" si="1"/>
        <v>0</v>
      </c>
    </row>
    <row r="83" spans="1:5" hidden="1" x14ac:dyDescent="0.3">
      <c r="A83" t="s">
        <v>75</v>
      </c>
      <c r="B83" t="s">
        <v>3</v>
      </c>
      <c r="C83">
        <v>0</v>
      </c>
      <c r="E83">
        <f t="shared" si="1"/>
        <v>0</v>
      </c>
    </row>
    <row r="84" spans="1:5" hidden="1" x14ac:dyDescent="0.3">
      <c r="A84" t="s">
        <v>76</v>
      </c>
      <c r="B84" t="s">
        <v>3</v>
      </c>
      <c r="C84">
        <v>0</v>
      </c>
      <c r="E84">
        <f t="shared" si="1"/>
        <v>0</v>
      </c>
    </row>
    <row r="85" spans="1:5" hidden="1" x14ac:dyDescent="0.3">
      <c r="A85" t="s">
        <v>105</v>
      </c>
      <c r="B85" t="s">
        <v>3</v>
      </c>
      <c r="C85">
        <v>0</v>
      </c>
      <c r="E85">
        <f t="shared" si="1"/>
        <v>0</v>
      </c>
    </row>
    <row r="86" spans="1:5" hidden="1" x14ac:dyDescent="0.3">
      <c r="A86" t="s">
        <v>95</v>
      </c>
      <c r="B86" t="s">
        <v>3</v>
      </c>
      <c r="C86">
        <v>0</v>
      </c>
      <c r="E86">
        <f t="shared" si="1"/>
        <v>0</v>
      </c>
    </row>
    <row r="87" spans="1:5" hidden="1" x14ac:dyDescent="0.3">
      <c r="A87" t="s">
        <v>89</v>
      </c>
      <c r="B87" t="s">
        <v>3</v>
      </c>
      <c r="C87">
        <v>0</v>
      </c>
      <c r="E87">
        <f t="shared" si="1"/>
        <v>0</v>
      </c>
    </row>
    <row r="88" spans="1:5" hidden="1" x14ac:dyDescent="0.3">
      <c r="A88" t="s">
        <v>89</v>
      </c>
      <c r="B88" t="s">
        <v>4</v>
      </c>
      <c r="C88">
        <v>0</v>
      </c>
      <c r="E88">
        <f t="shared" si="1"/>
        <v>0</v>
      </c>
    </row>
    <row r="89" spans="1:5" hidden="1" x14ac:dyDescent="0.3">
      <c r="A89" t="s">
        <v>77</v>
      </c>
      <c r="B89" t="s">
        <v>3</v>
      </c>
      <c r="C89">
        <v>0</v>
      </c>
      <c r="E89">
        <f t="shared" si="1"/>
        <v>0</v>
      </c>
    </row>
    <row r="90" spans="1:5" hidden="1" x14ac:dyDescent="0.3">
      <c r="A90" t="s">
        <v>79</v>
      </c>
      <c r="B90" t="s">
        <v>3</v>
      </c>
      <c r="C90">
        <v>0</v>
      </c>
      <c r="E90">
        <f t="shared" si="1"/>
        <v>0</v>
      </c>
    </row>
    <row r="91" spans="1:5" x14ac:dyDescent="0.3">
      <c r="A91" t="s">
        <v>82</v>
      </c>
      <c r="B91" t="s">
        <v>3</v>
      </c>
      <c r="C91">
        <v>12</v>
      </c>
      <c r="D91">
        <v>26000</v>
      </c>
      <c r="E91">
        <f t="shared" si="1"/>
        <v>312000</v>
      </c>
    </row>
    <row r="92" spans="1:5" hidden="1" x14ac:dyDescent="0.3">
      <c r="A92" t="s">
        <v>83</v>
      </c>
      <c r="B92" t="s">
        <v>4</v>
      </c>
      <c r="C92">
        <v>0</v>
      </c>
      <c r="E92">
        <f t="shared" si="1"/>
        <v>0</v>
      </c>
    </row>
    <row r="93" spans="1:5" x14ac:dyDescent="0.3">
      <c r="A93" t="s">
        <v>84</v>
      </c>
      <c r="B93" t="s">
        <v>22</v>
      </c>
      <c r="C93">
        <v>135</v>
      </c>
      <c r="D93">
        <v>6800</v>
      </c>
      <c r="E93">
        <f t="shared" si="1"/>
        <v>918000</v>
      </c>
    </row>
    <row r="94" spans="1:5" hidden="1" x14ac:dyDescent="0.3">
      <c r="A94" t="s">
        <v>85</v>
      </c>
      <c r="B94" t="s">
        <v>22</v>
      </c>
      <c r="C94">
        <v>0</v>
      </c>
      <c r="E94">
        <f t="shared" si="1"/>
        <v>0</v>
      </c>
    </row>
    <row r="95" spans="1:5" x14ac:dyDescent="0.3">
      <c r="A95" t="s">
        <v>86</v>
      </c>
      <c r="B95" t="s">
        <v>22</v>
      </c>
      <c r="C95">
        <v>23</v>
      </c>
      <c r="D95">
        <v>6800</v>
      </c>
      <c r="E95">
        <f t="shared" si="1"/>
        <v>156400</v>
      </c>
    </row>
    <row r="96" spans="1:5" x14ac:dyDescent="0.3">
      <c r="A96" t="s">
        <v>87</v>
      </c>
      <c r="B96" t="s">
        <v>4</v>
      </c>
      <c r="C96">
        <v>80</v>
      </c>
      <c r="D96">
        <v>8000</v>
      </c>
      <c r="E96">
        <f t="shared" si="1"/>
        <v>640000</v>
      </c>
    </row>
    <row r="97" spans="1:5" hidden="1" x14ac:dyDescent="0.3">
      <c r="A97" t="s">
        <v>92</v>
      </c>
      <c r="B97" t="s">
        <v>3</v>
      </c>
      <c r="C97">
        <v>0</v>
      </c>
      <c r="E97">
        <f t="shared" si="1"/>
        <v>0</v>
      </c>
    </row>
    <row r="98" spans="1:5" hidden="1" x14ac:dyDescent="0.3">
      <c r="A98" t="s">
        <v>116</v>
      </c>
      <c r="B98" t="s">
        <v>26</v>
      </c>
      <c r="C98">
        <v>0</v>
      </c>
      <c r="E98">
        <f t="shared" si="1"/>
        <v>0</v>
      </c>
    </row>
    <row r="99" spans="1:5" x14ac:dyDescent="0.3">
      <c r="A99" t="s">
        <v>88</v>
      </c>
      <c r="B99" t="s">
        <v>3</v>
      </c>
      <c r="C99">
        <v>1730</v>
      </c>
      <c r="D99">
        <v>28000</v>
      </c>
      <c r="E99">
        <f t="shared" si="1"/>
        <v>48440000</v>
      </c>
    </row>
    <row r="100" spans="1:5" hidden="1" x14ac:dyDescent="0.3">
      <c r="A100" t="s">
        <v>136</v>
      </c>
      <c r="B100" t="s">
        <v>3</v>
      </c>
      <c r="C100">
        <v>0</v>
      </c>
      <c r="E100">
        <f t="shared" si="1"/>
        <v>0</v>
      </c>
    </row>
    <row r="101" spans="1:5" hidden="1" x14ac:dyDescent="0.3">
      <c r="A101" t="s">
        <v>90</v>
      </c>
      <c r="B101" t="s">
        <v>4</v>
      </c>
      <c r="C101">
        <v>0</v>
      </c>
      <c r="E101">
        <f t="shared" si="1"/>
        <v>0</v>
      </c>
    </row>
    <row r="102" spans="1:5" hidden="1" x14ac:dyDescent="0.3">
      <c r="A102" t="s">
        <v>91</v>
      </c>
      <c r="B102" t="s">
        <v>3</v>
      </c>
      <c r="C102">
        <v>0</v>
      </c>
      <c r="E102">
        <f t="shared" si="1"/>
        <v>0</v>
      </c>
    </row>
    <row r="103" spans="1:5" x14ac:dyDescent="0.3">
      <c r="A103" t="s">
        <v>123</v>
      </c>
      <c r="B103" t="s">
        <v>3</v>
      </c>
      <c r="C103">
        <v>6</v>
      </c>
      <c r="D103">
        <v>16000</v>
      </c>
      <c r="E103">
        <f t="shared" si="1"/>
        <v>96000</v>
      </c>
    </row>
    <row r="104" spans="1:5" x14ac:dyDescent="0.3">
      <c r="A104" t="s">
        <v>93</v>
      </c>
      <c r="B104" t="s">
        <v>3</v>
      </c>
      <c r="C104">
        <v>16</v>
      </c>
      <c r="D104">
        <v>25000</v>
      </c>
      <c r="E104">
        <f t="shared" si="1"/>
        <v>400000</v>
      </c>
    </row>
    <row r="105" spans="1:5" x14ac:dyDescent="0.3">
      <c r="A105" t="s">
        <v>107</v>
      </c>
      <c r="B105" t="s">
        <v>3</v>
      </c>
      <c r="C105">
        <v>1.5</v>
      </c>
      <c r="D105">
        <v>16000</v>
      </c>
      <c r="E105">
        <f t="shared" si="1"/>
        <v>24000</v>
      </c>
    </row>
    <row r="106" spans="1:5" x14ac:dyDescent="0.3">
      <c r="E106">
        <f>SUM(E7:E105)</f>
        <v>137496000</v>
      </c>
    </row>
    <row r="107" spans="1:5" hidden="1" x14ac:dyDescent="0.3"/>
    <row r="108" spans="1:5" x14ac:dyDescent="0.3">
      <c r="A108" t="s">
        <v>0</v>
      </c>
      <c r="B108" t="s">
        <v>1</v>
      </c>
      <c r="C108" t="s">
        <v>102</v>
      </c>
      <c r="D108" t="s">
        <v>100</v>
      </c>
      <c r="E108" t="s">
        <v>101</v>
      </c>
    </row>
    <row r="109" spans="1:5" x14ac:dyDescent="0.3">
      <c r="A109" t="s">
        <v>2</v>
      </c>
      <c r="B109" t="s">
        <v>3</v>
      </c>
      <c r="C109">
        <v>248</v>
      </c>
      <c r="D109">
        <v>13000</v>
      </c>
      <c r="E109">
        <f t="shared" si="1"/>
        <v>3224000</v>
      </c>
    </row>
    <row r="110" spans="1:5" x14ac:dyDescent="0.3">
      <c r="A110" t="s">
        <v>57</v>
      </c>
      <c r="B110" t="s">
        <v>3</v>
      </c>
      <c r="C110">
        <v>105</v>
      </c>
      <c r="D110">
        <v>4500</v>
      </c>
      <c r="E110">
        <f t="shared" si="1"/>
        <v>472500</v>
      </c>
    </row>
    <row r="111" spans="1:5" x14ac:dyDescent="0.3">
      <c r="A111" t="s">
        <v>9</v>
      </c>
      <c r="B111" t="s">
        <v>3</v>
      </c>
      <c r="C111">
        <v>80</v>
      </c>
      <c r="D111">
        <v>12000</v>
      </c>
      <c r="E111">
        <f t="shared" si="1"/>
        <v>960000</v>
      </c>
    </row>
    <row r="112" spans="1:5" x14ac:dyDescent="0.3">
      <c r="A112" t="s">
        <v>10</v>
      </c>
      <c r="B112" t="s">
        <v>3</v>
      </c>
      <c r="C112">
        <v>40</v>
      </c>
      <c r="D112">
        <v>19000</v>
      </c>
      <c r="E112">
        <f t="shared" si="1"/>
        <v>760000</v>
      </c>
    </row>
    <row r="113" spans="1:5" x14ac:dyDescent="0.3">
      <c r="A113" t="s">
        <v>14</v>
      </c>
      <c r="B113" t="s">
        <v>3</v>
      </c>
      <c r="C113">
        <v>150</v>
      </c>
      <c r="D113">
        <v>16000</v>
      </c>
      <c r="E113">
        <f t="shared" si="1"/>
        <v>2400000</v>
      </c>
    </row>
    <row r="114" spans="1:5" hidden="1" x14ac:dyDescent="0.3">
      <c r="A114" t="s">
        <v>15</v>
      </c>
      <c r="B114" t="s">
        <v>3</v>
      </c>
      <c r="C114">
        <v>0</v>
      </c>
      <c r="E114">
        <f t="shared" si="1"/>
        <v>0</v>
      </c>
    </row>
    <row r="115" spans="1:5" hidden="1" x14ac:dyDescent="0.3">
      <c r="A115" t="s">
        <v>59</v>
      </c>
      <c r="B115" t="s">
        <v>3</v>
      </c>
      <c r="C115">
        <v>0</v>
      </c>
      <c r="E115">
        <f t="shared" si="1"/>
        <v>0</v>
      </c>
    </row>
    <row r="116" spans="1:5" hidden="1" x14ac:dyDescent="0.3">
      <c r="A116" t="s">
        <v>94</v>
      </c>
      <c r="B116" t="s">
        <v>3</v>
      </c>
      <c r="C116">
        <v>0</v>
      </c>
      <c r="E116">
        <f t="shared" si="1"/>
        <v>0</v>
      </c>
    </row>
    <row r="117" spans="1:5" hidden="1" x14ac:dyDescent="0.3">
      <c r="A117" t="s">
        <v>44</v>
      </c>
      <c r="B117" t="s">
        <v>3</v>
      </c>
      <c r="C117">
        <v>0</v>
      </c>
      <c r="E117">
        <f t="shared" si="1"/>
        <v>0</v>
      </c>
    </row>
    <row r="118" spans="1:5" x14ac:dyDescent="0.3">
      <c r="A118" t="s">
        <v>45</v>
      </c>
      <c r="B118" t="s">
        <v>3</v>
      </c>
      <c r="C118">
        <v>95</v>
      </c>
      <c r="D118">
        <v>5500</v>
      </c>
      <c r="E118">
        <f t="shared" si="1"/>
        <v>522500</v>
      </c>
    </row>
    <row r="119" spans="1:5" x14ac:dyDescent="0.3">
      <c r="A119" t="s">
        <v>17</v>
      </c>
      <c r="B119" t="s">
        <v>3</v>
      </c>
      <c r="C119">
        <v>286</v>
      </c>
      <c r="D119">
        <v>6500</v>
      </c>
      <c r="E119">
        <f t="shared" si="1"/>
        <v>1859000</v>
      </c>
    </row>
    <row r="120" spans="1:5" hidden="1" x14ac:dyDescent="0.3">
      <c r="A120" t="s">
        <v>20</v>
      </c>
      <c r="B120" t="s">
        <v>3</v>
      </c>
      <c r="C120">
        <v>0</v>
      </c>
      <c r="E120">
        <f t="shared" si="1"/>
        <v>0</v>
      </c>
    </row>
    <row r="121" spans="1:5" x14ac:dyDescent="0.3">
      <c r="A121" t="s">
        <v>21</v>
      </c>
      <c r="B121" t="s">
        <v>3</v>
      </c>
      <c r="C121">
        <v>30</v>
      </c>
      <c r="D121">
        <v>10000</v>
      </c>
      <c r="E121">
        <f t="shared" si="1"/>
        <v>300000</v>
      </c>
    </row>
    <row r="122" spans="1:5" hidden="1" x14ac:dyDescent="0.3">
      <c r="A122" t="s">
        <v>66</v>
      </c>
      <c r="B122" t="s">
        <v>3</v>
      </c>
      <c r="C122">
        <v>0</v>
      </c>
      <c r="E122">
        <f t="shared" si="1"/>
        <v>0</v>
      </c>
    </row>
    <row r="123" spans="1:5" hidden="1" x14ac:dyDescent="0.3">
      <c r="A123" t="s">
        <v>84</v>
      </c>
      <c r="B123" t="s">
        <v>22</v>
      </c>
      <c r="C123">
        <v>0</v>
      </c>
      <c r="E123">
        <f t="shared" si="1"/>
        <v>0</v>
      </c>
    </row>
    <row r="124" spans="1:5" hidden="1" x14ac:dyDescent="0.3">
      <c r="A124" t="s">
        <v>86</v>
      </c>
      <c r="B124" t="s">
        <v>22</v>
      </c>
      <c r="C124">
        <v>0</v>
      </c>
      <c r="E124">
        <f t="shared" si="1"/>
        <v>0</v>
      </c>
    </row>
    <row r="125" spans="1:5" hidden="1" x14ac:dyDescent="0.3">
      <c r="A125" t="s">
        <v>85</v>
      </c>
      <c r="B125" t="s">
        <v>22</v>
      </c>
      <c r="C125">
        <v>0</v>
      </c>
      <c r="E125">
        <f t="shared" si="1"/>
        <v>0</v>
      </c>
    </row>
    <row r="126" spans="1:5" x14ac:dyDescent="0.3">
      <c r="A126" t="s">
        <v>95</v>
      </c>
      <c r="B126" t="s">
        <v>3</v>
      </c>
      <c r="C126">
        <v>10</v>
      </c>
      <c r="D126">
        <v>8000</v>
      </c>
      <c r="E126">
        <f t="shared" si="1"/>
        <v>80000</v>
      </c>
    </row>
    <row r="127" spans="1:5" x14ac:dyDescent="0.3">
      <c r="A127" t="s">
        <v>24</v>
      </c>
      <c r="B127" t="s">
        <v>3</v>
      </c>
      <c r="C127">
        <v>150</v>
      </c>
      <c r="D127">
        <v>7000</v>
      </c>
      <c r="E127">
        <f t="shared" si="1"/>
        <v>1050000</v>
      </c>
    </row>
    <row r="128" spans="1:5" hidden="1" x14ac:dyDescent="0.3">
      <c r="A128" t="s">
        <v>25</v>
      </c>
      <c r="B128" t="s">
        <v>3</v>
      </c>
      <c r="C128">
        <v>0</v>
      </c>
      <c r="E128">
        <f t="shared" si="1"/>
        <v>0</v>
      </c>
    </row>
    <row r="129" spans="1:5" x14ac:dyDescent="0.3">
      <c r="A129" t="s">
        <v>28</v>
      </c>
      <c r="B129" t="s">
        <v>3</v>
      </c>
      <c r="C129">
        <v>210</v>
      </c>
      <c r="D129">
        <v>24000</v>
      </c>
      <c r="E129">
        <f t="shared" si="1"/>
        <v>5040000</v>
      </c>
    </row>
    <row r="130" spans="1:5" hidden="1" x14ac:dyDescent="0.3">
      <c r="A130" t="s">
        <v>30</v>
      </c>
      <c r="B130" t="s">
        <v>3</v>
      </c>
      <c r="C130">
        <v>0</v>
      </c>
      <c r="E130">
        <f t="shared" si="1"/>
        <v>0</v>
      </c>
    </row>
    <row r="131" spans="1:5" x14ac:dyDescent="0.3">
      <c r="A131" t="s">
        <v>53</v>
      </c>
      <c r="B131" t="s">
        <v>3</v>
      </c>
      <c r="C131">
        <v>20</v>
      </c>
      <c r="D131">
        <v>10000</v>
      </c>
      <c r="E131">
        <f t="shared" si="1"/>
        <v>200000</v>
      </c>
    </row>
    <row r="132" spans="1:5" hidden="1" x14ac:dyDescent="0.3">
      <c r="A132" t="s">
        <v>34</v>
      </c>
      <c r="B132" t="s">
        <v>3</v>
      </c>
      <c r="C132">
        <v>0</v>
      </c>
      <c r="E132">
        <f t="shared" si="1"/>
        <v>0</v>
      </c>
    </row>
    <row r="133" spans="1:5" x14ac:dyDescent="0.3">
      <c r="A133" t="s">
        <v>35</v>
      </c>
      <c r="B133" t="s">
        <v>3</v>
      </c>
      <c r="C133">
        <v>12</v>
      </c>
      <c r="D133">
        <v>32000</v>
      </c>
      <c r="E133">
        <f t="shared" si="1"/>
        <v>384000</v>
      </c>
    </row>
    <row r="134" spans="1:5" x14ac:dyDescent="0.3">
      <c r="A134" t="s">
        <v>36</v>
      </c>
      <c r="B134" t="s">
        <v>3</v>
      </c>
      <c r="C134">
        <v>55</v>
      </c>
      <c r="D134">
        <v>20000</v>
      </c>
      <c r="E134">
        <f t="shared" si="1"/>
        <v>1100000</v>
      </c>
    </row>
    <row r="135" spans="1:5" x14ac:dyDescent="0.3">
      <c r="A135" t="s">
        <v>72</v>
      </c>
      <c r="B135" t="s">
        <v>3</v>
      </c>
      <c r="C135">
        <v>95</v>
      </c>
      <c r="D135">
        <v>7000</v>
      </c>
      <c r="E135">
        <f t="shared" ref="E135:E152" si="2">C135*D135</f>
        <v>665000</v>
      </c>
    </row>
    <row r="136" spans="1:5" x14ac:dyDescent="0.3">
      <c r="A136" t="s">
        <v>56</v>
      </c>
      <c r="B136" t="s">
        <v>3</v>
      </c>
      <c r="C136">
        <v>25</v>
      </c>
      <c r="D136">
        <v>13000</v>
      </c>
      <c r="E136">
        <f t="shared" si="2"/>
        <v>325000</v>
      </c>
    </row>
    <row r="137" spans="1:5" hidden="1" x14ac:dyDescent="0.3">
      <c r="A137" t="s">
        <v>96</v>
      </c>
      <c r="B137" t="s">
        <v>3</v>
      </c>
      <c r="C137">
        <v>0</v>
      </c>
      <c r="E137">
        <f t="shared" si="2"/>
        <v>0</v>
      </c>
    </row>
    <row r="138" spans="1:5" x14ac:dyDescent="0.3">
      <c r="A138" t="s">
        <v>97</v>
      </c>
      <c r="B138" t="s">
        <v>3</v>
      </c>
      <c r="C138">
        <v>8</v>
      </c>
      <c r="D138">
        <v>16000</v>
      </c>
      <c r="E138">
        <f t="shared" si="2"/>
        <v>128000</v>
      </c>
    </row>
    <row r="139" spans="1:5" hidden="1" x14ac:dyDescent="0.3">
      <c r="A139" t="s">
        <v>32</v>
      </c>
      <c r="B139" t="s">
        <v>3</v>
      </c>
      <c r="C139">
        <v>0</v>
      </c>
      <c r="E139">
        <f t="shared" si="2"/>
        <v>0</v>
      </c>
    </row>
    <row r="140" spans="1:5" hidden="1" x14ac:dyDescent="0.3">
      <c r="A140" t="s">
        <v>32</v>
      </c>
      <c r="B140" t="s">
        <v>6</v>
      </c>
      <c r="C140">
        <v>0</v>
      </c>
      <c r="E140">
        <f t="shared" si="2"/>
        <v>0</v>
      </c>
    </row>
    <row r="141" spans="1:5" x14ac:dyDescent="0.3">
      <c r="A141" t="s">
        <v>43</v>
      </c>
      <c r="B141" t="s">
        <v>3</v>
      </c>
      <c r="C141">
        <v>140</v>
      </c>
      <c r="D141">
        <v>27600</v>
      </c>
      <c r="E141">
        <f t="shared" si="2"/>
        <v>3864000</v>
      </c>
    </row>
    <row r="142" spans="1:5" hidden="1" x14ac:dyDescent="0.3">
      <c r="A142" t="s">
        <v>60</v>
      </c>
      <c r="B142" t="s">
        <v>4</v>
      </c>
      <c r="C142">
        <v>0</v>
      </c>
      <c r="E142">
        <f t="shared" si="2"/>
        <v>0</v>
      </c>
    </row>
    <row r="143" spans="1:5" x14ac:dyDescent="0.3">
      <c r="A143" t="s">
        <v>61</v>
      </c>
      <c r="B143" t="s">
        <v>4</v>
      </c>
      <c r="C143">
        <v>130</v>
      </c>
      <c r="D143">
        <v>9000</v>
      </c>
      <c r="E143">
        <f t="shared" si="2"/>
        <v>1170000</v>
      </c>
    </row>
    <row r="144" spans="1:5" hidden="1" x14ac:dyDescent="0.3">
      <c r="A144" t="s">
        <v>67</v>
      </c>
      <c r="B144" t="s">
        <v>3</v>
      </c>
      <c r="C144">
        <v>0</v>
      </c>
      <c r="E144">
        <f t="shared" si="2"/>
        <v>0</v>
      </c>
    </row>
    <row r="145" spans="1:5" hidden="1" x14ac:dyDescent="0.3">
      <c r="A145" t="s">
        <v>78</v>
      </c>
      <c r="B145" t="s">
        <v>3</v>
      </c>
      <c r="C145">
        <v>0</v>
      </c>
      <c r="E145">
        <f t="shared" si="2"/>
        <v>0</v>
      </c>
    </row>
    <row r="146" spans="1:5" x14ac:dyDescent="0.3">
      <c r="A146" t="s">
        <v>46</v>
      </c>
      <c r="B146" t="s">
        <v>3</v>
      </c>
      <c r="C146">
        <v>8</v>
      </c>
      <c r="D146">
        <v>25000</v>
      </c>
      <c r="E146">
        <f t="shared" si="2"/>
        <v>200000</v>
      </c>
    </row>
    <row r="147" spans="1:5" hidden="1" x14ac:dyDescent="0.3">
      <c r="A147" t="s">
        <v>37</v>
      </c>
      <c r="B147" t="s">
        <v>3</v>
      </c>
      <c r="C147">
        <v>0</v>
      </c>
      <c r="E147">
        <f t="shared" si="2"/>
        <v>0</v>
      </c>
    </row>
    <row r="148" spans="1:5" hidden="1" x14ac:dyDescent="0.3">
      <c r="A148" t="s">
        <v>13</v>
      </c>
      <c r="B148" t="s">
        <v>4</v>
      </c>
      <c r="C148">
        <v>0</v>
      </c>
      <c r="E148">
        <f t="shared" si="2"/>
        <v>0</v>
      </c>
    </row>
    <row r="149" spans="1:5" hidden="1" x14ac:dyDescent="0.3">
      <c r="A149" t="s">
        <v>89</v>
      </c>
      <c r="B149" t="s">
        <v>4</v>
      </c>
      <c r="C149">
        <v>0</v>
      </c>
      <c r="E149">
        <f t="shared" si="2"/>
        <v>0</v>
      </c>
    </row>
    <row r="150" spans="1:5" x14ac:dyDescent="0.3">
      <c r="A150" t="s">
        <v>98</v>
      </c>
      <c r="B150" t="s">
        <v>3</v>
      </c>
      <c r="C150">
        <v>420</v>
      </c>
      <c r="D150">
        <v>3500</v>
      </c>
      <c r="E150">
        <f t="shared" si="2"/>
        <v>1470000</v>
      </c>
    </row>
    <row r="151" spans="1:5" x14ac:dyDescent="0.3">
      <c r="A151" t="s">
        <v>116</v>
      </c>
      <c r="B151" t="s">
        <v>26</v>
      </c>
      <c r="C151">
        <v>1250</v>
      </c>
      <c r="D151">
        <v>10000</v>
      </c>
      <c r="E151">
        <f t="shared" si="2"/>
        <v>12500000</v>
      </c>
    </row>
    <row r="152" spans="1:5" x14ac:dyDescent="0.3">
      <c r="A152" t="s">
        <v>150</v>
      </c>
      <c r="B152" t="s">
        <v>26</v>
      </c>
      <c r="C152">
        <v>1170</v>
      </c>
      <c r="D152">
        <v>17000</v>
      </c>
      <c r="E152">
        <f t="shared" si="2"/>
        <v>19890000</v>
      </c>
    </row>
    <row r="153" spans="1:5" x14ac:dyDescent="0.3">
      <c r="E153">
        <f>SUM(E109:E152)</f>
        <v>58564000</v>
      </c>
    </row>
    <row r="154" spans="1:5" x14ac:dyDescent="0.3">
      <c r="E154">
        <f>E153+E106</f>
        <v>196060000</v>
      </c>
    </row>
  </sheetData>
  <autoFilter ref="A3:E153" xr:uid="{00000000-0009-0000-0000-00000F000000}">
    <filterColumn colId="4">
      <filters>
        <filter val="1040000"/>
        <filter val="1050000"/>
        <filter val="1100000"/>
        <filter val="1105000"/>
        <filter val="115000"/>
        <filter val="1170000"/>
        <filter val="120000"/>
        <filter val="12500000"/>
        <filter val="128000"/>
        <filter val="130000"/>
        <filter val="137496000"/>
        <filter val="1375000"/>
        <filter val="1470000"/>
        <filter val="156400"/>
        <filter val="157500"/>
        <filter val="1600000"/>
        <filter val="1659000"/>
        <filter val="168000"/>
        <filter val="1859000"/>
        <filter val="192000"/>
        <filter val="19890000"/>
        <filter val="200000"/>
        <filter val="210000"/>
        <filter val="2208000"/>
        <filter val="24000"/>
        <filter val="2400000"/>
        <filter val="256000"/>
        <filter val="286000"/>
        <filter val="300000"/>
        <filter val="31200"/>
        <filter val="312000"/>
        <filter val="31560000"/>
        <filter val="3224000"/>
        <filter val="325000"/>
        <filter val="35000"/>
        <filter val="384000"/>
        <filter val="3864000"/>
        <filter val="3990000"/>
        <filter val="400000"/>
        <filter val="420000"/>
        <filter val="4235000"/>
        <filter val="4440000"/>
        <filter val="45000"/>
        <filter val="472500"/>
        <filter val="4750000"/>
        <filter val="48440000"/>
        <filter val="495000"/>
        <filter val="5040000"/>
        <filter val="5200000"/>
        <filter val="522500"/>
        <filter val="528000"/>
        <filter val="54000"/>
        <filter val="58564000"/>
        <filter val="60000"/>
        <filter val="600000"/>
        <filter val="62400"/>
        <filter val="640000"/>
        <filter val="665000"/>
        <filter val="7320000"/>
        <filter val="735000"/>
        <filter val="750000"/>
        <filter val="760000"/>
        <filter val="7920000"/>
        <filter val="80000"/>
        <filter val="816000"/>
        <filter val="84000"/>
        <filter val="90000"/>
        <filter val="907500"/>
        <filter val="918000"/>
        <filter val="96000"/>
        <filter val="960000"/>
        <filter val="thành tiền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E163"/>
  <sheetViews>
    <sheetView topLeftCell="A64" workbookViewId="0">
      <selection activeCell="D97" sqref="D97"/>
    </sheetView>
  </sheetViews>
  <sheetFormatPr defaultRowHeight="14.4" x14ac:dyDescent="0.3"/>
  <cols>
    <col min="1" max="1" width="32.21875" customWidth="1"/>
    <col min="4" max="4" width="13" style="2" customWidth="1"/>
    <col min="5" max="5" width="21.33203125" style="2" customWidth="1"/>
  </cols>
  <sheetData>
    <row r="1" spans="1:5" x14ac:dyDescent="0.3">
      <c r="A1" t="s">
        <v>157</v>
      </c>
    </row>
    <row r="2" spans="1:5" x14ac:dyDescent="0.3">
      <c r="A2" t="s">
        <v>0</v>
      </c>
      <c r="B2" t="s">
        <v>1</v>
      </c>
      <c r="C2" t="s">
        <v>102</v>
      </c>
      <c r="D2" s="2" t="s">
        <v>100</v>
      </c>
      <c r="E2" s="2" t="s">
        <v>101</v>
      </c>
    </row>
    <row r="3" spans="1:5" hidden="1" x14ac:dyDescent="0.3">
      <c r="A3" t="s">
        <v>44</v>
      </c>
      <c r="B3" t="s">
        <v>3</v>
      </c>
      <c r="C3">
        <v>0</v>
      </c>
      <c r="D3"/>
      <c r="E3">
        <f>C3*D3</f>
        <v>0</v>
      </c>
    </row>
    <row r="4" spans="1:5" x14ac:dyDescent="0.3">
      <c r="A4" t="s">
        <v>45</v>
      </c>
      <c r="B4" t="s">
        <v>3</v>
      </c>
      <c r="C4">
        <v>1124</v>
      </c>
      <c r="D4" s="2">
        <v>5500</v>
      </c>
      <c r="E4" s="2">
        <f t="shared" ref="E4:E67" si="0">C4*D4</f>
        <v>6182000</v>
      </c>
    </row>
    <row r="5" spans="1:5" x14ac:dyDescent="0.3">
      <c r="A5" t="s">
        <v>17</v>
      </c>
      <c r="B5" t="s">
        <v>3</v>
      </c>
      <c r="C5">
        <v>180</v>
      </c>
      <c r="D5" s="2">
        <v>5500</v>
      </c>
      <c r="E5" s="2">
        <f t="shared" si="0"/>
        <v>990000</v>
      </c>
    </row>
    <row r="6" spans="1:5" hidden="1" x14ac:dyDescent="0.3">
      <c r="A6" t="s">
        <v>92</v>
      </c>
      <c r="B6" t="s">
        <v>3</v>
      </c>
      <c r="C6">
        <v>0</v>
      </c>
      <c r="D6"/>
      <c r="E6">
        <f t="shared" si="0"/>
        <v>0</v>
      </c>
    </row>
    <row r="7" spans="1:5" x14ac:dyDescent="0.3">
      <c r="A7" t="s">
        <v>24</v>
      </c>
      <c r="B7" t="s">
        <v>3</v>
      </c>
      <c r="C7">
        <v>2240</v>
      </c>
      <c r="D7" s="2">
        <v>7000</v>
      </c>
      <c r="E7" s="2">
        <f t="shared" si="0"/>
        <v>15680000</v>
      </c>
    </row>
    <row r="8" spans="1:5" x14ac:dyDescent="0.3">
      <c r="A8" t="s">
        <v>25</v>
      </c>
      <c r="B8" t="s">
        <v>3</v>
      </c>
      <c r="C8">
        <v>20</v>
      </c>
      <c r="D8" s="2">
        <v>16000</v>
      </c>
      <c r="E8" s="2">
        <f t="shared" si="0"/>
        <v>320000</v>
      </c>
    </row>
    <row r="9" spans="1:5" hidden="1" x14ac:dyDescent="0.3">
      <c r="A9" t="s">
        <v>25</v>
      </c>
      <c r="B9" t="s">
        <v>26</v>
      </c>
      <c r="C9">
        <v>0</v>
      </c>
      <c r="D9"/>
      <c r="E9">
        <f t="shared" si="0"/>
        <v>0</v>
      </c>
    </row>
    <row r="10" spans="1:5" hidden="1" x14ac:dyDescent="0.3">
      <c r="A10" t="s">
        <v>27</v>
      </c>
      <c r="B10" t="s">
        <v>3</v>
      </c>
      <c r="C10">
        <v>0</v>
      </c>
      <c r="D10"/>
      <c r="E10">
        <f t="shared" si="0"/>
        <v>0</v>
      </c>
    </row>
    <row r="11" spans="1:5" hidden="1" x14ac:dyDescent="0.3">
      <c r="A11" t="s">
        <v>27</v>
      </c>
      <c r="B11" t="s">
        <v>26</v>
      </c>
      <c r="C11">
        <v>0</v>
      </c>
      <c r="D11"/>
      <c r="E11">
        <f t="shared" si="0"/>
        <v>0</v>
      </c>
    </row>
    <row r="12" spans="1:5" hidden="1" x14ac:dyDescent="0.3">
      <c r="A12" t="s">
        <v>136</v>
      </c>
      <c r="B12" t="s">
        <v>3</v>
      </c>
      <c r="C12">
        <v>0</v>
      </c>
      <c r="D12"/>
      <c r="E12">
        <f t="shared" si="0"/>
        <v>0</v>
      </c>
    </row>
    <row r="13" spans="1:5" hidden="1" x14ac:dyDescent="0.3">
      <c r="A13" t="s">
        <v>37</v>
      </c>
      <c r="B13" t="s">
        <v>3</v>
      </c>
      <c r="C13">
        <v>0</v>
      </c>
      <c r="D13"/>
      <c r="E13">
        <f t="shared" si="0"/>
        <v>0</v>
      </c>
    </row>
    <row r="14" spans="1:5" x14ac:dyDescent="0.3">
      <c r="A14" t="s">
        <v>46</v>
      </c>
      <c r="B14" t="s">
        <v>3</v>
      </c>
      <c r="C14">
        <v>20</v>
      </c>
      <c r="D14" s="2">
        <v>25000</v>
      </c>
      <c r="E14" s="2">
        <f t="shared" si="0"/>
        <v>500000</v>
      </c>
    </row>
    <row r="15" spans="1:5" hidden="1" x14ac:dyDescent="0.3">
      <c r="A15" t="s">
        <v>47</v>
      </c>
      <c r="B15" t="s">
        <v>3</v>
      </c>
      <c r="C15">
        <v>0</v>
      </c>
      <c r="D15"/>
      <c r="E15">
        <f t="shared" si="0"/>
        <v>0</v>
      </c>
    </row>
    <row r="16" spans="1:5" hidden="1" x14ac:dyDescent="0.3">
      <c r="A16" t="s">
        <v>123</v>
      </c>
      <c r="B16" t="s">
        <v>3</v>
      </c>
      <c r="C16">
        <v>0</v>
      </c>
      <c r="D16"/>
      <c r="E16">
        <f t="shared" si="0"/>
        <v>0</v>
      </c>
    </row>
    <row r="17" spans="1:5" hidden="1" x14ac:dyDescent="0.3">
      <c r="A17" t="s">
        <v>82</v>
      </c>
      <c r="B17" t="s">
        <v>3</v>
      </c>
      <c r="C17">
        <v>0</v>
      </c>
      <c r="D17"/>
      <c r="E17">
        <f t="shared" si="0"/>
        <v>0</v>
      </c>
    </row>
    <row r="18" spans="1:5" x14ac:dyDescent="0.3">
      <c r="A18" t="s">
        <v>16</v>
      </c>
      <c r="B18" t="s">
        <v>6</v>
      </c>
      <c r="C18">
        <v>18</v>
      </c>
      <c r="D18" s="2">
        <v>7600</v>
      </c>
      <c r="E18" s="2">
        <f t="shared" si="0"/>
        <v>136800</v>
      </c>
    </row>
    <row r="19" spans="1:5" x14ac:dyDescent="0.3">
      <c r="A19" t="s">
        <v>28</v>
      </c>
      <c r="B19" t="s">
        <v>3</v>
      </c>
      <c r="C19">
        <v>262</v>
      </c>
      <c r="D19" s="2">
        <v>22000</v>
      </c>
      <c r="E19" s="2">
        <f t="shared" si="0"/>
        <v>5764000</v>
      </c>
    </row>
    <row r="20" spans="1:5" hidden="1" x14ac:dyDescent="0.3">
      <c r="A20" t="s">
        <v>28</v>
      </c>
      <c r="B20" t="s">
        <v>6</v>
      </c>
      <c r="C20">
        <v>0</v>
      </c>
      <c r="D20"/>
      <c r="E20">
        <f t="shared" si="0"/>
        <v>0</v>
      </c>
    </row>
    <row r="21" spans="1:5" hidden="1" x14ac:dyDescent="0.3">
      <c r="A21" t="s">
        <v>28</v>
      </c>
      <c r="B21" t="s">
        <v>29</v>
      </c>
      <c r="C21">
        <v>0</v>
      </c>
      <c r="D21"/>
      <c r="E21">
        <f t="shared" si="0"/>
        <v>0</v>
      </c>
    </row>
    <row r="22" spans="1:5" x14ac:dyDescent="0.3">
      <c r="A22" t="s">
        <v>48</v>
      </c>
      <c r="B22" t="s">
        <v>3</v>
      </c>
      <c r="C22">
        <v>60</v>
      </c>
      <c r="D22" s="2">
        <v>20000</v>
      </c>
      <c r="E22" s="2">
        <f t="shared" si="0"/>
        <v>1200000</v>
      </c>
    </row>
    <row r="23" spans="1:5" hidden="1" x14ac:dyDescent="0.3">
      <c r="A23" t="s">
        <v>48</v>
      </c>
      <c r="B23" t="s">
        <v>49</v>
      </c>
      <c r="C23">
        <v>0</v>
      </c>
      <c r="D23"/>
      <c r="E23">
        <f t="shared" si="0"/>
        <v>0</v>
      </c>
    </row>
    <row r="24" spans="1:5" x14ac:dyDescent="0.3">
      <c r="A24" t="s">
        <v>40</v>
      </c>
      <c r="B24" t="s">
        <v>3</v>
      </c>
      <c r="C24">
        <v>3</v>
      </c>
      <c r="D24" s="2">
        <v>30000</v>
      </c>
      <c r="E24" s="2">
        <f t="shared" si="0"/>
        <v>90000</v>
      </c>
    </row>
    <row r="25" spans="1:5" x14ac:dyDescent="0.3">
      <c r="A25" t="s">
        <v>40</v>
      </c>
      <c r="B25" t="s">
        <v>41</v>
      </c>
      <c r="C25">
        <v>171</v>
      </c>
      <c r="D25" s="2">
        <v>9000</v>
      </c>
      <c r="E25" s="2">
        <f t="shared" si="0"/>
        <v>1539000</v>
      </c>
    </row>
    <row r="26" spans="1:5" x14ac:dyDescent="0.3">
      <c r="A26" t="s">
        <v>50</v>
      </c>
      <c r="B26" t="s">
        <v>8</v>
      </c>
      <c r="C26">
        <v>5</v>
      </c>
      <c r="D26" s="2">
        <v>16500</v>
      </c>
      <c r="E26" s="2">
        <f t="shared" si="0"/>
        <v>82500</v>
      </c>
    </row>
    <row r="27" spans="1:5" x14ac:dyDescent="0.3">
      <c r="A27" t="s">
        <v>51</v>
      </c>
      <c r="B27" t="s">
        <v>3</v>
      </c>
      <c r="C27">
        <v>10</v>
      </c>
      <c r="D27" s="2">
        <v>38000</v>
      </c>
      <c r="E27" s="2">
        <f t="shared" si="0"/>
        <v>380000</v>
      </c>
    </row>
    <row r="28" spans="1:5" x14ac:dyDescent="0.3">
      <c r="A28" t="s">
        <v>51</v>
      </c>
      <c r="B28" t="s">
        <v>52</v>
      </c>
      <c r="C28">
        <v>324</v>
      </c>
      <c r="D28" s="2">
        <v>12000</v>
      </c>
      <c r="E28" s="2">
        <f t="shared" si="0"/>
        <v>3888000</v>
      </c>
    </row>
    <row r="29" spans="1:5" x14ac:dyDescent="0.3">
      <c r="A29" t="s">
        <v>30</v>
      </c>
      <c r="B29" t="s">
        <v>3</v>
      </c>
      <c r="C29">
        <v>200</v>
      </c>
      <c r="D29" s="2">
        <v>20000</v>
      </c>
      <c r="E29" s="2">
        <f t="shared" si="0"/>
        <v>4000000</v>
      </c>
    </row>
    <row r="30" spans="1:5" hidden="1" x14ac:dyDescent="0.3">
      <c r="A30" t="s">
        <v>30</v>
      </c>
      <c r="B30" t="s">
        <v>6</v>
      </c>
      <c r="C30">
        <v>0</v>
      </c>
      <c r="D30"/>
      <c r="E30">
        <f t="shared" si="0"/>
        <v>0</v>
      </c>
    </row>
    <row r="31" spans="1:5" x14ac:dyDescent="0.3">
      <c r="A31" t="s">
        <v>31</v>
      </c>
      <c r="B31" t="s">
        <v>4</v>
      </c>
      <c r="C31">
        <v>63</v>
      </c>
      <c r="D31" s="2">
        <v>16000</v>
      </c>
      <c r="E31" s="2">
        <f t="shared" si="0"/>
        <v>1008000</v>
      </c>
    </row>
    <row r="32" spans="1:5" x14ac:dyDescent="0.3">
      <c r="A32" t="s">
        <v>2</v>
      </c>
      <c r="B32" t="s">
        <v>3</v>
      </c>
      <c r="C32">
        <v>400</v>
      </c>
      <c r="D32" s="2">
        <v>13000</v>
      </c>
      <c r="E32" s="2">
        <f t="shared" si="0"/>
        <v>5200000</v>
      </c>
    </row>
    <row r="33" spans="1:5" hidden="1" x14ac:dyDescent="0.3">
      <c r="A33" t="s">
        <v>2</v>
      </c>
      <c r="B33" t="s">
        <v>4</v>
      </c>
      <c r="C33">
        <v>0</v>
      </c>
      <c r="D33"/>
      <c r="E33">
        <f t="shared" si="0"/>
        <v>0</v>
      </c>
    </row>
    <row r="34" spans="1:5" hidden="1" x14ac:dyDescent="0.3">
      <c r="A34" t="s">
        <v>5</v>
      </c>
      <c r="B34" t="s">
        <v>6</v>
      </c>
      <c r="C34">
        <v>0</v>
      </c>
      <c r="D34"/>
      <c r="E34">
        <f t="shared" si="0"/>
        <v>0</v>
      </c>
    </row>
    <row r="35" spans="1:5" x14ac:dyDescent="0.3">
      <c r="A35" t="s">
        <v>53</v>
      </c>
      <c r="B35" t="s">
        <v>3</v>
      </c>
      <c r="C35">
        <v>70</v>
      </c>
      <c r="D35" s="2">
        <v>10000</v>
      </c>
      <c r="E35" s="2">
        <f t="shared" si="0"/>
        <v>700000</v>
      </c>
    </row>
    <row r="36" spans="1:5" hidden="1" x14ac:dyDescent="0.3">
      <c r="A36" t="s">
        <v>53</v>
      </c>
      <c r="B36" t="s">
        <v>54</v>
      </c>
      <c r="C36">
        <v>0</v>
      </c>
      <c r="D36"/>
      <c r="E36">
        <f t="shared" si="0"/>
        <v>0</v>
      </c>
    </row>
    <row r="37" spans="1:5" x14ac:dyDescent="0.3">
      <c r="A37" t="s">
        <v>18</v>
      </c>
      <c r="B37" t="s">
        <v>3</v>
      </c>
      <c r="C37">
        <v>10</v>
      </c>
      <c r="D37" s="2">
        <v>20000</v>
      </c>
      <c r="E37" s="2">
        <f t="shared" si="0"/>
        <v>200000</v>
      </c>
    </row>
    <row r="38" spans="1:5" hidden="1" x14ac:dyDescent="0.3">
      <c r="A38" t="s">
        <v>18</v>
      </c>
      <c r="B38" t="s">
        <v>4</v>
      </c>
      <c r="C38">
        <v>0</v>
      </c>
      <c r="D38"/>
      <c r="E38">
        <f t="shared" si="0"/>
        <v>0</v>
      </c>
    </row>
    <row r="39" spans="1:5" x14ac:dyDescent="0.3">
      <c r="A39" t="s">
        <v>55</v>
      </c>
      <c r="B39" t="s">
        <v>4</v>
      </c>
      <c r="C39">
        <v>14</v>
      </c>
      <c r="D39" s="2">
        <v>3900</v>
      </c>
      <c r="E39" s="2">
        <f t="shared" si="0"/>
        <v>54600</v>
      </c>
    </row>
    <row r="40" spans="1:5" x14ac:dyDescent="0.3">
      <c r="A40" t="s">
        <v>19</v>
      </c>
      <c r="B40" t="s">
        <v>4</v>
      </c>
      <c r="C40">
        <v>14</v>
      </c>
      <c r="D40" s="2">
        <v>3900</v>
      </c>
      <c r="E40" s="2">
        <f t="shared" si="0"/>
        <v>54600</v>
      </c>
    </row>
    <row r="41" spans="1:5" hidden="1" x14ac:dyDescent="0.3">
      <c r="A41" t="s">
        <v>20</v>
      </c>
      <c r="B41" t="s">
        <v>3</v>
      </c>
      <c r="C41">
        <v>0</v>
      </c>
      <c r="D41"/>
      <c r="E41">
        <f t="shared" si="0"/>
        <v>0</v>
      </c>
    </row>
    <row r="42" spans="1:5" hidden="1" x14ac:dyDescent="0.3">
      <c r="A42" t="s">
        <v>21</v>
      </c>
      <c r="B42" t="s">
        <v>22</v>
      </c>
      <c r="C42">
        <v>0</v>
      </c>
      <c r="D42"/>
      <c r="E42">
        <f t="shared" si="0"/>
        <v>0</v>
      </c>
    </row>
    <row r="43" spans="1:5" x14ac:dyDescent="0.3">
      <c r="A43" t="s">
        <v>21</v>
      </c>
      <c r="B43" t="s">
        <v>3</v>
      </c>
      <c r="C43">
        <v>70</v>
      </c>
      <c r="D43" s="2">
        <v>10000</v>
      </c>
      <c r="E43" s="2">
        <f t="shared" si="0"/>
        <v>700000</v>
      </c>
    </row>
    <row r="44" spans="1:5" hidden="1" x14ac:dyDescent="0.3">
      <c r="A44" t="s">
        <v>56</v>
      </c>
      <c r="B44" t="s">
        <v>3</v>
      </c>
      <c r="C44">
        <v>0</v>
      </c>
      <c r="D44"/>
      <c r="E44">
        <f t="shared" si="0"/>
        <v>0</v>
      </c>
    </row>
    <row r="45" spans="1:5" x14ac:dyDescent="0.3">
      <c r="A45" t="s">
        <v>7</v>
      </c>
      <c r="B45" t="s">
        <v>8</v>
      </c>
      <c r="C45">
        <v>5</v>
      </c>
      <c r="D45" s="2">
        <v>6500</v>
      </c>
      <c r="E45" s="2">
        <f t="shared" si="0"/>
        <v>32500</v>
      </c>
    </row>
    <row r="46" spans="1:5" hidden="1" x14ac:dyDescent="0.3">
      <c r="A46" t="s">
        <v>7</v>
      </c>
      <c r="B46" t="s">
        <v>3</v>
      </c>
      <c r="C46">
        <v>0</v>
      </c>
      <c r="D46"/>
      <c r="E46">
        <f t="shared" si="0"/>
        <v>0</v>
      </c>
    </row>
    <row r="47" spans="1:5" x14ac:dyDescent="0.3">
      <c r="A47" t="s">
        <v>57</v>
      </c>
      <c r="B47" t="s">
        <v>3</v>
      </c>
      <c r="C47">
        <v>43</v>
      </c>
      <c r="D47" s="2">
        <v>5000</v>
      </c>
      <c r="E47" s="2">
        <f t="shared" si="0"/>
        <v>215000</v>
      </c>
    </row>
    <row r="48" spans="1:5" x14ac:dyDescent="0.3">
      <c r="A48" t="s">
        <v>9</v>
      </c>
      <c r="B48" t="s">
        <v>3</v>
      </c>
      <c r="C48">
        <v>75</v>
      </c>
      <c r="D48" s="2">
        <v>12000</v>
      </c>
      <c r="E48" s="2">
        <f t="shared" si="0"/>
        <v>900000</v>
      </c>
    </row>
    <row r="49" spans="1:5" hidden="1" x14ac:dyDescent="0.3">
      <c r="A49" t="s">
        <v>9</v>
      </c>
      <c r="B49" t="s">
        <v>4</v>
      </c>
      <c r="C49">
        <v>0</v>
      </c>
      <c r="D49"/>
      <c r="E49">
        <f t="shared" si="0"/>
        <v>0</v>
      </c>
    </row>
    <row r="50" spans="1:5" x14ac:dyDescent="0.3">
      <c r="A50" t="s">
        <v>58</v>
      </c>
      <c r="B50" t="s">
        <v>3</v>
      </c>
      <c r="C50">
        <v>5</v>
      </c>
      <c r="D50" s="2">
        <v>23000</v>
      </c>
      <c r="E50" s="2">
        <f t="shared" si="0"/>
        <v>115000</v>
      </c>
    </row>
    <row r="51" spans="1:5" x14ac:dyDescent="0.3">
      <c r="A51" t="s">
        <v>152</v>
      </c>
      <c r="B51" t="s">
        <v>3</v>
      </c>
      <c r="C51">
        <v>2</v>
      </c>
      <c r="D51" s="2">
        <v>50000</v>
      </c>
      <c r="E51" s="2">
        <f t="shared" si="0"/>
        <v>100000</v>
      </c>
    </row>
    <row r="52" spans="1:5" x14ac:dyDescent="0.3">
      <c r="A52" t="s">
        <v>10</v>
      </c>
      <c r="B52" t="s">
        <v>3</v>
      </c>
      <c r="C52">
        <v>300</v>
      </c>
      <c r="D52" s="2">
        <v>19000</v>
      </c>
      <c r="E52" s="2">
        <f t="shared" si="0"/>
        <v>5700000</v>
      </c>
    </row>
    <row r="53" spans="1:5" hidden="1" x14ac:dyDescent="0.3">
      <c r="A53" t="s">
        <v>10</v>
      </c>
      <c r="B53" t="s">
        <v>11</v>
      </c>
      <c r="C53">
        <v>0</v>
      </c>
      <c r="D53"/>
      <c r="E53">
        <f t="shared" si="0"/>
        <v>0</v>
      </c>
    </row>
    <row r="54" spans="1:5" x14ac:dyDescent="0.3">
      <c r="A54" t="s">
        <v>106</v>
      </c>
      <c r="B54" t="s">
        <v>3</v>
      </c>
      <c r="C54">
        <v>5</v>
      </c>
      <c r="D54" s="2">
        <v>20000</v>
      </c>
      <c r="E54" s="2">
        <f t="shared" si="0"/>
        <v>100000</v>
      </c>
    </row>
    <row r="55" spans="1:5" x14ac:dyDescent="0.3">
      <c r="A55" t="s">
        <v>12</v>
      </c>
      <c r="B55" t="s">
        <v>4</v>
      </c>
      <c r="C55">
        <v>150</v>
      </c>
      <c r="D55" s="2">
        <v>4800</v>
      </c>
      <c r="E55" s="2">
        <f t="shared" si="0"/>
        <v>720000</v>
      </c>
    </row>
    <row r="56" spans="1:5" x14ac:dyDescent="0.3">
      <c r="A56" t="s">
        <v>39</v>
      </c>
      <c r="B56" t="s">
        <v>3</v>
      </c>
      <c r="C56">
        <v>1200</v>
      </c>
      <c r="D56" s="2">
        <v>24000</v>
      </c>
      <c r="E56" s="2">
        <f t="shared" si="0"/>
        <v>28800000</v>
      </c>
    </row>
    <row r="57" spans="1:5" x14ac:dyDescent="0.3">
      <c r="A57" t="s">
        <v>13</v>
      </c>
      <c r="B57" t="s">
        <v>3</v>
      </c>
      <c r="C57">
        <v>258</v>
      </c>
      <c r="D57" s="2">
        <v>24000</v>
      </c>
      <c r="E57" s="2">
        <f t="shared" si="0"/>
        <v>6192000</v>
      </c>
    </row>
    <row r="58" spans="1:5" x14ac:dyDescent="0.3">
      <c r="A58" t="s">
        <v>133</v>
      </c>
      <c r="B58" t="s">
        <v>3</v>
      </c>
      <c r="C58">
        <v>203</v>
      </c>
      <c r="D58" s="2">
        <v>17000</v>
      </c>
      <c r="E58" s="2">
        <f t="shared" si="0"/>
        <v>3451000</v>
      </c>
    </row>
    <row r="59" spans="1:5" x14ac:dyDescent="0.3">
      <c r="A59" t="s">
        <v>14</v>
      </c>
      <c r="B59" t="s">
        <v>3</v>
      </c>
      <c r="C59">
        <v>70</v>
      </c>
      <c r="D59" s="2">
        <v>16000</v>
      </c>
      <c r="E59" s="2">
        <f t="shared" si="0"/>
        <v>1120000</v>
      </c>
    </row>
    <row r="60" spans="1:5" x14ac:dyDescent="0.3">
      <c r="A60" t="s">
        <v>93</v>
      </c>
      <c r="B60" t="s">
        <v>3</v>
      </c>
      <c r="C60">
        <v>40</v>
      </c>
      <c r="D60" s="2">
        <v>25000</v>
      </c>
      <c r="E60" s="2">
        <f t="shared" si="0"/>
        <v>1000000</v>
      </c>
    </row>
    <row r="61" spans="1:5" hidden="1" x14ac:dyDescent="0.3">
      <c r="A61" t="s">
        <v>42</v>
      </c>
      <c r="B61" t="s">
        <v>3</v>
      </c>
      <c r="C61">
        <v>0</v>
      </c>
      <c r="D61"/>
      <c r="E61">
        <f t="shared" si="0"/>
        <v>0</v>
      </c>
    </row>
    <row r="62" spans="1:5" x14ac:dyDescent="0.3">
      <c r="A62" t="s">
        <v>15</v>
      </c>
      <c r="B62" t="s">
        <v>3</v>
      </c>
      <c r="C62">
        <v>235</v>
      </c>
      <c r="D62" s="2">
        <v>18000</v>
      </c>
      <c r="E62" s="2">
        <f t="shared" si="0"/>
        <v>4230000</v>
      </c>
    </row>
    <row r="63" spans="1:5" hidden="1" x14ac:dyDescent="0.3">
      <c r="A63" t="s">
        <v>15</v>
      </c>
      <c r="B63" t="s">
        <v>4</v>
      </c>
      <c r="C63">
        <v>0</v>
      </c>
      <c r="D63"/>
      <c r="E63">
        <f t="shared" si="0"/>
        <v>0</v>
      </c>
    </row>
    <row r="64" spans="1:5" x14ac:dyDescent="0.3">
      <c r="A64" t="s">
        <v>87</v>
      </c>
      <c r="B64" t="s">
        <v>4</v>
      </c>
      <c r="C64">
        <v>90</v>
      </c>
      <c r="D64" s="2">
        <v>8000</v>
      </c>
      <c r="E64" s="2">
        <f t="shared" si="0"/>
        <v>720000</v>
      </c>
    </row>
    <row r="65" spans="1:5" x14ac:dyDescent="0.3">
      <c r="A65" t="s">
        <v>59</v>
      </c>
      <c r="B65" t="s">
        <v>3</v>
      </c>
      <c r="C65">
        <v>14</v>
      </c>
      <c r="D65" s="2">
        <v>10000</v>
      </c>
      <c r="E65" s="2">
        <f t="shared" si="0"/>
        <v>140000</v>
      </c>
    </row>
    <row r="66" spans="1:5" x14ac:dyDescent="0.3">
      <c r="A66" t="s">
        <v>60</v>
      </c>
      <c r="B66" t="s">
        <v>4</v>
      </c>
      <c r="C66">
        <v>22</v>
      </c>
      <c r="D66" s="2">
        <v>10000</v>
      </c>
      <c r="E66" s="2">
        <f t="shared" si="0"/>
        <v>220000</v>
      </c>
    </row>
    <row r="67" spans="1:5" hidden="1" x14ac:dyDescent="0.3">
      <c r="A67" t="s">
        <v>61</v>
      </c>
      <c r="B67" t="s">
        <v>3</v>
      </c>
      <c r="C67">
        <v>0</v>
      </c>
      <c r="D67"/>
      <c r="E67">
        <f t="shared" si="0"/>
        <v>0</v>
      </c>
    </row>
    <row r="68" spans="1:5" hidden="1" x14ac:dyDescent="0.3">
      <c r="A68" t="s">
        <v>61</v>
      </c>
      <c r="B68" t="s">
        <v>62</v>
      </c>
      <c r="C68">
        <v>0</v>
      </c>
      <c r="D68"/>
      <c r="E68">
        <f t="shared" ref="E68:E133" si="1">C68*D68</f>
        <v>0</v>
      </c>
    </row>
    <row r="69" spans="1:5" x14ac:dyDescent="0.3">
      <c r="A69" t="s">
        <v>63</v>
      </c>
      <c r="B69" t="s">
        <v>3</v>
      </c>
      <c r="C69">
        <v>3</v>
      </c>
      <c r="D69" s="2">
        <v>60000</v>
      </c>
      <c r="E69" s="2">
        <f t="shared" si="1"/>
        <v>180000</v>
      </c>
    </row>
    <row r="70" spans="1:5" hidden="1" x14ac:dyDescent="0.3">
      <c r="A70" t="s">
        <v>64</v>
      </c>
      <c r="B70" t="s">
        <v>3</v>
      </c>
      <c r="C70">
        <v>0</v>
      </c>
      <c r="D70"/>
      <c r="E70">
        <f t="shared" si="1"/>
        <v>0</v>
      </c>
    </row>
    <row r="71" spans="1:5" hidden="1" x14ac:dyDescent="0.3">
      <c r="A71" t="s">
        <v>65</v>
      </c>
      <c r="B71" t="s">
        <v>3</v>
      </c>
      <c r="C71">
        <v>0</v>
      </c>
      <c r="D71"/>
      <c r="E71">
        <f t="shared" si="1"/>
        <v>0</v>
      </c>
    </row>
    <row r="72" spans="1:5" hidden="1" x14ac:dyDescent="0.3">
      <c r="A72" t="s">
        <v>90</v>
      </c>
      <c r="B72" t="s">
        <v>4</v>
      </c>
      <c r="C72">
        <v>0</v>
      </c>
      <c r="D72"/>
      <c r="E72">
        <f t="shared" si="1"/>
        <v>0</v>
      </c>
    </row>
    <row r="73" spans="1:5" x14ac:dyDescent="0.3">
      <c r="A73" t="s">
        <v>32</v>
      </c>
      <c r="B73" t="s">
        <v>3</v>
      </c>
      <c r="C73">
        <v>47</v>
      </c>
      <c r="D73" s="2">
        <v>8000</v>
      </c>
      <c r="E73" s="2">
        <f t="shared" si="1"/>
        <v>376000</v>
      </c>
    </row>
    <row r="74" spans="1:5" hidden="1" x14ac:dyDescent="0.3">
      <c r="A74" t="s">
        <v>32</v>
      </c>
      <c r="B74" t="s">
        <v>6</v>
      </c>
      <c r="C74">
        <v>0</v>
      </c>
      <c r="D74"/>
      <c r="E74">
        <f t="shared" si="1"/>
        <v>0</v>
      </c>
    </row>
    <row r="75" spans="1:5" hidden="1" x14ac:dyDescent="0.3">
      <c r="A75" t="s">
        <v>81</v>
      </c>
      <c r="B75" t="s">
        <v>3</v>
      </c>
      <c r="C75">
        <v>0</v>
      </c>
      <c r="D75"/>
      <c r="E75">
        <f t="shared" si="1"/>
        <v>0</v>
      </c>
    </row>
    <row r="76" spans="1:5" x14ac:dyDescent="0.3">
      <c r="A76" t="s">
        <v>33</v>
      </c>
      <c r="B76" t="s">
        <v>3</v>
      </c>
      <c r="C76">
        <v>45</v>
      </c>
      <c r="D76" s="2">
        <v>10000</v>
      </c>
      <c r="E76" s="2">
        <f t="shared" si="1"/>
        <v>450000</v>
      </c>
    </row>
    <row r="77" spans="1:5" hidden="1" x14ac:dyDescent="0.3">
      <c r="A77" t="s">
        <v>66</v>
      </c>
      <c r="B77" t="s">
        <v>22</v>
      </c>
      <c r="C77">
        <v>0</v>
      </c>
      <c r="D77"/>
      <c r="E77">
        <f t="shared" si="1"/>
        <v>0</v>
      </c>
    </row>
    <row r="78" spans="1:5" x14ac:dyDescent="0.3">
      <c r="A78" t="s">
        <v>66</v>
      </c>
      <c r="B78" t="s">
        <v>3</v>
      </c>
      <c r="C78">
        <v>5</v>
      </c>
      <c r="D78" s="2">
        <v>19000</v>
      </c>
      <c r="E78" s="2">
        <f t="shared" si="1"/>
        <v>95000</v>
      </c>
    </row>
    <row r="79" spans="1:5" x14ac:dyDescent="0.3">
      <c r="A79" t="s">
        <v>43</v>
      </c>
      <c r="B79" t="s">
        <v>3</v>
      </c>
      <c r="C79">
        <v>1730</v>
      </c>
      <c r="D79" s="2">
        <v>27600</v>
      </c>
      <c r="E79" s="2">
        <f>C79*D79</f>
        <v>47748000</v>
      </c>
    </row>
    <row r="80" spans="1:5" hidden="1" x14ac:dyDescent="0.3">
      <c r="A80" t="s">
        <v>67</v>
      </c>
      <c r="B80" t="s">
        <v>3</v>
      </c>
      <c r="C80">
        <v>0</v>
      </c>
      <c r="D80"/>
      <c r="E80">
        <f t="shared" si="1"/>
        <v>0</v>
      </c>
    </row>
    <row r="81" spans="1:5" hidden="1" x14ac:dyDescent="0.3">
      <c r="A81" t="s">
        <v>156</v>
      </c>
      <c r="B81" t="s">
        <v>3</v>
      </c>
      <c r="C81">
        <v>0</v>
      </c>
      <c r="D81"/>
      <c r="E81">
        <f t="shared" si="1"/>
        <v>0</v>
      </c>
    </row>
    <row r="82" spans="1:5" x14ac:dyDescent="0.3">
      <c r="A82" t="s">
        <v>68</v>
      </c>
      <c r="B82" t="s">
        <v>158</v>
      </c>
      <c r="C82">
        <v>10</v>
      </c>
      <c r="D82" s="2">
        <v>1900</v>
      </c>
      <c r="E82" s="2">
        <f t="shared" si="1"/>
        <v>19000</v>
      </c>
    </row>
    <row r="83" spans="1:5" hidden="1" x14ac:dyDescent="0.3">
      <c r="A83" t="s">
        <v>68</v>
      </c>
      <c r="B83" t="s">
        <v>4</v>
      </c>
      <c r="C83">
        <v>0</v>
      </c>
      <c r="D83"/>
      <c r="E83">
        <f t="shared" si="1"/>
        <v>0</v>
      </c>
    </row>
    <row r="84" spans="1:5" x14ac:dyDescent="0.3">
      <c r="A84" t="s">
        <v>69</v>
      </c>
      <c r="B84" t="s">
        <v>3</v>
      </c>
      <c r="C84">
        <v>18</v>
      </c>
      <c r="D84" s="2">
        <v>14000</v>
      </c>
      <c r="E84" s="2">
        <f t="shared" si="1"/>
        <v>252000</v>
      </c>
    </row>
    <row r="85" spans="1:5" hidden="1" x14ac:dyDescent="0.3">
      <c r="A85" t="s">
        <v>38</v>
      </c>
      <c r="B85" t="s">
        <v>6</v>
      </c>
      <c r="C85">
        <v>0</v>
      </c>
      <c r="D85"/>
      <c r="E85">
        <f t="shared" si="1"/>
        <v>0</v>
      </c>
    </row>
    <row r="86" spans="1:5" hidden="1" x14ac:dyDescent="0.3">
      <c r="A86" t="s">
        <v>70</v>
      </c>
      <c r="B86" t="s">
        <v>8</v>
      </c>
      <c r="C86">
        <v>0</v>
      </c>
      <c r="D86"/>
      <c r="E86">
        <f t="shared" si="1"/>
        <v>0</v>
      </c>
    </row>
    <row r="87" spans="1:5" x14ac:dyDescent="0.3">
      <c r="A87" t="s">
        <v>34</v>
      </c>
      <c r="B87" t="s">
        <v>3</v>
      </c>
      <c r="C87">
        <v>150</v>
      </c>
      <c r="D87" s="2">
        <v>38000</v>
      </c>
      <c r="E87" s="2">
        <f t="shared" si="1"/>
        <v>5700000</v>
      </c>
    </row>
    <row r="88" spans="1:5" hidden="1" x14ac:dyDescent="0.3">
      <c r="A88" t="s">
        <v>34</v>
      </c>
      <c r="B88" t="s">
        <v>26</v>
      </c>
      <c r="C88">
        <v>0</v>
      </c>
      <c r="D88"/>
      <c r="E88">
        <f t="shared" si="1"/>
        <v>0</v>
      </c>
    </row>
    <row r="89" spans="1:5" x14ac:dyDescent="0.3">
      <c r="A89" t="s">
        <v>35</v>
      </c>
      <c r="B89" t="s">
        <v>3</v>
      </c>
      <c r="C89">
        <v>43</v>
      </c>
      <c r="D89" s="2">
        <v>32000</v>
      </c>
      <c r="E89" s="2">
        <f t="shared" si="1"/>
        <v>1376000</v>
      </c>
    </row>
    <row r="90" spans="1:5" hidden="1" x14ac:dyDescent="0.3">
      <c r="A90" t="s">
        <v>35</v>
      </c>
      <c r="B90" t="s">
        <v>26</v>
      </c>
      <c r="C90">
        <v>0</v>
      </c>
      <c r="D90"/>
      <c r="E90">
        <f t="shared" si="1"/>
        <v>0</v>
      </c>
    </row>
    <row r="91" spans="1:5" x14ac:dyDescent="0.3">
      <c r="A91" t="s">
        <v>36</v>
      </c>
      <c r="B91" t="s">
        <v>3</v>
      </c>
      <c r="C91">
        <v>74</v>
      </c>
      <c r="D91" s="2">
        <v>17000</v>
      </c>
      <c r="E91" s="2">
        <f t="shared" si="1"/>
        <v>1258000</v>
      </c>
    </row>
    <row r="92" spans="1:5" hidden="1" x14ac:dyDescent="0.3">
      <c r="A92" t="s">
        <v>36</v>
      </c>
      <c r="B92" t="s">
        <v>26</v>
      </c>
      <c r="C92">
        <v>0</v>
      </c>
      <c r="D92"/>
      <c r="E92">
        <f t="shared" si="1"/>
        <v>0</v>
      </c>
    </row>
    <row r="93" spans="1:5" x14ac:dyDescent="0.3">
      <c r="A93" t="s">
        <v>119</v>
      </c>
      <c r="B93" t="s">
        <v>3</v>
      </c>
      <c r="C93">
        <v>20</v>
      </c>
      <c r="D93" s="2">
        <v>12000</v>
      </c>
      <c r="E93" s="2">
        <f t="shared" si="1"/>
        <v>240000</v>
      </c>
    </row>
    <row r="94" spans="1:5" x14ac:dyDescent="0.3">
      <c r="A94" t="s">
        <v>71</v>
      </c>
      <c r="B94" t="s">
        <v>3</v>
      </c>
      <c r="C94">
        <v>20</v>
      </c>
      <c r="D94" s="2">
        <v>45000</v>
      </c>
      <c r="E94" s="2">
        <f t="shared" si="1"/>
        <v>900000</v>
      </c>
    </row>
    <row r="95" spans="1:5" x14ac:dyDescent="0.3">
      <c r="A95" t="s">
        <v>71</v>
      </c>
      <c r="B95" t="s">
        <v>4</v>
      </c>
      <c r="C95">
        <v>18</v>
      </c>
      <c r="D95" s="2">
        <v>21000</v>
      </c>
      <c r="E95" s="2">
        <f t="shared" si="1"/>
        <v>378000</v>
      </c>
    </row>
    <row r="96" spans="1:5" hidden="1" x14ac:dyDescent="0.3">
      <c r="A96" t="s">
        <v>83</v>
      </c>
      <c r="B96" t="s">
        <v>4</v>
      </c>
      <c r="C96">
        <v>0</v>
      </c>
      <c r="D96"/>
      <c r="E96">
        <f t="shared" si="1"/>
        <v>0</v>
      </c>
    </row>
    <row r="97" spans="1:5" x14ac:dyDescent="0.3">
      <c r="A97" t="s">
        <v>88</v>
      </c>
      <c r="B97" t="s">
        <v>3</v>
      </c>
      <c r="C97">
        <v>2940</v>
      </c>
      <c r="D97" s="2">
        <v>28000</v>
      </c>
      <c r="E97" s="2">
        <f t="shared" si="1"/>
        <v>82320000</v>
      </c>
    </row>
    <row r="98" spans="1:5" hidden="1" x14ac:dyDescent="0.3">
      <c r="A98" t="s">
        <v>91</v>
      </c>
      <c r="B98" t="s">
        <v>3</v>
      </c>
      <c r="C98">
        <v>0</v>
      </c>
      <c r="D98"/>
      <c r="E98">
        <f t="shared" si="1"/>
        <v>0</v>
      </c>
    </row>
    <row r="99" spans="1:5" x14ac:dyDescent="0.3">
      <c r="A99" t="s">
        <v>72</v>
      </c>
      <c r="B99" t="s">
        <v>3</v>
      </c>
      <c r="C99">
        <v>50</v>
      </c>
      <c r="D99" s="2">
        <v>7000</v>
      </c>
      <c r="E99" s="2">
        <f t="shared" si="1"/>
        <v>350000</v>
      </c>
    </row>
    <row r="100" spans="1:5" x14ac:dyDescent="0.3">
      <c r="A100" t="s">
        <v>73</v>
      </c>
      <c r="B100" t="s">
        <v>3</v>
      </c>
      <c r="C100">
        <v>11</v>
      </c>
      <c r="D100" s="2">
        <v>14000</v>
      </c>
      <c r="E100" s="2">
        <f t="shared" si="1"/>
        <v>154000</v>
      </c>
    </row>
    <row r="101" spans="1:5" x14ac:dyDescent="0.3">
      <c r="A101" t="s">
        <v>23</v>
      </c>
      <c r="B101" t="s">
        <v>3</v>
      </c>
      <c r="C101">
        <v>27</v>
      </c>
      <c r="D101" s="2">
        <v>28000</v>
      </c>
      <c r="E101" s="2">
        <f t="shared" si="1"/>
        <v>756000</v>
      </c>
    </row>
    <row r="102" spans="1:5" hidden="1" x14ac:dyDescent="0.3">
      <c r="A102" t="s">
        <v>84</v>
      </c>
      <c r="B102" t="s">
        <v>22</v>
      </c>
      <c r="C102">
        <v>0</v>
      </c>
      <c r="D102"/>
      <c r="E102">
        <f t="shared" si="1"/>
        <v>0</v>
      </c>
    </row>
    <row r="103" spans="1:5" hidden="1" x14ac:dyDescent="0.3">
      <c r="A103" t="s">
        <v>74</v>
      </c>
      <c r="B103" t="s">
        <v>3</v>
      </c>
      <c r="C103">
        <v>0</v>
      </c>
      <c r="D103"/>
      <c r="E103">
        <f t="shared" si="1"/>
        <v>0</v>
      </c>
    </row>
    <row r="104" spans="1:5" hidden="1" x14ac:dyDescent="0.3">
      <c r="A104" t="s">
        <v>86</v>
      </c>
      <c r="B104" t="s">
        <v>22</v>
      </c>
      <c r="C104">
        <v>0</v>
      </c>
      <c r="D104"/>
      <c r="E104">
        <f t="shared" si="1"/>
        <v>0</v>
      </c>
    </row>
    <row r="105" spans="1:5" hidden="1" x14ac:dyDescent="0.3">
      <c r="A105" t="s">
        <v>75</v>
      </c>
      <c r="B105" t="s">
        <v>3</v>
      </c>
      <c r="C105">
        <v>0</v>
      </c>
      <c r="D105"/>
      <c r="E105">
        <f t="shared" si="1"/>
        <v>0</v>
      </c>
    </row>
    <row r="106" spans="1:5" hidden="1" x14ac:dyDescent="0.3">
      <c r="A106" t="s">
        <v>76</v>
      </c>
      <c r="B106" t="s">
        <v>3</v>
      </c>
      <c r="C106">
        <v>0</v>
      </c>
      <c r="D106"/>
      <c r="E106">
        <f t="shared" si="1"/>
        <v>0</v>
      </c>
    </row>
    <row r="107" spans="1:5" hidden="1" x14ac:dyDescent="0.3">
      <c r="A107" t="s">
        <v>85</v>
      </c>
      <c r="B107" t="s">
        <v>22</v>
      </c>
      <c r="C107">
        <v>0</v>
      </c>
      <c r="D107"/>
      <c r="E107">
        <f t="shared" si="1"/>
        <v>0</v>
      </c>
    </row>
    <row r="108" spans="1:5" x14ac:dyDescent="0.3">
      <c r="E108" s="2">
        <f>SUM(E4:E101)</f>
        <v>244977000</v>
      </c>
    </row>
    <row r="109" spans="1:5" hidden="1" x14ac:dyDescent="0.3">
      <c r="A109" t="s">
        <v>103</v>
      </c>
      <c r="D109"/>
      <c r="E109"/>
    </row>
    <row r="110" spans="1:5" x14ac:dyDescent="0.3">
      <c r="A110" t="s">
        <v>0</v>
      </c>
      <c r="B110" t="s">
        <v>1</v>
      </c>
      <c r="C110" t="s">
        <v>102</v>
      </c>
      <c r="D110" s="2" t="s">
        <v>100</v>
      </c>
      <c r="E110" s="2" t="s">
        <v>101</v>
      </c>
    </row>
    <row r="111" spans="1:5" hidden="1" x14ac:dyDescent="0.3">
      <c r="A111" t="s">
        <v>44</v>
      </c>
      <c r="B111" t="s">
        <v>3</v>
      </c>
      <c r="C111">
        <v>0</v>
      </c>
      <c r="D111"/>
      <c r="E111">
        <f t="shared" si="1"/>
        <v>0</v>
      </c>
    </row>
    <row r="112" spans="1:5" hidden="1" x14ac:dyDescent="0.3">
      <c r="A112" t="s">
        <v>45</v>
      </c>
      <c r="B112" t="s">
        <v>3</v>
      </c>
      <c r="C112">
        <v>0</v>
      </c>
      <c r="D112"/>
      <c r="E112">
        <f t="shared" si="1"/>
        <v>0</v>
      </c>
    </row>
    <row r="113" spans="1:5" x14ac:dyDescent="0.3">
      <c r="A113" t="s">
        <v>17</v>
      </c>
      <c r="B113" t="s">
        <v>3</v>
      </c>
      <c r="C113">
        <v>420</v>
      </c>
      <c r="D113" s="2">
        <v>6500</v>
      </c>
      <c r="E113" s="2">
        <f t="shared" si="1"/>
        <v>2730000</v>
      </c>
    </row>
    <row r="114" spans="1:5" x14ac:dyDescent="0.3">
      <c r="A114" t="s">
        <v>95</v>
      </c>
      <c r="B114" t="s">
        <v>3</v>
      </c>
      <c r="C114">
        <v>70</v>
      </c>
      <c r="D114" s="2">
        <v>8000</v>
      </c>
      <c r="E114" s="2">
        <f t="shared" si="1"/>
        <v>560000</v>
      </c>
    </row>
    <row r="115" spans="1:5" hidden="1" x14ac:dyDescent="0.3">
      <c r="A115" t="s">
        <v>24</v>
      </c>
      <c r="B115" t="s">
        <v>3</v>
      </c>
      <c r="C115">
        <v>0</v>
      </c>
      <c r="D115"/>
      <c r="E115">
        <f t="shared" si="1"/>
        <v>0</v>
      </c>
    </row>
    <row r="116" spans="1:5" hidden="1" x14ac:dyDescent="0.3">
      <c r="A116" t="s">
        <v>78</v>
      </c>
      <c r="B116" t="s">
        <v>3</v>
      </c>
      <c r="C116">
        <v>0</v>
      </c>
      <c r="D116"/>
      <c r="E116">
        <f t="shared" si="1"/>
        <v>0</v>
      </c>
    </row>
    <row r="117" spans="1:5" hidden="1" x14ac:dyDescent="0.3">
      <c r="A117" t="s">
        <v>25</v>
      </c>
      <c r="B117" t="s">
        <v>3</v>
      </c>
      <c r="C117">
        <v>0</v>
      </c>
      <c r="D117"/>
      <c r="E117">
        <f t="shared" si="1"/>
        <v>0</v>
      </c>
    </row>
    <row r="118" spans="1:5" hidden="1" x14ac:dyDescent="0.3">
      <c r="A118" t="s">
        <v>37</v>
      </c>
      <c r="B118" t="s">
        <v>3</v>
      </c>
      <c r="C118">
        <v>0</v>
      </c>
      <c r="D118"/>
      <c r="E118">
        <f t="shared" si="1"/>
        <v>0</v>
      </c>
    </row>
    <row r="119" spans="1:5" hidden="1" x14ac:dyDescent="0.3">
      <c r="A119" t="s">
        <v>46</v>
      </c>
      <c r="B119" t="s">
        <v>3</v>
      </c>
      <c r="C119">
        <v>0</v>
      </c>
      <c r="D119"/>
      <c r="E119">
        <f t="shared" si="1"/>
        <v>0</v>
      </c>
    </row>
    <row r="120" spans="1:5" x14ac:dyDescent="0.3">
      <c r="A120" t="s">
        <v>94</v>
      </c>
      <c r="B120" t="s">
        <v>3</v>
      </c>
      <c r="C120">
        <v>17</v>
      </c>
      <c r="D120" s="2">
        <v>19000</v>
      </c>
      <c r="E120" s="2">
        <f t="shared" si="1"/>
        <v>323000</v>
      </c>
    </row>
    <row r="121" spans="1:5" x14ac:dyDescent="0.3">
      <c r="A121" t="s">
        <v>28</v>
      </c>
      <c r="B121" t="s">
        <v>3</v>
      </c>
      <c r="C121">
        <v>130</v>
      </c>
      <c r="D121" s="2">
        <v>22000</v>
      </c>
      <c r="E121" s="2">
        <f t="shared" si="1"/>
        <v>2860000</v>
      </c>
    </row>
    <row r="122" spans="1:5" hidden="1" x14ac:dyDescent="0.3">
      <c r="A122" t="s">
        <v>40</v>
      </c>
      <c r="B122" t="s">
        <v>41</v>
      </c>
      <c r="C122">
        <v>0</v>
      </c>
      <c r="D122"/>
      <c r="E122">
        <f t="shared" si="1"/>
        <v>0</v>
      </c>
    </row>
    <row r="123" spans="1:5" hidden="1" x14ac:dyDescent="0.3">
      <c r="A123" t="s">
        <v>30</v>
      </c>
      <c r="B123" t="s">
        <v>3</v>
      </c>
      <c r="C123">
        <v>0</v>
      </c>
      <c r="D123"/>
      <c r="E123">
        <f t="shared" si="1"/>
        <v>0</v>
      </c>
    </row>
    <row r="124" spans="1:5" hidden="1" x14ac:dyDescent="0.3">
      <c r="A124" t="s">
        <v>2</v>
      </c>
      <c r="B124" t="s">
        <v>3</v>
      </c>
      <c r="C124">
        <v>0</v>
      </c>
      <c r="D124"/>
      <c r="E124">
        <f t="shared" si="1"/>
        <v>0</v>
      </c>
    </row>
    <row r="125" spans="1:5" hidden="1" x14ac:dyDescent="0.3">
      <c r="A125" t="s">
        <v>53</v>
      </c>
      <c r="B125" t="s">
        <v>3</v>
      </c>
      <c r="C125">
        <v>0</v>
      </c>
      <c r="D125"/>
      <c r="E125">
        <f t="shared" si="1"/>
        <v>0</v>
      </c>
    </row>
    <row r="126" spans="1:5" hidden="1" x14ac:dyDescent="0.3">
      <c r="A126" t="s">
        <v>20</v>
      </c>
      <c r="B126" t="s">
        <v>3</v>
      </c>
      <c r="C126">
        <v>0</v>
      </c>
      <c r="D126"/>
      <c r="E126">
        <f t="shared" si="1"/>
        <v>0</v>
      </c>
    </row>
    <row r="127" spans="1:5" x14ac:dyDescent="0.3">
      <c r="A127" t="s">
        <v>97</v>
      </c>
      <c r="B127" t="s">
        <v>3</v>
      </c>
      <c r="C127">
        <v>15</v>
      </c>
      <c r="D127" s="2">
        <v>16000</v>
      </c>
      <c r="E127" s="2">
        <f t="shared" si="1"/>
        <v>240000</v>
      </c>
    </row>
    <row r="128" spans="1:5" hidden="1" x14ac:dyDescent="0.3">
      <c r="A128" t="s">
        <v>98</v>
      </c>
      <c r="B128" t="s">
        <v>3</v>
      </c>
      <c r="C128">
        <v>0</v>
      </c>
      <c r="D128"/>
      <c r="E128">
        <f t="shared" si="1"/>
        <v>0</v>
      </c>
    </row>
    <row r="129" spans="1:5" hidden="1" x14ac:dyDescent="0.3">
      <c r="A129" t="s">
        <v>21</v>
      </c>
      <c r="B129" t="s">
        <v>3</v>
      </c>
      <c r="C129">
        <v>0</v>
      </c>
      <c r="D129"/>
      <c r="E129">
        <f t="shared" si="1"/>
        <v>0</v>
      </c>
    </row>
    <row r="130" spans="1:5" x14ac:dyDescent="0.3">
      <c r="A130" t="s">
        <v>96</v>
      </c>
      <c r="B130" t="s">
        <v>3</v>
      </c>
      <c r="C130">
        <v>37</v>
      </c>
      <c r="D130" s="2">
        <v>25000</v>
      </c>
      <c r="E130" s="2">
        <f t="shared" si="1"/>
        <v>925000</v>
      </c>
    </row>
    <row r="131" spans="1:5" x14ac:dyDescent="0.3">
      <c r="A131" t="s">
        <v>56</v>
      </c>
      <c r="B131" t="s">
        <v>3</v>
      </c>
      <c r="C131">
        <v>13</v>
      </c>
      <c r="D131" s="2">
        <v>13000</v>
      </c>
      <c r="E131" s="2">
        <f t="shared" si="1"/>
        <v>169000</v>
      </c>
    </row>
    <row r="132" spans="1:5" hidden="1" x14ac:dyDescent="0.3">
      <c r="A132" t="s">
        <v>107</v>
      </c>
      <c r="B132" t="s">
        <v>6</v>
      </c>
      <c r="C132">
        <v>0</v>
      </c>
      <c r="D132"/>
      <c r="E132">
        <f t="shared" si="1"/>
        <v>0</v>
      </c>
    </row>
    <row r="133" spans="1:5" x14ac:dyDescent="0.3">
      <c r="A133" t="s">
        <v>57</v>
      </c>
      <c r="B133" t="s">
        <v>3</v>
      </c>
      <c r="C133">
        <v>65</v>
      </c>
      <c r="D133" s="2">
        <v>5000</v>
      </c>
      <c r="E133" s="2">
        <f t="shared" si="1"/>
        <v>325000</v>
      </c>
    </row>
    <row r="134" spans="1:5" hidden="1" x14ac:dyDescent="0.3">
      <c r="A134" t="s">
        <v>9</v>
      </c>
      <c r="B134" t="s">
        <v>3</v>
      </c>
      <c r="C134">
        <v>0</v>
      </c>
      <c r="D134"/>
      <c r="E134">
        <f t="shared" ref="E134:E160" si="2">C134*D134</f>
        <v>0</v>
      </c>
    </row>
    <row r="135" spans="1:5" hidden="1" x14ac:dyDescent="0.3">
      <c r="A135" t="s">
        <v>10</v>
      </c>
      <c r="B135" t="s">
        <v>3</v>
      </c>
      <c r="C135">
        <v>0</v>
      </c>
      <c r="D135"/>
      <c r="E135">
        <f t="shared" si="2"/>
        <v>0</v>
      </c>
    </row>
    <row r="136" spans="1:5" hidden="1" x14ac:dyDescent="0.3">
      <c r="A136" t="s">
        <v>13</v>
      </c>
      <c r="B136" t="s">
        <v>4</v>
      </c>
      <c r="C136">
        <v>0</v>
      </c>
      <c r="D136"/>
      <c r="E136">
        <f t="shared" si="2"/>
        <v>0</v>
      </c>
    </row>
    <row r="137" spans="1:5" x14ac:dyDescent="0.3">
      <c r="A137" t="s">
        <v>14</v>
      </c>
      <c r="B137" t="s">
        <v>3</v>
      </c>
      <c r="C137">
        <v>130</v>
      </c>
      <c r="D137" s="2">
        <v>16000</v>
      </c>
      <c r="E137" s="2">
        <f t="shared" si="2"/>
        <v>2080000</v>
      </c>
    </row>
    <row r="138" spans="1:5" hidden="1" x14ac:dyDescent="0.3">
      <c r="A138" t="s">
        <v>89</v>
      </c>
      <c r="B138" t="s">
        <v>4</v>
      </c>
      <c r="C138">
        <v>0</v>
      </c>
      <c r="D138"/>
      <c r="E138">
        <f t="shared" si="2"/>
        <v>0</v>
      </c>
    </row>
    <row r="139" spans="1:5" hidden="1" x14ac:dyDescent="0.3">
      <c r="A139" t="s">
        <v>109</v>
      </c>
      <c r="B139" t="s">
        <v>3</v>
      </c>
      <c r="C139">
        <v>0</v>
      </c>
      <c r="D139"/>
      <c r="E139">
        <f t="shared" si="2"/>
        <v>0</v>
      </c>
    </row>
    <row r="140" spans="1:5" hidden="1" x14ac:dyDescent="0.3">
      <c r="A140" t="s">
        <v>15</v>
      </c>
      <c r="B140" t="s">
        <v>3</v>
      </c>
      <c r="C140">
        <v>0</v>
      </c>
      <c r="D140"/>
      <c r="E140">
        <f t="shared" si="2"/>
        <v>0</v>
      </c>
    </row>
    <row r="141" spans="1:5" x14ac:dyDescent="0.3">
      <c r="A141" t="s">
        <v>59</v>
      </c>
      <c r="B141" t="s">
        <v>3</v>
      </c>
      <c r="C141">
        <v>40</v>
      </c>
      <c r="D141" s="2">
        <v>10000</v>
      </c>
      <c r="E141" s="2">
        <f t="shared" si="2"/>
        <v>400000</v>
      </c>
    </row>
    <row r="142" spans="1:5" x14ac:dyDescent="0.3">
      <c r="A142" t="s">
        <v>60</v>
      </c>
      <c r="B142" t="s">
        <v>4</v>
      </c>
      <c r="C142">
        <v>35</v>
      </c>
      <c r="D142" s="2">
        <v>6000</v>
      </c>
      <c r="E142" s="2">
        <f t="shared" si="2"/>
        <v>210000</v>
      </c>
    </row>
    <row r="143" spans="1:5" x14ac:dyDescent="0.3">
      <c r="A143" t="s">
        <v>61</v>
      </c>
      <c r="B143" t="s">
        <v>4</v>
      </c>
      <c r="C143">
        <v>120</v>
      </c>
      <c r="D143" s="2">
        <v>9000</v>
      </c>
      <c r="E143" s="2">
        <f t="shared" si="2"/>
        <v>1080000</v>
      </c>
    </row>
    <row r="144" spans="1:5" hidden="1" x14ac:dyDescent="0.3">
      <c r="A144" t="s">
        <v>32</v>
      </c>
      <c r="B144" t="s">
        <v>3</v>
      </c>
      <c r="C144">
        <v>0</v>
      </c>
      <c r="D144"/>
      <c r="E144">
        <f t="shared" si="2"/>
        <v>0</v>
      </c>
    </row>
    <row r="145" spans="1:5" x14ac:dyDescent="0.3">
      <c r="A145" t="s">
        <v>32</v>
      </c>
      <c r="B145" t="s">
        <v>6</v>
      </c>
      <c r="C145">
        <v>88</v>
      </c>
      <c r="D145" s="2">
        <v>5000</v>
      </c>
      <c r="E145" s="2">
        <f t="shared" si="2"/>
        <v>440000</v>
      </c>
    </row>
    <row r="146" spans="1:5" hidden="1" x14ac:dyDescent="0.3">
      <c r="A146" t="s">
        <v>66</v>
      </c>
      <c r="B146" t="s">
        <v>3</v>
      </c>
      <c r="C146">
        <v>0</v>
      </c>
      <c r="D146"/>
      <c r="E146">
        <f t="shared" si="2"/>
        <v>0</v>
      </c>
    </row>
    <row r="147" spans="1:5" hidden="1" x14ac:dyDescent="0.3">
      <c r="A147" t="s">
        <v>43</v>
      </c>
      <c r="B147" t="s">
        <v>3</v>
      </c>
      <c r="C147">
        <v>0</v>
      </c>
      <c r="D147"/>
      <c r="E147">
        <f t="shared" si="2"/>
        <v>0</v>
      </c>
    </row>
    <row r="148" spans="1:5" hidden="1" x14ac:dyDescent="0.3">
      <c r="A148" t="s">
        <v>67</v>
      </c>
      <c r="B148" t="s">
        <v>3</v>
      </c>
      <c r="C148">
        <v>0</v>
      </c>
      <c r="D148"/>
      <c r="E148">
        <f t="shared" si="2"/>
        <v>0</v>
      </c>
    </row>
    <row r="149" spans="1:5" hidden="1" x14ac:dyDescent="0.3">
      <c r="A149" t="s">
        <v>34</v>
      </c>
      <c r="B149" t="s">
        <v>3</v>
      </c>
      <c r="C149">
        <v>0</v>
      </c>
      <c r="D149"/>
      <c r="E149">
        <f t="shared" si="2"/>
        <v>0</v>
      </c>
    </row>
    <row r="150" spans="1:5" hidden="1" x14ac:dyDescent="0.3">
      <c r="A150" t="s">
        <v>35</v>
      </c>
      <c r="B150" t="s">
        <v>3</v>
      </c>
      <c r="C150">
        <v>0</v>
      </c>
      <c r="D150"/>
      <c r="E150">
        <f t="shared" si="2"/>
        <v>0</v>
      </c>
    </row>
    <row r="151" spans="1:5" hidden="1" x14ac:dyDescent="0.3">
      <c r="A151" t="s">
        <v>36</v>
      </c>
      <c r="B151" t="s">
        <v>3</v>
      </c>
      <c r="C151">
        <v>0</v>
      </c>
      <c r="D151"/>
      <c r="E151">
        <f t="shared" si="2"/>
        <v>0</v>
      </c>
    </row>
    <row r="152" spans="1:5" hidden="1" x14ac:dyDescent="0.3">
      <c r="A152" t="s">
        <v>83</v>
      </c>
      <c r="B152" t="s">
        <v>4</v>
      </c>
      <c r="C152">
        <v>0</v>
      </c>
      <c r="D152"/>
      <c r="E152">
        <f t="shared" si="2"/>
        <v>0</v>
      </c>
    </row>
    <row r="153" spans="1:5" x14ac:dyDescent="0.3">
      <c r="A153" t="s">
        <v>116</v>
      </c>
      <c r="B153" t="s">
        <v>26</v>
      </c>
      <c r="C153">
        <v>880</v>
      </c>
      <c r="D153" s="2">
        <v>10000</v>
      </c>
      <c r="E153" s="2">
        <f t="shared" si="2"/>
        <v>8800000</v>
      </c>
    </row>
    <row r="154" spans="1:5" x14ac:dyDescent="0.3">
      <c r="A154" t="s">
        <v>150</v>
      </c>
      <c r="B154" t="s">
        <v>26</v>
      </c>
      <c r="C154">
        <v>1170</v>
      </c>
      <c r="D154" s="2">
        <v>17000</v>
      </c>
      <c r="E154" s="2">
        <f t="shared" si="2"/>
        <v>19890000</v>
      </c>
    </row>
    <row r="155" spans="1:5" hidden="1" x14ac:dyDescent="0.3">
      <c r="A155" t="s">
        <v>88</v>
      </c>
      <c r="B155" t="s">
        <v>3</v>
      </c>
      <c r="C155">
        <v>0</v>
      </c>
      <c r="D155"/>
      <c r="E155">
        <f t="shared" si="2"/>
        <v>0</v>
      </c>
    </row>
    <row r="156" spans="1:5" x14ac:dyDescent="0.3">
      <c r="A156" t="s">
        <v>72</v>
      </c>
      <c r="B156" t="s">
        <v>3</v>
      </c>
      <c r="C156">
        <v>80</v>
      </c>
      <c r="D156" s="2">
        <v>7000</v>
      </c>
      <c r="E156" s="2">
        <f t="shared" si="2"/>
        <v>560000</v>
      </c>
    </row>
    <row r="157" spans="1:5" hidden="1" x14ac:dyDescent="0.3">
      <c r="A157" t="s">
        <v>23</v>
      </c>
      <c r="B157" t="s">
        <v>22</v>
      </c>
      <c r="C157">
        <v>0</v>
      </c>
      <c r="D157"/>
      <c r="E157">
        <f t="shared" si="2"/>
        <v>0</v>
      </c>
    </row>
    <row r="158" spans="1:5" hidden="1" x14ac:dyDescent="0.3">
      <c r="A158" t="s">
        <v>84</v>
      </c>
      <c r="B158" t="s">
        <v>22</v>
      </c>
      <c r="C158">
        <v>0</v>
      </c>
      <c r="D158"/>
      <c r="E158">
        <f t="shared" si="2"/>
        <v>0</v>
      </c>
    </row>
    <row r="159" spans="1:5" x14ac:dyDescent="0.3">
      <c r="A159" t="s">
        <v>86</v>
      </c>
      <c r="B159" t="s">
        <v>22</v>
      </c>
      <c r="C159">
        <v>30</v>
      </c>
      <c r="D159" s="2">
        <v>6800</v>
      </c>
      <c r="E159" s="2">
        <f t="shared" si="2"/>
        <v>204000</v>
      </c>
    </row>
    <row r="160" spans="1:5" hidden="1" x14ac:dyDescent="0.3">
      <c r="A160" t="s">
        <v>85</v>
      </c>
      <c r="B160" t="s">
        <v>22</v>
      </c>
      <c r="C160">
        <v>0</v>
      </c>
      <c r="D160"/>
      <c r="E160">
        <f t="shared" si="2"/>
        <v>0</v>
      </c>
    </row>
    <row r="161" spans="4:5" x14ac:dyDescent="0.3">
      <c r="E161" s="2">
        <f>SUM(E113:E159)</f>
        <v>41796000</v>
      </c>
    </row>
    <row r="162" spans="4:5" hidden="1" x14ac:dyDescent="0.3">
      <c r="D162"/>
      <c r="E162">
        <f>E161+E108</f>
        <v>286773000</v>
      </c>
    </row>
    <row r="163" spans="4:5" x14ac:dyDescent="0.3">
      <c r="E163" s="2">
        <f>E108+E161</f>
        <v>286773000</v>
      </c>
    </row>
  </sheetData>
  <autoFilter ref="A2:E162" xr:uid="{00000000-0009-0000-0000-000010000000}">
    <filterColumn colId="4">
      <filters>
        <filter val="100000"/>
        <filter val="1000000"/>
        <filter val="1008000"/>
        <filter val="1080000"/>
        <filter val="1120000"/>
        <filter val="115000"/>
        <filter val="1200000"/>
        <filter val="1258000"/>
        <filter val="136800"/>
        <filter val="1376000"/>
        <filter val="140000"/>
        <filter val="1539000"/>
        <filter val="154000"/>
        <filter val="15680000"/>
        <filter val="169000"/>
        <filter val="180000"/>
        <filter val="19000"/>
        <filter val="19890000"/>
        <filter val="200000"/>
        <filter val="204000"/>
        <filter val="2080000"/>
        <filter val="210000"/>
        <filter val="215000"/>
        <filter val="220000"/>
        <filter val="240000"/>
        <filter val="244977000"/>
        <filter val="252000"/>
        <filter val="2730000"/>
        <filter val="2860000"/>
        <filter val="28800000"/>
        <filter val="320000"/>
        <filter val="323000"/>
        <filter val="32500"/>
        <filter val="325000"/>
        <filter val="3451000"/>
        <filter val="350000"/>
        <filter val="376000"/>
        <filter val="378000"/>
        <filter val="380000"/>
        <filter val="3888000"/>
        <filter val="400000"/>
        <filter val="4000000"/>
        <filter val="41796000"/>
        <filter val="4230000"/>
        <filter val="440000"/>
        <filter val="450000"/>
        <filter val="47748000"/>
        <filter val="500000"/>
        <filter val="5200000"/>
        <filter val="54600"/>
        <filter val="560000"/>
        <filter val="5700000"/>
        <filter val="5764000"/>
        <filter val="6182000"/>
        <filter val="6192000"/>
        <filter val="700000"/>
        <filter val="720000"/>
        <filter val="756000"/>
        <filter val="82320000"/>
        <filter val="82500"/>
        <filter val="8800000"/>
        <filter val="90000"/>
        <filter val="900000"/>
        <filter val="925000"/>
        <filter val="95000"/>
        <filter val="990000"/>
        <filter val="thành tiền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E169"/>
  <sheetViews>
    <sheetView workbookViewId="0">
      <selection activeCell="E103" sqref="E103"/>
    </sheetView>
  </sheetViews>
  <sheetFormatPr defaultRowHeight="14.4" x14ac:dyDescent="0.3"/>
  <cols>
    <col min="1" max="1" width="29.5546875" customWidth="1"/>
    <col min="4" max="4" width="14.21875" customWidth="1"/>
    <col min="5" max="5" width="18.5546875" customWidth="1"/>
  </cols>
  <sheetData>
    <row r="1" spans="1:5" x14ac:dyDescent="0.3">
      <c r="A1" t="s">
        <v>160</v>
      </c>
    </row>
    <row r="2" spans="1:5" x14ac:dyDescent="0.3">
      <c r="A2" t="s">
        <v>0</v>
      </c>
      <c r="B2" t="s">
        <v>1</v>
      </c>
      <c r="C2" t="s">
        <v>102</v>
      </c>
      <c r="D2" t="s">
        <v>100</v>
      </c>
      <c r="E2" t="s">
        <v>101</v>
      </c>
    </row>
    <row r="3" spans="1:5" x14ac:dyDescent="0.3">
      <c r="A3" t="s">
        <v>44</v>
      </c>
      <c r="B3" t="s">
        <v>3</v>
      </c>
      <c r="C3">
        <v>50</v>
      </c>
      <c r="D3">
        <v>36000</v>
      </c>
      <c r="E3">
        <f>C3*D3</f>
        <v>1800000</v>
      </c>
    </row>
    <row r="4" spans="1:5" x14ac:dyDescent="0.3">
      <c r="A4" t="s">
        <v>45</v>
      </c>
      <c r="B4" t="s">
        <v>3</v>
      </c>
      <c r="C4">
        <v>1850</v>
      </c>
      <c r="D4">
        <v>5500</v>
      </c>
      <c r="E4">
        <f t="shared" ref="E4:E67" si="0">C4*D4</f>
        <v>10175000</v>
      </c>
    </row>
    <row r="5" spans="1:5" x14ac:dyDescent="0.3">
      <c r="A5" t="s">
        <v>17</v>
      </c>
      <c r="B5" t="s">
        <v>3</v>
      </c>
      <c r="C5">
        <v>120</v>
      </c>
      <c r="D5">
        <v>5500</v>
      </c>
      <c r="E5">
        <f t="shared" si="0"/>
        <v>660000</v>
      </c>
    </row>
    <row r="6" spans="1:5" hidden="1" x14ac:dyDescent="0.3">
      <c r="A6" t="s">
        <v>95</v>
      </c>
      <c r="B6" t="s">
        <v>3</v>
      </c>
      <c r="C6">
        <v>0</v>
      </c>
      <c r="E6">
        <f t="shared" si="0"/>
        <v>0</v>
      </c>
    </row>
    <row r="7" spans="1:5" hidden="1" x14ac:dyDescent="0.3">
      <c r="A7" t="s">
        <v>92</v>
      </c>
      <c r="B7" t="s">
        <v>3</v>
      </c>
      <c r="C7">
        <v>0</v>
      </c>
      <c r="E7">
        <f t="shared" si="0"/>
        <v>0</v>
      </c>
    </row>
    <row r="8" spans="1:5" x14ac:dyDescent="0.3">
      <c r="A8" t="s">
        <v>24</v>
      </c>
      <c r="B8" t="s">
        <v>3</v>
      </c>
      <c r="C8">
        <v>2000</v>
      </c>
      <c r="D8">
        <v>7000</v>
      </c>
      <c r="E8">
        <f t="shared" si="0"/>
        <v>14000000</v>
      </c>
    </row>
    <row r="9" spans="1:5" hidden="1" x14ac:dyDescent="0.3">
      <c r="A9" t="s">
        <v>25</v>
      </c>
      <c r="B9" t="s">
        <v>3</v>
      </c>
      <c r="C9">
        <v>0</v>
      </c>
      <c r="E9">
        <f t="shared" si="0"/>
        <v>0</v>
      </c>
    </row>
    <row r="10" spans="1:5" hidden="1" x14ac:dyDescent="0.3">
      <c r="A10" t="s">
        <v>25</v>
      </c>
      <c r="B10" t="s">
        <v>26</v>
      </c>
      <c r="C10">
        <v>0</v>
      </c>
      <c r="E10">
        <f t="shared" si="0"/>
        <v>0</v>
      </c>
    </row>
    <row r="11" spans="1:5" x14ac:dyDescent="0.3">
      <c r="A11" t="s">
        <v>27</v>
      </c>
      <c r="B11" t="s">
        <v>3</v>
      </c>
      <c r="C11">
        <v>28</v>
      </c>
      <c r="D11">
        <v>13000</v>
      </c>
      <c r="E11">
        <f t="shared" si="0"/>
        <v>364000</v>
      </c>
    </row>
    <row r="12" spans="1:5" hidden="1" x14ac:dyDescent="0.3">
      <c r="A12" t="s">
        <v>27</v>
      </c>
      <c r="B12" t="s">
        <v>26</v>
      </c>
      <c r="C12">
        <v>0</v>
      </c>
      <c r="E12">
        <f t="shared" si="0"/>
        <v>0</v>
      </c>
    </row>
    <row r="13" spans="1:5" hidden="1" x14ac:dyDescent="0.3">
      <c r="A13" t="s">
        <v>136</v>
      </c>
      <c r="B13" t="s">
        <v>3</v>
      </c>
      <c r="C13">
        <v>0</v>
      </c>
      <c r="E13">
        <f t="shared" si="0"/>
        <v>0</v>
      </c>
    </row>
    <row r="14" spans="1:5" hidden="1" x14ac:dyDescent="0.3">
      <c r="A14" t="s">
        <v>37</v>
      </c>
      <c r="B14" t="s">
        <v>3</v>
      </c>
      <c r="C14">
        <v>0</v>
      </c>
      <c r="E14">
        <f t="shared" si="0"/>
        <v>0</v>
      </c>
    </row>
    <row r="15" spans="1:5" hidden="1" x14ac:dyDescent="0.3">
      <c r="A15" t="s">
        <v>46</v>
      </c>
      <c r="B15" t="s">
        <v>3</v>
      </c>
      <c r="C15">
        <v>0</v>
      </c>
      <c r="E15">
        <f t="shared" si="0"/>
        <v>0</v>
      </c>
    </row>
    <row r="16" spans="1:5" hidden="1" x14ac:dyDescent="0.3">
      <c r="A16" t="s">
        <v>47</v>
      </c>
      <c r="B16" t="s">
        <v>3</v>
      </c>
      <c r="C16">
        <v>0</v>
      </c>
      <c r="E16">
        <f t="shared" si="0"/>
        <v>0</v>
      </c>
    </row>
    <row r="17" spans="1:5" hidden="1" x14ac:dyDescent="0.3">
      <c r="A17" t="s">
        <v>123</v>
      </c>
      <c r="B17" t="s">
        <v>3</v>
      </c>
      <c r="C17">
        <v>0</v>
      </c>
      <c r="E17">
        <f t="shared" si="0"/>
        <v>0</v>
      </c>
    </row>
    <row r="18" spans="1:5" hidden="1" x14ac:dyDescent="0.3">
      <c r="A18" t="s">
        <v>82</v>
      </c>
      <c r="B18" t="s">
        <v>3</v>
      </c>
      <c r="C18">
        <v>0</v>
      </c>
      <c r="E18">
        <f t="shared" si="0"/>
        <v>0</v>
      </c>
    </row>
    <row r="19" spans="1:5" x14ac:dyDescent="0.3">
      <c r="A19" t="s">
        <v>16</v>
      </c>
      <c r="B19" t="s">
        <v>6</v>
      </c>
      <c r="C19">
        <v>10</v>
      </c>
      <c r="D19">
        <v>7600</v>
      </c>
      <c r="E19">
        <f t="shared" si="0"/>
        <v>76000</v>
      </c>
    </row>
    <row r="20" spans="1:5" x14ac:dyDescent="0.3">
      <c r="A20" t="s">
        <v>28</v>
      </c>
      <c r="B20" t="s">
        <v>3</v>
      </c>
      <c r="C20">
        <v>115</v>
      </c>
      <c r="D20">
        <v>22000</v>
      </c>
      <c r="E20">
        <f t="shared" si="0"/>
        <v>2530000</v>
      </c>
    </row>
    <row r="21" spans="1:5" hidden="1" x14ac:dyDescent="0.3">
      <c r="A21" t="s">
        <v>28</v>
      </c>
      <c r="B21" t="s">
        <v>6</v>
      </c>
      <c r="C21">
        <v>0</v>
      </c>
      <c r="E21">
        <f t="shared" si="0"/>
        <v>0</v>
      </c>
    </row>
    <row r="22" spans="1:5" hidden="1" x14ac:dyDescent="0.3">
      <c r="A22" t="s">
        <v>28</v>
      </c>
      <c r="B22" t="s">
        <v>29</v>
      </c>
      <c r="C22">
        <v>0</v>
      </c>
      <c r="E22">
        <f t="shared" si="0"/>
        <v>0</v>
      </c>
    </row>
    <row r="23" spans="1:5" x14ac:dyDescent="0.3">
      <c r="A23" t="s">
        <v>48</v>
      </c>
      <c r="B23" t="s">
        <v>3</v>
      </c>
      <c r="C23">
        <v>14</v>
      </c>
      <c r="D23">
        <v>21000</v>
      </c>
      <c r="E23">
        <f t="shared" si="0"/>
        <v>294000</v>
      </c>
    </row>
    <row r="24" spans="1:5" hidden="1" x14ac:dyDescent="0.3">
      <c r="A24" t="s">
        <v>48</v>
      </c>
      <c r="B24" t="s">
        <v>49</v>
      </c>
      <c r="C24">
        <v>0</v>
      </c>
      <c r="E24">
        <f t="shared" si="0"/>
        <v>0</v>
      </c>
    </row>
    <row r="25" spans="1:5" x14ac:dyDescent="0.3">
      <c r="A25" t="s">
        <v>40</v>
      </c>
      <c r="B25" t="s">
        <v>159</v>
      </c>
      <c r="C25">
        <v>14</v>
      </c>
      <c r="D25">
        <v>15000</v>
      </c>
      <c r="E25">
        <f t="shared" si="0"/>
        <v>210000</v>
      </c>
    </row>
    <row r="26" spans="1:5" x14ac:dyDescent="0.3">
      <c r="A26" t="s">
        <v>40</v>
      </c>
      <c r="B26" t="s">
        <v>41</v>
      </c>
      <c r="C26">
        <v>69</v>
      </c>
      <c r="D26">
        <v>9000</v>
      </c>
      <c r="E26">
        <f t="shared" si="0"/>
        <v>621000</v>
      </c>
    </row>
    <row r="27" spans="1:5" hidden="1" x14ac:dyDescent="0.3">
      <c r="A27" t="s">
        <v>50</v>
      </c>
      <c r="B27" t="s">
        <v>8</v>
      </c>
      <c r="C27">
        <v>0</v>
      </c>
      <c r="E27">
        <f t="shared" si="0"/>
        <v>0</v>
      </c>
    </row>
    <row r="28" spans="1:5" hidden="1" x14ac:dyDescent="0.3">
      <c r="A28" t="s">
        <v>51</v>
      </c>
      <c r="B28" t="s">
        <v>3</v>
      </c>
      <c r="C28">
        <v>0</v>
      </c>
      <c r="E28">
        <f t="shared" si="0"/>
        <v>0</v>
      </c>
    </row>
    <row r="29" spans="1:5" x14ac:dyDescent="0.3">
      <c r="A29" t="s">
        <v>51</v>
      </c>
      <c r="B29" t="s">
        <v>52</v>
      </c>
      <c r="C29">
        <v>265</v>
      </c>
      <c r="D29">
        <v>12000</v>
      </c>
      <c r="E29">
        <f t="shared" si="0"/>
        <v>3180000</v>
      </c>
    </row>
    <row r="30" spans="1:5" hidden="1" x14ac:dyDescent="0.3">
      <c r="A30" t="s">
        <v>30</v>
      </c>
      <c r="B30" t="s">
        <v>3</v>
      </c>
      <c r="C30">
        <v>0</v>
      </c>
      <c r="E30">
        <f t="shared" si="0"/>
        <v>0</v>
      </c>
    </row>
    <row r="31" spans="1:5" hidden="1" x14ac:dyDescent="0.3">
      <c r="A31" t="s">
        <v>30</v>
      </c>
      <c r="B31" t="s">
        <v>6</v>
      </c>
      <c r="C31">
        <v>0</v>
      </c>
      <c r="E31">
        <f t="shared" si="0"/>
        <v>0</v>
      </c>
    </row>
    <row r="32" spans="1:5" x14ac:dyDescent="0.3">
      <c r="A32" t="s">
        <v>31</v>
      </c>
      <c r="B32" t="s">
        <v>4</v>
      </c>
      <c r="C32">
        <v>135</v>
      </c>
      <c r="D32">
        <v>14000</v>
      </c>
      <c r="E32">
        <f t="shared" si="0"/>
        <v>1890000</v>
      </c>
    </row>
    <row r="33" spans="1:5" x14ac:dyDescent="0.3">
      <c r="A33" t="s">
        <v>2</v>
      </c>
      <c r="B33" t="s">
        <v>3</v>
      </c>
      <c r="C33">
        <v>232</v>
      </c>
      <c r="D33">
        <v>13000</v>
      </c>
      <c r="E33">
        <f t="shared" si="0"/>
        <v>3016000</v>
      </c>
    </row>
    <row r="34" spans="1:5" hidden="1" x14ac:dyDescent="0.3">
      <c r="A34" t="s">
        <v>2</v>
      </c>
      <c r="B34" t="s">
        <v>4</v>
      </c>
      <c r="C34">
        <v>0</v>
      </c>
      <c r="E34">
        <f t="shared" si="0"/>
        <v>0</v>
      </c>
    </row>
    <row r="35" spans="1:5" hidden="1" x14ac:dyDescent="0.3">
      <c r="A35" t="s">
        <v>5</v>
      </c>
      <c r="B35" t="s">
        <v>3</v>
      </c>
      <c r="C35">
        <v>0</v>
      </c>
      <c r="E35">
        <f t="shared" si="0"/>
        <v>0</v>
      </c>
    </row>
    <row r="36" spans="1:5" hidden="1" x14ac:dyDescent="0.3">
      <c r="A36" t="s">
        <v>5</v>
      </c>
      <c r="B36" t="s">
        <v>6</v>
      </c>
      <c r="C36">
        <v>0</v>
      </c>
      <c r="E36">
        <f t="shared" si="0"/>
        <v>0</v>
      </c>
    </row>
    <row r="37" spans="1:5" hidden="1" x14ac:dyDescent="0.3">
      <c r="A37" t="s">
        <v>53</v>
      </c>
      <c r="B37" t="s">
        <v>3</v>
      </c>
      <c r="C37">
        <v>0</v>
      </c>
      <c r="E37">
        <f t="shared" si="0"/>
        <v>0</v>
      </c>
    </row>
    <row r="38" spans="1:5" hidden="1" x14ac:dyDescent="0.3">
      <c r="A38" t="s">
        <v>53</v>
      </c>
      <c r="B38" t="s">
        <v>54</v>
      </c>
      <c r="C38">
        <v>0</v>
      </c>
      <c r="E38">
        <f t="shared" si="0"/>
        <v>0</v>
      </c>
    </row>
    <row r="39" spans="1:5" hidden="1" x14ac:dyDescent="0.3">
      <c r="A39" t="s">
        <v>18</v>
      </c>
      <c r="B39" t="s">
        <v>3</v>
      </c>
      <c r="C39">
        <v>0</v>
      </c>
      <c r="E39">
        <f t="shared" si="0"/>
        <v>0</v>
      </c>
    </row>
    <row r="40" spans="1:5" hidden="1" x14ac:dyDescent="0.3">
      <c r="A40" t="s">
        <v>18</v>
      </c>
      <c r="B40" t="s">
        <v>4</v>
      </c>
      <c r="C40">
        <v>0</v>
      </c>
      <c r="E40">
        <f t="shared" si="0"/>
        <v>0</v>
      </c>
    </row>
    <row r="41" spans="1:5" x14ac:dyDescent="0.3">
      <c r="A41" t="s">
        <v>55</v>
      </c>
      <c r="B41" t="s">
        <v>4</v>
      </c>
      <c r="C41">
        <v>14</v>
      </c>
      <c r="D41">
        <v>3900</v>
      </c>
      <c r="E41">
        <f t="shared" si="0"/>
        <v>54600</v>
      </c>
    </row>
    <row r="42" spans="1:5" hidden="1" x14ac:dyDescent="0.3">
      <c r="A42" t="s">
        <v>19</v>
      </c>
      <c r="B42" t="s">
        <v>3</v>
      </c>
      <c r="C42">
        <v>0</v>
      </c>
      <c r="E42">
        <f t="shared" si="0"/>
        <v>0</v>
      </c>
    </row>
    <row r="43" spans="1:5" x14ac:dyDescent="0.3">
      <c r="A43" t="s">
        <v>19</v>
      </c>
      <c r="B43" t="s">
        <v>4</v>
      </c>
      <c r="C43">
        <v>10</v>
      </c>
      <c r="D43">
        <v>3900</v>
      </c>
      <c r="E43">
        <f t="shared" si="0"/>
        <v>39000</v>
      </c>
    </row>
    <row r="44" spans="1:5" hidden="1" x14ac:dyDescent="0.3">
      <c r="A44" t="s">
        <v>20</v>
      </c>
      <c r="B44" t="s">
        <v>3</v>
      </c>
      <c r="C44">
        <v>0</v>
      </c>
      <c r="E44">
        <f t="shared" si="0"/>
        <v>0</v>
      </c>
    </row>
    <row r="45" spans="1:5" hidden="1" x14ac:dyDescent="0.3">
      <c r="A45" t="s">
        <v>21</v>
      </c>
      <c r="B45" t="s">
        <v>22</v>
      </c>
      <c r="C45">
        <v>0</v>
      </c>
      <c r="E45">
        <f t="shared" si="0"/>
        <v>0</v>
      </c>
    </row>
    <row r="46" spans="1:5" x14ac:dyDescent="0.3">
      <c r="A46" t="s">
        <v>21</v>
      </c>
      <c r="B46" t="s">
        <v>3</v>
      </c>
      <c r="C46">
        <v>40</v>
      </c>
      <c r="D46">
        <v>10000</v>
      </c>
      <c r="E46">
        <f t="shared" si="0"/>
        <v>400000</v>
      </c>
    </row>
    <row r="47" spans="1:5" hidden="1" x14ac:dyDescent="0.3">
      <c r="A47" t="s">
        <v>56</v>
      </c>
      <c r="B47" t="s">
        <v>3</v>
      </c>
      <c r="C47">
        <v>0</v>
      </c>
      <c r="E47">
        <f t="shared" si="0"/>
        <v>0</v>
      </c>
    </row>
    <row r="48" spans="1:5" hidden="1" x14ac:dyDescent="0.3">
      <c r="A48" t="s">
        <v>7</v>
      </c>
      <c r="B48" t="s">
        <v>8</v>
      </c>
      <c r="C48">
        <v>0</v>
      </c>
      <c r="E48">
        <f t="shared" si="0"/>
        <v>0</v>
      </c>
    </row>
    <row r="49" spans="1:5" hidden="1" x14ac:dyDescent="0.3">
      <c r="A49" t="s">
        <v>7</v>
      </c>
      <c r="B49" t="s">
        <v>3</v>
      </c>
      <c r="C49">
        <v>0</v>
      </c>
      <c r="E49">
        <f t="shared" si="0"/>
        <v>0</v>
      </c>
    </row>
    <row r="50" spans="1:5" x14ac:dyDescent="0.3">
      <c r="A50" t="s">
        <v>107</v>
      </c>
      <c r="B50" t="s">
        <v>3</v>
      </c>
      <c r="C50">
        <v>1.5</v>
      </c>
      <c r="D50">
        <v>16000</v>
      </c>
      <c r="E50">
        <f t="shared" si="0"/>
        <v>24000</v>
      </c>
    </row>
    <row r="51" spans="1:5" hidden="1" x14ac:dyDescent="0.3">
      <c r="A51" t="s">
        <v>57</v>
      </c>
      <c r="B51" t="s">
        <v>3</v>
      </c>
      <c r="C51">
        <v>0</v>
      </c>
      <c r="E51">
        <f t="shared" si="0"/>
        <v>0</v>
      </c>
    </row>
    <row r="52" spans="1:5" hidden="1" x14ac:dyDescent="0.3">
      <c r="A52" t="s">
        <v>9</v>
      </c>
      <c r="B52" t="s">
        <v>3</v>
      </c>
      <c r="C52">
        <v>0</v>
      </c>
      <c r="E52">
        <f t="shared" si="0"/>
        <v>0</v>
      </c>
    </row>
    <row r="53" spans="1:5" hidden="1" x14ac:dyDescent="0.3">
      <c r="A53" t="s">
        <v>9</v>
      </c>
      <c r="B53" t="s">
        <v>4</v>
      </c>
      <c r="C53">
        <v>0</v>
      </c>
      <c r="E53">
        <f t="shared" si="0"/>
        <v>0</v>
      </c>
    </row>
    <row r="54" spans="1:5" x14ac:dyDescent="0.3">
      <c r="A54" t="s">
        <v>58</v>
      </c>
      <c r="B54" t="s">
        <v>3</v>
      </c>
      <c r="C54">
        <v>11</v>
      </c>
      <c r="D54">
        <v>23000</v>
      </c>
      <c r="E54">
        <f t="shared" si="0"/>
        <v>253000</v>
      </c>
    </row>
    <row r="55" spans="1:5" x14ac:dyDescent="0.3">
      <c r="A55" t="s">
        <v>10</v>
      </c>
      <c r="B55" t="s">
        <v>3</v>
      </c>
      <c r="C55">
        <v>350</v>
      </c>
      <c r="D55">
        <v>19000</v>
      </c>
      <c r="E55">
        <f t="shared" si="0"/>
        <v>6650000</v>
      </c>
    </row>
    <row r="56" spans="1:5" hidden="1" x14ac:dyDescent="0.3">
      <c r="A56" t="s">
        <v>10</v>
      </c>
      <c r="B56" t="s">
        <v>11</v>
      </c>
      <c r="C56">
        <v>0</v>
      </c>
      <c r="E56">
        <f t="shared" si="0"/>
        <v>0</v>
      </c>
    </row>
    <row r="57" spans="1:5" hidden="1" x14ac:dyDescent="0.3">
      <c r="A57" t="s">
        <v>106</v>
      </c>
      <c r="B57" t="s">
        <v>3</v>
      </c>
      <c r="C57">
        <v>0</v>
      </c>
      <c r="E57">
        <f t="shared" si="0"/>
        <v>0</v>
      </c>
    </row>
    <row r="58" spans="1:5" x14ac:dyDescent="0.3">
      <c r="A58" t="s">
        <v>12</v>
      </c>
      <c r="B58" t="s">
        <v>4</v>
      </c>
      <c r="C58">
        <v>133</v>
      </c>
      <c r="D58">
        <v>4800</v>
      </c>
      <c r="E58">
        <f t="shared" si="0"/>
        <v>638400</v>
      </c>
    </row>
    <row r="59" spans="1:5" x14ac:dyDescent="0.3">
      <c r="A59" t="s">
        <v>39</v>
      </c>
      <c r="B59" t="s">
        <v>3</v>
      </c>
      <c r="C59">
        <v>540</v>
      </c>
      <c r="D59">
        <v>24000</v>
      </c>
      <c r="E59">
        <f t="shared" si="0"/>
        <v>12960000</v>
      </c>
    </row>
    <row r="60" spans="1:5" x14ac:dyDescent="0.3">
      <c r="A60" t="s">
        <v>13</v>
      </c>
      <c r="B60" t="s">
        <v>3</v>
      </c>
      <c r="C60">
        <v>440</v>
      </c>
      <c r="D60">
        <v>24000</v>
      </c>
      <c r="E60">
        <f t="shared" si="0"/>
        <v>10560000</v>
      </c>
    </row>
    <row r="61" spans="1:5" x14ac:dyDescent="0.3">
      <c r="A61" t="s">
        <v>133</v>
      </c>
      <c r="B61" t="s">
        <v>3</v>
      </c>
      <c r="C61">
        <v>205</v>
      </c>
      <c r="D61">
        <v>17000</v>
      </c>
      <c r="E61">
        <f t="shared" si="0"/>
        <v>3485000</v>
      </c>
    </row>
    <row r="62" spans="1:5" x14ac:dyDescent="0.3">
      <c r="A62" t="s">
        <v>14</v>
      </c>
      <c r="B62" t="s">
        <v>3</v>
      </c>
      <c r="C62">
        <v>120</v>
      </c>
      <c r="D62">
        <v>16000</v>
      </c>
      <c r="E62">
        <f t="shared" si="0"/>
        <v>1920000</v>
      </c>
    </row>
    <row r="63" spans="1:5" x14ac:dyDescent="0.3">
      <c r="A63" t="s">
        <v>93</v>
      </c>
      <c r="B63" t="s">
        <v>3</v>
      </c>
      <c r="C63">
        <v>33</v>
      </c>
      <c r="D63">
        <v>25000</v>
      </c>
      <c r="E63">
        <f t="shared" si="0"/>
        <v>825000</v>
      </c>
    </row>
    <row r="64" spans="1:5" hidden="1" x14ac:dyDescent="0.3">
      <c r="A64" t="s">
        <v>42</v>
      </c>
      <c r="B64" t="s">
        <v>3</v>
      </c>
      <c r="C64">
        <v>0</v>
      </c>
      <c r="E64">
        <f t="shared" si="0"/>
        <v>0</v>
      </c>
    </row>
    <row r="65" spans="1:5" hidden="1" x14ac:dyDescent="0.3">
      <c r="A65" t="s">
        <v>89</v>
      </c>
      <c r="B65" t="s">
        <v>3</v>
      </c>
      <c r="C65">
        <v>0</v>
      </c>
      <c r="E65">
        <f t="shared" si="0"/>
        <v>0</v>
      </c>
    </row>
    <row r="66" spans="1:5" hidden="1" x14ac:dyDescent="0.3">
      <c r="A66" t="s">
        <v>89</v>
      </c>
      <c r="B66" t="s">
        <v>4</v>
      </c>
      <c r="C66">
        <v>0</v>
      </c>
      <c r="E66">
        <f t="shared" si="0"/>
        <v>0</v>
      </c>
    </row>
    <row r="67" spans="1:5" hidden="1" x14ac:dyDescent="0.3">
      <c r="A67" t="s">
        <v>109</v>
      </c>
      <c r="B67" t="s">
        <v>3</v>
      </c>
      <c r="C67">
        <v>0</v>
      </c>
      <c r="E67">
        <f t="shared" si="0"/>
        <v>0</v>
      </c>
    </row>
    <row r="68" spans="1:5" x14ac:dyDescent="0.3">
      <c r="A68" t="s">
        <v>15</v>
      </c>
      <c r="B68" t="s">
        <v>3</v>
      </c>
      <c r="C68">
        <v>40</v>
      </c>
      <c r="D68">
        <v>18000</v>
      </c>
      <c r="E68">
        <f t="shared" ref="E68:E133" si="1">C68*D68</f>
        <v>720000</v>
      </c>
    </row>
    <row r="69" spans="1:5" hidden="1" x14ac:dyDescent="0.3">
      <c r="A69" t="s">
        <v>15</v>
      </c>
      <c r="B69" t="s">
        <v>4</v>
      </c>
      <c r="C69">
        <v>0</v>
      </c>
      <c r="E69">
        <f t="shared" si="1"/>
        <v>0</v>
      </c>
    </row>
    <row r="70" spans="1:5" x14ac:dyDescent="0.3">
      <c r="A70" t="s">
        <v>87</v>
      </c>
      <c r="B70" t="s">
        <v>4</v>
      </c>
      <c r="C70">
        <v>70</v>
      </c>
      <c r="D70">
        <v>8000</v>
      </c>
      <c r="E70">
        <f t="shared" si="1"/>
        <v>560000</v>
      </c>
    </row>
    <row r="71" spans="1:5" x14ac:dyDescent="0.3">
      <c r="A71" t="s">
        <v>59</v>
      </c>
      <c r="B71" t="s">
        <v>3</v>
      </c>
      <c r="C71">
        <v>50</v>
      </c>
      <c r="D71">
        <v>10000</v>
      </c>
      <c r="E71">
        <f t="shared" si="1"/>
        <v>500000</v>
      </c>
    </row>
    <row r="72" spans="1:5" x14ac:dyDescent="0.3">
      <c r="A72" t="s">
        <v>60</v>
      </c>
      <c r="B72" t="s">
        <v>4</v>
      </c>
      <c r="C72">
        <v>10</v>
      </c>
      <c r="D72">
        <v>10000</v>
      </c>
      <c r="E72">
        <f t="shared" si="1"/>
        <v>100000</v>
      </c>
    </row>
    <row r="73" spans="1:5" hidden="1" x14ac:dyDescent="0.3">
      <c r="A73" t="s">
        <v>61</v>
      </c>
      <c r="B73" t="s">
        <v>3</v>
      </c>
      <c r="C73">
        <v>0</v>
      </c>
      <c r="E73">
        <f t="shared" si="1"/>
        <v>0</v>
      </c>
    </row>
    <row r="74" spans="1:5" x14ac:dyDescent="0.3">
      <c r="A74" t="s">
        <v>61</v>
      </c>
      <c r="B74" t="s">
        <v>62</v>
      </c>
      <c r="C74">
        <v>20</v>
      </c>
      <c r="D74">
        <v>11000</v>
      </c>
      <c r="E74">
        <f t="shared" si="1"/>
        <v>220000</v>
      </c>
    </row>
    <row r="75" spans="1:5" x14ac:dyDescent="0.3">
      <c r="A75" t="s">
        <v>63</v>
      </c>
      <c r="B75" t="s">
        <v>3</v>
      </c>
      <c r="C75">
        <v>2.5</v>
      </c>
      <c r="D75">
        <v>60000</v>
      </c>
      <c r="E75">
        <f t="shared" si="1"/>
        <v>150000</v>
      </c>
    </row>
    <row r="76" spans="1:5" hidden="1" x14ac:dyDescent="0.3">
      <c r="A76" t="s">
        <v>64</v>
      </c>
      <c r="B76" t="s">
        <v>3</v>
      </c>
      <c r="C76">
        <v>0</v>
      </c>
      <c r="E76">
        <f t="shared" si="1"/>
        <v>0</v>
      </c>
    </row>
    <row r="77" spans="1:5" hidden="1" x14ac:dyDescent="0.3">
      <c r="A77" t="s">
        <v>65</v>
      </c>
      <c r="B77" t="s">
        <v>3</v>
      </c>
      <c r="C77">
        <v>0</v>
      </c>
      <c r="E77">
        <f t="shared" si="1"/>
        <v>0</v>
      </c>
    </row>
    <row r="78" spans="1:5" hidden="1" x14ac:dyDescent="0.3">
      <c r="A78" t="s">
        <v>32</v>
      </c>
      <c r="B78" t="s">
        <v>3</v>
      </c>
      <c r="C78">
        <v>0</v>
      </c>
      <c r="E78">
        <f t="shared" si="1"/>
        <v>0</v>
      </c>
    </row>
    <row r="79" spans="1:5" x14ac:dyDescent="0.3">
      <c r="A79" t="s">
        <v>32</v>
      </c>
      <c r="B79" t="s">
        <v>6</v>
      </c>
      <c r="C79">
        <v>646</v>
      </c>
      <c r="D79">
        <v>7500</v>
      </c>
      <c r="E79">
        <f t="shared" si="1"/>
        <v>4845000</v>
      </c>
    </row>
    <row r="80" spans="1:5" hidden="1" x14ac:dyDescent="0.3">
      <c r="A80" t="s">
        <v>81</v>
      </c>
      <c r="B80" t="s">
        <v>3</v>
      </c>
      <c r="C80">
        <v>0</v>
      </c>
      <c r="E80">
        <f t="shared" si="1"/>
        <v>0</v>
      </c>
    </row>
    <row r="81" spans="1:5" x14ac:dyDescent="0.3">
      <c r="A81" t="s">
        <v>33</v>
      </c>
      <c r="B81" t="s">
        <v>3</v>
      </c>
      <c r="C81">
        <v>25</v>
      </c>
      <c r="D81">
        <v>10000</v>
      </c>
      <c r="E81">
        <f t="shared" si="1"/>
        <v>250000</v>
      </c>
    </row>
    <row r="82" spans="1:5" hidden="1" x14ac:dyDescent="0.3">
      <c r="A82" t="s">
        <v>66</v>
      </c>
      <c r="B82" t="s">
        <v>22</v>
      </c>
      <c r="C82">
        <v>0</v>
      </c>
      <c r="E82">
        <f t="shared" si="1"/>
        <v>0</v>
      </c>
    </row>
    <row r="83" spans="1:5" hidden="1" x14ac:dyDescent="0.3">
      <c r="A83" t="s">
        <v>66</v>
      </c>
      <c r="B83" t="s">
        <v>3</v>
      </c>
      <c r="C83">
        <v>0</v>
      </c>
      <c r="E83">
        <f t="shared" si="1"/>
        <v>0</v>
      </c>
    </row>
    <row r="84" spans="1:5" x14ac:dyDescent="0.3">
      <c r="A84" t="s">
        <v>43</v>
      </c>
      <c r="B84" t="s">
        <v>3</v>
      </c>
      <c r="C84">
        <v>1500</v>
      </c>
      <c r="D84">
        <v>27600</v>
      </c>
      <c r="E84">
        <f t="shared" si="1"/>
        <v>41400000</v>
      </c>
    </row>
    <row r="85" spans="1:5" hidden="1" x14ac:dyDescent="0.3">
      <c r="A85" t="s">
        <v>67</v>
      </c>
      <c r="B85" t="s">
        <v>3</v>
      </c>
      <c r="C85">
        <v>0</v>
      </c>
      <c r="E85">
        <f t="shared" si="1"/>
        <v>0</v>
      </c>
    </row>
    <row r="86" spans="1:5" x14ac:dyDescent="0.3">
      <c r="A86" t="s">
        <v>156</v>
      </c>
      <c r="B86" t="s">
        <v>3</v>
      </c>
      <c r="C86">
        <v>0.5</v>
      </c>
      <c r="D86">
        <v>45000</v>
      </c>
      <c r="E86">
        <f t="shared" si="1"/>
        <v>22500</v>
      </c>
    </row>
    <row r="87" spans="1:5" x14ac:dyDescent="0.3">
      <c r="A87" t="s">
        <v>68</v>
      </c>
      <c r="B87" t="s">
        <v>4</v>
      </c>
      <c r="C87">
        <v>4</v>
      </c>
      <c r="D87">
        <v>1900</v>
      </c>
      <c r="E87">
        <f t="shared" si="1"/>
        <v>7600</v>
      </c>
    </row>
    <row r="88" spans="1:5" x14ac:dyDescent="0.3">
      <c r="A88" t="s">
        <v>69</v>
      </c>
      <c r="B88" t="s">
        <v>3</v>
      </c>
      <c r="C88">
        <v>7</v>
      </c>
      <c r="D88">
        <v>14000</v>
      </c>
      <c r="E88">
        <f t="shared" si="1"/>
        <v>98000</v>
      </c>
    </row>
    <row r="89" spans="1:5" hidden="1" x14ac:dyDescent="0.3">
      <c r="A89" t="s">
        <v>38</v>
      </c>
      <c r="B89" t="s">
        <v>6</v>
      </c>
      <c r="C89">
        <v>0</v>
      </c>
      <c r="E89">
        <f t="shared" si="1"/>
        <v>0</v>
      </c>
    </row>
    <row r="90" spans="1:5" hidden="1" x14ac:dyDescent="0.3">
      <c r="A90" t="s">
        <v>70</v>
      </c>
      <c r="B90" t="s">
        <v>8</v>
      </c>
      <c r="C90">
        <v>0</v>
      </c>
      <c r="E90">
        <f t="shared" si="1"/>
        <v>0</v>
      </c>
    </row>
    <row r="91" spans="1:5" x14ac:dyDescent="0.3">
      <c r="A91" t="s">
        <v>70</v>
      </c>
      <c r="B91" t="s">
        <v>3</v>
      </c>
      <c r="C91">
        <v>6</v>
      </c>
      <c r="D91">
        <v>44000</v>
      </c>
      <c r="E91">
        <f t="shared" si="1"/>
        <v>264000</v>
      </c>
    </row>
    <row r="92" spans="1:5" x14ac:dyDescent="0.3">
      <c r="A92" t="s">
        <v>34</v>
      </c>
      <c r="B92" t="s">
        <v>3</v>
      </c>
      <c r="C92">
        <v>106</v>
      </c>
      <c r="D92">
        <v>35000</v>
      </c>
      <c r="E92">
        <f t="shared" si="1"/>
        <v>3710000</v>
      </c>
    </row>
    <row r="93" spans="1:5" hidden="1" x14ac:dyDescent="0.3">
      <c r="A93" t="s">
        <v>34</v>
      </c>
      <c r="B93" t="s">
        <v>26</v>
      </c>
      <c r="C93">
        <v>0</v>
      </c>
      <c r="E93">
        <f t="shared" si="1"/>
        <v>0</v>
      </c>
    </row>
    <row r="94" spans="1:5" x14ac:dyDescent="0.3">
      <c r="A94" t="s">
        <v>35</v>
      </c>
      <c r="B94" t="s">
        <v>3</v>
      </c>
      <c r="C94">
        <v>10</v>
      </c>
      <c r="D94">
        <v>32000</v>
      </c>
      <c r="E94">
        <f t="shared" si="1"/>
        <v>320000</v>
      </c>
    </row>
    <row r="95" spans="1:5" hidden="1" x14ac:dyDescent="0.3">
      <c r="A95" t="s">
        <v>35</v>
      </c>
      <c r="B95" t="s">
        <v>26</v>
      </c>
      <c r="C95">
        <v>0</v>
      </c>
      <c r="E95">
        <f t="shared" si="1"/>
        <v>0</v>
      </c>
    </row>
    <row r="96" spans="1:5" x14ac:dyDescent="0.3">
      <c r="A96" t="s">
        <v>36</v>
      </c>
      <c r="B96" t="s">
        <v>3</v>
      </c>
      <c r="C96">
        <v>65</v>
      </c>
      <c r="D96">
        <v>20000</v>
      </c>
      <c r="E96">
        <f t="shared" si="1"/>
        <v>1300000</v>
      </c>
    </row>
    <row r="97" spans="1:5" hidden="1" x14ac:dyDescent="0.3">
      <c r="A97" t="s">
        <v>36</v>
      </c>
      <c r="B97" t="s">
        <v>26</v>
      </c>
      <c r="C97">
        <v>0</v>
      </c>
      <c r="E97">
        <f t="shared" si="1"/>
        <v>0</v>
      </c>
    </row>
    <row r="98" spans="1:5" x14ac:dyDescent="0.3">
      <c r="A98" t="s">
        <v>71</v>
      </c>
      <c r="B98" t="s">
        <v>3</v>
      </c>
      <c r="C98">
        <v>20</v>
      </c>
      <c r="D98">
        <v>45000</v>
      </c>
      <c r="E98">
        <f t="shared" si="1"/>
        <v>900000</v>
      </c>
    </row>
    <row r="99" spans="1:5" x14ac:dyDescent="0.3">
      <c r="A99" t="s">
        <v>71</v>
      </c>
      <c r="B99" t="s">
        <v>4</v>
      </c>
      <c r="C99">
        <v>60</v>
      </c>
      <c r="D99">
        <v>21000</v>
      </c>
      <c r="E99">
        <f t="shared" si="1"/>
        <v>1260000</v>
      </c>
    </row>
    <row r="100" spans="1:5" hidden="1" x14ac:dyDescent="0.3">
      <c r="A100" t="s">
        <v>83</v>
      </c>
      <c r="B100" t="s">
        <v>4</v>
      </c>
      <c r="C100">
        <v>0</v>
      </c>
      <c r="E100">
        <f t="shared" si="1"/>
        <v>0</v>
      </c>
    </row>
    <row r="101" spans="1:5" hidden="1" x14ac:dyDescent="0.3">
      <c r="A101" t="s">
        <v>111</v>
      </c>
      <c r="B101" t="s">
        <v>3</v>
      </c>
      <c r="C101">
        <v>0</v>
      </c>
      <c r="E101">
        <f t="shared" si="1"/>
        <v>0</v>
      </c>
    </row>
    <row r="102" spans="1:5" hidden="1" x14ac:dyDescent="0.3">
      <c r="A102" t="s">
        <v>105</v>
      </c>
      <c r="B102" t="s">
        <v>3</v>
      </c>
      <c r="C102">
        <v>0</v>
      </c>
      <c r="E102">
        <f t="shared" si="1"/>
        <v>0</v>
      </c>
    </row>
    <row r="103" spans="1:5" hidden="1" x14ac:dyDescent="0.3">
      <c r="A103" t="s">
        <v>88</v>
      </c>
      <c r="B103" t="s">
        <v>3</v>
      </c>
      <c r="C103">
        <v>4140</v>
      </c>
      <c r="D103">
        <v>28000</v>
      </c>
      <c r="E103" s="2">
        <f t="shared" si="1"/>
        <v>115920000</v>
      </c>
    </row>
    <row r="104" spans="1:5" hidden="1" x14ac:dyDescent="0.3">
      <c r="A104" t="s">
        <v>91</v>
      </c>
      <c r="B104" t="s">
        <v>3</v>
      </c>
      <c r="C104">
        <v>0</v>
      </c>
      <c r="E104">
        <f t="shared" si="1"/>
        <v>0</v>
      </c>
    </row>
    <row r="105" spans="1:5" x14ac:dyDescent="0.3">
      <c r="A105" t="s">
        <v>72</v>
      </c>
      <c r="B105" t="s">
        <v>3</v>
      </c>
      <c r="C105">
        <v>80</v>
      </c>
      <c r="D105">
        <v>7000</v>
      </c>
      <c r="E105">
        <f t="shared" si="1"/>
        <v>560000</v>
      </c>
    </row>
    <row r="106" spans="1:5" hidden="1" x14ac:dyDescent="0.3">
      <c r="A106" t="s">
        <v>80</v>
      </c>
      <c r="B106" t="s">
        <v>3</v>
      </c>
      <c r="C106">
        <v>0</v>
      </c>
      <c r="E106">
        <f t="shared" si="1"/>
        <v>0</v>
      </c>
    </row>
    <row r="107" spans="1:5" x14ac:dyDescent="0.3">
      <c r="A107" t="s">
        <v>73</v>
      </c>
      <c r="B107" t="s">
        <v>3</v>
      </c>
      <c r="C107">
        <v>9</v>
      </c>
      <c r="D107">
        <v>14000</v>
      </c>
      <c r="E107">
        <f t="shared" si="1"/>
        <v>126000</v>
      </c>
    </row>
    <row r="108" spans="1:5" hidden="1" x14ac:dyDescent="0.3">
      <c r="A108" t="s">
        <v>112</v>
      </c>
      <c r="B108" t="s">
        <v>3</v>
      </c>
      <c r="C108">
        <v>0</v>
      </c>
      <c r="E108">
        <f t="shared" si="1"/>
        <v>0</v>
      </c>
    </row>
    <row r="109" spans="1:5" x14ac:dyDescent="0.3">
      <c r="A109" t="s">
        <v>23</v>
      </c>
      <c r="B109" t="s">
        <v>3</v>
      </c>
      <c r="C109">
        <v>10</v>
      </c>
      <c r="D109">
        <v>28000</v>
      </c>
      <c r="E109">
        <f t="shared" si="1"/>
        <v>280000</v>
      </c>
    </row>
    <row r="110" spans="1:5" x14ac:dyDescent="0.3">
      <c r="A110" t="s">
        <v>84</v>
      </c>
      <c r="B110" t="s">
        <v>22</v>
      </c>
      <c r="C110">
        <v>85</v>
      </c>
      <c r="D110">
        <v>6800</v>
      </c>
      <c r="E110">
        <f t="shared" si="1"/>
        <v>578000</v>
      </c>
    </row>
    <row r="111" spans="1:5" hidden="1" x14ac:dyDescent="0.3">
      <c r="A111" t="s">
        <v>74</v>
      </c>
      <c r="B111" t="s">
        <v>3</v>
      </c>
      <c r="C111">
        <v>0</v>
      </c>
      <c r="E111">
        <f t="shared" si="1"/>
        <v>0</v>
      </c>
    </row>
    <row r="112" spans="1:5" hidden="1" x14ac:dyDescent="0.3">
      <c r="A112" t="s">
        <v>86</v>
      </c>
      <c r="B112" t="s">
        <v>22</v>
      </c>
      <c r="C112">
        <v>0</v>
      </c>
      <c r="E112">
        <f t="shared" si="1"/>
        <v>0</v>
      </c>
    </row>
    <row r="113" spans="1:5" hidden="1" x14ac:dyDescent="0.3">
      <c r="A113" t="s">
        <v>75</v>
      </c>
      <c r="B113" t="s">
        <v>3</v>
      </c>
      <c r="C113">
        <v>0</v>
      </c>
      <c r="E113">
        <f t="shared" si="1"/>
        <v>0</v>
      </c>
    </row>
    <row r="114" spans="1:5" x14ac:dyDescent="0.3">
      <c r="A114" t="s">
        <v>76</v>
      </c>
      <c r="B114" t="s">
        <v>3</v>
      </c>
      <c r="C114">
        <v>3</v>
      </c>
      <c r="D114">
        <v>30000</v>
      </c>
      <c r="E114">
        <f t="shared" si="1"/>
        <v>90000</v>
      </c>
    </row>
    <row r="115" spans="1:5" hidden="1" x14ac:dyDescent="0.3">
      <c r="A115" t="s">
        <v>85</v>
      </c>
      <c r="B115" t="s">
        <v>22</v>
      </c>
      <c r="C115">
        <v>0</v>
      </c>
      <c r="E115">
        <f t="shared" si="1"/>
        <v>0</v>
      </c>
    </row>
    <row r="116" spans="1:5" x14ac:dyDescent="0.3">
      <c r="E116">
        <f>SUM(E3:E114)</f>
        <v>250806100</v>
      </c>
    </row>
    <row r="117" spans="1:5" hidden="1" x14ac:dyDescent="0.3">
      <c r="A117" t="s">
        <v>103</v>
      </c>
    </row>
    <row r="118" spans="1:5" x14ac:dyDescent="0.3">
      <c r="A118" t="s">
        <v>0</v>
      </c>
      <c r="B118" t="s">
        <v>1</v>
      </c>
      <c r="C118" t="s">
        <v>102</v>
      </c>
      <c r="D118" t="s">
        <v>100</v>
      </c>
      <c r="E118" t="s">
        <v>101</v>
      </c>
    </row>
    <row r="119" spans="1:5" hidden="1" x14ac:dyDescent="0.3">
      <c r="A119" t="s">
        <v>44</v>
      </c>
      <c r="B119" t="s">
        <v>3</v>
      </c>
      <c r="C119">
        <v>0</v>
      </c>
      <c r="E119">
        <f t="shared" si="1"/>
        <v>0</v>
      </c>
    </row>
    <row r="120" spans="1:5" hidden="1" x14ac:dyDescent="0.3">
      <c r="A120" t="s">
        <v>45</v>
      </c>
      <c r="B120" t="s">
        <v>3</v>
      </c>
      <c r="C120">
        <v>0</v>
      </c>
      <c r="E120">
        <f t="shared" si="1"/>
        <v>0</v>
      </c>
    </row>
    <row r="121" spans="1:5" x14ac:dyDescent="0.3">
      <c r="A121" t="s">
        <v>17</v>
      </c>
      <c r="B121" t="s">
        <v>3</v>
      </c>
      <c r="C121">
        <v>138</v>
      </c>
      <c r="D121">
        <v>6500</v>
      </c>
      <c r="E121">
        <f t="shared" si="1"/>
        <v>897000</v>
      </c>
    </row>
    <row r="122" spans="1:5" x14ac:dyDescent="0.3">
      <c r="A122" t="s">
        <v>95</v>
      </c>
      <c r="B122" t="s">
        <v>3</v>
      </c>
      <c r="C122">
        <v>30</v>
      </c>
      <c r="D122">
        <v>10000</v>
      </c>
      <c r="E122">
        <f t="shared" si="1"/>
        <v>300000</v>
      </c>
    </row>
    <row r="123" spans="1:5" hidden="1" x14ac:dyDescent="0.3">
      <c r="A123" t="s">
        <v>24</v>
      </c>
      <c r="B123" t="s">
        <v>3</v>
      </c>
      <c r="C123">
        <v>0</v>
      </c>
      <c r="E123">
        <f t="shared" si="1"/>
        <v>0</v>
      </c>
    </row>
    <row r="124" spans="1:5" hidden="1" x14ac:dyDescent="0.3">
      <c r="A124" t="s">
        <v>78</v>
      </c>
      <c r="B124" t="s">
        <v>3</v>
      </c>
      <c r="C124">
        <v>0</v>
      </c>
      <c r="E124">
        <f t="shared" si="1"/>
        <v>0</v>
      </c>
    </row>
    <row r="125" spans="1:5" x14ac:dyDescent="0.3">
      <c r="A125" t="s">
        <v>25</v>
      </c>
      <c r="B125" t="s">
        <v>3</v>
      </c>
      <c r="C125">
        <v>55</v>
      </c>
      <c r="D125">
        <v>16000</v>
      </c>
      <c r="E125">
        <f t="shared" si="1"/>
        <v>880000</v>
      </c>
    </row>
    <row r="126" spans="1:5" hidden="1" x14ac:dyDescent="0.3">
      <c r="A126" t="s">
        <v>37</v>
      </c>
      <c r="B126" t="s">
        <v>3</v>
      </c>
      <c r="C126">
        <v>0</v>
      </c>
      <c r="E126">
        <f t="shared" si="1"/>
        <v>0</v>
      </c>
    </row>
    <row r="127" spans="1:5" x14ac:dyDescent="0.3">
      <c r="A127" t="s">
        <v>46</v>
      </c>
      <c r="B127" t="s">
        <v>3</v>
      </c>
      <c r="C127">
        <v>3</v>
      </c>
      <c r="D127">
        <v>25000</v>
      </c>
      <c r="E127">
        <f t="shared" si="1"/>
        <v>75000</v>
      </c>
    </row>
    <row r="128" spans="1:5" hidden="1" x14ac:dyDescent="0.3">
      <c r="A128" t="s">
        <v>94</v>
      </c>
      <c r="B128" t="s">
        <v>3</v>
      </c>
      <c r="C128">
        <v>0</v>
      </c>
      <c r="E128">
        <f t="shared" si="1"/>
        <v>0</v>
      </c>
    </row>
    <row r="129" spans="1:5" x14ac:dyDescent="0.3">
      <c r="A129" t="s">
        <v>28</v>
      </c>
      <c r="B129" t="s">
        <v>3</v>
      </c>
      <c r="C129">
        <v>175</v>
      </c>
      <c r="D129">
        <v>22000</v>
      </c>
      <c r="E129">
        <f t="shared" si="1"/>
        <v>3850000</v>
      </c>
    </row>
    <row r="130" spans="1:5" x14ac:dyDescent="0.3">
      <c r="A130" t="s">
        <v>40</v>
      </c>
      <c r="B130" t="s">
        <v>8</v>
      </c>
      <c r="C130">
        <v>20</v>
      </c>
      <c r="D130">
        <v>9000</v>
      </c>
      <c r="E130">
        <f t="shared" si="1"/>
        <v>180000</v>
      </c>
    </row>
    <row r="131" spans="1:5" hidden="1" x14ac:dyDescent="0.3">
      <c r="A131" t="s">
        <v>30</v>
      </c>
      <c r="B131" t="s">
        <v>3</v>
      </c>
      <c r="C131">
        <v>0</v>
      </c>
      <c r="E131">
        <f t="shared" si="1"/>
        <v>0</v>
      </c>
    </row>
    <row r="132" spans="1:5" x14ac:dyDescent="0.3">
      <c r="A132" t="s">
        <v>2</v>
      </c>
      <c r="B132" t="s">
        <v>3</v>
      </c>
      <c r="C132">
        <v>90</v>
      </c>
      <c r="D132">
        <v>13000</v>
      </c>
      <c r="E132">
        <f t="shared" si="1"/>
        <v>1170000</v>
      </c>
    </row>
    <row r="133" spans="1:5" x14ac:dyDescent="0.3">
      <c r="A133" t="s">
        <v>53</v>
      </c>
      <c r="B133" t="s">
        <v>3</v>
      </c>
      <c r="C133">
        <v>60</v>
      </c>
      <c r="D133">
        <v>8000</v>
      </c>
      <c r="E133">
        <f t="shared" si="1"/>
        <v>480000</v>
      </c>
    </row>
    <row r="134" spans="1:5" hidden="1" x14ac:dyDescent="0.3">
      <c r="A134" t="s">
        <v>20</v>
      </c>
      <c r="B134" t="s">
        <v>3</v>
      </c>
      <c r="C134">
        <v>0</v>
      </c>
      <c r="E134">
        <f t="shared" ref="E134:E167" si="2">C134*D134</f>
        <v>0</v>
      </c>
    </row>
    <row r="135" spans="1:5" x14ac:dyDescent="0.3">
      <c r="A135" t="s">
        <v>97</v>
      </c>
      <c r="B135" t="s">
        <v>3</v>
      </c>
      <c r="C135">
        <v>7</v>
      </c>
      <c r="D135">
        <v>16000</v>
      </c>
      <c r="E135">
        <f t="shared" si="2"/>
        <v>112000</v>
      </c>
    </row>
    <row r="136" spans="1:5" hidden="1" x14ac:dyDescent="0.3">
      <c r="A136" t="s">
        <v>98</v>
      </c>
      <c r="B136" t="s">
        <v>3</v>
      </c>
      <c r="C136">
        <v>0</v>
      </c>
      <c r="E136">
        <f t="shared" si="2"/>
        <v>0</v>
      </c>
    </row>
    <row r="137" spans="1:5" x14ac:dyDescent="0.3">
      <c r="A137" t="s">
        <v>21</v>
      </c>
      <c r="B137" t="s">
        <v>3</v>
      </c>
      <c r="C137">
        <v>30</v>
      </c>
      <c r="D137">
        <v>10000</v>
      </c>
      <c r="E137">
        <f t="shared" si="2"/>
        <v>300000</v>
      </c>
    </row>
    <row r="138" spans="1:5" x14ac:dyDescent="0.3">
      <c r="A138" t="s">
        <v>96</v>
      </c>
      <c r="B138" t="s">
        <v>3</v>
      </c>
      <c r="C138">
        <v>28</v>
      </c>
      <c r="D138">
        <v>25000</v>
      </c>
      <c r="E138">
        <f t="shared" si="2"/>
        <v>700000</v>
      </c>
    </row>
    <row r="139" spans="1:5" hidden="1" x14ac:dyDescent="0.3">
      <c r="A139" t="s">
        <v>56</v>
      </c>
      <c r="B139" t="s">
        <v>3</v>
      </c>
      <c r="C139">
        <v>0</v>
      </c>
      <c r="E139">
        <f t="shared" si="2"/>
        <v>0</v>
      </c>
    </row>
    <row r="140" spans="1:5" hidden="1" x14ac:dyDescent="0.3">
      <c r="A140" t="s">
        <v>107</v>
      </c>
      <c r="B140" t="s">
        <v>6</v>
      </c>
      <c r="C140">
        <v>0</v>
      </c>
      <c r="E140">
        <f t="shared" si="2"/>
        <v>0</v>
      </c>
    </row>
    <row r="141" spans="1:5" x14ac:dyDescent="0.3">
      <c r="A141" t="s">
        <v>57</v>
      </c>
      <c r="B141" t="s">
        <v>3</v>
      </c>
      <c r="C141">
        <v>150</v>
      </c>
      <c r="D141">
        <v>5000</v>
      </c>
      <c r="E141">
        <f t="shared" si="2"/>
        <v>750000</v>
      </c>
    </row>
    <row r="142" spans="1:5" x14ac:dyDescent="0.3">
      <c r="A142" t="s">
        <v>9</v>
      </c>
      <c r="B142" t="s">
        <v>3</v>
      </c>
      <c r="C142">
        <v>55</v>
      </c>
      <c r="D142">
        <v>11000</v>
      </c>
      <c r="E142">
        <f t="shared" si="2"/>
        <v>605000</v>
      </c>
    </row>
    <row r="143" spans="1:5" x14ac:dyDescent="0.3">
      <c r="A143" t="s">
        <v>10</v>
      </c>
      <c r="B143" t="s">
        <v>3</v>
      </c>
      <c r="C143">
        <v>65</v>
      </c>
      <c r="D143">
        <v>19000</v>
      </c>
      <c r="E143">
        <f t="shared" si="2"/>
        <v>1235000</v>
      </c>
    </row>
    <row r="144" spans="1:5" hidden="1" x14ac:dyDescent="0.3">
      <c r="A144" t="s">
        <v>13</v>
      </c>
      <c r="B144" t="s">
        <v>4</v>
      </c>
      <c r="C144">
        <v>0</v>
      </c>
      <c r="E144">
        <f t="shared" si="2"/>
        <v>0</v>
      </c>
    </row>
    <row r="145" spans="1:5" x14ac:dyDescent="0.3">
      <c r="A145" t="s">
        <v>14</v>
      </c>
      <c r="B145" t="s">
        <v>3</v>
      </c>
      <c r="C145">
        <v>120</v>
      </c>
      <c r="D145">
        <v>16000</v>
      </c>
      <c r="E145">
        <f t="shared" si="2"/>
        <v>1920000</v>
      </c>
    </row>
    <row r="146" spans="1:5" hidden="1" x14ac:dyDescent="0.3">
      <c r="A146" t="s">
        <v>89</v>
      </c>
      <c r="B146" t="s">
        <v>4</v>
      </c>
      <c r="C146">
        <v>0</v>
      </c>
      <c r="E146">
        <f t="shared" si="2"/>
        <v>0</v>
      </c>
    </row>
    <row r="147" spans="1:5" hidden="1" x14ac:dyDescent="0.3">
      <c r="A147" t="s">
        <v>109</v>
      </c>
      <c r="B147" t="s">
        <v>3</v>
      </c>
      <c r="C147">
        <v>0</v>
      </c>
      <c r="E147">
        <f t="shared" si="2"/>
        <v>0</v>
      </c>
    </row>
    <row r="148" spans="1:5" x14ac:dyDescent="0.3">
      <c r="A148" t="s">
        <v>15</v>
      </c>
      <c r="B148" t="s">
        <v>3</v>
      </c>
      <c r="C148">
        <v>65</v>
      </c>
      <c r="D148">
        <v>18000</v>
      </c>
      <c r="E148">
        <f t="shared" si="2"/>
        <v>1170000</v>
      </c>
    </row>
    <row r="149" spans="1:5" x14ac:dyDescent="0.3">
      <c r="A149" t="s">
        <v>59</v>
      </c>
      <c r="B149" t="s">
        <v>3</v>
      </c>
      <c r="C149">
        <v>3</v>
      </c>
      <c r="D149">
        <v>10000</v>
      </c>
      <c r="E149">
        <f t="shared" si="2"/>
        <v>30000</v>
      </c>
    </row>
    <row r="150" spans="1:5" x14ac:dyDescent="0.3">
      <c r="A150" t="s">
        <v>60</v>
      </c>
      <c r="B150" t="s">
        <v>4</v>
      </c>
      <c r="C150">
        <v>20</v>
      </c>
      <c r="D150">
        <v>6000</v>
      </c>
      <c r="E150">
        <f t="shared" si="2"/>
        <v>120000</v>
      </c>
    </row>
    <row r="151" spans="1:5" x14ac:dyDescent="0.3">
      <c r="A151" t="s">
        <v>61</v>
      </c>
      <c r="B151" t="s">
        <v>4</v>
      </c>
      <c r="C151">
        <v>91</v>
      </c>
      <c r="D151">
        <v>11000</v>
      </c>
      <c r="E151">
        <f t="shared" si="2"/>
        <v>1001000</v>
      </c>
    </row>
    <row r="152" spans="1:5" hidden="1" x14ac:dyDescent="0.3">
      <c r="A152" t="s">
        <v>32</v>
      </c>
      <c r="B152" t="s">
        <v>3</v>
      </c>
      <c r="C152">
        <v>0</v>
      </c>
      <c r="E152">
        <f t="shared" si="2"/>
        <v>0</v>
      </c>
    </row>
    <row r="153" spans="1:5" x14ac:dyDescent="0.3">
      <c r="A153" t="s">
        <v>32</v>
      </c>
      <c r="B153" t="s">
        <v>6</v>
      </c>
      <c r="C153">
        <v>81</v>
      </c>
      <c r="D153">
        <v>7500</v>
      </c>
      <c r="E153">
        <f t="shared" si="2"/>
        <v>607500</v>
      </c>
    </row>
    <row r="154" spans="1:5" x14ac:dyDescent="0.3">
      <c r="A154" t="s">
        <v>66</v>
      </c>
      <c r="B154" t="s">
        <v>3</v>
      </c>
      <c r="C154">
        <v>3</v>
      </c>
      <c r="D154">
        <v>19000</v>
      </c>
      <c r="E154">
        <f t="shared" si="2"/>
        <v>57000</v>
      </c>
    </row>
    <row r="155" spans="1:5" hidden="1" x14ac:dyDescent="0.3">
      <c r="A155" t="s">
        <v>43</v>
      </c>
      <c r="B155" t="s">
        <v>3</v>
      </c>
      <c r="C155">
        <v>0</v>
      </c>
      <c r="E155">
        <f t="shared" si="2"/>
        <v>0</v>
      </c>
    </row>
    <row r="156" spans="1:5" hidden="1" x14ac:dyDescent="0.3">
      <c r="A156" t="s">
        <v>67</v>
      </c>
      <c r="B156" t="s">
        <v>3</v>
      </c>
      <c r="C156">
        <v>0</v>
      </c>
      <c r="E156">
        <f t="shared" si="2"/>
        <v>0</v>
      </c>
    </row>
    <row r="157" spans="1:5" hidden="1" x14ac:dyDescent="0.3">
      <c r="A157" t="s">
        <v>137</v>
      </c>
      <c r="B157" t="s">
        <v>8</v>
      </c>
      <c r="C157">
        <v>0</v>
      </c>
      <c r="E157">
        <f t="shared" si="2"/>
        <v>0</v>
      </c>
    </row>
    <row r="158" spans="1:5" hidden="1" x14ac:dyDescent="0.3">
      <c r="A158" t="s">
        <v>34</v>
      </c>
      <c r="B158" t="s">
        <v>3</v>
      </c>
      <c r="C158">
        <v>0</v>
      </c>
      <c r="E158">
        <f t="shared" si="2"/>
        <v>0</v>
      </c>
    </row>
    <row r="159" spans="1:5" hidden="1" x14ac:dyDescent="0.3">
      <c r="A159" t="s">
        <v>35</v>
      </c>
      <c r="B159" t="s">
        <v>3</v>
      </c>
      <c r="C159">
        <v>0</v>
      </c>
      <c r="E159">
        <f t="shared" si="2"/>
        <v>0</v>
      </c>
    </row>
    <row r="160" spans="1:5" x14ac:dyDescent="0.3">
      <c r="A160" t="s">
        <v>36</v>
      </c>
      <c r="B160" t="s">
        <v>3</v>
      </c>
      <c r="C160">
        <v>10</v>
      </c>
      <c r="D160">
        <v>20000</v>
      </c>
      <c r="E160">
        <f t="shared" si="2"/>
        <v>200000</v>
      </c>
    </row>
    <row r="161" spans="1:5" x14ac:dyDescent="0.3">
      <c r="A161" t="s">
        <v>116</v>
      </c>
      <c r="B161" t="s">
        <v>26</v>
      </c>
      <c r="C161">
        <v>2440</v>
      </c>
      <c r="D161">
        <v>10000</v>
      </c>
      <c r="E161">
        <f t="shared" si="2"/>
        <v>24400000</v>
      </c>
    </row>
    <row r="162" spans="1:5" x14ac:dyDescent="0.3">
      <c r="A162" t="s">
        <v>150</v>
      </c>
      <c r="B162" t="s">
        <v>26</v>
      </c>
      <c r="C162">
        <v>1100</v>
      </c>
      <c r="D162">
        <v>17000</v>
      </c>
      <c r="E162">
        <f t="shared" si="2"/>
        <v>18700000</v>
      </c>
    </row>
    <row r="163" spans="1:5" x14ac:dyDescent="0.3">
      <c r="A163" t="s">
        <v>72</v>
      </c>
      <c r="B163" t="s">
        <v>3</v>
      </c>
      <c r="C163">
        <v>90</v>
      </c>
      <c r="D163">
        <v>7000</v>
      </c>
      <c r="E163">
        <f t="shared" si="2"/>
        <v>630000</v>
      </c>
    </row>
    <row r="164" spans="1:5" hidden="1" x14ac:dyDescent="0.3">
      <c r="A164" t="s">
        <v>23</v>
      </c>
      <c r="B164" t="s">
        <v>22</v>
      </c>
      <c r="C164">
        <v>0</v>
      </c>
      <c r="E164">
        <f t="shared" si="2"/>
        <v>0</v>
      </c>
    </row>
    <row r="165" spans="1:5" hidden="1" x14ac:dyDescent="0.3">
      <c r="A165" t="s">
        <v>84</v>
      </c>
      <c r="B165" t="s">
        <v>22</v>
      </c>
      <c r="C165">
        <v>0</v>
      </c>
      <c r="E165">
        <f t="shared" si="2"/>
        <v>0</v>
      </c>
    </row>
    <row r="166" spans="1:5" hidden="1" x14ac:dyDescent="0.3">
      <c r="A166" t="s">
        <v>86</v>
      </c>
      <c r="B166" t="s">
        <v>22</v>
      </c>
      <c r="C166">
        <v>0</v>
      </c>
      <c r="E166">
        <f t="shared" si="2"/>
        <v>0</v>
      </c>
    </row>
    <row r="167" spans="1:5" hidden="1" x14ac:dyDescent="0.3">
      <c r="A167" t="s">
        <v>85</v>
      </c>
      <c r="B167" t="s">
        <v>22</v>
      </c>
      <c r="C167">
        <v>0</v>
      </c>
      <c r="E167">
        <f t="shared" si="2"/>
        <v>0</v>
      </c>
    </row>
    <row r="168" spans="1:5" x14ac:dyDescent="0.3">
      <c r="E168">
        <f>SUM(E121:E163)</f>
        <v>60369500</v>
      </c>
    </row>
    <row r="169" spans="1:5" hidden="1" x14ac:dyDescent="0.3">
      <c r="E169">
        <f>E116+E168</f>
        <v>311175600</v>
      </c>
    </row>
  </sheetData>
  <autoFilter ref="A2:E169" xr:uid="{00000000-0009-0000-0000-000011000000}">
    <filterColumn colId="4">
      <filters>
        <filter val="100000"/>
        <filter val="1001000"/>
        <filter val="10175000"/>
        <filter val="10560000"/>
        <filter val="112000"/>
        <filter val="115920000"/>
        <filter val="1170000"/>
        <filter val="120000"/>
        <filter val="1235000"/>
        <filter val="126000"/>
        <filter val="1260000"/>
        <filter val="12960000"/>
        <filter val="1300000"/>
        <filter val="14000000"/>
        <filter val="150000"/>
        <filter val="180000"/>
        <filter val="1800000"/>
        <filter val="18700000"/>
        <filter val="1890000"/>
        <filter val="1920000"/>
        <filter val="200000"/>
        <filter val="210000"/>
        <filter val="220000"/>
        <filter val="22500"/>
        <filter val="24000"/>
        <filter val="24400000"/>
        <filter val="250000"/>
        <filter val="250806100"/>
        <filter val="253000"/>
        <filter val="2530000"/>
        <filter val="264000"/>
        <filter val="280000"/>
        <filter val="294000"/>
        <filter val="30000"/>
        <filter val="300000"/>
        <filter val="3016000"/>
        <filter val="3180000"/>
        <filter val="320000"/>
        <filter val="3485000"/>
        <filter val="364000"/>
        <filter val="3710000"/>
        <filter val="3850000"/>
        <filter val="39000"/>
        <filter val="400000"/>
        <filter val="41400000"/>
        <filter val="480000"/>
        <filter val="4845000"/>
        <filter val="500000"/>
        <filter val="54600"/>
        <filter val="560000"/>
        <filter val="57000"/>
        <filter val="578000"/>
        <filter val="60369500"/>
        <filter val="605000"/>
        <filter val="607500"/>
        <filter val="621000"/>
        <filter val="630000"/>
        <filter val="638400"/>
        <filter val="660000"/>
        <filter val="6650000"/>
        <filter val="700000"/>
        <filter val="720000"/>
        <filter val="75000"/>
        <filter val="750000"/>
        <filter val="7600"/>
        <filter val="76000"/>
        <filter val="825000"/>
        <filter val="880000"/>
        <filter val="897000"/>
        <filter val="90000"/>
        <filter val="900000"/>
        <filter val="98000"/>
        <filter val="thành tiền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E145"/>
  <sheetViews>
    <sheetView topLeftCell="A99" workbookViewId="0">
      <selection activeCell="E145" sqref="E145"/>
    </sheetView>
  </sheetViews>
  <sheetFormatPr defaultRowHeight="14.4" x14ac:dyDescent="0.3"/>
  <cols>
    <col min="1" max="1" width="31.33203125" customWidth="1"/>
    <col min="3" max="3" width="11.21875" customWidth="1"/>
    <col min="4" max="4" width="11" customWidth="1"/>
    <col min="5" max="5" width="19.109375" customWidth="1"/>
  </cols>
  <sheetData>
    <row r="1" spans="1:5" x14ac:dyDescent="0.3">
      <c r="A1" t="s">
        <v>163</v>
      </c>
    </row>
    <row r="2" spans="1:5" x14ac:dyDescent="0.3">
      <c r="A2" t="s">
        <v>0</v>
      </c>
      <c r="B2" t="s">
        <v>1</v>
      </c>
      <c r="C2" t="s">
        <v>102</v>
      </c>
      <c r="D2" t="s">
        <v>100</v>
      </c>
      <c r="E2" t="s">
        <v>101</v>
      </c>
    </row>
    <row r="3" spans="1:5" x14ac:dyDescent="0.3">
      <c r="A3" t="s">
        <v>2</v>
      </c>
      <c r="B3" t="s">
        <v>3</v>
      </c>
      <c r="C3">
        <v>340</v>
      </c>
      <c r="D3">
        <v>13000</v>
      </c>
      <c r="E3">
        <f>C3*D3</f>
        <v>4420000</v>
      </c>
    </row>
    <row r="4" spans="1:5" hidden="1" x14ac:dyDescent="0.3">
      <c r="A4" t="s">
        <v>2</v>
      </c>
      <c r="B4" t="s">
        <v>4</v>
      </c>
      <c r="C4">
        <v>0</v>
      </c>
      <c r="E4">
        <f t="shared" ref="E4:E67" si="0">C4*D4</f>
        <v>0</v>
      </c>
    </row>
    <row r="5" spans="1:5" hidden="1" x14ac:dyDescent="0.3">
      <c r="A5" t="s">
        <v>5</v>
      </c>
      <c r="B5" t="s">
        <v>6</v>
      </c>
      <c r="C5">
        <v>0</v>
      </c>
      <c r="E5">
        <f t="shared" si="0"/>
        <v>0</v>
      </c>
    </row>
    <row r="6" spans="1:5" hidden="1" x14ac:dyDescent="0.3">
      <c r="A6" t="s">
        <v>7</v>
      </c>
      <c r="B6" t="s">
        <v>8</v>
      </c>
      <c r="C6">
        <v>0</v>
      </c>
      <c r="E6">
        <f t="shared" si="0"/>
        <v>0</v>
      </c>
    </row>
    <row r="7" spans="1:5" hidden="1" x14ac:dyDescent="0.3">
      <c r="A7" t="s">
        <v>9</v>
      </c>
      <c r="B7" t="s">
        <v>3</v>
      </c>
      <c r="C7">
        <v>0</v>
      </c>
      <c r="E7">
        <f t="shared" si="0"/>
        <v>0</v>
      </c>
    </row>
    <row r="8" spans="1:5" hidden="1" x14ac:dyDescent="0.3">
      <c r="A8" t="s">
        <v>9</v>
      </c>
      <c r="B8" t="s">
        <v>4</v>
      </c>
      <c r="C8">
        <v>0</v>
      </c>
      <c r="E8">
        <f t="shared" si="0"/>
        <v>0</v>
      </c>
    </row>
    <row r="9" spans="1:5" x14ac:dyDescent="0.3">
      <c r="A9" t="s">
        <v>10</v>
      </c>
      <c r="B9" t="s">
        <v>3</v>
      </c>
      <c r="C9">
        <v>513</v>
      </c>
      <c r="D9">
        <v>19000</v>
      </c>
      <c r="E9">
        <f t="shared" si="0"/>
        <v>9747000</v>
      </c>
    </row>
    <row r="10" spans="1:5" hidden="1" x14ac:dyDescent="0.3">
      <c r="A10" t="s">
        <v>10</v>
      </c>
      <c r="B10" t="s">
        <v>11</v>
      </c>
      <c r="C10">
        <v>0</v>
      </c>
      <c r="E10">
        <f t="shared" si="0"/>
        <v>0</v>
      </c>
    </row>
    <row r="11" spans="1:5" x14ac:dyDescent="0.3">
      <c r="A11" t="s">
        <v>12</v>
      </c>
      <c r="B11" t="s">
        <v>4</v>
      </c>
      <c r="C11">
        <v>583</v>
      </c>
      <c r="D11">
        <v>4500</v>
      </c>
      <c r="E11">
        <f t="shared" si="0"/>
        <v>2623500</v>
      </c>
    </row>
    <row r="12" spans="1:5" x14ac:dyDescent="0.3">
      <c r="A12" t="s">
        <v>13</v>
      </c>
      <c r="B12" t="s">
        <v>3</v>
      </c>
      <c r="C12">
        <v>130</v>
      </c>
      <c r="D12">
        <v>24000</v>
      </c>
      <c r="E12">
        <f t="shared" si="0"/>
        <v>3120000</v>
      </c>
    </row>
    <row r="13" spans="1:5" x14ac:dyDescent="0.3">
      <c r="A13" t="s">
        <v>14</v>
      </c>
      <c r="B13" t="s">
        <v>3</v>
      </c>
      <c r="C13">
        <v>80</v>
      </c>
      <c r="D13">
        <v>16000</v>
      </c>
      <c r="E13">
        <f t="shared" si="0"/>
        <v>1280000</v>
      </c>
    </row>
    <row r="14" spans="1:5" x14ac:dyDescent="0.3">
      <c r="A14" t="s">
        <v>15</v>
      </c>
      <c r="B14" t="s">
        <v>3</v>
      </c>
      <c r="C14">
        <v>240</v>
      </c>
      <c r="D14">
        <v>18000</v>
      </c>
      <c r="E14">
        <f t="shared" si="0"/>
        <v>4320000</v>
      </c>
    </row>
    <row r="15" spans="1:5" hidden="1" x14ac:dyDescent="0.3">
      <c r="A15" t="s">
        <v>15</v>
      </c>
      <c r="B15" t="s">
        <v>4</v>
      </c>
      <c r="C15">
        <v>0</v>
      </c>
      <c r="E15">
        <f t="shared" si="0"/>
        <v>0</v>
      </c>
    </row>
    <row r="16" spans="1:5" x14ac:dyDescent="0.3">
      <c r="A16" t="s">
        <v>16</v>
      </c>
      <c r="B16" t="s">
        <v>6</v>
      </c>
      <c r="C16">
        <v>7</v>
      </c>
      <c r="D16">
        <v>7600</v>
      </c>
      <c r="E16">
        <f t="shared" si="0"/>
        <v>53200</v>
      </c>
    </row>
    <row r="17" spans="1:5" x14ac:dyDescent="0.3">
      <c r="A17" t="s">
        <v>17</v>
      </c>
      <c r="B17" t="s">
        <v>3</v>
      </c>
      <c r="C17">
        <v>630</v>
      </c>
      <c r="D17">
        <v>5000</v>
      </c>
      <c r="E17">
        <f t="shared" si="0"/>
        <v>3150000</v>
      </c>
    </row>
    <row r="18" spans="1:5" x14ac:dyDescent="0.3">
      <c r="A18" t="s">
        <v>18</v>
      </c>
      <c r="B18" t="s">
        <v>3</v>
      </c>
      <c r="C18">
        <v>12</v>
      </c>
      <c r="D18">
        <v>24000</v>
      </c>
      <c r="E18">
        <f t="shared" si="0"/>
        <v>288000</v>
      </c>
    </row>
    <row r="19" spans="1:5" hidden="1" x14ac:dyDescent="0.3">
      <c r="A19" t="s">
        <v>18</v>
      </c>
      <c r="B19" t="s">
        <v>4</v>
      </c>
      <c r="C19">
        <v>0</v>
      </c>
      <c r="E19">
        <f t="shared" si="0"/>
        <v>0</v>
      </c>
    </row>
    <row r="20" spans="1:5" hidden="1" x14ac:dyDescent="0.3">
      <c r="A20" t="s">
        <v>19</v>
      </c>
      <c r="B20" t="s">
        <v>4</v>
      </c>
      <c r="C20">
        <v>0</v>
      </c>
      <c r="E20">
        <f t="shared" si="0"/>
        <v>0</v>
      </c>
    </row>
    <row r="21" spans="1:5" hidden="1" x14ac:dyDescent="0.3">
      <c r="A21" t="s">
        <v>20</v>
      </c>
      <c r="B21" t="s">
        <v>3</v>
      </c>
      <c r="E21">
        <f t="shared" si="0"/>
        <v>0</v>
      </c>
    </row>
    <row r="22" spans="1:5" hidden="1" x14ac:dyDescent="0.3">
      <c r="A22" t="s">
        <v>21</v>
      </c>
      <c r="B22" t="s">
        <v>22</v>
      </c>
      <c r="C22">
        <v>0</v>
      </c>
      <c r="E22">
        <f t="shared" si="0"/>
        <v>0</v>
      </c>
    </row>
    <row r="23" spans="1:5" x14ac:dyDescent="0.3">
      <c r="A23" t="s">
        <v>21</v>
      </c>
      <c r="B23" t="s">
        <v>3</v>
      </c>
      <c r="C23">
        <v>30</v>
      </c>
      <c r="D23">
        <v>10000</v>
      </c>
      <c r="E23">
        <f t="shared" si="0"/>
        <v>300000</v>
      </c>
    </row>
    <row r="24" spans="1:5" x14ac:dyDescent="0.3">
      <c r="A24" t="s">
        <v>23</v>
      </c>
      <c r="B24" t="s">
        <v>3</v>
      </c>
      <c r="C24">
        <v>6</v>
      </c>
      <c r="D24">
        <v>28000</v>
      </c>
      <c r="E24">
        <f t="shared" si="0"/>
        <v>168000</v>
      </c>
    </row>
    <row r="25" spans="1:5" x14ac:dyDescent="0.3">
      <c r="A25" t="s">
        <v>24</v>
      </c>
      <c r="B25" t="s">
        <v>3</v>
      </c>
      <c r="C25">
        <v>1600</v>
      </c>
      <c r="D25">
        <v>7000</v>
      </c>
      <c r="E25">
        <f t="shared" si="0"/>
        <v>11200000</v>
      </c>
    </row>
    <row r="26" spans="1:5" x14ac:dyDescent="0.3">
      <c r="A26" t="s">
        <v>25</v>
      </c>
      <c r="B26" t="s">
        <v>3</v>
      </c>
      <c r="C26">
        <v>55</v>
      </c>
      <c r="D26">
        <v>22000</v>
      </c>
      <c r="E26">
        <f t="shared" si="0"/>
        <v>1210000</v>
      </c>
    </row>
    <row r="27" spans="1:5" hidden="1" x14ac:dyDescent="0.3">
      <c r="A27" t="s">
        <v>25</v>
      </c>
      <c r="B27" t="s">
        <v>26</v>
      </c>
      <c r="C27">
        <v>0</v>
      </c>
      <c r="E27">
        <f t="shared" si="0"/>
        <v>0</v>
      </c>
    </row>
    <row r="28" spans="1:5" hidden="1" x14ac:dyDescent="0.3">
      <c r="A28" t="s">
        <v>27</v>
      </c>
      <c r="B28" t="s">
        <v>26</v>
      </c>
      <c r="C28">
        <v>0</v>
      </c>
      <c r="E28">
        <f t="shared" si="0"/>
        <v>0</v>
      </c>
    </row>
    <row r="29" spans="1:5" x14ac:dyDescent="0.3">
      <c r="A29" t="s">
        <v>28</v>
      </c>
      <c r="B29" t="s">
        <v>3</v>
      </c>
      <c r="C29">
        <v>280</v>
      </c>
      <c r="D29">
        <v>22000</v>
      </c>
      <c r="E29">
        <f t="shared" si="0"/>
        <v>6160000</v>
      </c>
    </row>
    <row r="30" spans="1:5" hidden="1" x14ac:dyDescent="0.3">
      <c r="A30" t="s">
        <v>28</v>
      </c>
      <c r="B30" t="s">
        <v>29</v>
      </c>
      <c r="C30">
        <v>0</v>
      </c>
      <c r="E30">
        <f t="shared" si="0"/>
        <v>0</v>
      </c>
    </row>
    <row r="31" spans="1:5" x14ac:dyDescent="0.3">
      <c r="A31" t="s">
        <v>30</v>
      </c>
      <c r="B31" t="s">
        <v>3</v>
      </c>
      <c r="C31">
        <v>310</v>
      </c>
      <c r="D31">
        <v>20000</v>
      </c>
      <c r="E31">
        <f t="shared" si="0"/>
        <v>6200000</v>
      </c>
    </row>
    <row r="32" spans="1:5" hidden="1" x14ac:dyDescent="0.3">
      <c r="A32" t="s">
        <v>30</v>
      </c>
      <c r="B32" t="s">
        <v>6</v>
      </c>
      <c r="C32">
        <v>0</v>
      </c>
      <c r="E32">
        <f t="shared" si="0"/>
        <v>0</v>
      </c>
    </row>
    <row r="33" spans="1:5" x14ac:dyDescent="0.3">
      <c r="A33" t="s">
        <v>31</v>
      </c>
      <c r="B33" t="s">
        <v>4</v>
      </c>
      <c r="C33">
        <v>90</v>
      </c>
      <c r="D33">
        <v>14000</v>
      </c>
      <c r="E33">
        <f t="shared" si="0"/>
        <v>1260000</v>
      </c>
    </row>
    <row r="34" spans="1:5" hidden="1" x14ac:dyDescent="0.3">
      <c r="A34" t="s">
        <v>32</v>
      </c>
      <c r="B34" t="s">
        <v>3</v>
      </c>
      <c r="C34">
        <v>0</v>
      </c>
      <c r="E34">
        <f t="shared" si="0"/>
        <v>0</v>
      </c>
    </row>
    <row r="35" spans="1:5" hidden="1" x14ac:dyDescent="0.3">
      <c r="A35" t="s">
        <v>32</v>
      </c>
      <c r="B35" t="s">
        <v>6</v>
      </c>
      <c r="C35">
        <v>0</v>
      </c>
      <c r="E35">
        <f t="shared" si="0"/>
        <v>0</v>
      </c>
    </row>
    <row r="36" spans="1:5" x14ac:dyDescent="0.3">
      <c r="A36" t="s">
        <v>33</v>
      </c>
      <c r="B36" t="s">
        <v>3</v>
      </c>
      <c r="C36">
        <v>21</v>
      </c>
      <c r="D36">
        <v>12000</v>
      </c>
      <c r="E36">
        <f t="shared" si="0"/>
        <v>252000</v>
      </c>
    </row>
    <row r="37" spans="1:5" x14ac:dyDescent="0.3">
      <c r="A37" t="s">
        <v>34</v>
      </c>
      <c r="B37" t="s">
        <v>3</v>
      </c>
      <c r="C37">
        <v>85</v>
      </c>
      <c r="D37">
        <v>35000</v>
      </c>
      <c r="E37">
        <f t="shared" si="0"/>
        <v>2975000</v>
      </c>
    </row>
    <row r="38" spans="1:5" hidden="1" x14ac:dyDescent="0.3">
      <c r="A38" t="s">
        <v>34</v>
      </c>
      <c r="B38" t="s">
        <v>26</v>
      </c>
      <c r="C38">
        <v>0</v>
      </c>
      <c r="E38">
        <f t="shared" si="0"/>
        <v>0</v>
      </c>
    </row>
    <row r="39" spans="1:5" x14ac:dyDescent="0.3">
      <c r="A39" t="s">
        <v>35</v>
      </c>
      <c r="B39" t="s">
        <v>3</v>
      </c>
      <c r="C39">
        <v>40</v>
      </c>
      <c r="D39">
        <v>35000</v>
      </c>
      <c r="E39">
        <f t="shared" si="0"/>
        <v>1400000</v>
      </c>
    </row>
    <row r="40" spans="1:5" hidden="1" x14ac:dyDescent="0.3">
      <c r="A40" t="s">
        <v>35</v>
      </c>
      <c r="B40" t="s">
        <v>26</v>
      </c>
      <c r="C40">
        <v>0</v>
      </c>
      <c r="E40">
        <f t="shared" si="0"/>
        <v>0</v>
      </c>
    </row>
    <row r="41" spans="1:5" x14ac:dyDescent="0.3">
      <c r="A41" t="s">
        <v>36</v>
      </c>
      <c r="B41" t="s">
        <v>3</v>
      </c>
      <c r="C41">
        <v>23</v>
      </c>
      <c r="D41">
        <v>20000</v>
      </c>
      <c r="E41">
        <f t="shared" si="0"/>
        <v>460000</v>
      </c>
    </row>
    <row r="42" spans="1:5" hidden="1" x14ac:dyDescent="0.3">
      <c r="A42" t="s">
        <v>36</v>
      </c>
      <c r="B42" t="s">
        <v>26</v>
      </c>
      <c r="C42">
        <v>0</v>
      </c>
      <c r="E42">
        <f t="shared" si="0"/>
        <v>0</v>
      </c>
    </row>
    <row r="43" spans="1:5" hidden="1" x14ac:dyDescent="0.3">
      <c r="A43" t="s">
        <v>37</v>
      </c>
      <c r="B43" t="s">
        <v>3</v>
      </c>
      <c r="C43">
        <v>0</v>
      </c>
      <c r="E43">
        <f t="shared" si="0"/>
        <v>0</v>
      </c>
    </row>
    <row r="44" spans="1:5" hidden="1" x14ac:dyDescent="0.3">
      <c r="A44" t="s">
        <v>38</v>
      </c>
      <c r="B44" t="s">
        <v>6</v>
      </c>
      <c r="C44">
        <v>0</v>
      </c>
      <c r="E44">
        <f t="shared" si="0"/>
        <v>0</v>
      </c>
    </row>
    <row r="45" spans="1:5" x14ac:dyDescent="0.3">
      <c r="A45" t="s">
        <v>39</v>
      </c>
      <c r="B45" t="s">
        <v>3</v>
      </c>
      <c r="C45">
        <v>340</v>
      </c>
      <c r="D45">
        <v>24000</v>
      </c>
      <c r="E45">
        <f t="shared" si="0"/>
        <v>8160000</v>
      </c>
    </row>
    <row r="46" spans="1:5" x14ac:dyDescent="0.3">
      <c r="A46" t="s">
        <v>40</v>
      </c>
      <c r="B46" t="s">
        <v>3</v>
      </c>
      <c r="C46">
        <v>10</v>
      </c>
      <c r="D46">
        <v>30000</v>
      </c>
      <c r="E46">
        <f t="shared" si="0"/>
        <v>300000</v>
      </c>
    </row>
    <row r="47" spans="1:5" x14ac:dyDescent="0.3">
      <c r="A47" t="s">
        <v>40</v>
      </c>
      <c r="B47" t="s">
        <v>41</v>
      </c>
      <c r="C47">
        <v>38</v>
      </c>
      <c r="D47">
        <v>9000</v>
      </c>
      <c r="E47">
        <f t="shared" si="0"/>
        <v>342000</v>
      </c>
    </row>
    <row r="48" spans="1:5" x14ac:dyDescent="0.3">
      <c r="A48" t="s">
        <v>43</v>
      </c>
      <c r="B48" t="s">
        <v>3</v>
      </c>
      <c r="C48">
        <v>1100</v>
      </c>
      <c r="D48">
        <v>27600</v>
      </c>
      <c r="E48">
        <f t="shared" si="0"/>
        <v>30360000</v>
      </c>
    </row>
    <row r="49" spans="1:5" x14ac:dyDescent="0.3">
      <c r="A49" t="s">
        <v>44</v>
      </c>
      <c r="B49" t="s">
        <v>3</v>
      </c>
      <c r="C49">
        <v>34</v>
      </c>
      <c r="D49">
        <v>36000</v>
      </c>
      <c r="E49">
        <f t="shared" si="0"/>
        <v>1224000</v>
      </c>
    </row>
    <row r="50" spans="1:5" x14ac:dyDescent="0.3">
      <c r="A50" t="s">
        <v>45</v>
      </c>
      <c r="B50" t="s">
        <v>3</v>
      </c>
      <c r="C50">
        <v>1460</v>
      </c>
      <c r="D50">
        <v>5500</v>
      </c>
      <c r="E50">
        <f t="shared" si="0"/>
        <v>8030000</v>
      </c>
    </row>
    <row r="51" spans="1:5" hidden="1" x14ac:dyDescent="0.3">
      <c r="A51" t="s">
        <v>46</v>
      </c>
      <c r="B51" t="s">
        <v>3</v>
      </c>
      <c r="C51">
        <v>0</v>
      </c>
      <c r="E51">
        <f t="shared" si="0"/>
        <v>0</v>
      </c>
    </row>
    <row r="52" spans="1:5" x14ac:dyDescent="0.3">
      <c r="A52" t="s">
        <v>48</v>
      </c>
      <c r="B52" t="s">
        <v>3</v>
      </c>
      <c r="C52">
        <v>28</v>
      </c>
      <c r="D52">
        <v>20000</v>
      </c>
      <c r="E52">
        <f t="shared" si="0"/>
        <v>560000</v>
      </c>
    </row>
    <row r="53" spans="1:5" hidden="1" x14ac:dyDescent="0.3">
      <c r="A53" t="s">
        <v>48</v>
      </c>
      <c r="B53" t="s">
        <v>49</v>
      </c>
      <c r="C53">
        <v>0</v>
      </c>
      <c r="E53">
        <f t="shared" si="0"/>
        <v>0</v>
      </c>
    </row>
    <row r="54" spans="1:5" hidden="1" x14ac:dyDescent="0.3">
      <c r="A54" t="s">
        <v>51</v>
      </c>
      <c r="B54" t="s">
        <v>3</v>
      </c>
      <c r="C54">
        <v>0</v>
      </c>
      <c r="E54">
        <f t="shared" si="0"/>
        <v>0</v>
      </c>
    </row>
    <row r="55" spans="1:5" x14ac:dyDescent="0.3">
      <c r="A55" t="s">
        <v>51</v>
      </c>
      <c r="B55" t="s">
        <v>52</v>
      </c>
      <c r="C55">
        <v>303</v>
      </c>
      <c r="D55">
        <v>12000</v>
      </c>
      <c r="E55">
        <f t="shared" si="0"/>
        <v>3636000</v>
      </c>
    </row>
    <row r="56" spans="1:5" hidden="1" x14ac:dyDescent="0.3">
      <c r="A56" t="s">
        <v>53</v>
      </c>
      <c r="B56" t="s">
        <v>3</v>
      </c>
      <c r="C56">
        <v>0</v>
      </c>
      <c r="E56">
        <f t="shared" si="0"/>
        <v>0</v>
      </c>
    </row>
    <row r="57" spans="1:5" hidden="1" x14ac:dyDescent="0.3">
      <c r="A57" t="s">
        <v>53</v>
      </c>
      <c r="B57" t="s">
        <v>54</v>
      </c>
      <c r="C57">
        <v>0</v>
      </c>
      <c r="E57">
        <f t="shared" si="0"/>
        <v>0</v>
      </c>
    </row>
    <row r="58" spans="1:5" x14ac:dyDescent="0.3">
      <c r="A58" t="s">
        <v>55</v>
      </c>
      <c r="B58" t="s">
        <v>4</v>
      </c>
      <c r="C58">
        <v>14</v>
      </c>
      <c r="D58">
        <v>3900</v>
      </c>
      <c r="E58">
        <f t="shared" si="0"/>
        <v>54600</v>
      </c>
    </row>
    <row r="59" spans="1:5" hidden="1" x14ac:dyDescent="0.3">
      <c r="A59" t="s">
        <v>56</v>
      </c>
      <c r="B59" t="s">
        <v>3</v>
      </c>
      <c r="C59">
        <v>0</v>
      </c>
      <c r="E59">
        <f t="shared" si="0"/>
        <v>0</v>
      </c>
    </row>
    <row r="60" spans="1:5" x14ac:dyDescent="0.3">
      <c r="A60" t="s">
        <v>57</v>
      </c>
      <c r="B60" t="s">
        <v>3</v>
      </c>
      <c r="C60">
        <v>38</v>
      </c>
      <c r="D60">
        <v>5000</v>
      </c>
      <c r="E60">
        <f t="shared" si="0"/>
        <v>190000</v>
      </c>
    </row>
    <row r="61" spans="1:5" x14ac:dyDescent="0.3">
      <c r="A61" t="s">
        <v>58</v>
      </c>
      <c r="B61" t="s">
        <v>3</v>
      </c>
      <c r="C61">
        <v>10</v>
      </c>
      <c r="D61">
        <v>23000</v>
      </c>
      <c r="E61">
        <f t="shared" si="0"/>
        <v>230000</v>
      </c>
    </row>
    <row r="62" spans="1:5" hidden="1" x14ac:dyDescent="0.3">
      <c r="A62" t="s">
        <v>59</v>
      </c>
      <c r="B62" t="s">
        <v>3</v>
      </c>
      <c r="C62">
        <v>0</v>
      </c>
      <c r="E62">
        <f t="shared" si="0"/>
        <v>0</v>
      </c>
    </row>
    <row r="63" spans="1:5" x14ac:dyDescent="0.3">
      <c r="A63" t="s">
        <v>60</v>
      </c>
      <c r="B63" t="s">
        <v>4</v>
      </c>
      <c r="C63">
        <v>20</v>
      </c>
      <c r="D63">
        <v>10000</v>
      </c>
      <c r="E63">
        <f t="shared" si="0"/>
        <v>200000</v>
      </c>
    </row>
    <row r="64" spans="1:5" hidden="1" x14ac:dyDescent="0.3">
      <c r="A64" t="s">
        <v>61</v>
      </c>
      <c r="B64" t="s">
        <v>3</v>
      </c>
      <c r="C64">
        <v>0</v>
      </c>
      <c r="E64">
        <f t="shared" si="0"/>
        <v>0</v>
      </c>
    </row>
    <row r="65" spans="1:5" x14ac:dyDescent="0.3">
      <c r="A65" t="s">
        <v>61</v>
      </c>
      <c r="B65" t="s">
        <v>62</v>
      </c>
      <c r="C65">
        <v>45</v>
      </c>
      <c r="D65">
        <v>11000</v>
      </c>
      <c r="E65">
        <f t="shared" si="0"/>
        <v>495000</v>
      </c>
    </row>
    <row r="66" spans="1:5" x14ac:dyDescent="0.3">
      <c r="A66" t="s">
        <v>63</v>
      </c>
      <c r="B66" t="s">
        <v>3</v>
      </c>
      <c r="C66">
        <v>3</v>
      </c>
      <c r="D66">
        <v>80000</v>
      </c>
      <c r="E66">
        <f t="shared" si="0"/>
        <v>240000</v>
      </c>
    </row>
    <row r="67" spans="1:5" hidden="1" x14ac:dyDescent="0.3">
      <c r="A67" t="s">
        <v>64</v>
      </c>
      <c r="B67" t="s">
        <v>3</v>
      </c>
      <c r="C67">
        <v>0</v>
      </c>
      <c r="E67">
        <f t="shared" si="0"/>
        <v>0</v>
      </c>
    </row>
    <row r="68" spans="1:5" hidden="1" x14ac:dyDescent="0.3">
      <c r="A68" t="s">
        <v>65</v>
      </c>
      <c r="B68" t="s">
        <v>3</v>
      </c>
      <c r="C68">
        <v>0</v>
      </c>
      <c r="E68">
        <f t="shared" ref="E68:E133" si="1">C68*D68</f>
        <v>0</v>
      </c>
    </row>
    <row r="69" spans="1:5" hidden="1" x14ac:dyDescent="0.3">
      <c r="A69" t="s">
        <v>66</v>
      </c>
      <c r="B69" t="s">
        <v>22</v>
      </c>
      <c r="C69">
        <v>0</v>
      </c>
      <c r="E69">
        <f t="shared" si="1"/>
        <v>0</v>
      </c>
    </row>
    <row r="70" spans="1:5" x14ac:dyDescent="0.3">
      <c r="A70" t="s">
        <v>69</v>
      </c>
      <c r="B70" t="s">
        <v>3</v>
      </c>
      <c r="C70">
        <v>8</v>
      </c>
      <c r="D70">
        <v>14000</v>
      </c>
      <c r="E70">
        <f t="shared" si="1"/>
        <v>112000</v>
      </c>
    </row>
    <row r="71" spans="1:5" hidden="1" x14ac:dyDescent="0.3">
      <c r="A71" t="s">
        <v>70</v>
      </c>
      <c r="B71" t="s">
        <v>8</v>
      </c>
      <c r="C71">
        <v>0</v>
      </c>
      <c r="E71">
        <f t="shared" si="1"/>
        <v>0</v>
      </c>
    </row>
    <row r="72" spans="1:5" x14ac:dyDescent="0.3">
      <c r="A72" t="s">
        <v>71</v>
      </c>
      <c r="B72" t="s">
        <v>4</v>
      </c>
      <c r="C72">
        <v>20</v>
      </c>
      <c r="D72">
        <v>22000</v>
      </c>
      <c r="E72">
        <f t="shared" si="1"/>
        <v>440000</v>
      </c>
    </row>
    <row r="73" spans="1:5" x14ac:dyDescent="0.3">
      <c r="A73" t="s">
        <v>72</v>
      </c>
      <c r="B73" t="s">
        <v>3</v>
      </c>
      <c r="C73">
        <v>113</v>
      </c>
      <c r="D73">
        <v>9000</v>
      </c>
      <c r="E73">
        <f t="shared" si="1"/>
        <v>1017000</v>
      </c>
    </row>
    <row r="74" spans="1:5" hidden="1" x14ac:dyDescent="0.3">
      <c r="A74" t="s">
        <v>73</v>
      </c>
      <c r="B74" t="s">
        <v>3</v>
      </c>
      <c r="C74">
        <v>0</v>
      </c>
      <c r="E74">
        <f t="shared" si="1"/>
        <v>0</v>
      </c>
    </row>
    <row r="75" spans="1:5" x14ac:dyDescent="0.3">
      <c r="A75" t="s">
        <v>74</v>
      </c>
      <c r="B75" t="s">
        <v>3</v>
      </c>
      <c r="C75">
        <v>2</v>
      </c>
      <c r="D75">
        <v>28000</v>
      </c>
      <c r="E75">
        <f t="shared" si="1"/>
        <v>56000</v>
      </c>
    </row>
    <row r="76" spans="1:5" hidden="1" x14ac:dyDescent="0.3">
      <c r="A76" t="s">
        <v>76</v>
      </c>
      <c r="B76" t="s">
        <v>3</v>
      </c>
      <c r="C76">
        <v>0</v>
      </c>
      <c r="E76">
        <f t="shared" si="1"/>
        <v>0</v>
      </c>
    </row>
    <row r="77" spans="1:5" hidden="1" x14ac:dyDescent="0.3">
      <c r="A77" t="s">
        <v>117</v>
      </c>
      <c r="B77" t="s">
        <v>8</v>
      </c>
      <c r="C77">
        <v>0</v>
      </c>
      <c r="E77">
        <f t="shared" si="1"/>
        <v>0</v>
      </c>
    </row>
    <row r="78" spans="1:5" hidden="1" x14ac:dyDescent="0.3">
      <c r="A78" t="s">
        <v>82</v>
      </c>
      <c r="B78" t="s">
        <v>3</v>
      </c>
      <c r="C78">
        <v>0</v>
      </c>
      <c r="E78">
        <f t="shared" si="1"/>
        <v>0</v>
      </c>
    </row>
    <row r="79" spans="1:5" hidden="1" x14ac:dyDescent="0.3">
      <c r="A79" t="s">
        <v>83</v>
      </c>
      <c r="B79" t="s">
        <v>4</v>
      </c>
      <c r="C79">
        <v>0</v>
      </c>
      <c r="E79">
        <f t="shared" si="1"/>
        <v>0</v>
      </c>
    </row>
    <row r="80" spans="1:5" hidden="1" x14ac:dyDescent="0.3">
      <c r="A80" t="s">
        <v>84</v>
      </c>
      <c r="B80" t="s">
        <v>22</v>
      </c>
      <c r="C80">
        <v>0</v>
      </c>
      <c r="E80">
        <f t="shared" si="1"/>
        <v>0</v>
      </c>
    </row>
    <row r="81" spans="1:5" hidden="1" x14ac:dyDescent="0.3">
      <c r="A81" t="s">
        <v>85</v>
      </c>
      <c r="B81" t="s">
        <v>22</v>
      </c>
      <c r="C81">
        <v>0</v>
      </c>
      <c r="E81">
        <f t="shared" si="1"/>
        <v>0</v>
      </c>
    </row>
    <row r="82" spans="1:5" hidden="1" x14ac:dyDescent="0.3">
      <c r="A82" t="s">
        <v>86</v>
      </c>
      <c r="B82" t="s">
        <v>22</v>
      </c>
      <c r="C82">
        <v>0</v>
      </c>
      <c r="E82">
        <f t="shared" si="1"/>
        <v>0</v>
      </c>
    </row>
    <row r="83" spans="1:5" hidden="1" x14ac:dyDescent="0.3">
      <c r="A83" t="s">
        <v>92</v>
      </c>
      <c r="B83" t="s">
        <v>3</v>
      </c>
      <c r="C83">
        <v>0</v>
      </c>
      <c r="E83">
        <f t="shared" si="1"/>
        <v>0</v>
      </c>
    </row>
    <row r="84" spans="1:5" x14ac:dyDescent="0.3">
      <c r="A84" t="s">
        <v>87</v>
      </c>
      <c r="B84" t="s">
        <v>4</v>
      </c>
      <c r="C84">
        <v>90</v>
      </c>
      <c r="D84">
        <v>8000</v>
      </c>
      <c r="E84">
        <f t="shared" si="1"/>
        <v>720000</v>
      </c>
    </row>
    <row r="85" spans="1:5" x14ac:dyDescent="0.3">
      <c r="A85" t="s">
        <v>88</v>
      </c>
      <c r="B85" t="s">
        <v>3</v>
      </c>
      <c r="C85">
        <v>4370</v>
      </c>
      <c r="D85">
        <v>28000</v>
      </c>
      <c r="E85">
        <f t="shared" si="1"/>
        <v>122360000</v>
      </c>
    </row>
    <row r="86" spans="1:5" hidden="1" x14ac:dyDescent="0.3">
      <c r="A86" t="s">
        <v>89</v>
      </c>
      <c r="B86" t="s">
        <v>4</v>
      </c>
      <c r="C86">
        <v>0</v>
      </c>
      <c r="E86">
        <f t="shared" si="1"/>
        <v>0</v>
      </c>
    </row>
    <row r="87" spans="1:5" hidden="1" x14ac:dyDescent="0.3">
      <c r="A87" t="s">
        <v>91</v>
      </c>
      <c r="B87" t="s">
        <v>3</v>
      </c>
      <c r="C87">
        <v>0</v>
      </c>
      <c r="E87">
        <f t="shared" si="1"/>
        <v>0</v>
      </c>
    </row>
    <row r="88" spans="1:5" hidden="1" x14ac:dyDescent="0.3">
      <c r="A88" t="s">
        <v>123</v>
      </c>
      <c r="B88" t="s">
        <v>3</v>
      </c>
      <c r="C88">
        <v>0</v>
      </c>
      <c r="E88">
        <f t="shared" si="1"/>
        <v>0</v>
      </c>
    </row>
    <row r="89" spans="1:5" hidden="1" x14ac:dyDescent="0.3">
      <c r="A89" t="s">
        <v>81</v>
      </c>
      <c r="B89" t="s">
        <v>3</v>
      </c>
      <c r="C89">
        <v>0</v>
      </c>
      <c r="E89">
        <f t="shared" si="1"/>
        <v>0</v>
      </c>
    </row>
    <row r="90" spans="1:5" x14ac:dyDescent="0.3">
      <c r="A90" t="s">
        <v>93</v>
      </c>
      <c r="B90" t="s">
        <v>3</v>
      </c>
      <c r="C90">
        <v>24</v>
      </c>
      <c r="D90">
        <v>25000</v>
      </c>
      <c r="E90">
        <f t="shared" si="1"/>
        <v>600000</v>
      </c>
    </row>
    <row r="91" spans="1:5" x14ac:dyDescent="0.3">
      <c r="A91" t="s">
        <v>106</v>
      </c>
      <c r="B91" t="s">
        <v>3</v>
      </c>
      <c r="C91">
        <v>20</v>
      </c>
      <c r="D91">
        <v>20000</v>
      </c>
      <c r="E91">
        <f t="shared" si="1"/>
        <v>400000</v>
      </c>
    </row>
    <row r="92" spans="1:5" x14ac:dyDescent="0.3">
      <c r="A92" t="s">
        <v>133</v>
      </c>
      <c r="B92" t="s">
        <v>3</v>
      </c>
      <c r="C92">
        <v>205</v>
      </c>
      <c r="D92">
        <v>17000</v>
      </c>
      <c r="E92">
        <f t="shared" si="1"/>
        <v>3485000</v>
      </c>
    </row>
    <row r="93" spans="1:5" x14ac:dyDescent="0.3">
      <c r="A93" t="s">
        <v>161</v>
      </c>
      <c r="B93" t="s">
        <v>3</v>
      </c>
      <c r="C93">
        <v>200</v>
      </c>
      <c r="D93">
        <v>20000</v>
      </c>
      <c r="E93">
        <f t="shared" si="1"/>
        <v>4000000</v>
      </c>
    </row>
    <row r="94" spans="1:5" x14ac:dyDescent="0.3">
      <c r="A94" t="s">
        <v>118</v>
      </c>
      <c r="B94" t="s">
        <v>3</v>
      </c>
      <c r="C94">
        <v>4</v>
      </c>
      <c r="D94">
        <v>25000</v>
      </c>
      <c r="E94">
        <f t="shared" si="1"/>
        <v>100000</v>
      </c>
    </row>
    <row r="95" spans="1:5" x14ac:dyDescent="0.3">
      <c r="A95" t="s">
        <v>119</v>
      </c>
      <c r="B95" t="s">
        <v>3</v>
      </c>
      <c r="C95">
        <v>16</v>
      </c>
      <c r="D95">
        <v>12000</v>
      </c>
      <c r="E95">
        <f t="shared" si="1"/>
        <v>192000</v>
      </c>
    </row>
    <row r="96" spans="1:5" x14ac:dyDescent="0.3">
      <c r="E96">
        <f>SUM(E3:E95)</f>
        <v>248090300</v>
      </c>
    </row>
    <row r="97" spans="1:5" hidden="1" x14ac:dyDescent="0.3">
      <c r="A97" t="s">
        <v>103</v>
      </c>
    </row>
    <row r="98" spans="1:5" ht="42" customHeight="1" x14ac:dyDescent="0.3">
      <c r="A98" s="40" t="s">
        <v>0</v>
      </c>
      <c r="B98" s="40" t="s">
        <v>1</v>
      </c>
      <c r="C98" s="41" t="s">
        <v>102</v>
      </c>
      <c r="D98" s="42" t="s">
        <v>100</v>
      </c>
      <c r="E98" t="s">
        <v>101</v>
      </c>
    </row>
    <row r="99" spans="1:5" ht="15.6" x14ac:dyDescent="0.3">
      <c r="A99" s="43" t="s">
        <v>2</v>
      </c>
      <c r="B99" s="43" t="s">
        <v>3</v>
      </c>
      <c r="C99" s="44">
        <v>145</v>
      </c>
      <c r="D99" s="45">
        <v>13000</v>
      </c>
      <c r="E99">
        <f t="shared" si="1"/>
        <v>1885000</v>
      </c>
    </row>
    <row r="100" spans="1:5" ht="15.6" x14ac:dyDescent="0.3">
      <c r="A100" s="43" t="s">
        <v>57</v>
      </c>
      <c r="B100" s="43" t="s">
        <v>3</v>
      </c>
      <c r="C100" s="44">
        <v>75</v>
      </c>
      <c r="D100" s="45">
        <v>5000</v>
      </c>
      <c r="E100">
        <f t="shared" si="1"/>
        <v>375000</v>
      </c>
    </row>
    <row r="101" spans="1:5" ht="15.6" x14ac:dyDescent="0.3">
      <c r="A101" s="43" t="s">
        <v>9</v>
      </c>
      <c r="B101" s="43" t="s">
        <v>3</v>
      </c>
      <c r="C101" s="44">
        <v>75</v>
      </c>
      <c r="D101" s="45">
        <v>11000</v>
      </c>
      <c r="E101">
        <f t="shared" si="1"/>
        <v>825000</v>
      </c>
    </row>
    <row r="102" spans="1:5" ht="15.6" x14ac:dyDescent="0.3">
      <c r="A102" s="43" t="s">
        <v>10</v>
      </c>
      <c r="B102" s="43" t="s">
        <v>3</v>
      </c>
      <c r="C102" s="44">
        <v>110</v>
      </c>
      <c r="D102" s="45">
        <v>19000</v>
      </c>
      <c r="E102">
        <f t="shared" si="1"/>
        <v>2090000</v>
      </c>
    </row>
    <row r="103" spans="1:5" ht="15.6" hidden="1" x14ac:dyDescent="0.3">
      <c r="A103" s="43" t="s">
        <v>14</v>
      </c>
      <c r="B103" s="43" t="s">
        <v>3</v>
      </c>
      <c r="C103" s="44">
        <v>0</v>
      </c>
      <c r="D103" s="45"/>
      <c r="E103">
        <f t="shared" si="1"/>
        <v>0</v>
      </c>
    </row>
    <row r="104" spans="1:5" ht="15.6" x14ac:dyDescent="0.3">
      <c r="A104" s="43" t="s">
        <v>15</v>
      </c>
      <c r="B104" s="43" t="s">
        <v>3</v>
      </c>
      <c r="C104" s="44">
        <v>160</v>
      </c>
      <c r="D104" s="45">
        <v>18000</v>
      </c>
      <c r="E104">
        <f t="shared" si="1"/>
        <v>2880000</v>
      </c>
    </row>
    <row r="105" spans="1:5" ht="15.6" x14ac:dyDescent="0.3">
      <c r="A105" s="43" t="s">
        <v>59</v>
      </c>
      <c r="B105" s="43" t="s">
        <v>3</v>
      </c>
      <c r="C105" s="44">
        <v>30</v>
      </c>
      <c r="D105" s="45">
        <v>10000</v>
      </c>
      <c r="E105">
        <f t="shared" si="1"/>
        <v>300000</v>
      </c>
    </row>
    <row r="106" spans="1:5" ht="15.6" hidden="1" x14ac:dyDescent="0.3">
      <c r="A106" s="43" t="s">
        <v>94</v>
      </c>
      <c r="B106" s="43" t="s">
        <v>3</v>
      </c>
      <c r="C106" s="44">
        <v>0</v>
      </c>
      <c r="D106" s="45"/>
      <c r="E106">
        <f t="shared" si="1"/>
        <v>0</v>
      </c>
    </row>
    <row r="107" spans="1:5" ht="15.6" x14ac:dyDescent="0.3">
      <c r="A107" s="43" t="s">
        <v>44</v>
      </c>
      <c r="B107" s="43" t="s">
        <v>3</v>
      </c>
      <c r="C107" s="44">
        <v>20</v>
      </c>
      <c r="D107" s="45">
        <v>36000</v>
      </c>
      <c r="E107">
        <f t="shared" si="1"/>
        <v>720000</v>
      </c>
    </row>
    <row r="108" spans="1:5" ht="15.6" hidden="1" x14ac:dyDescent="0.3">
      <c r="A108" s="43" t="s">
        <v>45</v>
      </c>
      <c r="B108" s="43" t="s">
        <v>3</v>
      </c>
      <c r="C108" s="44">
        <v>0</v>
      </c>
      <c r="D108" s="45"/>
      <c r="E108">
        <f t="shared" si="1"/>
        <v>0</v>
      </c>
    </row>
    <row r="109" spans="1:5" ht="15.6" x14ac:dyDescent="0.3">
      <c r="A109" s="43" t="s">
        <v>17</v>
      </c>
      <c r="B109" s="43" t="s">
        <v>3</v>
      </c>
      <c r="C109" s="44">
        <v>150</v>
      </c>
      <c r="D109" s="45">
        <v>6500</v>
      </c>
      <c r="E109">
        <f t="shared" si="1"/>
        <v>975000</v>
      </c>
    </row>
    <row r="110" spans="1:5" ht="15.6" x14ac:dyDescent="0.3">
      <c r="A110" s="43" t="s">
        <v>20</v>
      </c>
      <c r="B110" s="43" t="s">
        <v>3</v>
      </c>
      <c r="C110" s="44">
        <v>1770</v>
      </c>
      <c r="D110" s="45">
        <v>5500</v>
      </c>
      <c r="E110">
        <f t="shared" si="1"/>
        <v>9735000</v>
      </c>
    </row>
    <row r="111" spans="1:5" ht="15.6" x14ac:dyDescent="0.3">
      <c r="A111" s="43" t="s">
        <v>21</v>
      </c>
      <c r="B111" s="43" t="s">
        <v>3</v>
      </c>
      <c r="C111" s="44">
        <v>50</v>
      </c>
      <c r="D111" s="45">
        <v>10000</v>
      </c>
      <c r="E111">
        <f t="shared" si="1"/>
        <v>500000</v>
      </c>
    </row>
    <row r="112" spans="1:5" ht="15.6" hidden="1" x14ac:dyDescent="0.3">
      <c r="A112" s="43" t="s">
        <v>66</v>
      </c>
      <c r="B112" s="43" t="s">
        <v>3</v>
      </c>
      <c r="C112" s="44">
        <v>0</v>
      </c>
      <c r="D112" s="45"/>
      <c r="E112">
        <f t="shared" si="1"/>
        <v>0</v>
      </c>
    </row>
    <row r="113" spans="1:5" ht="15.6" hidden="1" x14ac:dyDescent="0.3">
      <c r="A113" s="43" t="s">
        <v>84</v>
      </c>
      <c r="B113" s="43" t="s">
        <v>22</v>
      </c>
      <c r="C113" s="44">
        <v>0</v>
      </c>
      <c r="D113" s="45"/>
      <c r="E113">
        <f t="shared" si="1"/>
        <v>0</v>
      </c>
    </row>
    <row r="114" spans="1:5" ht="15.6" hidden="1" x14ac:dyDescent="0.3">
      <c r="A114" s="43" t="s">
        <v>86</v>
      </c>
      <c r="B114" s="43" t="s">
        <v>22</v>
      </c>
      <c r="C114" s="44">
        <v>0</v>
      </c>
      <c r="D114" s="45"/>
      <c r="E114">
        <f t="shared" si="1"/>
        <v>0</v>
      </c>
    </row>
    <row r="115" spans="1:5" ht="15.6" hidden="1" x14ac:dyDescent="0.3">
      <c r="A115" s="43" t="s">
        <v>85</v>
      </c>
      <c r="B115" s="43" t="s">
        <v>22</v>
      </c>
      <c r="C115" s="44">
        <v>0</v>
      </c>
      <c r="D115" s="45"/>
      <c r="E115">
        <f t="shared" si="1"/>
        <v>0</v>
      </c>
    </row>
    <row r="116" spans="1:5" ht="15.6" x14ac:dyDescent="0.3">
      <c r="A116" s="43" t="s">
        <v>95</v>
      </c>
      <c r="B116" s="43" t="s">
        <v>3</v>
      </c>
      <c r="C116" s="44">
        <v>45</v>
      </c>
      <c r="D116" s="45">
        <v>10000</v>
      </c>
      <c r="E116">
        <f t="shared" si="1"/>
        <v>450000</v>
      </c>
    </row>
    <row r="117" spans="1:5" ht="15.6" hidden="1" x14ac:dyDescent="0.3">
      <c r="A117" s="43" t="s">
        <v>24</v>
      </c>
      <c r="B117" s="43" t="s">
        <v>3</v>
      </c>
      <c r="C117" s="44">
        <v>0</v>
      </c>
      <c r="D117" s="45"/>
      <c r="E117">
        <f t="shared" si="1"/>
        <v>0</v>
      </c>
    </row>
    <row r="118" spans="1:5" ht="15.6" hidden="1" x14ac:dyDescent="0.3">
      <c r="A118" s="43" t="s">
        <v>25</v>
      </c>
      <c r="B118" s="43" t="s">
        <v>3</v>
      </c>
      <c r="C118" s="44">
        <v>0</v>
      </c>
      <c r="D118" s="45"/>
      <c r="E118">
        <f t="shared" si="1"/>
        <v>0</v>
      </c>
    </row>
    <row r="119" spans="1:5" ht="15.6" x14ac:dyDescent="0.3">
      <c r="A119" s="43" t="s">
        <v>28</v>
      </c>
      <c r="B119" s="43" t="s">
        <v>3</v>
      </c>
      <c r="C119" s="44">
        <v>30</v>
      </c>
      <c r="D119" s="45">
        <v>22000</v>
      </c>
      <c r="E119">
        <f t="shared" si="1"/>
        <v>660000</v>
      </c>
    </row>
    <row r="120" spans="1:5" ht="15.6" hidden="1" x14ac:dyDescent="0.3">
      <c r="A120" s="43" t="s">
        <v>30</v>
      </c>
      <c r="B120" s="43" t="s">
        <v>3</v>
      </c>
      <c r="C120" s="44">
        <v>0</v>
      </c>
      <c r="D120" s="45"/>
      <c r="E120">
        <f t="shared" si="1"/>
        <v>0</v>
      </c>
    </row>
    <row r="121" spans="1:5" ht="15.6" x14ac:dyDescent="0.3">
      <c r="A121" s="43" t="s">
        <v>53</v>
      </c>
      <c r="B121" s="43" t="s">
        <v>3</v>
      </c>
      <c r="C121" s="44">
        <v>80</v>
      </c>
      <c r="D121" s="45">
        <v>10000</v>
      </c>
      <c r="E121">
        <f t="shared" si="1"/>
        <v>800000</v>
      </c>
    </row>
    <row r="122" spans="1:5" ht="15.6" hidden="1" x14ac:dyDescent="0.3">
      <c r="A122" s="43" t="s">
        <v>34</v>
      </c>
      <c r="B122" s="43" t="s">
        <v>3</v>
      </c>
      <c r="C122" s="44">
        <v>0</v>
      </c>
      <c r="D122" s="45"/>
      <c r="E122">
        <f t="shared" si="1"/>
        <v>0</v>
      </c>
    </row>
    <row r="123" spans="1:5" ht="15.6" hidden="1" x14ac:dyDescent="0.3">
      <c r="A123" s="43" t="s">
        <v>35</v>
      </c>
      <c r="B123" s="43" t="s">
        <v>3</v>
      </c>
      <c r="C123" s="44">
        <v>0</v>
      </c>
      <c r="D123" s="45"/>
      <c r="E123">
        <f t="shared" si="1"/>
        <v>0</v>
      </c>
    </row>
    <row r="124" spans="1:5" ht="15.6" hidden="1" x14ac:dyDescent="0.3">
      <c r="A124" s="43" t="s">
        <v>36</v>
      </c>
      <c r="B124" s="43" t="s">
        <v>3</v>
      </c>
      <c r="C124" s="44">
        <v>0</v>
      </c>
      <c r="D124" s="45"/>
      <c r="E124">
        <f t="shared" si="1"/>
        <v>0</v>
      </c>
    </row>
    <row r="125" spans="1:5" ht="15.6" hidden="1" x14ac:dyDescent="0.3">
      <c r="A125" s="43" t="s">
        <v>72</v>
      </c>
      <c r="B125" s="43" t="s">
        <v>3</v>
      </c>
      <c r="C125" s="44">
        <v>0</v>
      </c>
      <c r="D125" s="45"/>
      <c r="E125">
        <f t="shared" si="1"/>
        <v>0</v>
      </c>
    </row>
    <row r="126" spans="1:5" ht="15.6" x14ac:dyDescent="0.3">
      <c r="A126" s="43" t="s">
        <v>56</v>
      </c>
      <c r="B126" s="43" t="s">
        <v>3</v>
      </c>
      <c r="C126" s="44">
        <v>10</v>
      </c>
      <c r="D126" s="45">
        <v>13000</v>
      </c>
      <c r="E126">
        <f t="shared" si="1"/>
        <v>130000</v>
      </c>
    </row>
    <row r="127" spans="1:5" ht="15.6" x14ac:dyDescent="0.3">
      <c r="A127" s="43" t="s">
        <v>96</v>
      </c>
      <c r="B127" s="43" t="s">
        <v>3</v>
      </c>
      <c r="C127" s="44">
        <v>27</v>
      </c>
      <c r="D127" s="45">
        <v>25000</v>
      </c>
      <c r="E127">
        <f t="shared" si="1"/>
        <v>675000</v>
      </c>
    </row>
    <row r="128" spans="1:5" ht="15.6" x14ac:dyDescent="0.3">
      <c r="A128" s="43" t="s">
        <v>97</v>
      </c>
      <c r="B128" s="43" t="s">
        <v>3</v>
      </c>
      <c r="C128" s="44">
        <v>12</v>
      </c>
      <c r="D128" s="45">
        <v>16000</v>
      </c>
      <c r="E128">
        <f t="shared" si="1"/>
        <v>192000</v>
      </c>
    </row>
    <row r="129" spans="1:5" ht="15.6" hidden="1" x14ac:dyDescent="0.3">
      <c r="A129" s="43" t="s">
        <v>32</v>
      </c>
      <c r="B129" s="43" t="s">
        <v>3</v>
      </c>
      <c r="C129" s="44">
        <v>0</v>
      </c>
      <c r="D129" s="45"/>
      <c r="E129">
        <f t="shared" si="1"/>
        <v>0</v>
      </c>
    </row>
    <row r="130" spans="1:5" ht="15.6" x14ac:dyDescent="0.3">
      <c r="A130" s="43" t="s">
        <v>32</v>
      </c>
      <c r="B130" s="43" t="s">
        <v>6</v>
      </c>
      <c r="C130" s="44">
        <v>36</v>
      </c>
      <c r="D130" s="45">
        <v>7500</v>
      </c>
      <c r="E130">
        <f t="shared" si="1"/>
        <v>270000</v>
      </c>
    </row>
    <row r="131" spans="1:5" ht="15.6" hidden="1" x14ac:dyDescent="0.3">
      <c r="A131" s="43" t="s">
        <v>43</v>
      </c>
      <c r="B131" s="43" t="s">
        <v>3</v>
      </c>
      <c r="C131" s="44">
        <v>0</v>
      </c>
      <c r="D131" s="45"/>
      <c r="E131">
        <f t="shared" si="1"/>
        <v>0</v>
      </c>
    </row>
    <row r="132" spans="1:5" ht="15.6" x14ac:dyDescent="0.3">
      <c r="A132" s="43" t="s">
        <v>60</v>
      </c>
      <c r="B132" s="43" t="s">
        <v>4</v>
      </c>
      <c r="C132" s="44">
        <v>20</v>
      </c>
      <c r="D132" s="45">
        <v>10000</v>
      </c>
      <c r="E132">
        <f t="shared" si="1"/>
        <v>200000</v>
      </c>
    </row>
    <row r="133" spans="1:5" ht="15.6" x14ac:dyDescent="0.3">
      <c r="A133" s="43" t="s">
        <v>61</v>
      </c>
      <c r="B133" s="43" t="s">
        <v>4</v>
      </c>
      <c r="C133" s="44">
        <v>90</v>
      </c>
      <c r="D133" s="45">
        <v>11000</v>
      </c>
      <c r="E133">
        <f t="shared" si="1"/>
        <v>990000</v>
      </c>
    </row>
    <row r="134" spans="1:5" ht="15.6" x14ac:dyDescent="0.3">
      <c r="A134" s="43" t="s">
        <v>116</v>
      </c>
      <c r="B134" s="43" t="s">
        <v>26</v>
      </c>
      <c r="C134" s="44">
        <v>2780</v>
      </c>
      <c r="D134" s="45">
        <v>10000</v>
      </c>
      <c r="E134">
        <f t="shared" ref="E134:E143" si="2">C134*D134</f>
        <v>27800000</v>
      </c>
    </row>
    <row r="135" spans="1:5" ht="15.6" hidden="1" x14ac:dyDescent="0.3">
      <c r="A135" s="43" t="s">
        <v>46</v>
      </c>
      <c r="B135" s="43" t="s">
        <v>3</v>
      </c>
      <c r="C135" s="44">
        <v>0</v>
      </c>
      <c r="D135" s="45"/>
      <c r="E135">
        <f t="shared" si="2"/>
        <v>0</v>
      </c>
    </row>
    <row r="136" spans="1:5" ht="15.6" hidden="1" x14ac:dyDescent="0.3">
      <c r="A136" s="43" t="s">
        <v>37</v>
      </c>
      <c r="B136" s="43" t="s">
        <v>3</v>
      </c>
      <c r="C136" s="44">
        <v>0</v>
      </c>
      <c r="D136" s="45"/>
      <c r="E136">
        <f t="shared" si="2"/>
        <v>0</v>
      </c>
    </row>
    <row r="137" spans="1:5" ht="15.6" hidden="1" x14ac:dyDescent="0.3">
      <c r="A137" s="43" t="s">
        <v>107</v>
      </c>
      <c r="B137" s="43" t="s">
        <v>6</v>
      </c>
      <c r="C137" s="44">
        <v>0</v>
      </c>
      <c r="D137" s="45"/>
      <c r="E137">
        <f t="shared" si="2"/>
        <v>0</v>
      </c>
    </row>
    <row r="138" spans="1:5" ht="15.6" hidden="1" x14ac:dyDescent="0.3">
      <c r="A138" s="43" t="s">
        <v>78</v>
      </c>
      <c r="B138" s="43" t="s">
        <v>3</v>
      </c>
      <c r="C138" s="44">
        <v>0</v>
      </c>
      <c r="D138" s="45"/>
      <c r="E138">
        <f t="shared" si="2"/>
        <v>0</v>
      </c>
    </row>
    <row r="139" spans="1:5" ht="15.6" hidden="1" x14ac:dyDescent="0.3">
      <c r="A139" s="43" t="s">
        <v>13</v>
      </c>
      <c r="B139" s="43" t="s">
        <v>4</v>
      </c>
      <c r="C139" s="44">
        <v>0</v>
      </c>
      <c r="D139" s="45"/>
      <c r="E139">
        <f t="shared" si="2"/>
        <v>0</v>
      </c>
    </row>
    <row r="140" spans="1:5" ht="15.6" hidden="1" x14ac:dyDescent="0.3">
      <c r="A140" s="43" t="s">
        <v>89</v>
      </c>
      <c r="B140" s="43" t="s">
        <v>4</v>
      </c>
      <c r="C140" s="44">
        <v>0</v>
      </c>
      <c r="D140" s="45"/>
      <c r="E140">
        <f t="shared" si="2"/>
        <v>0</v>
      </c>
    </row>
    <row r="141" spans="1:5" ht="15.6" hidden="1" x14ac:dyDescent="0.3">
      <c r="A141" s="43" t="s">
        <v>98</v>
      </c>
      <c r="B141" s="43" t="s">
        <v>3</v>
      </c>
      <c r="C141" s="44"/>
      <c r="D141" s="45"/>
      <c r="E141">
        <f t="shared" si="2"/>
        <v>0</v>
      </c>
    </row>
    <row r="142" spans="1:5" ht="15.6" x14ac:dyDescent="0.3">
      <c r="A142" s="43" t="s">
        <v>40</v>
      </c>
      <c r="B142" s="43" t="s">
        <v>162</v>
      </c>
      <c r="C142" s="44">
        <v>18</v>
      </c>
      <c r="D142" s="45">
        <v>9000</v>
      </c>
      <c r="E142">
        <f t="shared" si="2"/>
        <v>162000</v>
      </c>
    </row>
    <row r="143" spans="1:5" ht="15.6" x14ac:dyDescent="0.3">
      <c r="A143" s="43" t="s">
        <v>150</v>
      </c>
      <c r="B143" s="43" t="s">
        <v>26</v>
      </c>
      <c r="C143" s="44">
        <v>1035</v>
      </c>
      <c r="D143" s="45">
        <v>17000</v>
      </c>
      <c r="E143">
        <f t="shared" si="2"/>
        <v>17595000</v>
      </c>
    </row>
    <row r="144" spans="1:5" x14ac:dyDescent="0.3">
      <c r="E144">
        <f>SUM(E99:E143)</f>
        <v>70209000</v>
      </c>
    </row>
    <row r="145" spans="5:5" x14ac:dyDescent="0.3">
      <c r="E145" s="2">
        <f>E96+E144</f>
        <v>318299300</v>
      </c>
    </row>
  </sheetData>
  <autoFilter ref="A2:E145" xr:uid="{00000000-0009-0000-0000-000012000000}">
    <filterColumn colId="4">
      <filters>
        <filter val="100000"/>
        <filter val="1017000"/>
        <filter val="112000"/>
        <filter val="11200000"/>
        <filter val="1210000"/>
        <filter val="122360000"/>
        <filter val="1224000"/>
        <filter val="1260000"/>
        <filter val="1280000"/>
        <filter val="130000"/>
        <filter val="1400000"/>
        <filter val="162000"/>
        <filter val="168000"/>
        <filter val="17595000"/>
        <filter val="1885000"/>
        <filter val="190000"/>
        <filter val="192000"/>
        <filter val="200000"/>
        <filter val="2090000"/>
        <filter val="230000"/>
        <filter val="240000"/>
        <filter val="248090300"/>
        <filter val="252000"/>
        <filter val="2623500"/>
        <filter val="270000"/>
        <filter val="27800000"/>
        <filter val="288000"/>
        <filter val="2880000"/>
        <filter val="2975000"/>
        <filter val="300000"/>
        <filter val="30360000"/>
        <filter val="3120000"/>
        <filter val="3150000"/>
        <filter val="318,299,300"/>
        <filter val="342000"/>
        <filter val="3485000"/>
        <filter val="3636000"/>
        <filter val="375000"/>
        <filter val="400000"/>
        <filter val="4000000"/>
        <filter val="4320000"/>
        <filter val="440000"/>
        <filter val="4420000"/>
        <filter val="450000"/>
        <filter val="460000"/>
        <filter val="495000"/>
        <filter val="500000"/>
        <filter val="53200"/>
        <filter val="54600"/>
        <filter val="56000"/>
        <filter val="560000"/>
        <filter val="600000"/>
        <filter val="6160000"/>
        <filter val="6200000"/>
        <filter val="660000"/>
        <filter val="675000"/>
        <filter val="70209000"/>
        <filter val="720000"/>
        <filter val="800000"/>
        <filter val="8030000"/>
        <filter val="8160000"/>
        <filter val="825000"/>
        <filter val="9735000"/>
        <filter val="9747000"/>
        <filter val="975000"/>
        <filter val="990000"/>
        <filter val="thành tiền"/>
      </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E169"/>
  <sheetViews>
    <sheetView topLeftCell="A113" workbookViewId="0">
      <selection activeCell="E169" sqref="E169"/>
    </sheetView>
  </sheetViews>
  <sheetFormatPr defaultRowHeight="14.4" x14ac:dyDescent="0.3"/>
  <cols>
    <col min="1" max="1" width="28" customWidth="1"/>
    <col min="3" max="3" width="12.33203125" customWidth="1"/>
    <col min="4" max="4" width="11.77734375" style="2" customWidth="1"/>
    <col min="5" max="5" width="16.44140625" style="2" customWidth="1"/>
  </cols>
  <sheetData>
    <row r="1" spans="1:5" x14ac:dyDescent="0.3">
      <c r="A1" t="s">
        <v>165</v>
      </c>
    </row>
    <row r="2" spans="1:5" x14ac:dyDescent="0.3">
      <c r="A2" t="s">
        <v>0</v>
      </c>
      <c r="B2" t="s">
        <v>1</v>
      </c>
      <c r="C2" s="1" t="s">
        <v>102</v>
      </c>
      <c r="D2" s="2" t="s">
        <v>100</v>
      </c>
      <c r="E2" s="2" t="s">
        <v>101</v>
      </c>
    </row>
    <row r="3" spans="1:5" hidden="1" x14ac:dyDescent="0.3">
      <c r="A3" t="s">
        <v>44</v>
      </c>
      <c r="B3" t="s">
        <v>3</v>
      </c>
      <c r="C3">
        <v>0</v>
      </c>
      <c r="D3"/>
      <c r="E3">
        <f>C3*D3</f>
        <v>0</v>
      </c>
    </row>
    <row r="4" spans="1:5" x14ac:dyDescent="0.3">
      <c r="A4" t="s">
        <v>45</v>
      </c>
      <c r="B4" t="s">
        <v>3</v>
      </c>
      <c r="C4">
        <v>550</v>
      </c>
      <c r="D4" s="2">
        <v>5500</v>
      </c>
      <c r="E4" s="2">
        <f t="shared" ref="E4:E67" si="0">C4*D4</f>
        <v>3025000</v>
      </c>
    </row>
    <row r="5" spans="1:5" x14ac:dyDescent="0.3">
      <c r="A5" t="s">
        <v>17</v>
      </c>
      <c r="B5" t="s">
        <v>3</v>
      </c>
      <c r="C5">
        <v>300</v>
      </c>
      <c r="D5" s="2">
        <v>5000</v>
      </c>
      <c r="E5" s="2">
        <f t="shared" si="0"/>
        <v>1500000</v>
      </c>
    </row>
    <row r="6" spans="1:5" x14ac:dyDescent="0.3">
      <c r="A6" t="s">
        <v>92</v>
      </c>
      <c r="B6" t="s">
        <v>3</v>
      </c>
      <c r="C6">
        <v>10</v>
      </c>
      <c r="D6" s="2">
        <v>11500</v>
      </c>
      <c r="E6" s="2">
        <f t="shared" si="0"/>
        <v>115000</v>
      </c>
    </row>
    <row r="7" spans="1:5" x14ac:dyDescent="0.3">
      <c r="A7" t="s">
        <v>24</v>
      </c>
      <c r="B7" t="s">
        <v>3</v>
      </c>
      <c r="C7">
        <v>1338</v>
      </c>
      <c r="D7" s="2">
        <v>7000</v>
      </c>
      <c r="E7" s="2">
        <f t="shared" si="0"/>
        <v>9366000</v>
      </c>
    </row>
    <row r="8" spans="1:5" hidden="1" x14ac:dyDescent="0.3">
      <c r="A8" t="s">
        <v>78</v>
      </c>
      <c r="B8" t="s">
        <v>3</v>
      </c>
      <c r="C8">
        <v>0</v>
      </c>
      <c r="D8"/>
      <c r="E8">
        <f t="shared" si="0"/>
        <v>0</v>
      </c>
    </row>
    <row r="9" spans="1:5" x14ac:dyDescent="0.3">
      <c r="A9" t="s">
        <v>25</v>
      </c>
      <c r="B9" t="s">
        <v>3</v>
      </c>
      <c r="C9">
        <v>20</v>
      </c>
      <c r="D9" s="2">
        <v>20500</v>
      </c>
      <c r="E9" s="2">
        <f t="shared" si="0"/>
        <v>410000</v>
      </c>
    </row>
    <row r="10" spans="1:5" hidden="1" x14ac:dyDescent="0.3">
      <c r="A10" t="s">
        <v>25</v>
      </c>
      <c r="B10" t="s">
        <v>26</v>
      </c>
      <c r="C10">
        <v>0</v>
      </c>
      <c r="D10"/>
      <c r="E10">
        <f t="shared" si="0"/>
        <v>0</v>
      </c>
    </row>
    <row r="11" spans="1:5" hidden="1" x14ac:dyDescent="0.3">
      <c r="A11" t="s">
        <v>27</v>
      </c>
      <c r="B11" t="s">
        <v>3</v>
      </c>
      <c r="C11">
        <v>0</v>
      </c>
      <c r="D11"/>
      <c r="E11">
        <f t="shared" si="0"/>
        <v>0</v>
      </c>
    </row>
    <row r="12" spans="1:5" hidden="1" x14ac:dyDescent="0.3">
      <c r="A12" t="s">
        <v>27</v>
      </c>
      <c r="B12" t="s">
        <v>26</v>
      </c>
      <c r="C12">
        <v>0</v>
      </c>
      <c r="D12"/>
      <c r="E12">
        <f t="shared" si="0"/>
        <v>0</v>
      </c>
    </row>
    <row r="13" spans="1:5" hidden="1" x14ac:dyDescent="0.3">
      <c r="A13" t="s">
        <v>136</v>
      </c>
      <c r="B13" t="s">
        <v>3</v>
      </c>
      <c r="C13">
        <v>0</v>
      </c>
      <c r="D13"/>
      <c r="E13">
        <f t="shared" si="0"/>
        <v>0</v>
      </c>
    </row>
    <row r="14" spans="1:5" hidden="1" x14ac:dyDescent="0.3">
      <c r="A14" t="s">
        <v>37</v>
      </c>
      <c r="B14" t="s">
        <v>3</v>
      </c>
      <c r="C14">
        <v>0</v>
      </c>
      <c r="D14"/>
      <c r="E14">
        <f t="shared" si="0"/>
        <v>0</v>
      </c>
    </row>
    <row r="15" spans="1:5" x14ac:dyDescent="0.3">
      <c r="A15" t="s">
        <v>46</v>
      </c>
      <c r="B15" t="s">
        <v>3</v>
      </c>
      <c r="C15">
        <v>50</v>
      </c>
      <c r="D15" s="2">
        <v>25000</v>
      </c>
      <c r="E15" s="2">
        <f t="shared" si="0"/>
        <v>1250000</v>
      </c>
    </row>
    <row r="16" spans="1:5" hidden="1" x14ac:dyDescent="0.3">
      <c r="A16" t="s">
        <v>47</v>
      </c>
      <c r="B16" t="s">
        <v>3</v>
      </c>
      <c r="C16">
        <v>0</v>
      </c>
      <c r="D16"/>
      <c r="E16">
        <f t="shared" si="0"/>
        <v>0</v>
      </c>
    </row>
    <row r="17" spans="1:5" hidden="1" x14ac:dyDescent="0.3">
      <c r="A17" t="s">
        <v>123</v>
      </c>
      <c r="B17" t="s">
        <v>3</v>
      </c>
      <c r="C17">
        <v>0</v>
      </c>
      <c r="D17"/>
      <c r="E17">
        <f t="shared" si="0"/>
        <v>0</v>
      </c>
    </row>
    <row r="18" spans="1:5" hidden="1" x14ac:dyDescent="0.3">
      <c r="A18" t="s">
        <v>82</v>
      </c>
      <c r="B18" t="s">
        <v>3</v>
      </c>
      <c r="C18">
        <v>0</v>
      </c>
      <c r="D18"/>
      <c r="E18">
        <f t="shared" si="0"/>
        <v>0</v>
      </c>
    </row>
    <row r="19" spans="1:5" hidden="1" x14ac:dyDescent="0.3">
      <c r="A19" t="s">
        <v>16</v>
      </c>
      <c r="B19" t="s">
        <v>6</v>
      </c>
      <c r="C19">
        <v>0</v>
      </c>
      <c r="D19"/>
      <c r="E19">
        <f t="shared" si="0"/>
        <v>0</v>
      </c>
    </row>
    <row r="20" spans="1:5" x14ac:dyDescent="0.3">
      <c r="A20" t="s">
        <v>28</v>
      </c>
      <c r="B20" t="s">
        <v>3</v>
      </c>
      <c r="C20">
        <v>365</v>
      </c>
      <c r="D20" s="2">
        <v>21000</v>
      </c>
      <c r="E20" s="2">
        <f t="shared" si="0"/>
        <v>7665000</v>
      </c>
    </row>
    <row r="21" spans="1:5" hidden="1" x14ac:dyDescent="0.3">
      <c r="A21" t="s">
        <v>28</v>
      </c>
      <c r="B21" t="s">
        <v>6</v>
      </c>
      <c r="C21">
        <v>0</v>
      </c>
      <c r="D21"/>
      <c r="E21">
        <f t="shared" si="0"/>
        <v>0</v>
      </c>
    </row>
    <row r="22" spans="1:5" hidden="1" x14ac:dyDescent="0.3">
      <c r="A22" t="s">
        <v>28</v>
      </c>
      <c r="B22" t="s">
        <v>29</v>
      </c>
      <c r="C22">
        <v>0</v>
      </c>
      <c r="D22"/>
      <c r="E22">
        <f t="shared" si="0"/>
        <v>0</v>
      </c>
    </row>
    <row r="23" spans="1:5" x14ac:dyDescent="0.3">
      <c r="A23" t="s">
        <v>48</v>
      </c>
      <c r="B23" t="s">
        <v>3</v>
      </c>
      <c r="C23">
        <v>27</v>
      </c>
      <c r="D23" s="2">
        <v>19000</v>
      </c>
      <c r="E23" s="2">
        <f t="shared" si="0"/>
        <v>513000</v>
      </c>
    </row>
    <row r="24" spans="1:5" hidden="1" x14ac:dyDescent="0.3">
      <c r="A24" t="s">
        <v>48</v>
      </c>
      <c r="B24" t="s">
        <v>49</v>
      </c>
      <c r="C24">
        <v>0</v>
      </c>
      <c r="D24"/>
      <c r="E24">
        <f t="shared" si="0"/>
        <v>0</v>
      </c>
    </row>
    <row r="25" spans="1:5" x14ac:dyDescent="0.3">
      <c r="A25" t="s">
        <v>40</v>
      </c>
      <c r="B25" t="s">
        <v>3</v>
      </c>
      <c r="C25">
        <v>8</v>
      </c>
      <c r="D25" s="2">
        <v>30000</v>
      </c>
      <c r="E25" s="2">
        <f t="shared" si="0"/>
        <v>240000</v>
      </c>
    </row>
    <row r="26" spans="1:5" x14ac:dyDescent="0.3">
      <c r="A26" t="s">
        <v>40</v>
      </c>
      <c r="B26" t="s">
        <v>41</v>
      </c>
      <c r="C26">
        <v>98</v>
      </c>
      <c r="D26" s="2">
        <v>9000</v>
      </c>
      <c r="E26" s="2">
        <f t="shared" si="0"/>
        <v>882000</v>
      </c>
    </row>
    <row r="27" spans="1:5" x14ac:dyDescent="0.3">
      <c r="A27" t="s">
        <v>50</v>
      </c>
      <c r="B27" t="s">
        <v>8</v>
      </c>
      <c r="C27">
        <v>9</v>
      </c>
      <c r="D27" s="2">
        <v>16500</v>
      </c>
      <c r="E27" s="2">
        <f t="shared" si="0"/>
        <v>148500</v>
      </c>
    </row>
    <row r="28" spans="1:5" hidden="1" x14ac:dyDescent="0.3">
      <c r="A28" t="s">
        <v>51</v>
      </c>
      <c r="B28" t="s">
        <v>3</v>
      </c>
      <c r="C28">
        <v>0</v>
      </c>
      <c r="D28"/>
      <c r="E28">
        <f t="shared" si="0"/>
        <v>0</v>
      </c>
    </row>
    <row r="29" spans="1:5" x14ac:dyDescent="0.3">
      <c r="A29" t="s">
        <v>51</v>
      </c>
      <c r="B29" t="s">
        <v>52</v>
      </c>
      <c r="C29">
        <v>178</v>
      </c>
      <c r="D29" s="2">
        <v>12000</v>
      </c>
      <c r="E29" s="2">
        <f t="shared" si="0"/>
        <v>2136000</v>
      </c>
    </row>
    <row r="30" spans="1:5" x14ac:dyDescent="0.3">
      <c r="A30" t="s">
        <v>30</v>
      </c>
      <c r="B30" t="s">
        <v>3</v>
      </c>
      <c r="C30">
        <v>360</v>
      </c>
      <c r="D30" s="2">
        <v>22000</v>
      </c>
      <c r="E30" s="2">
        <f t="shared" si="0"/>
        <v>7920000</v>
      </c>
    </row>
    <row r="31" spans="1:5" hidden="1" x14ac:dyDescent="0.3">
      <c r="A31" t="s">
        <v>30</v>
      </c>
      <c r="B31" t="s">
        <v>6</v>
      </c>
      <c r="C31">
        <v>0</v>
      </c>
      <c r="D31"/>
      <c r="E31">
        <f t="shared" si="0"/>
        <v>0</v>
      </c>
    </row>
    <row r="32" spans="1:5" x14ac:dyDescent="0.3">
      <c r="A32" t="s">
        <v>31</v>
      </c>
      <c r="B32" t="s">
        <v>4</v>
      </c>
      <c r="C32">
        <v>80</v>
      </c>
      <c r="D32" s="2">
        <v>16000</v>
      </c>
      <c r="E32" s="2">
        <f t="shared" si="0"/>
        <v>1280000</v>
      </c>
    </row>
    <row r="33" spans="1:5" x14ac:dyDescent="0.3">
      <c r="A33" t="s">
        <v>2</v>
      </c>
      <c r="B33" t="s">
        <v>3</v>
      </c>
      <c r="C33">
        <v>95</v>
      </c>
      <c r="D33" s="2">
        <v>13000</v>
      </c>
      <c r="E33" s="2">
        <f t="shared" si="0"/>
        <v>1235000</v>
      </c>
    </row>
    <row r="34" spans="1:5" hidden="1" x14ac:dyDescent="0.3">
      <c r="A34" t="s">
        <v>2</v>
      </c>
      <c r="B34" t="s">
        <v>4</v>
      </c>
      <c r="C34">
        <v>0</v>
      </c>
      <c r="D34"/>
      <c r="E34">
        <f t="shared" si="0"/>
        <v>0</v>
      </c>
    </row>
    <row r="35" spans="1:5" hidden="1" x14ac:dyDescent="0.3">
      <c r="A35" t="s">
        <v>5</v>
      </c>
      <c r="B35" t="s">
        <v>3</v>
      </c>
      <c r="C35">
        <v>0</v>
      </c>
      <c r="D35"/>
      <c r="E35">
        <f t="shared" si="0"/>
        <v>0</v>
      </c>
    </row>
    <row r="36" spans="1:5" hidden="1" x14ac:dyDescent="0.3">
      <c r="A36" t="s">
        <v>5</v>
      </c>
      <c r="B36" t="s">
        <v>6</v>
      </c>
      <c r="C36">
        <v>0</v>
      </c>
      <c r="D36"/>
      <c r="E36">
        <f t="shared" si="0"/>
        <v>0</v>
      </c>
    </row>
    <row r="37" spans="1:5" x14ac:dyDescent="0.3">
      <c r="A37" t="s">
        <v>53</v>
      </c>
      <c r="B37" t="s">
        <v>3</v>
      </c>
      <c r="C37">
        <v>70</v>
      </c>
      <c r="D37" s="2">
        <v>10000</v>
      </c>
      <c r="E37" s="2">
        <f t="shared" si="0"/>
        <v>700000</v>
      </c>
    </row>
    <row r="38" spans="1:5" hidden="1" x14ac:dyDescent="0.3">
      <c r="A38" t="s">
        <v>53</v>
      </c>
      <c r="B38" t="s">
        <v>54</v>
      </c>
      <c r="C38">
        <v>0</v>
      </c>
      <c r="D38"/>
      <c r="E38">
        <f t="shared" si="0"/>
        <v>0</v>
      </c>
    </row>
    <row r="39" spans="1:5" hidden="1" x14ac:dyDescent="0.3">
      <c r="A39" t="s">
        <v>18</v>
      </c>
      <c r="B39" t="s">
        <v>3</v>
      </c>
      <c r="C39">
        <v>0</v>
      </c>
      <c r="D39"/>
      <c r="E39">
        <f t="shared" si="0"/>
        <v>0</v>
      </c>
    </row>
    <row r="40" spans="1:5" hidden="1" x14ac:dyDescent="0.3">
      <c r="A40" t="s">
        <v>18</v>
      </c>
      <c r="B40" t="s">
        <v>4</v>
      </c>
      <c r="C40">
        <v>0</v>
      </c>
      <c r="D40"/>
      <c r="E40">
        <f t="shared" si="0"/>
        <v>0</v>
      </c>
    </row>
    <row r="41" spans="1:5" hidden="1" x14ac:dyDescent="0.3">
      <c r="A41" t="s">
        <v>55</v>
      </c>
      <c r="B41" t="s">
        <v>3</v>
      </c>
      <c r="C41">
        <v>0</v>
      </c>
      <c r="D41"/>
      <c r="E41">
        <f t="shared" si="0"/>
        <v>0</v>
      </c>
    </row>
    <row r="42" spans="1:5" x14ac:dyDescent="0.3">
      <c r="A42" t="s">
        <v>55</v>
      </c>
      <c r="B42" t="s">
        <v>4</v>
      </c>
      <c r="C42">
        <v>14</v>
      </c>
      <c r="D42" s="2">
        <v>3900</v>
      </c>
      <c r="E42" s="2">
        <f t="shared" si="0"/>
        <v>54600</v>
      </c>
    </row>
    <row r="43" spans="1:5" hidden="1" x14ac:dyDescent="0.3">
      <c r="A43" t="s">
        <v>19</v>
      </c>
      <c r="B43" t="s">
        <v>3</v>
      </c>
      <c r="C43">
        <v>0</v>
      </c>
      <c r="D43"/>
      <c r="E43">
        <f t="shared" si="0"/>
        <v>0</v>
      </c>
    </row>
    <row r="44" spans="1:5" hidden="1" x14ac:dyDescent="0.3">
      <c r="A44" t="s">
        <v>19</v>
      </c>
      <c r="B44" t="s">
        <v>4</v>
      </c>
      <c r="C44">
        <v>0</v>
      </c>
      <c r="D44"/>
      <c r="E44">
        <f t="shared" si="0"/>
        <v>0</v>
      </c>
    </row>
    <row r="45" spans="1:5" hidden="1" x14ac:dyDescent="0.3">
      <c r="A45" t="s">
        <v>20</v>
      </c>
      <c r="B45" t="s">
        <v>3</v>
      </c>
      <c r="C45">
        <v>0</v>
      </c>
      <c r="D45"/>
      <c r="E45">
        <f t="shared" si="0"/>
        <v>0</v>
      </c>
    </row>
    <row r="46" spans="1:5" hidden="1" x14ac:dyDescent="0.3">
      <c r="A46" t="s">
        <v>97</v>
      </c>
      <c r="B46" t="s">
        <v>3</v>
      </c>
      <c r="C46">
        <v>0</v>
      </c>
      <c r="D46"/>
      <c r="E46">
        <f t="shared" si="0"/>
        <v>0</v>
      </c>
    </row>
    <row r="47" spans="1:5" hidden="1" x14ac:dyDescent="0.3">
      <c r="A47" t="s">
        <v>21</v>
      </c>
      <c r="B47" t="s">
        <v>22</v>
      </c>
      <c r="C47">
        <v>0</v>
      </c>
      <c r="D47"/>
      <c r="E47">
        <f t="shared" si="0"/>
        <v>0</v>
      </c>
    </row>
    <row r="48" spans="1:5" x14ac:dyDescent="0.3">
      <c r="A48" t="s">
        <v>21</v>
      </c>
      <c r="B48" t="s">
        <v>3</v>
      </c>
      <c r="C48">
        <v>50</v>
      </c>
      <c r="D48" s="2">
        <v>10000</v>
      </c>
      <c r="E48" s="2">
        <f t="shared" si="0"/>
        <v>500000</v>
      </c>
    </row>
    <row r="49" spans="1:5" x14ac:dyDescent="0.3">
      <c r="A49" t="s">
        <v>56</v>
      </c>
      <c r="B49" t="s">
        <v>3</v>
      </c>
      <c r="C49">
        <v>40</v>
      </c>
      <c r="D49" s="2">
        <v>14000</v>
      </c>
      <c r="E49" s="2">
        <f t="shared" si="0"/>
        <v>560000</v>
      </c>
    </row>
    <row r="50" spans="1:5" hidden="1" x14ac:dyDescent="0.3">
      <c r="A50" t="s">
        <v>7</v>
      </c>
      <c r="B50" t="s">
        <v>8</v>
      </c>
      <c r="C50">
        <v>0</v>
      </c>
      <c r="D50"/>
      <c r="E50">
        <f t="shared" si="0"/>
        <v>0</v>
      </c>
    </row>
    <row r="51" spans="1:5" hidden="1" x14ac:dyDescent="0.3">
      <c r="A51" t="s">
        <v>7</v>
      </c>
      <c r="B51" t="s">
        <v>3</v>
      </c>
      <c r="C51">
        <v>0</v>
      </c>
      <c r="D51"/>
      <c r="E51">
        <f t="shared" si="0"/>
        <v>0</v>
      </c>
    </row>
    <row r="52" spans="1:5" x14ac:dyDescent="0.3">
      <c r="A52" t="s">
        <v>57</v>
      </c>
      <c r="B52" t="s">
        <v>3</v>
      </c>
      <c r="C52">
        <v>25</v>
      </c>
      <c r="D52" s="2">
        <v>5000</v>
      </c>
      <c r="E52" s="2">
        <f t="shared" si="0"/>
        <v>125000</v>
      </c>
    </row>
    <row r="53" spans="1:5" x14ac:dyDescent="0.3">
      <c r="A53" t="s">
        <v>9</v>
      </c>
      <c r="B53" t="s">
        <v>3</v>
      </c>
      <c r="C53">
        <v>40</v>
      </c>
      <c r="D53" s="2">
        <v>11000</v>
      </c>
      <c r="E53" s="2">
        <f t="shared" si="0"/>
        <v>440000</v>
      </c>
    </row>
    <row r="54" spans="1:5" hidden="1" x14ac:dyDescent="0.3">
      <c r="A54" t="s">
        <v>9</v>
      </c>
      <c r="B54" t="s">
        <v>4</v>
      </c>
      <c r="C54">
        <v>0</v>
      </c>
      <c r="D54"/>
      <c r="E54">
        <f t="shared" si="0"/>
        <v>0</v>
      </c>
    </row>
    <row r="55" spans="1:5" x14ac:dyDescent="0.3">
      <c r="A55" t="s">
        <v>58</v>
      </c>
      <c r="B55" t="s">
        <v>3</v>
      </c>
      <c r="C55">
        <v>12</v>
      </c>
      <c r="D55" s="2">
        <v>23000</v>
      </c>
      <c r="E55" s="2">
        <f t="shared" si="0"/>
        <v>276000</v>
      </c>
    </row>
    <row r="56" spans="1:5" x14ac:dyDescent="0.3">
      <c r="A56" t="s">
        <v>10</v>
      </c>
      <c r="B56" t="s">
        <v>3</v>
      </c>
      <c r="C56">
        <v>430</v>
      </c>
      <c r="D56" s="2">
        <v>19000</v>
      </c>
      <c r="E56" s="2">
        <f t="shared" si="0"/>
        <v>8170000</v>
      </c>
    </row>
    <row r="57" spans="1:5" hidden="1" x14ac:dyDescent="0.3">
      <c r="A57" t="s">
        <v>10</v>
      </c>
      <c r="B57" t="s">
        <v>11</v>
      </c>
      <c r="C57">
        <v>0</v>
      </c>
      <c r="D57"/>
      <c r="E57">
        <f t="shared" si="0"/>
        <v>0</v>
      </c>
    </row>
    <row r="58" spans="1:5" x14ac:dyDescent="0.3">
      <c r="A58" t="s">
        <v>106</v>
      </c>
      <c r="B58" t="s">
        <v>3</v>
      </c>
      <c r="C58">
        <v>25</v>
      </c>
      <c r="D58" s="2">
        <v>20000</v>
      </c>
      <c r="E58" s="2">
        <f t="shared" si="0"/>
        <v>500000</v>
      </c>
    </row>
    <row r="59" spans="1:5" x14ac:dyDescent="0.3">
      <c r="A59" t="s">
        <v>12</v>
      </c>
      <c r="B59" t="s">
        <v>4</v>
      </c>
      <c r="C59">
        <v>500</v>
      </c>
      <c r="D59" s="2">
        <v>4500</v>
      </c>
      <c r="E59" s="2">
        <f t="shared" si="0"/>
        <v>2250000</v>
      </c>
    </row>
    <row r="60" spans="1:5" x14ac:dyDescent="0.3">
      <c r="A60" t="s">
        <v>39</v>
      </c>
      <c r="B60" t="s">
        <v>3</v>
      </c>
      <c r="C60">
        <v>230</v>
      </c>
      <c r="D60" s="2">
        <v>24000</v>
      </c>
      <c r="E60" s="2">
        <f t="shared" si="0"/>
        <v>5520000</v>
      </c>
    </row>
    <row r="61" spans="1:5" x14ac:dyDescent="0.3">
      <c r="A61" t="s">
        <v>13</v>
      </c>
      <c r="B61" t="s">
        <v>3</v>
      </c>
      <c r="C61">
        <v>90</v>
      </c>
      <c r="D61" s="2">
        <v>24000</v>
      </c>
      <c r="E61" s="2">
        <f t="shared" si="0"/>
        <v>2160000</v>
      </c>
    </row>
    <row r="62" spans="1:5" hidden="1" x14ac:dyDescent="0.3">
      <c r="A62" t="s">
        <v>13</v>
      </c>
      <c r="B62" t="s">
        <v>4</v>
      </c>
      <c r="C62">
        <v>0</v>
      </c>
      <c r="D62"/>
      <c r="E62">
        <f t="shared" si="0"/>
        <v>0</v>
      </c>
    </row>
    <row r="63" spans="1:5" x14ac:dyDescent="0.3">
      <c r="A63" t="s">
        <v>133</v>
      </c>
      <c r="B63" t="s">
        <v>3</v>
      </c>
      <c r="C63">
        <v>205</v>
      </c>
      <c r="D63" s="2">
        <v>17000</v>
      </c>
      <c r="E63" s="2">
        <f t="shared" si="0"/>
        <v>3485000</v>
      </c>
    </row>
    <row r="64" spans="1:5" x14ac:dyDescent="0.3">
      <c r="A64" t="s">
        <v>164</v>
      </c>
      <c r="B64" t="s">
        <v>3</v>
      </c>
      <c r="C64">
        <v>135</v>
      </c>
      <c r="D64" s="2">
        <v>20000</v>
      </c>
      <c r="E64" s="2">
        <f t="shared" si="0"/>
        <v>2700000</v>
      </c>
    </row>
    <row r="65" spans="1:5" hidden="1" x14ac:dyDescent="0.3">
      <c r="A65" t="s">
        <v>14</v>
      </c>
      <c r="B65" t="s">
        <v>3</v>
      </c>
      <c r="C65">
        <v>0</v>
      </c>
      <c r="D65"/>
      <c r="E65">
        <f t="shared" si="0"/>
        <v>0</v>
      </c>
    </row>
    <row r="66" spans="1:5" x14ac:dyDescent="0.3">
      <c r="A66" t="s">
        <v>93</v>
      </c>
      <c r="B66" t="s">
        <v>3</v>
      </c>
      <c r="C66">
        <v>49</v>
      </c>
      <c r="D66" s="2">
        <v>25000</v>
      </c>
      <c r="E66" s="2">
        <f t="shared" si="0"/>
        <v>1225000</v>
      </c>
    </row>
    <row r="67" spans="1:5" hidden="1" x14ac:dyDescent="0.3">
      <c r="A67" t="s">
        <v>42</v>
      </c>
      <c r="B67" t="s">
        <v>3</v>
      </c>
      <c r="C67">
        <v>0</v>
      </c>
      <c r="D67"/>
      <c r="E67">
        <f t="shared" si="0"/>
        <v>0</v>
      </c>
    </row>
    <row r="68" spans="1:5" hidden="1" x14ac:dyDescent="0.3">
      <c r="A68" t="s">
        <v>89</v>
      </c>
      <c r="B68" t="s">
        <v>3</v>
      </c>
      <c r="C68">
        <v>0</v>
      </c>
      <c r="D68"/>
      <c r="E68">
        <f t="shared" ref="E68:E133" si="1">C68*D68</f>
        <v>0</v>
      </c>
    </row>
    <row r="69" spans="1:5" hidden="1" x14ac:dyDescent="0.3">
      <c r="A69" t="s">
        <v>89</v>
      </c>
      <c r="B69" t="s">
        <v>4</v>
      </c>
      <c r="C69">
        <v>0</v>
      </c>
      <c r="D69"/>
      <c r="E69">
        <f t="shared" si="1"/>
        <v>0</v>
      </c>
    </row>
    <row r="70" spans="1:5" hidden="1" x14ac:dyDescent="0.3">
      <c r="A70" t="s">
        <v>109</v>
      </c>
      <c r="B70" t="s">
        <v>3</v>
      </c>
      <c r="C70">
        <v>0</v>
      </c>
      <c r="D70"/>
      <c r="E70">
        <f t="shared" si="1"/>
        <v>0</v>
      </c>
    </row>
    <row r="71" spans="1:5" x14ac:dyDescent="0.3">
      <c r="A71" t="s">
        <v>15</v>
      </c>
      <c r="B71" t="s">
        <v>3</v>
      </c>
      <c r="C71">
        <v>260</v>
      </c>
      <c r="D71" s="2">
        <v>18000</v>
      </c>
      <c r="E71" s="2">
        <f t="shared" si="1"/>
        <v>4680000</v>
      </c>
    </row>
    <row r="72" spans="1:5" hidden="1" x14ac:dyDescent="0.3">
      <c r="A72" t="s">
        <v>15</v>
      </c>
      <c r="B72" t="s">
        <v>4</v>
      </c>
      <c r="C72">
        <v>0</v>
      </c>
      <c r="D72"/>
      <c r="E72">
        <f t="shared" si="1"/>
        <v>0</v>
      </c>
    </row>
    <row r="73" spans="1:5" x14ac:dyDescent="0.3">
      <c r="A73" t="s">
        <v>87</v>
      </c>
      <c r="B73" t="s">
        <v>4</v>
      </c>
      <c r="C73">
        <v>30</v>
      </c>
      <c r="D73" s="2">
        <v>8000</v>
      </c>
      <c r="E73" s="2">
        <f t="shared" si="1"/>
        <v>240000</v>
      </c>
    </row>
    <row r="74" spans="1:5" x14ac:dyDescent="0.3">
      <c r="A74" t="s">
        <v>59</v>
      </c>
      <c r="B74" t="s">
        <v>3</v>
      </c>
      <c r="C74">
        <v>30</v>
      </c>
      <c r="D74" s="2">
        <v>12000</v>
      </c>
      <c r="E74" s="2">
        <f t="shared" si="1"/>
        <v>360000</v>
      </c>
    </row>
    <row r="75" spans="1:5" x14ac:dyDescent="0.3">
      <c r="A75" t="s">
        <v>60</v>
      </c>
      <c r="B75" t="s">
        <v>4</v>
      </c>
      <c r="C75">
        <v>18</v>
      </c>
      <c r="D75" s="2">
        <v>6000</v>
      </c>
      <c r="E75" s="2">
        <f t="shared" si="1"/>
        <v>108000</v>
      </c>
    </row>
    <row r="76" spans="1:5" x14ac:dyDescent="0.3">
      <c r="A76" t="s">
        <v>61</v>
      </c>
      <c r="B76" t="s">
        <v>3</v>
      </c>
      <c r="C76">
        <v>9</v>
      </c>
      <c r="D76" s="2">
        <v>11000</v>
      </c>
      <c r="E76" s="2">
        <f t="shared" si="1"/>
        <v>99000</v>
      </c>
    </row>
    <row r="77" spans="1:5" hidden="1" x14ac:dyDescent="0.3">
      <c r="A77" t="s">
        <v>61</v>
      </c>
      <c r="B77" t="s">
        <v>62</v>
      </c>
      <c r="C77">
        <v>0</v>
      </c>
      <c r="D77"/>
      <c r="E77">
        <f t="shared" si="1"/>
        <v>0</v>
      </c>
    </row>
    <row r="78" spans="1:5" x14ac:dyDescent="0.3">
      <c r="A78" t="s">
        <v>63</v>
      </c>
      <c r="B78" t="s">
        <v>3</v>
      </c>
      <c r="C78">
        <v>2.5</v>
      </c>
      <c r="D78" s="2">
        <v>80000</v>
      </c>
      <c r="E78" s="2">
        <f t="shared" si="1"/>
        <v>200000</v>
      </c>
    </row>
    <row r="79" spans="1:5" hidden="1" x14ac:dyDescent="0.3">
      <c r="A79" t="s">
        <v>79</v>
      </c>
      <c r="B79" t="s">
        <v>3</v>
      </c>
      <c r="C79">
        <v>0</v>
      </c>
      <c r="D79"/>
      <c r="E79">
        <f t="shared" si="1"/>
        <v>0</v>
      </c>
    </row>
    <row r="80" spans="1:5" hidden="1" x14ac:dyDescent="0.3">
      <c r="A80" t="s">
        <v>64</v>
      </c>
      <c r="B80" t="s">
        <v>3</v>
      </c>
      <c r="C80">
        <v>0</v>
      </c>
      <c r="D80"/>
      <c r="E80">
        <f t="shared" si="1"/>
        <v>0</v>
      </c>
    </row>
    <row r="81" spans="1:5" hidden="1" x14ac:dyDescent="0.3">
      <c r="A81" t="s">
        <v>65</v>
      </c>
      <c r="B81" t="s">
        <v>3</v>
      </c>
      <c r="C81">
        <v>0</v>
      </c>
      <c r="D81"/>
      <c r="E81">
        <f t="shared" si="1"/>
        <v>0</v>
      </c>
    </row>
    <row r="82" spans="1:5" hidden="1" x14ac:dyDescent="0.3">
      <c r="A82" t="s">
        <v>90</v>
      </c>
      <c r="B82" t="s">
        <v>4</v>
      </c>
      <c r="C82">
        <v>0</v>
      </c>
      <c r="D82"/>
      <c r="E82">
        <f t="shared" si="1"/>
        <v>0</v>
      </c>
    </row>
    <row r="83" spans="1:5" hidden="1" x14ac:dyDescent="0.3">
      <c r="A83" t="s">
        <v>32</v>
      </c>
      <c r="B83" t="s">
        <v>3</v>
      </c>
      <c r="C83">
        <v>0</v>
      </c>
      <c r="D83"/>
      <c r="E83">
        <f t="shared" si="1"/>
        <v>0</v>
      </c>
    </row>
    <row r="84" spans="1:5" hidden="1" x14ac:dyDescent="0.3">
      <c r="A84" t="s">
        <v>32</v>
      </c>
      <c r="B84" t="s">
        <v>6</v>
      </c>
      <c r="C84">
        <v>0</v>
      </c>
      <c r="D84"/>
      <c r="E84">
        <f t="shared" si="1"/>
        <v>0</v>
      </c>
    </row>
    <row r="85" spans="1:5" x14ac:dyDescent="0.3">
      <c r="A85" t="s">
        <v>81</v>
      </c>
      <c r="B85" t="s">
        <v>3</v>
      </c>
      <c r="C85">
        <v>11</v>
      </c>
      <c r="D85" s="2">
        <v>14000</v>
      </c>
      <c r="E85" s="2">
        <f t="shared" si="1"/>
        <v>154000</v>
      </c>
    </row>
    <row r="86" spans="1:5" x14ac:dyDescent="0.3">
      <c r="A86" t="s">
        <v>33</v>
      </c>
      <c r="B86" t="s">
        <v>3</v>
      </c>
      <c r="C86">
        <v>18</v>
      </c>
      <c r="D86" s="2">
        <v>12000</v>
      </c>
      <c r="E86" s="2">
        <f t="shared" si="1"/>
        <v>216000</v>
      </c>
    </row>
    <row r="87" spans="1:5" hidden="1" x14ac:dyDescent="0.3">
      <c r="A87" t="s">
        <v>66</v>
      </c>
      <c r="B87" t="s">
        <v>22</v>
      </c>
      <c r="C87">
        <v>0</v>
      </c>
      <c r="D87"/>
      <c r="E87">
        <f t="shared" si="1"/>
        <v>0</v>
      </c>
    </row>
    <row r="88" spans="1:5" x14ac:dyDescent="0.3">
      <c r="A88" t="s">
        <v>66</v>
      </c>
      <c r="B88" t="s">
        <v>3</v>
      </c>
      <c r="C88">
        <v>6</v>
      </c>
      <c r="D88" s="2">
        <v>19000</v>
      </c>
      <c r="E88" s="2">
        <f t="shared" si="1"/>
        <v>114000</v>
      </c>
    </row>
    <row r="89" spans="1:5" x14ac:dyDescent="0.3">
      <c r="A89" t="s">
        <v>43</v>
      </c>
      <c r="B89" t="s">
        <v>3</v>
      </c>
      <c r="C89">
        <v>1840</v>
      </c>
      <c r="D89" s="2">
        <v>27600</v>
      </c>
      <c r="E89" s="2">
        <f t="shared" si="1"/>
        <v>50784000</v>
      </c>
    </row>
    <row r="90" spans="1:5" hidden="1" x14ac:dyDescent="0.3">
      <c r="A90" t="s">
        <v>67</v>
      </c>
      <c r="B90" t="s">
        <v>3</v>
      </c>
      <c r="C90">
        <v>0</v>
      </c>
      <c r="D90"/>
      <c r="E90">
        <f t="shared" si="1"/>
        <v>0</v>
      </c>
    </row>
    <row r="91" spans="1:5" hidden="1" x14ac:dyDescent="0.3">
      <c r="A91" t="s">
        <v>68</v>
      </c>
      <c r="B91" t="s">
        <v>4</v>
      </c>
      <c r="C91">
        <v>0</v>
      </c>
      <c r="D91"/>
      <c r="E91">
        <f t="shared" si="1"/>
        <v>0</v>
      </c>
    </row>
    <row r="92" spans="1:5" x14ac:dyDescent="0.3">
      <c r="A92" t="s">
        <v>69</v>
      </c>
      <c r="B92" t="s">
        <v>3</v>
      </c>
      <c r="C92">
        <v>12</v>
      </c>
      <c r="D92" s="2">
        <v>14000</v>
      </c>
      <c r="E92" s="2">
        <f t="shared" si="1"/>
        <v>168000</v>
      </c>
    </row>
    <row r="93" spans="1:5" hidden="1" x14ac:dyDescent="0.3">
      <c r="A93" t="s">
        <v>38</v>
      </c>
      <c r="B93" t="s">
        <v>6</v>
      </c>
      <c r="C93">
        <v>0</v>
      </c>
      <c r="D93"/>
      <c r="E93">
        <f t="shared" si="1"/>
        <v>0</v>
      </c>
    </row>
    <row r="94" spans="1:5" hidden="1" x14ac:dyDescent="0.3">
      <c r="A94" t="s">
        <v>70</v>
      </c>
      <c r="B94" t="s">
        <v>8</v>
      </c>
      <c r="C94">
        <v>0</v>
      </c>
      <c r="D94"/>
      <c r="E94">
        <f t="shared" si="1"/>
        <v>0</v>
      </c>
    </row>
    <row r="95" spans="1:5" x14ac:dyDescent="0.3">
      <c r="A95" t="s">
        <v>70</v>
      </c>
      <c r="B95" t="s">
        <v>3</v>
      </c>
      <c r="C95">
        <v>4</v>
      </c>
      <c r="D95" s="2">
        <v>44000</v>
      </c>
      <c r="E95" s="2">
        <f t="shared" si="1"/>
        <v>176000</v>
      </c>
    </row>
    <row r="96" spans="1:5" x14ac:dyDescent="0.3">
      <c r="A96" t="s">
        <v>34</v>
      </c>
      <c r="B96" t="s">
        <v>3</v>
      </c>
      <c r="C96">
        <v>198</v>
      </c>
      <c r="D96" s="2">
        <v>35000</v>
      </c>
      <c r="E96" s="2">
        <f t="shared" si="1"/>
        <v>6930000</v>
      </c>
    </row>
    <row r="97" spans="1:5" hidden="1" x14ac:dyDescent="0.3">
      <c r="A97" t="s">
        <v>34</v>
      </c>
      <c r="B97" t="s">
        <v>26</v>
      </c>
      <c r="C97">
        <v>0</v>
      </c>
      <c r="D97"/>
      <c r="E97">
        <f t="shared" si="1"/>
        <v>0</v>
      </c>
    </row>
    <row r="98" spans="1:5" x14ac:dyDescent="0.3">
      <c r="A98" t="s">
        <v>35</v>
      </c>
      <c r="B98" t="s">
        <v>3</v>
      </c>
      <c r="C98">
        <v>90</v>
      </c>
      <c r="D98" s="2">
        <v>35000</v>
      </c>
      <c r="E98" s="2">
        <f t="shared" si="1"/>
        <v>3150000</v>
      </c>
    </row>
    <row r="99" spans="1:5" hidden="1" x14ac:dyDescent="0.3">
      <c r="A99" t="s">
        <v>35</v>
      </c>
      <c r="B99" t="s">
        <v>26</v>
      </c>
      <c r="C99">
        <v>0</v>
      </c>
      <c r="D99"/>
      <c r="E99">
        <f t="shared" si="1"/>
        <v>0</v>
      </c>
    </row>
    <row r="100" spans="1:5" hidden="1" x14ac:dyDescent="0.3">
      <c r="A100" t="s">
        <v>36</v>
      </c>
      <c r="B100" t="s">
        <v>3</v>
      </c>
      <c r="C100">
        <v>0</v>
      </c>
      <c r="D100"/>
      <c r="E100">
        <f t="shared" si="1"/>
        <v>0</v>
      </c>
    </row>
    <row r="101" spans="1:5" hidden="1" x14ac:dyDescent="0.3">
      <c r="A101" t="s">
        <v>36</v>
      </c>
      <c r="B101" t="s">
        <v>26</v>
      </c>
      <c r="C101">
        <v>0</v>
      </c>
      <c r="D101"/>
      <c r="E101">
        <f t="shared" si="1"/>
        <v>0</v>
      </c>
    </row>
    <row r="102" spans="1:5" x14ac:dyDescent="0.3">
      <c r="A102" t="s">
        <v>119</v>
      </c>
      <c r="B102" t="s">
        <v>3</v>
      </c>
      <c r="C102">
        <v>10</v>
      </c>
      <c r="D102" s="2">
        <v>12000</v>
      </c>
      <c r="E102" s="2">
        <f t="shared" si="1"/>
        <v>120000</v>
      </c>
    </row>
    <row r="103" spans="1:5" hidden="1" x14ac:dyDescent="0.3">
      <c r="A103" t="s">
        <v>71</v>
      </c>
      <c r="B103" t="s">
        <v>4</v>
      </c>
      <c r="C103">
        <v>0</v>
      </c>
      <c r="D103"/>
      <c r="E103">
        <f t="shared" si="1"/>
        <v>0</v>
      </c>
    </row>
    <row r="104" spans="1:5" hidden="1" x14ac:dyDescent="0.3">
      <c r="A104" t="s">
        <v>83</v>
      </c>
      <c r="B104" t="s">
        <v>4</v>
      </c>
      <c r="C104">
        <v>0</v>
      </c>
      <c r="D104"/>
      <c r="E104">
        <f t="shared" si="1"/>
        <v>0</v>
      </c>
    </row>
    <row r="105" spans="1:5" x14ac:dyDescent="0.3">
      <c r="A105" t="s">
        <v>150</v>
      </c>
      <c r="B105" t="s">
        <v>26</v>
      </c>
      <c r="C105">
        <v>970</v>
      </c>
      <c r="D105" s="2">
        <v>17000</v>
      </c>
      <c r="E105" s="2">
        <f t="shared" si="1"/>
        <v>16490000</v>
      </c>
    </row>
    <row r="106" spans="1:5" x14ac:dyDescent="0.3">
      <c r="A106" t="s">
        <v>88</v>
      </c>
      <c r="B106" t="s">
        <v>3</v>
      </c>
      <c r="C106">
        <v>4040</v>
      </c>
      <c r="D106" s="2">
        <v>28000</v>
      </c>
      <c r="E106" s="2">
        <f t="shared" si="1"/>
        <v>113120000</v>
      </c>
    </row>
    <row r="107" spans="1:5" hidden="1" x14ac:dyDescent="0.3">
      <c r="A107" t="s">
        <v>91</v>
      </c>
      <c r="B107" t="s">
        <v>3</v>
      </c>
      <c r="C107">
        <v>0</v>
      </c>
      <c r="D107"/>
      <c r="E107">
        <f t="shared" si="1"/>
        <v>0</v>
      </c>
    </row>
    <row r="108" spans="1:5" hidden="1" x14ac:dyDescent="0.3">
      <c r="A108" t="s">
        <v>117</v>
      </c>
      <c r="B108" t="s">
        <v>8</v>
      </c>
      <c r="C108">
        <v>0</v>
      </c>
      <c r="D108"/>
      <c r="E108">
        <f t="shared" si="1"/>
        <v>0</v>
      </c>
    </row>
    <row r="109" spans="1:5" x14ac:dyDescent="0.3">
      <c r="A109" t="s">
        <v>72</v>
      </c>
      <c r="B109" t="s">
        <v>3</v>
      </c>
      <c r="C109">
        <v>130</v>
      </c>
      <c r="D109" s="2">
        <v>10000</v>
      </c>
      <c r="E109" s="2">
        <f t="shared" si="1"/>
        <v>1300000</v>
      </c>
    </row>
    <row r="110" spans="1:5" hidden="1" x14ac:dyDescent="0.3">
      <c r="A110" t="s">
        <v>73</v>
      </c>
      <c r="B110" t="s">
        <v>3</v>
      </c>
      <c r="C110">
        <v>0</v>
      </c>
      <c r="D110"/>
      <c r="E110">
        <f t="shared" si="1"/>
        <v>0</v>
      </c>
    </row>
    <row r="111" spans="1:5" hidden="1" x14ac:dyDescent="0.3">
      <c r="A111" t="s">
        <v>23</v>
      </c>
      <c r="B111" t="s">
        <v>3</v>
      </c>
      <c r="C111">
        <v>0</v>
      </c>
      <c r="D111"/>
      <c r="E111">
        <f t="shared" si="1"/>
        <v>0</v>
      </c>
    </row>
    <row r="112" spans="1:5" hidden="1" x14ac:dyDescent="0.3">
      <c r="A112" t="s">
        <v>84</v>
      </c>
      <c r="B112" t="s">
        <v>22</v>
      </c>
      <c r="C112">
        <v>0</v>
      </c>
      <c r="D112"/>
      <c r="E112">
        <f t="shared" si="1"/>
        <v>0</v>
      </c>
    </row>
    <row r="113" spans="1:5" x14ac:dyDescent="0.3">
      <c r="A113" t="s">
        <v>74</v>
      </c>
      <c r="B113" t="s">
        <v>3</v>
      </c>
      <c r="C113">
        <v>6</v>
      </c>
      <c r="D113" s="2">
        <v>28000</v>
      </c>
      <c r="E113" s="2">
        <f t="shared" si="1"/>
        <v>168000</v>
      </c>
    </row>
    <row r="114" spans="1:5" hidden="1" x14ac:dyDescent="0.3">
      <c r="A114" t="s">
        <v>86</v>
      </c>
      <c r="B114" t="s">
        <v>22</v>
      </c>
      <c r="C114">
        <v>0</v>
      </c>
      <c r="D114"/>
      <c r="E114">
        <f t="shared" si="1"/>
        <v>0</v>
      </c>
    </row>
    <row r="115" spans="1:5" hidden="1" x14ac:dyDescent="0.3">
      <c r="A115" t="s">
        <v>75</v>
      </c>
      <c r="B115" t="s">
        <v>3</v>
      </c>
      <c r="C115">
        <v>0</v>
      </c>
      <c r="D115"/>
      <c r="E115">
        <f t="shared" si="1"/>
        <v>0</v>
      </c>
    </row>
    <row r="116" spans="1:5" hidden="1" x14ac:dyDescent="0.3">
      <c r="A116" t="s">
        <v>76</v>
      </c>
      <c r="B116" t="s">
        <v>3</v>
      </c>
      <c r="C116">
        <v>0</v>
      </c>
      <c r="D116"/>
      <c r="E116">
        <f t="shared" si="1"/>
        <v>0</v>
      </c>
    </row>
    <row r="117" spans="1:5" hidden="1" x14ac:dyDescent="0.3">
      <c r="A117" t="s">
        <v>85</v>
      </c>
      <c r="B117" t="s">
        <v>22</v>
      </c>
      <c r="C117">
        <v>0</v>
      </c>
      <c r="D117"/>
      <c r="E117">
        <f t="shared" si="1"/>
        <v>0</v>
      </c>
    </row>
    <row r="118" spans="1:5" x14ac:dyDescent="0.3">
      <c r="E118" s="2">
        <f>SUM(E4:E113)</f>
        <v>264928100</v>
      </c>
    </row>
    <row r="119" spans="1:5" hidden="1" x14ac:dyDescent="0.3">
      <c r="A119" t="s">
        <v>103</v>
      </c>
      <c r="D119"/>
      <c r="E119"/>
    </row>
    <row r="120" spans="1:5" x14ac:dyDescent="0.3">
      <c r="A120" t="s">
        <v>0</v>
      </c>
      <c r="B120" t="s">
        <v>1</v>
      </c>
      <c r="C120" t="s">
        <v>102</v>
      </c>
      <c r="D120" s="2" t="s">
        <v>100</v>
      </c>
      <c r="E120" s="2" t="s">
        <v>101</v>
      </c>
    </row>
    <row r="121" spans="1:5" x14ac:dyDescent="0.3">
      <c r="A121" t="s">
        <v>44</v>
      </c>
      <c r="B121" t="s">
        <v>3</v>
      </c>
      <c r="C121">
        <v>50</v>
      </c>
      <c r="D121" s="2">
        <v>36000</v>
      </c>
      <c r="E121" s="2">
        <f t="shared" si="1"/>
        <v>1800000</v>
      </c>
    </row>
    <row r="122" spans="1:5" hidden="1" x14ac:dyDescent="0.3">
      <c r="A122" t="s">
        <v>45</v>
      </c>
      <c r="B122" t="s">
        <v>3</v>
      </c>
      <c r="C122">
        <v>0</v>
      </c>
      <c r="D122"/>
      <c r="E122">
        <f t="shared" si="1"/>
        <v>0</v>
      </c>
    </row>
    <row r="123" spans="1:5" hidden="1" x14ac:dyDescent="0.3">
      <c r="A123" t="s">
        <v>17</v>
      </c>
      <c r="B123" t="s">
        <v>3</v>
      </c>
      <c r="C123">
        <v>0</v>
      </c>
      <c r="D123"/>
      <c r="E123">
        <f t="shared" si="1"/>
        <v>0</v>
      </c>
    </row>
    <row r="124" spans="1:5" x14ac:dyDescent="0.3">
      <c r="A124" t="s">
        <v>95</v>
      </c>
      <c r="B124" t="s">
        <v>3</v>
      </c>
      <c r="C124">
        <v>40</v>
      </c>
      <c r="D124" s="2">
        <v>10000</v>
      </c>
      <c r="E124" s="2">
        <f t="shared" si="1"/>
        <v>400000</v>
      </c>
    </row>
    <row r="125" spans="1:5" hidden="1" x14ac:dyDescent="0.3">
      <c r="A125" t="s">
        <v>24</v>
      </c>
      <c r="B125" t="s">
        <v>3</v>
      </c>
      <c r="C125">
        <v>0</v>
      </c>
      <c r="D125"/>
      <c r="E125">
        <f t="shared" si="1"/>
        <v>0</v>
      </c>
    </row>
    <row r="126" spans="1:5" hidden="1" x14ac:dyDescent="0.3">
      <c r="A126" t="s">
        <v>25</v>
      </c>
      <c r="B126" t="s">
        <v>3</v>
      </c>
      <c r="C126">
        <v>0</v>
      </c>
      <c r="D126"/>
      <c r="E126">
        <f t="shared" si="1"/>
        <v>0</v>
      </c>
    </row>
    <row r="127" spans="1:5" hidden="1" x14ac:dyDescent="0.3">
      <c r="A127" t="s">
        <v>37</v>
      </c>
      <c r="B127" t="s">
        <v>3</v>
      </c>
      <c r="C127">
        <v>0</v>
      </c>
      <c r="D127"/>
      <c r="E127">
        <f t="shared" si="1"/>
        <v>0</v>
      </c>
    </row>
    <row r="128" spans="1:5" hidden="1" x14ac:dyDescent="0.3">
      <c r="A128" t="s">
        <v>46</v>
      </c>
      <c r="B128" t="s">
        <v>3</v>
      </c>
      <c r="C128">
        <v>0</v>
      </c>
      <c r="D128"/>
      <c r="E128">
        <f t="shared" si="1"/>
        <v>0</v>
      </c>
    </row>
    <row r="129" spans="1:5" hidden="1" x14ac:dyDescent="0.3">
      <c r="A129" t="s">
        <v>94</v>
      </c>
      <c r="B129" t="s">
        <v>3</v>
      </c>
      <c r="C129">
        <v>0</v>
      </c>
      <c r="D129"/>
      <c r="E129">
        <f t="shared" si="1"/>
        <v>0</v>
      </c>
    </row>
    <row r="130" spans="1:5" x14ac:dyDescent="0.3">
      <c r="A130" t="s">
        <v>28</v>
      </c>
      <c r="B130" t="s">
        <v>3</v>
      </c>
      <c r="C130">
        <v>160</v>
      </c>
      <c r="D130" s="2">
        <v>22000</v>
      </c>
      <c r="E130" s="2">
        <f t="shared" si="1"/>
        <v>3520000</v>
      </c>
    </row>
    <row r="131" spans="1:5" x14ac:dyDescent="0.3">
      <c r="A131" t="s">
        <v>30</v>
      </c>
      <c r="B131" t="s">
        <v>3</v>
      </c>
      <c r="C131">
        <v>140</v>
      </c>
      <c r="D131" s="2">
        <v>22000</v>
      </c>
      <c r="E131" s="2">
        <f t="shared" si="1"/>
        <v>3080000</v>
      </c>
    </row>
    <row r="132" spans="1:5" hidden="1" x14ac:dyDescent="0.3">
      <c r="A132" t="s">
        <v>2</v>
      </c>
      <c r="B132" t="s">
        <v>3</v>
      </c>
      <c r="C132">
        <v>0</v>
      </c>
      <c r="D132"/>
      <c r="E132">
        <f t="shared" si="1"/>
        <v>0</v>
      </c>
    </row>
    <row r="133" spans="1:5" x14ac:dyDescent="0.3">
      <c r="A133" t="s">
        <v>53</v>
      </c>
      <c r="B133" t="s">
        <v>3</v>
      </c>
      <c r="C133">
        <v>40</v>
      </c>
      <c r="D133" s="2">
        <v>10000</v>
      </c>
      <c r="E133" s="2">
        <f t="shared" si="1"/>
        <v>400000</v>
      </c>
    </row>
    <row r="134" spans="1:5" x14ac:dyDescent="0.3">
      <c r="A134" t="s">
        <v>20</v>
      </c>
      <c r="B134" t="s">
        <v>3</v>
      </c>
      <c r="C134">
        <v>50</v>
      </c>
      <c r="D134" s="2">
        <v>5500</v>
      </c>
      <c r="E134" s="2">
        <f t="shared" ref="E134:E167" si="2">C134*D134</f>
        <v>275000</v>
      </c>
    </row>
    <row r="135" spans="1:5" x14ac:dyDescent="0.3">
      <c r="A135" t="s">
        <v>97</v>
      </c>
      <c r="B135" t="s">
        <v>3</v>
      </c>
      <c r="C135">
        <v>9</v>
      </c>
      <c r="D135" s="2">
        <v>16000</v>
      </c>
      <c r="E135" s="2">
        <f t="shared" si="2"/>
        <v>144000</v>
      </c>
    </row>
    <row r="136" spans="1:5" x14ac:dyDescent="0.3">
      <c r="A136" t="s">
        <v>21</v>
      </c>
      <c r="B136" t="s">
        <v>3</v>
      </c>
      <c r="C136">
        <v>50</v>
      </c>
      <c r="D136" s="2">
        <v>10000</v>
      </c>
      <c r="E136" s="2">
        <f t="shared" si="2"/>
        <v>500000</v>
      </c>
    </row>
    <row r="137" spans="1:5" x14ac:dyDescent="0.3">
      <c r="A137" t="s">
        <v>96</v>
      </c>
      <c r="B137" t="s">
        <v>3</v>
      </c>
      <c r="C137">
        <v>34</v>
      </c>
      <c r="D137" s="2">
        <v>25000</v>
      </c>
      <c r="E137" s="2">
        <f t="shared" si="2"/>
        <v>850000</v>
      </c>
    </row>
    <row r="138" spans="1:5" hidden="1" x14ac:dyDescent="0.3">
      <c r="A138" t="s">
        <v>56</v>
      </c>
      <c r="B138" t="s">
        <v>3</v>
      </c>
      <c r="C138">
        <v>0</v>
      </c>
      <c r="D138"/>
      <c r="E138">
        <f t="shared" si="2"/>
        <v>0</v>
      </c>
    </row>
    <row r="139" spans="1:5" x14ac:dyDescent="0.3">
      <c r="A139" t="s">
        <v>107</v>
      </c>
      <c r="B139" t="s">
        <v>3</v>
      </c>
      <c r="C139">
        <v>1</v>
      </c>
      <c r="D139" s="2">
        <v>16000</v>
      </c>
      <c r="E139" s="2">
        <f t="shared" si="2"/>
        <v>16000</v>
      </c>
    </row>
    <row r="140" spans="1:5" hidden="1" x14ac:dyDescent="0.3">
      <c r="A140" t="s">
        <v>107</v>
      </c>
      <c r="B140" t="s">
        <v>6</v>
      </c>
      <c r="C140">
        <v>0</v>
      </c>
      <c r="D140"/>
      <c r="E140">
        <f t="shared" si="2"/>
        <v>0</v>
      </c>
    </row>
    <row r="141" spans="1:5" x14ac:dyDescent="0.3">
      <c r="A141" t="s">
        <v>57</v>
      </c>
      <c r="B141" t="s">
        <v>3</v>
      </c>
      <c r="C141">
        <v>75</v>
      </c>
      <c r="D141" s="2">
        <v>5000</v>
      </c>
      <c r="E141" s="2">
        <f t="shared" si="2"/>
        <v>375000</v>
      </c>
    </row>
    <row r="142" spans="1:5" x14ac:dyDescent="0.3">
      <c r="A142" t="s">
        <v>9</v>
      </c>
      <c r="B142" t="s">
        <v>3</v>
      </c>
      <c r="C142">
        <v>15</v>
      </c>
      <c r="D142" s="2">
        <v>11000</v>
      </c>
      <c r="E142" s="2">
        <f t="shared" si="2"/>
        <v>165000</v>
      </c>
    </row>
    <row r="143" spans="1:5" x14ac:dyDescent="0.3">
      <c r="A143" t="s">
        <v>10</v>
      </c>
      <c r="B143" t="s">
        <v>3</v>
      </c>
      <c r="C143">
        <v>80</v>
      </c>
      <c r="D143" s="2">
        <v>19000</v>
      </c>
      <c r="E143" s="2">
        <f t="shared" si="2"/>
        <v>1520000</v>
      </c>
    </row>
    <row r="144" spans="1:5" hidden="1" x14ac:dyDescent="0.3">
      <c r="A144" t="s">
        <v>13</v>
      </c>
      <c r="B144" t="s">
        <v>4</v>
      </c>
      <c r="C144">
        <v>0</v>
      </c>
      <c r="D144"/>
      <c r="E144">
        <f t="shared" si="2"/>
        <v>0</v>
      </c>
    </row>
    <row r="145" spans="1:5" hidden="1" x14ac:dyDescent="0.3">
      <c r="A145" t="s">
        <v>14</v>
      </c>
      <c r="B145" t="s">
        <v>3</v>
      </c>
      <c r="C145">
        <v>0</v>
      </c>
      <c r="D145"/>
      <c r="E145">
        <f t="shared" si="2"/>
        <v>0</v>
      </c>
    </row>
    <row r="146" spans="1:5" x14ac:dyDescent="0.3">
      <c r="A146" t="s">
        <v>89</v>
      </c>
      <c r="B146" t="s">
        <v>3</v>
      </c>
      <c r="C146">
        <v>40</v>
      </c>
      <c r="D146" s="2">
        <v>12000</v>
      </c>
      <c r="E146" s="2">
        <f t="shared" si="2"/>
        <v>480000</v>
      </c>
    </row>
    <row r="147" spans="1:5" hidden="1" x14ac:dyDescent="0.3">
      <c r="A147" t="s">
        <v>89</v>
      </c>
      <c r="B147" t="s">
        <v>4</v>
      </c>
      <c r="C147">
        <v>0</v>
      </c>
      <c r="D147"/>
      <c r="E147">
        <f t="shared" si="2"/>
        <v>0</v>
      </c>
    </row>
    <row r="148" spans="1:5" hidden="1" x14ac:dyDescent="0.3">
      <c r="A148" t="s">
        <v>109</v>
      </c>
      <c r="B148" t="s">
        <v>3</v>
      </c>
      <c r="C148">
        <v>0</v>
      </c>
      <c r="D148"/>
      <c r="E148">
        <f t="shared" si="2"/>
        <v>0</v>
      </c>
    </row>
    <row r="149" spans="1:5" x14ac:dyDescent="0.3">
      <c r="A149" t="s">
        <v>15</v>
      </c>
      <c r="B149" t="s">
        <v>3</v>
      </c>
      <c r="C149">
        <v>140</v>
      </c>
      <c r="D149" s="2">
        <v>18000</v>
      </c>
      <c r="E149" s="2">
        <f t="shared" si="2"/>
        <v>2520000</v>
      </c>
    </row>
    <row r="150" spans="1:5" x14ac:dyDescent="0.3">
      <c r="A150" t="s">
        <v>59</v>
      </c>
      <c r="B150" t="s">
        <v>3</v>
      </c>
      <c r="C150">
        <v>25</v>
      </c>
      <c r="D150" s="2">
        <v>12000</v>
      </c>
      <c r="E150" s="2">
        <f t="shared" si="2"/>
        <v>300000</v>
      </c>
    </row>
    <row r="151" spans="1:5" x14ac:dyDescent="0.3">
      <c r="A151" t="s">
        <v>60</v>
      </c>
      <c r="B151" t="s">
        <v>4</v>
      </c>
      <c r="C151">
        <v>20</v>
      </c>
      <c r="D151" s="2">
        <v>6000</v>
      </c>
      <c r="E151" s="2">
        <f t="shared" si="2"/>
        <v>120000</v>
      </c>
    </row>
    <row r="152" spans="1:5" x14ac:dyDescent="0.3">
      <c r="A152" t="s">
        <v>61</v>
      </c>
      <c r="B152" t="s">
        <v>4</v>
      </c>
      <c r="C152">
        <v>100</v>
      </c>
      <c r="D152" s="2">
        <v>13000</v>
      </c>
      <c r="E152" s="2">
        <f t="shared" si="2"/>
        <v>1300000</v>
      </c>
    </row>
    <row r="153" spans="1:5" hidden="1" x14ac:dyDescent="0.3">
      <c r="A153" t="s">
        <v>32</v>
      </c>
      <c r="B153" t="s">
        <v>3</v>
      </c>
      <c r="C153">
        <v>0</v>
      </c>
      <c r="D153"/>
      <c r="E153">
        <f t="shared" si="2"/>
        <v>0</v>
      </c>
    </row>
    <row r="154" spans="1:5" hidden="1" x14ac:dyDescent="0.3">
      <c r="A154" t="s">
        <v>32</v>
      </c>
      <c r="B154" t="s">
        <v>6</v>
      </c>
      <c r="C154">
        <v>0</v>
      </c>
      <c r="D154"/>
      <c r="E154">
        <f t="shared" si="2"/>
        <v>0</v>
      </c>
    </row>
    <row r="155" spans="1:5" x14ac:dyDescent="0.3">
      <c r="A155" t="s">
        <v>66</v>
      </c>
      <c r="B155" t="s">
        <v>3</v>
      </c>
      <c r="C155">
        <v>6</v>
      </c>
      <c r="D155" s="2">
        <v>19000</v>
      </c>
      <c r="E155" s="2">
        <f t="shared" si="2"/>
        <v>114000</v>
      </c>
    </row>
    <row r="156" spans="1:5" x14ac:dyDescent="0.3">
      <c r="A156" t="s">
        <v>43</v>
      </c>
      <c r="B156" t="s">
        <v>3</v>
      </c>
      <c r="C156">
        <v>500</v>
      </c>
      <c r="D156" s="2">
        <v>27600</v>
      </c>
      <c r="E156" s="2">
        <f t="shared" si="2"/>
        <v>13800000</v>
      </c>
    </row>
    <row r="157" spans="1:5" hidden="1" x14ac:dyDescent="0.3">
      <c r="A157" t="s">
        <v>67</v>
      </c>
      <c r="B157" t="s">
        <v>3</v>
      </c>
      <c r="C157">
        <v>0</v>
      </c>
      <c r="D157"/>
      <c r="E157">
        <f t="shared" si="2"/>
        <v>0</v>
      </c>
    </row>
    <row r="158" spans="1:5" x14ac:dyDescent="0.3">
      <c r="A158" t="s">
        <v>34</v>
      </c>
      <c r="B158" t="s">
        <v>3</v>
      </c>
      <c r="C158">
        <v>20</v>
      </c>
      <c r="D158" s="2">
        <v>35000</v>
      </c>
      <c r="E158" s="2">
        <f t="shared" si="2"/>
        <v>700000</v>
      </c>
    </row>
    <row r="159" spans="1:5" x14ac:dyDescent="0.3">
      <c r="A159" t="s">
        <v>35</v>
      </c>
      <c r="B159" t="s">
        <v>3</v>
      </c>
      <c r="C159">
        <v>25</v>
      </c>
      <c r="D159" s="2">
        <v>35000</v>
      </c>
      <c r="E159" s="2">
        <f t="shared" si="2"/>
        <v>875000</v>
      </c>
    </row>
    <row r="160" spans="1:5" hidden="1" x14ac:dyDescent="0.3">
      <c r="A160" t="s">
        <v>36</v>
      </c>
      <c r="B160" t="s">
        <v>3</v>
      </c>
      <c r="C160">
        <v>0</v>
      </c>
      <c r="D160"/>
      <c r="E160">
        <f t="shared" si="2"/>
        <v>0</v>
      </c>
    </row>
    <row r="161" spans="1:5" x14ac:dyDescent="0.3">
      <c r="A161" t="s">
        <v>116</v>
      </c>
      <c r="B161" t="s">
        <v>26</v>
      </c>
      <c r="C161">
        <v>2305</v>
      </c>
      <c r="D161" s="2">
        <v>10000</v>
      </c>
      <c r="E161" s="2">
        <f t="shared" si="2"/>
        <v>23050000</v>
      </c>
    </row>
    <row r="162" spans="1:5" hidden="1" x14ac:dyDescent="0.3">
      <c r="A162" t="s">
        <v>88</v>
      </c>
      <c r="B162" t="s">
        <v>3</v>
      </c>
      <c r="C162">
        <v>0</v>
      </c>
      <c r="D162"/>
      <c r="E162">
        <f t="shared" si="2"/>
        <v>0</v>
      </c>
    </row>
    <row r="163" spans="1:5" hidden="1" x14ac:dyDescent="0.3">
      <c r="A163" t="s">
        <v>72</v>
      </c>
      <c r="B163" t="s">
        <v>3</v>
      </c>
      <c r="C163">
        <v>0</v>
      </c>
      <c r="D163"/>
      <c r="E163">
        <f t="shared" si="2"/>
        <v>0</v>
      </c>
    </row>
    <row r="164" spans="1:5" hidden="1" x14ac:dyDescent="0.3">
      <c r="A164" t="s">
        <v>23</v>
      </c>
      <c r="B164" t="s">
        <v>22</v>
      </c>
      <c r="C164">
        <v>0</v>
      </c>
      <c r="D164"/>
      <c r="E164">
        <f t="shared" si="2"/>
        <v>0</v>
      </c>
    </row>
    <row r="165" spans="1:5" x14ac:dyDescent="0.3">
      <c r="A165" t="s">
        <v>84</v>
      </c>
      <c r="B165" t="s">
        <v>22</v>
      </c>
      <c r="C165">
        <v>60</v>
      </c>
      <c r="D165" s="2">
        <v>6800</v>
      </c>
      <c r="E165" s="2">
        <f t="shared" si="2"/>
        <v>408000</v>
      </c>
    </row>
    <row r="166" spans="1:5" x14ac:dyDescent="0.3">
      <c r="A166" t="s">
        <v>86</v>
      </c>
      <c r="B166" t="s">
        <v>22</v>
      </c>
      <c r="C166">
        <v>10</v>
      </c>
      <c r="D166" s="2">
        <v>6800</v>
      </c>
      <c r="E166" s="2">
        <f t="shared" si="2"/>
        <v>68000</v>
      </c>
    </row>
    <row r="167" spans="1:5" hidden="1" x14ac:dyDescent="0.3">
      <c r="A167" t="s">
        <v>85</v>
      </c>
      <c r="B167" t="s">
        <v>22</v>
      </c>
      <c r="C167">
        <v>0</v>
      </c>
      <c r="D167"/>
      <c r="E167">
        <f t="shared" si="2"/>
        <v>0</v>
      </c>
    </row>
    <row r="168" spans="1:5" x14ac:dyDescent="0.3">
      <c r="E168" s="2">
        <f>SUM(E121:E166)</f>
        <v>56780000</v>
      </c>
    </row>
    <row r="169" spans="1:5" x14ac:dyDescent="0.3">
      <c r="E169" s="2">
        <f>E118+E168</f>
        <v>321708100</v>
      </c>
    </row>
  </sheetData>
  <autoFilter ref="A2:E169" xr:uid="{00000000-0009-0000-0000-000013000000}">
    <filterColumn colId="4">
      <filters>
        <filter val="1,225,000"/>
        <filter val="1,235,000"/>
        <filter val="1,250,000"/>
        <filter val="1,280,000"/>
        <filter val="1,300,000"/>
        <filter val="1,500,000"/>
        <filter val="1,520,000"/>
        <filter val="1,800,000"/>
        <filter val="108,000"/>
        <filter val="113,120,000"/>
        <filter val="114,000"/>
        <filter val="115,000"/>
        <filter val="120,000"/>
        <filter val="125,000"/>
        <filter val="13,800,000"/>
        <filter val="144,000"/>
        <filter val="148,500"/>
        <filter val="154,000"/>
        <filter val="16,000"/>
        <filter val="16,490,000"/>
        <filter val="165,000"/>
        <filter val="168,000"/>
        <filter val="176,000"/>
        <filter val="2,136,000"/>
        <filter val="2,160,000"/>
        <filter val="2,250,000"/>
        <filter val="2,520,000"/>
        <filter val="2,700,000"/>
        <filter val="200,000"/>
        <filter val="216,000"/>
        <filter val="23,050,000"/>
        <filter val="240,000"/>
        <filter val="264,928,100"/>
        <filter val="275,000"/>
        <filter val="276,000"/>
        <filter val="3,025,000"/>
        <filter val="3,080,000"/>
        <filter val="3,150,000"/>
        <filter val="3,485,000"/>
        <filter val="3,520,000"/>
        <filter val="300,000"/>
        <filter val="321,708,100"/>
        <filter val="360,000"/>
        <filter val="375,000"/>
        <filter val="4,680,000"/>
        <filter val="400,000"/>
        <filter val="408,000"/>
        <filter val="410,000"/>
        <filter val="440,000"/>
        <filter val="480,000"/>
        <filter val="5,520,000"/>
        <filter val="50,784,000"/>
        <filter val="500,000"/>
        <filter val="513,000"/>
        <filter val="54,600"/>
        <filter val="56,780,000"/>
        <filter val="560,000"/>
        <filter val="6,930,000"/>
        <filter val="68,000"/>
        <filter val="7,665,000"/>
        <filter val="7,920,000"/>
        <filter val="700,000"/>
        <filter val="8,170,000"/>
        <filter val="850,000"/>
        <filter val="875,000"/>
        <filter val="882,000"/>
        <filter val="9,366,000"/>
        <filter val="99,000"/>
        <filter val="thành tiền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2:E160"/>
  <sheetViews>
    <sheetView tabSelected="1" workbookViewId="0">
      <selection activeCell="J24" sqref="J24"/>
    </sheetView>
  </sheetViews>
  <sheetFormatPr defaultRowHeight="14.4" x14ac:dyDescent="0.3"/>
  <cols>
    <col min="1" max="1" width="32.21875" customWidth="1"/>
    <col min="4" max="4" width="11.33203125" customWidth="1"/>
    <col min="5" max="5" width="16.44140625" customWidth="1"/>
  </cols>
  <sheetData>
    <row r="2" spans="1:5" x14ac:dyDescent="0.3">
      <c r="A2" t="s">
        <v>0</v>
      </c>
      <c r="B2" t="s">
        <v>1</v>
      </c>
      <c r="C2" t="s">
        <v>102</v>
      </c>
      <c r="D2" t="s">
        <v>100</v>
      </c>
      <c r="E2" t="s">
        <v>101</v>
      </c>
    </row>
    <row r="3" spans="1:5" x14ac:dyDescent="0.3">
      <c r="A3" t="s">
        <v>44</v>
      </c>
      <c r="B3" t="s">
        <v>3</v>
      </c>
      <c r="C3">
        <v>20</v>
      </c>
      <c r="D3">
        <v>36000</v>
      </c>
      <c r="E3">
        <f>C3*D3</f>
        <v>720000</v>
      </c>
    </row>
    <row r="4" spans="1:5" x14ac:dyDescent="0.3">
      <c r="A4" t="s">
        <v>45</v>
      </c>
      <c r="B4" t="s">
        <v>3</v>
      </c>
      <c r="C4">
        <v>778</v>
      </c>
      <c r="D4">
        <v>7000</v>
      </c>
      <c r="E4">
        <f t="shared" ref="E4:E67" si="0">C4*D4</f>
        <v>5446000</v>
      </c>
    </row>
    <row r="5" spans="1:5" x14ac:dyDescent="0.3">
      <c r="A5" t="s">
        <v>17</v>
      </c>
      <c r="B5" t="s">
        <v>3</v>
      </c>
      <c r="C5">
        <v>440</v>
      </c>
      <c r="D5">
        <v>5000</v>
      </c>
      <c r="E5">
        <f t="shared" si="0"/>
        <v>2200000</v>
      </c>
    </row>
    <row r="6" spans="1:5" hidden="1" x14ac:dyDescent="0.3">
      <c r="A6" t="s">
        <v>92</v>
      </c>
      <c r="B6" t="s">
        <v>3</v>
      </c>
      <c r="C6">
        <v>0</v>
      </c>
      <c r="E6">
        <f t="shared" si="0"/>
        <v>0</v>
      </c>
    </row>
    <row r="7" spans="1:5" x14ac:dyDescent="0.3">
      <c r="A7" t="s">
        <v>24</v>
      </c>
      <c r="B7" t="s">
        <v>3</v>
      </c>
      <c r="C7">
        <v>978</v>
      </c>
      <c r="D7">
        <v>7000</v>
      </c>
      <c r="E7">
        <f t="shared" si="0"/>
        <v>6846000</v>
      </c>
    </row>
    <row r="8" spans="1:5" x14ac:dyDescent="0.3">
      <c r="A8" t="s">
        <v>25</v>
      </c>
      <c r="B8" t="s">
        <v>3</v>
      </c>
      <c r="C8">
        <v>18</v>
      </c>
      <c r="D8">
        <v>23000</v>
      </c>
      <c r="E8">
        <f t="shared" si="0"/>
        <v>414000</v>
      </c>
    </row>
    <row r="9" spans="1:5" hidden="1" x14ac:dyDescent="0.3">
      <c r="A9" t="s">
        <v>25</v>
      </c>
      <c r="B9" t="s">
        <v>26</v>
      </c>
      <c r="C9">
        <v>0</v>
      </c>
      <c r="E9">
        <f t="shared" si="0"/>
        <v>0</v>
      </c>
    </row>
    <row r="10" spans="1:5" x14ac:dyDescent="0.3">
      <c r="A10" t="s">
        <v>27</v>
      </c>
      <c r="B10" t="s">
        <v>3</v>
      </c>
      <c r="C10">
        <v>40</v>
      </c>
      <c r="D10">
        <v>13000</v>
      </c>
      <c r="E10">
        <f t="shared" si="0"/>
        <v>520000</v>
      </c>
    </row>
    <row r="11" spans="1:5" hidden="1" x14ac:dyDescent="0.3">
      <c r="A11" t="s">
        <v>27</v>
      </c>
      <c r="B11" t="s">
        <v>26</v>
      </c>
      <c r="C11">
        <v>0</v>
      </c>
      <c r="E11">
        <f t="shared" si="0"/>
        <v>0</v>
      </c>
    </row>
    <row r="12" spans="1:5" hidden="1" x14ac:dyDescent="0.3">
      <c r="A12" t="s">
        <v>37</v>
      </c>
      <c r="B12" t="s">
        <v>3</v>
      </c>
      <c r="C12">
        <v>0</v>
      </c>
      <c r="E12">
        <f t="shared" si="0"/>
        <v>0</v>
      </c>
    </row>
    <row r="13" spans="1:5" hidden="1" x14ac:dyDescent="0.3">
      <c r="A13" t="s">
        <v>46</v>
      </c>
      <c r="B13" t="s">
        <v>3</v>
      </c>
      <c r="C13">
        <v>0</v>
      </c>
      <c r="E13">
        <f t="shared" si="0"/>
        <v>0</v>
      </c>
    </row>
    <row r="14" spans="1:5" hidden="1" x14ac:dyDescent="0.3">
      <c r="A14" t="s">
        <v>47</v>
      </c>
      <c r="B14" t="s">
        <v>3</v>
      </c>
      <c r="C14">
        <v>0</v>
      </c>
      <c r="E14">
        <f t="shared" si="0"/>
        <v>0</v>
      </c>
    </row>
    <row r="15" spans="1:5" hidden="1" x14ac:dyDescent="0.3">
      <c r="A15" t="s">
        <v>123</v>
      </c>
      <c r="B15" t="s">
        <v>3</v>
      </c>
      <c r="C15">
        <v>0</v>
      </c>
      <c r="E15">
        <f t="shared" si="0"/>
        <v>0</v>
      </c>
    </row>
    <row r="16" spans="1:5" hidden="1" x14ac:dyDescent="0.3">
      <c r="A16" t="s">
        <v>82</v>
      </c>
      <c r="B16" t="s">
        <v>3</v>
      </c>
      <c r="C16">
        <v>0</v>
      </c>
      <c r="E16">
        <f t="shared" si="0"/>
        <v>0</v>
      </c>
    </row>
    <row r="17" spans="1:5" x14ac:dyDescent="0.3">
      <c r="A17" t="s">
        <v>16</v>
      </c>
      <c r="B17" t="s">
        <v>6</v>
      </c>
      <c r="C17">
        <v>3</v>
      </c>
      <c r="D17">
        <v>7600</v>
      </c>
      <c r="E17">
        <f t="shared" si="0"/>
        <v>22800</v>
      </c>
    </row>
    <row r="18" spans="1:5" x14ac:dyDescent="0.3">
      <c r="A18" t="s">
        <v>28</v>
      </c>
      <c r="B18" t="s">
        <v>3</v>
      </c>
      <c r="C18">
        <v>90</v>
      </c>
      <c r="D18">
        <v>21000</v>
      </c>
      <c r="E18">
        <f t="shared" si="0"/>
        <v>1890000</v>
      </c>
    </row>
    <row r="19" spans="1:5" hidden="1" x14ac:dyDescent="0.3">
      <c r="A19" t="s">
        <v>28</v>
      </c>
      <c r="B19" t="s">
        <v>6</v>
      </c>
      <c r="C19">
        <v>0</v>
      </c>
      <c r="E19">
        <f t="shared" si="0"/>
        <v>0</v>
      </c>
    </row>
    <row r="20" spans="1:5" hidden="1" x14ac:dyDescent="0.3">
      <c r="A20" t="s">
        <v>28</v>
      </c>
      <c r="B20" t="s">
        <v>29</v>
      </c>
      <c r="C20">
        <v>0</v>
      </c>
      <c r="E20">
        <f t="shared" si="0"/>
        <v>0</v>
      </c>
    </row>
    <row r="21" spans="1:5" x14ac:dyDescent="0.3">
      <c r="A21" t="s">
        <v>48</v>
      </c>
      <c r="B21" t="s">
        <v>3</v>
      </c>
      <c r="C21">
        <v>271</v>
      </c>
      <c r="D21">
        <v>19000</v>
      </c>
      <c r="E21">
        <f t="shared" si="0"/>
        <v>5149000</v>
      </c>
    </row>
    <row r="22" spans="1:5" hidden="1" x14ac:dyDescent="0.3">
      <c r="A22" t="s">
        <v>48</v>
      </c>
      <c r="B22" t="s">
        <v>49</v>
      </c>
      <c r="C22">
        <v>0</v>
      </c>
      <c r="E22">
        <f t="shared" si="0"/>
        <v>0</v>
      </c>
    </row>
    <row r="23" spans="1:5" x14ac:dyDescent="0.3">
      <c r="A23" t="s">
        <v>40</v>
      </c>
      <c r="B23" t="s">
        <v>159</v>
      </c>
      <c r="C23">
        <v>8</v>
      </c>
      <c r="D23">
        <v>15000</v>
      </c>
      <c r="E23">
        <f t="shared" si="0"/>
        <v>120000</v>
      </c>
    </row>
    <row r="24" spans="1:5" x14ac:dyDescent="0.3">
      <c r="A24" t="s">
        <v>40</v>
      </c>
      <c r="B24" t="s">
        <v>41</v>
      </c>
      <c r="C24">
        <v>72</v>
      </c>
      <c r="D24">
        <v>9000</v>
      </c>
      <c r="E24">
        <f t="shared" si="0"/>
        <v>648000</v>
      </c>
    </row>
    <row r="25" spans="1:5" x14ac:dyDescent="0.3">
      <c r="A25" t="s">
        <v>50</v>
      </c>
      <c r="B25" t="s">
        <v>8</v>
      </c>
      <c r="C25">
        <v>6</v>
      </c>
      <c r="D25">
        <v>16500</v>
      </c>
      <c r="E25">
        <f t="shared" si="0"/>
        <v>99000</v>
      </c>
    </row>
    <row r="26" spans="1:5" x14ac:dyDescent="0.3">
      <c r="A26" t="s">
        <v>51</v>
      </c>
      <c r="B26" t="s">
        <v>3</v>
      </c>
      <c r="C26">
        <v>4.8</v>
      </c>
      <c r="D26">
        <v>35000</v>
      </c>
      <c r="E26">
        <f t="shared" si="0"/>
        <v>168000</v>
      </c>
    </row>
    <row r="27" spans="1:5" x14ac:dyDescent="0.3">
      <c r="A27" t="s">
        <v>51</v>
      </c>
      <c r="B27" t="s">
        <v>52</v>
      </c>
      <c r="C27">
        <v>154</v>
      </c>
      <c r="D27">
        <v>12000</v>
      </c>
      <c r="E27">
        <f t="shared" si="0"/>
        <v>1848000</v>
      </c>
    </row>
    <row r="28" spans="1:5" x14ac:dyDescent="0.3">
      <c r="A28" t="s">
        <v>30</v>
      </c>
      <c r="B28" t="s">
        <v>3</v>
      </c>
      <c r="C28">
        <v>420</v>
      </c>
      <c r="D28">
        <v>20000</v>
      </c>
      <c r="E28">
        <f t="shared" si="0"/>
        <v>8400000</v>
      </c>
    </row>
    <row r="29" spans="1:5" hidden="1" x14ac:dyDescent="0.3">
      <c r="A29" t="s">
        <v>30</v>
      </c>
      <c r="B29" t="s">
        <v>6</v>
      </c>
      <c r="C29">
        <v>0</v>
      </c>
      <c r="E29">
        <f t="shared" si="0"/>
        <v>0</v>
      </c>
    </row>
    <row r="30" spans="1:5" x14ac:dyDescent="0.3">
      <c r="A30" t="s">
        <v>31</v>
      </c>
      <c r="B30" t="s">
        <v>4</v>
      </c>
      <c r="C30">
        <v>80</v>
      </c>
      <c r="D30">
        <v>16000</v>
      </c>
      <c r="E30">
        <f t="shared" si="0"/>
        <v>1280000</v>
      </c>
    </row>
    <row r="31" spans="1:5" x14ac:dyDescent="0.3">
      <c r="A31" t="s">
        <v>2</v>
      </c>
      <c r="B31" t="s">
        <v>3</v>
      </c>
      <c r="C31">
        <v>75</v>
      </c>
      <c r="D31">
        <v>13000</v>
      </c>
      <c r="E31">
        <f t="shared" si="0"/>
        <v>975000</v>
      </c>
    </row>
    <row r="32" spans="1:5" hidden="1" x14ac:dyDescent="0.3">
      <c r="A32" t="s">
        <v>2</v>
      </c>
      <c r="B32" t="s">
        <v>4</v>
      </c>
      <c r="C32">
        <v>0</v>
      </c>
      <c r="E32">
        <f t="shared" si="0"/>
        <v>0</v>
      </c>
    </row>
    <row r="33" spans="1:5" x14ac:dyDescent="0.3">
      <c r="A33" t="s">
        <v>5</v>
      </c>
      <c r="B33" t="s">
        <v>6</v>
      </c>
      <c r="C33">
        <v>10</v>
      </c>
      <c r="D33">
        <v>10000</v>
      </c>
      <c r="E33">
        <f t="shared" si="0"/>
        <v>100000</v>
      </c>
    </row>
    <row r="34" spans="1:5" x14ac:dyDescent="0.3">
      <c r="A34" t="s">
        <v>53</v>
      </c>
      <c r="B34" t="s">
        <v>3</v>
      </c>
      <c r="C34">
        <v>15</v>
      </c>
      <c r="D34">
        <v>10000</v>
      </c>
      <c r="E34">
        <f t="shared" si="0"/>
        <v>150000</v>
      </c>
    </row>
    <row r="35" spans="1:5" hidden="1" x14ac:dyDescent="0.3">
      <c r="A35" t="s">
        <v>53</v>
      </c>
      <c r="B35" t="s">
        <v>54</v>
      </c>
      <c r="C35">
        <v>0</v>
      </c>
      <c r="E35">
        <f t="shared" si="0"/>
        <v>0</v>
      </c>
    </row>
    <row r="36" spans="1:5" hidden="1" x14ac:dyDescent="0.3">
      <c r="A36" t="s">
        <v>18</v>
      </c>
      <c r="B36" t="s">
        <v>3</v>
      </c>
      <c r="C36">
        <v>0</v>
      </c>
      <c r="E36">
        <f t="shared" si="0"/>
        <v>0</v>
      </c>
    </row>
    <row r="37" spans="1:5" hidden="1" x14ac:dyDescent="0.3">
      <c r="A37" t="s">
        <v>18</v>
      </c>
      <c r="B37" t="s">
        <v>4</v>
      </c>
      <c r="C37">
        <v>0</v>
      </c>
      <c r="E37">
        <f t="shared" si="0"/>
        <v>0</v>
      </c>
    </row>
    <row r="38" spans="1:5" x14ac:dyDescent="0.3">
      <c r="A38" t="s">
        <v>55</v>
      </c>
      <c r="B38" t="s">
        <v>4</v>
      </c>
      <c r="C38">
        <v>7</v>
      </c>
      <c r="D38">
        <v>3900</v>
      </c>
      <c r="E38">
        <f t="shared" si="0"/>
        <v>27300</v>
      </c>
    </row>
    <row r="39" spans="1:5" x14ac:dyDescent="0.3">
      <c r="A39" t="s">
        <v>19</v>
      </c>
      <c r="B39" t="s">
        <v>4</v>
      </c>
      <c r="C39">
        <v>22</v>
      </c>
      <c r="D39">
        <v>3900</v>
      </c>
      <c r="E39">
        <f t="shared" si="0"/>
        <v>85800</v>
      </c>
    </row>
    <row r="40" spans="1:5" hidden="1" x14ac:dyDescent="0.3">
      <c r="A40" t="s">
        <v>20</v>
      </c>
      <c r="B40" t="s">
        <v>3</v>
      </c>
      <c r="C40">
        <v>0</v>
      </c>
      <c r="E40">
        <f t="shared" si="0"/>
        <v>0</v>
      </c>
    </row>
    <row r="41" spans="1:5" hidden="1" x14ac:dyDescent="0.3">
      <c r="A41" t="s">
        <v>97</v>
      </c>
      <c r="B41" t="s">
        <v>3</v>
      </c>
      <c r="C41">
        <v>0</v>
      </c>
      <c r="E41">
        <f t="shared" si="0"/>
        <v>0</v>
      </c>
    </row>
    <row r="42" spans="1:5" hidden="1" x14ac:dyDescent="0.3">
      <c r="A42" t="s">
        <v>21</v>
      </c>
      <c r="B42" t="s">
        <v>22</v>
      </c>
      <c r="C42">
        <v>0</v>
      </c>
      <c r="E42">
        <f t="shared" si="0"/>
        <v>0</v>
      </c>
    </row>
    <row r="43" spans="1:5" x14ac:dyDescent="0.3">
      <c r="A43" t="s">
        <v>21</v>
      </c>
      <c r="B43" t="s">
        <v>3</v>
      </c>
      <c r="C43">
        <v>75</v>
      </c>
      <c r="D43">
        <v>10000</v>
      </c>
      <c r="E43">
        <f t="shared" si="0"/>
        <v>750000</v>
      </c>
    </row>
    <row r="44" spans="1:5" x14ac:dyDescent="0.3">
      <c r="A44" t="s">
        <v>56</v>
      </c>
      <c r="B44" t="s">
        <v>3</v>
      </c>
      <c r="C44">
        <v>20</v>
      </c>
      <c r="D44">
        <v>14000</v>
      </c>
      <c r="E44">
        <f t="shared" si="0"/>
        <v>280000</v>
      </c>
    </row>
    <row r="45" spans="1:5" x14ac:dyDescent="0.3">
      <c r="A45" t="s">
        <v>7</v>
      </c>
      <c r="B45" t="s">
        <v>8</v>
      </c>
      <c r="C45">
        <v>7</v>
      </c>
      <c r="D45">
        <v>9000</v>
      </c>
      <c r="E45">
        <f t="shared" si="0"/>
        <v>63000</v>
      </c>
    </row>
    <row r="46" spans="1:5" x14ac:dyDescent="0.3">
      <c r="A46" t="s">
        <v>57</v>
      </c>
      <c r="B46" t="s">
        <v>3</v>
      </c>
      <c r="C46">
        <v>68</v>
      </c>
      <c r="D46">
        <v>5500</v>
      </c>
      <c r="E46">
        <f t="shared" si="0"/>
        <v>374000</v>
      </c>
    </row>
    <row r="47" spans="1:5" x14ac:dyDescent="0.3">
      <c r="A47" t="s">
        <v>9</v>
      </c>
      <c r="B47" t="s">
        <v>3</v>
      </c>
      <c r="C47">
        <v>19</v>
      </c>
      <c r="D47">
        <v>11000</v>
      </c>
      <c r="E47">
        <f t="shared" si="0"/>
        <v>209000</v>
      </c>
    </row>
    <row r="48" spans="1:5" hidden="1" x14ac:dyDescent="0.3">
      <c r="A48" t="s">
        <v>9</v>
      </c>
      <c r="B48" t="s">
        <v>4</v>
      </c>
      <c r="C48">
        <v>0</v>
      </c>
      <c r="E48">
        <f t="shared" si="0"/>
        <v>0</v>
      </c>
    </row>
    <row r="49" spans="1:5" x14ac:dyDescent="0.3">
      <c r="A49" t="s">
        <v>58</v>
      </c>
      <c r="B49" t="s">
        <v>3</v>
      </c>
      <c r="C49">
        <v>8</v>
      </c>
      <c r="D49">
        <v>23000</v>
      </c>
      <c r="E49">
        <f t="shared" si="0"/>
        <v>184000</v>
      </c>
    </row>
    <row r="50" spans="1:5" x14ac:dyDescent="0.3">
      <c r="A50" t="s">
        <v>10</v>
      </c>
      <c r="B50" t="s">
        <v>3</v>
      </c>
      <c r="C50">
        <v>315</v>
      </c>
      <c r="D50">
        <v>19000</v>
      </c>
      <c r="E50">
        <f t="shared" si="0"/>
        <v>5985000</v>
      </c>
    </row>
    <row r="51" spans="1:5" hidden="1" x14ac:dyDescent="0.3">
      <c r="A51" t="s">
        <v>10</v>
      </c>
      <c r="B51" t="s">
        <v>11</v>
      </c>
      <c r="C51">
        <v>0</v>
      </c>
      <c r="E51">
        <f t="shared" si="0"/>
        <v>0</v>
      </c>
    </row>
    <row r="52" spans="1:5" x14ac:dyDescent="0.3">
      <c r="A52" t="s">
        <v>106</v>
      </c>
      <c r="B52" t="s">
        <v>3</v>
      </c>
      <c r="C52">
        <v>20</v>
      </c>
      <c r="D52">
        <v>20000</v>
      </c>
      <c r="E52">
        <f t="shared" si="0"/>
        <v>400000</v>
      </c>
    </row>
    <row r="53" spans="1:5" x14ac:dyDescent="0.3">
      <c r="A53" t="s">
        <v>12</v>
      </c>
      <c r="B53" t="s">
        <v>4</v>
      </c>
      <c r="C53">
        <v>300</v>
      </c>
      <c r="D53">
        <v>4500</v>
      </c>
      <c r="E53">
        <f t="shared" si="0"/>
        <v>1350000</v>
      </c>
    </row>
    <row r="54" spans="1:5" x14ac:dyDescent="0.3">
      <c r="A54" t="s">
        <v>39</v>
      </c>
      <c r="B54" t="s">
        <v>3</v>
      </c>
      <c r="C54">
        <v>90</v>
      </c>
      <c r="D54">
        <v>24000</v>
      </c>
      <c r="E54">
        <f t="shared" si="0"/>
        <v>2160000</v>
      </c>
    </row>
    <row r="55" spans="1:5" hidden="1" x14ac:dyDescent="0.3">
      <c r="A55" t="s">
        <v>13</v>
      </c>
      <c r="B55" t="s">
        <v>3</v>
      </c>
      <c r="C55">
        <v>0</v>
      </c>
      <c r="E55">
        <f t="shared" si="0"/>
        <v>0</v>
      </c>
    </row>
    <row r="56" spans="1:5" hidden="1" x14ac:dyDescent="0.3">
      <c r="A56" t="s">
        <v>13</v>
      </c>
      <c r="B56" t="s">
        <v>4</v>
      </c>
      <c r="C56">
        <v>0</v>
      </c>
      <c r="E56">
        <f t="shared" si="0"/>
        <v>0</v>
      </c>
    </row>
    <row r="57" spans="1:5" x14ac:dyDescent="0.3">
      <c r="A57" t="s">
        <v>133</v>
      </c>
      <c r="B57" t="s">
        <v>3</v>
      </c>
      <c r="C57">
        <v>180</v>
      </c>
      <c r="D57">
        <v>17000</v>
      </c>
      <c r="E57">
        <f t="shared" si="0"/>
        <v>3060000</v>
      </c>
    </row>
    <row r="58" spans="1:5" x14ac:dyDescent="0.3">
      <c r="A58" t="s">
        <v>14</v>
      </c>
      <c r="B58" t="s">
        <v>3</v>
      </c>
      <c r="C58">
        <v>490</v>
      </c>
      <c r="D58">
        <v>16500</v>
      </c>
      <c r="E58">
        <f t="shared" si="0"/>
        <v>8085000</v>
      </c>
    </row>
    <row r="59" spans="1:5" x14ac:dyDescent="0.3">
      <c r="A59" t="s">
        <v>93</v>
      </c>
      <c r="B59" t="s">
        <v>3</v>
      </c>
      <c r="C59">
        <v>75</v>
      </c>
      <c r="D59">
        <v>25000</v>
      </c>
      <c r="E59">
        <f t="shared" si="0"/>
        <v>1875000</v>
      </c>
    </row>
    <row r="60" spans="1:5" hidden="1" x14ac:dyDescent="0.3">
      <c r="A60" t="s">
        <v>42</v>
      </c>
      <c r="B60" t="s">
        <v>3</v>
      </c>
      <c r="C60">
        <v>0</v>
      </c>
      <c r="E60">
        <f t="shared" si="0"/>
        <v>0</v>
      </c>
    </row>
    <row r="61" spans="1:5" hidden="1" x14ac:dyDescent="0.3">
      <c r="A61" t="s">
        <v>89</v>
      </c>
      <c r="B61" t="s">
        <v>4</v>
      </c>
      <c r="C61">
        <v>0</v>
      </c>
      <c r="E61">
        <f t="shared" si="0"/>
        <v>0</v>
      </c>
    </row>
    <row r="62" spans="1:5" x14ac:dyDescent="0.3">
      <c r="A62" t="s">
        <v>15</v>
      </c>
      <c r="B62" t="s">
        <v>3</v>
      </c>
      <c r="C62">
        <v>110</v>
      </c>
      <c r="D62">
        <v>18000</v>
      </c>
      <c r="E62">
        <f t="shared" si="0"/>
        <v>1980000</v>
      </c>
    </row>
    <row r="63" spans="1:5" hidden="1" x14ac:dyDescent="0.3">
      <c r="A63" t="s">
        <v>15</v>
      </c>
      <c r="B63" t="s">
        <v>4</v>
      </c>
      <c r="C63">
        <v>0</v>
      </c>
      <c r="E63">
        <f t="shared" si="0"/>
        <v>0</v>
      </c>
    </row>
    <row r="64" spans="1:5" x14ac:dyDescent="0.3">
      <c r="A64" t="s">
        <v>87</v>
      </c>
      <c r="B64" t="s">
        <v>4</v>
      </c>
      <c r="C64">
        <v>30</v>
      </c>
      <c r="D64">
        <v>8000</v>
      </c>
      <c r="E64">
        <f t="shared" si="0"/>
        <v>240000</v>
      </c>
    </row>
    <row r="65" spans="1:5" x14ac:dyDescent="0.3">
      <c r="A65" t="s">
        <v>59</v>
      </c>
      <c r="B65" t="s">
        <v>3</v>
      </c>
      <c r="C65">
        <v>38</v>
      </c>
      <c r="D65">
        <v>12000</v>
      </c>
      <c r="E65">
        <f t="shared" si="0"/>
        <v>456000</v>
      </c>
    </row>
    <row r="66" spans="1:5" hidden="1" x14ac:dyDescent="0.3">
      <c r="A66" t="s">
        <v>166</v>
      </c>
      <c r="B66" t="s">
        <v>3</v>
      </c>
      <c r="C66">
        <v>0</v>
      </c>
      <c r="E66">
        <f t="shared" si="0"/>
        <v>0</v>
      </c>
    </row>
    <row r="67" spans="1:5" x14ac:dyDescent="0.3">
      <c r="A67" t="s">
        <v>60</v>
      </c>
      <c r="B67" t="s">
        <v>4</v>
      </c>
      <c r="C67">
        <v>3</v>
      </c>
      <c r="D67">
        <v>10000</v>
      </c>
      <c r="E67">
        <f t="shared" si="0"/>
        <v>30000</v>
      </c>
    </row>
    <row r="68" spans="1:5" hidden="1" x14ac:dyDescent="0.3">
      <c r="A68" t="s">
        <v>61</v>
      </c>
      <c r="B68" t="s">
        <v>3</v>
      </c>
      <c r="C68">
        <v>0</v>
      </c>
      <c r="E68">
        <f t="shared" ref="E68:E133" si="1">C68*D68</f>
        <v>0</v>
      </c>
    </row>
    <row r="69" spans="1:5" x14ac:dyDescent="0.3">
      <c r="A69" t="s">
        <v>61</v>
      </c>
      <c r="B69" t="s">
        <v>62</v>
      </c>
      <c r="C69">
        <v>28</v>
      </c>
      <c r="D69">
        <v>11000</v>
      </c>
      <c r="E69">
        <f t="shared" si="1"/>
        <v>308000</v>
      </c>
    </row>
    <row r="70" spans="1:5" hidden="1" x14ac:dyDescent="0.3">
      <c r="A70" t="s">
        <v>63</v>
      </c>
      <c r="B70" t="s">
        <v>3</v>
      </c>
      <c r="C70">
        <v>0</v>
      </c>
      <c r="E70">
        <f t="shared" si="1"/>
        <v>0</v>
      </c>
    </row>
    <row r="71" spans="1:5" hidden="1" x14ac:dyDescent="0.3">
      <c r="A71" t="s">
        <v>64</v>
      </c>
      <c r="B71" t="s">
        <v>3</v>
      </c>
      <c r="C71">
        <v>0</v>
      </c>
      <c r="E71">
        <f t="shared" si="1"/>
        <v>0</v>
      </c>
    </row>
    <row r="72" spans="1:5" hidden="1" x14ac:dyDescent="0.3">
      <c r="A72" t="s">
        <v>65</v>
      </c>
      <c r="B72" t="s">
        <v>3</v>
      </c>
      <c r="C72">
        <v>0</v>
      </c>
      <c r="E72">
        <f t="shared" si="1"/>
        <v>0</v>
      </c>
    </row>
    <row r="73" spans="1:5" hidden="1" x14ac:dyDescent="0.3">
      <c r="A73" t="s">
        <v>90</v>
      </c>
      <c r="B73" t="s">
        <v>4</v>
      </c>
      <c r="C73">
        <v>0</v>
      </c>
      <c r="E73">
        <f t="shared" si="1"/>
        <v>0</v>
      </c>
    </row>
    <row r="74" spans="1:5" hidden="1" x14ac:dyDescent="0.3">
      <c r="A74" t="s">
        <v>32</v>
      </c>
      <c r="B74" t="s">
        <v>3</v>
      </c>
      <c r="C74">
        <v>0</v>
      </c>
      <c r="E74">
        <f t="shared" si="1"/>
        <v>0</v>
      </c>
    </row>
    <row r="75" spans="1:5" x14ac:dyDescent="0.3">
      <c r="A75" t="s">
        <v>32</v>
      </c>
      <c r="B75" t="s">
        <v>6</v>
      </c>
      <c r="C75">
        <v>59</v>
      </c>
      <c r="D75">
        <v>8000</v>
      </c>
      <c r="E75">
        <f t="shared" si="1"/>
        <v>472000</v>
      </c>
    </row>
    <row r="76" spans="1:5" x14ac:dyDescent="0.3">
      <c r="A76" t="s">
        <v>81</v>
      </c>
      <c r="B76" t="s">
        <v>3</v>
      </c>
      <c r="C76">
        <v>7</v>
      </c>
      <c r="D76">
        <v>14000</v>
      </c>
      <c r="E76">
        <f t="shared" si="1"/>
        <v>98000</v>
      </c>
    </row>
    <row r="77" spans="1:5" x14ac:dyDescent="0.3">
      <c r="A77" t="s">
        <v>33</v>
      </c>
      <c r="B77" t="s">
        <v>3</v>
      </c>
      <c r="C77">
        <v>20</v>
      </c>
      <c r="D77">
        <v>12000</v>
      </c>
      <c r="E77">
        <f t="shared" si="1"/>
        <v>240000</v>
      </c>
    </row>
    <row r="78" spans="1:5" hidden="1" x14ac:dyDescent="0.3">
      <c r="A78" t="s">
        <v>66</v>
      </c>
      <c r="B78" t="s">
        <v>22</v>
      </c>
      <c r="C78">
        <v>0</v>
      </c>
      <c r="E78">
        <f t="shared" si="1"/>
        <v>0</v>
      </c>
    </row>
    <row r="79" spans="1:5" x14ac:dyDescent="0.3">
      <c r="A79" t="s">
        <v>66</v>
      </c>
      <c r="B79" t="s">
        <v>3</v>
      </c>
      <c r="C79">
        <v>15</v>
      </c>
      <c r="D79">
        <v>19000</v>
      </c>
      <c r="E79">
        <f t="shared" si="1"/>
        <v>285000</v>
      </c>
    </row>
    <row r="80" spans="1:5" x14ac:dyDescent="0.3">
      <c r="A80" t="s">
        <v>43</v>
      </c>
      <c r="B80" t="s">
        <v>3</v>
      </c>
      <c r="C80">
        <v>1030</v>
      </c>
      <c r="D80">
        <v>27600</v>
      </c>
      <c r="E80">
        <f t="shared" si="1"/>
        <v>28428000</v>
      </c>
    </row>
    <row r="81" spans="1:5" hidden="1" x14ac:dyDescent="0.3">
      <c r="A81" t="s">
        <v>67</v>
      </c>
      <c r="B81" t="s">
        <v>3</v>
      </c>
      <c r="C81">
        <v>0</v>
      </c>
      <c r="E81">
        <f t="shared" si="1"/>
        <v>0</v>
      </c>
    </row>
    <row r="82" spans="1:5" x14ac:dyDescent="0.3">
      <c r="A82" t="s">
        <v>68</v>
      </c>
      <c r="B82" t="s">
        <v>158</v>
      </c>
      <c r="C82">
        <v>40</v>
      </c>
      <c r="D82">
        <v>2000</v>
      </c>
      <c r="E82">
        <f t="shared" si="1"/>
        <v>80000</v>
      </c>
    </row>
    <row r="83" spans="1:5" hidden="1" x14ac:dyDescent="0.3">
      <c r="A83" t="s">
        <v>68</v>
      </c>
      <c r="B83" t="s">
        <v>4</v>
      </c>
      <c r="C83">
        <v>0</v>
      </c>
      <c r="E83">
        <f t="shared" si="1"/>
        <v>0</v>
      </c>
    </row>
    <row r="84" spans="1:5" x14ac:dyDescent="0.3">
      <c r="A84" t="s">
        <v>69</v>
      </c>
      <c r="B84" t="s">
        <v>3</v>
      </c>
      <c r="C84">
        <v>12</v>
      </c>
      <c r="D84">
        <v>14000</v>
      </c>
      <c r="E84">
        <f t="shared" si="1"/>
        <v>168000</v>
      </c>
    </row>
    <row r="85" spans="1:5" hidden="1" x14ac:dyDescent="0.3">
      <c r="A85" t="s">
        <v>38</v>
      </c>
      <c r="B85" t="s">
        <v>6</v>
      </c>
      <c r="C85">
        <v>0</v>
      </c>
      <c r="E85">
        <f t="shared" si="1"/>
        <v>0</v>
      </c>
    </row>
    <row r="86" spans="1:5" hidden="1" x14ac:dyDescent="0.3">
      <c r="A86" t="s">
        <v>70</v>
      </c>
      <c r="B86" t="s">
        <v>8</v>
      </c>
      <c r="C86">
        <v>0</v>
      </c>
      <c r="E86">
        <f t="shared" si="1"/>
        <v>0</v>
      </c>
    </row>
    <row r="87" spans="1:5" x14ac:dyDescent="0.3">
      <c r="A87" t="s">
        <v>70</v>
      </c>
      <c r="B87" t="s">
        <v>3</v>
      </c>
      <c r="C87">
        <v>2</v>
      </c>
      <c r="D87">
        <v>50000</v>
      </c>
      <c r="E87">
        <f t="shared" si="1"/>
        <v>100000</v>
      </c>
    </row>
    <row r="88" spans="1:5" x14ac:dyDescent="0.3">
      <c r="A88" t="s">
        <v>34</v>
      </c>
      <c r="B88" t="s">
        <v>3</v>
      </c>
      <c r="C88">
        <v>190</v>
      </c>
      <c r="D88">
        <v>35000</v>
      </c>
      <c r="E88">
        <f t="shared" si="1"/>
        <v>6650000</v>
      </c>
    </row>
    <row r="89" spans="1:5" hidden="1" x14ac:dyDescent="0.3">
      <c r="A89" t="s">
        <v>34</v>
      </c>
      <c r="B89" t="s">
        <v>26</v>
      </c>
      <c r="C89">
        <v>0</v>
      </c>
      <c r="E89">
        <f t="shared" si="1"/>
        <v>0</v>
      </c>
    </row>
    <row r="90" spans="1:5" x14ac:dyDescent="0.3">
      <c r="A90" t="s">
        <v>35</v>
      </c>
      <c r="B90" t="s">
        <v>3</v>
      </c>
      <c r="C90">
        <v>55</v>
      </c>
      <c r="D90">
        <v>35000</v>
      </c>
      <c r="E90">
        <f t="shared" si="1"/>
        <v>1925000</v>
      </c>
    </row>
    <row r="91" spans="1:5" hidden="1" x14ac:dyDescent="0.3">
      <c r="A91" t="s">
        <v>35</v>
      </c>
      <c r="B91" t="s">
        <v>26</v>
      </c>
      <c r="C91">
        <v>0</v>
      </c>
      <c r="E91">
        <f t="shared" si="1"/>
        <v>0</v>
      </c>
    </row>
    <row r="92" spans="1:5" hidden="1" x14ac:dyDescent="0.3">
      <c r="A92" t="s">
        <v>36</v>
      </c>
      <c r="B92" t="s">
        <v>3</v>
      </c>
      <c r="C92">
        <v>0</v>
      </c>
      <c r="E92">
        <f t="shared" si="1"/>
        <v>0</v>
      </c>
    </row>
    <row r="93" spans="1:5" hidden="1" x14ac:dyDescent="0.3">
      <c r="A93" t="s">
        <v>36</v>
      </c>
      <c r="B93" t="s">
        <v>26</v>
      </c>
      <c r="C93">
        <v>0</v>
      </c>
      <c r="E93">
        <f t="shared" si="1"/>
        <v>0</v>
      </c>
    </row>
    <row r="94" spans="1:5" x14ac:dyDescent="0.3">
      <c r="A94" t="s">
        <v>71</v>
      </c>
      <c r="B94" t="s">
        <v>158</v>
      </c>
      <c r="C94">
        <v>73</v>
      </c>
      <c r="D94">
        <v>22000</v>
      </c>
      <c r="E94">
        <f t="shared" si="1"/>
        <v>1606000</v>
      </c>
    </row>
    <row r="95" spans="1:5" hidden="1" x14ac:dyDescent="0.3">
      <c r="A95" t="s">
        <v>71</v>
      </c>
      <c r="B95" t="s">
        <v>4</v>
      </c>
      <c r="C95">
        <v>0</v>
      </c>
      <c r="E95">
        <f t="shared" si="1"/>
        <v>0</v>
      </c>
    </row>
    <row r="96" spans="1:5" hidden="1" x14ac:dyDescent="0.3">
      <c r="A96" t="s">
        <v>83</v>
      </c>
      <c r="B96" t="s">
        <v>4</v>
      </c>
      <c r="C96">
        <v>0</v>
      </c>
      <c r="E96">
        <f t="shared" si="1"/>
        <v>0</v>
      </c>
    </row>
    <row r="97" spans="1:5" hidden="1" x14ac:dyDescent="0.3">
      <c r="A97" t="s">
        <v>116</v>
      </c>
      <c r="B97" t="s">
        <v>26</v>
      </c>
      <c r="C97">
        <v>0</v>
      </c>
      <c r="E97">
        <f t="shared" si="1"/>
        <v>0</v>
      </c>
    </row>
    <row r="98" spans="1:5" x14ac:dyDescent="0.3">
      <c r="A98" t="s">
        <v>150</v>
      </c>
      <c r="B98" t="s">
        <v>26</v>
      </c>
      <c r="C98">
        <v>880</v>
      </c>
      <c r="D98">
        <v>17000</v>
      </c>
      <c r="E98">
        <f t="shared" si="1"/>
        <v>14960000</v>
      </c>
    </row>
    <row r="99" spans="1:5" x14ac:dyDescent="0.3">
      <c r="A99" t="s">
        <v>88</v>
      </c>
      <c r="B99" t="s">
        <v>3</v>
      </c>
      <c r="C99">
        <v>4040</v>
      </c>
      <c r="D99">
        <v>28000</v>
      </c>
      <c r="E99">
        <f t="shared" si="1"/>
        <v>113120000</v>
      </c>
    </row>
    <row r="100" spans="1:5" hidden="1" x14ac:dyDescent="0.3">
      <c r="A100" t="s">
        <v>91</v>
      </c>
      <c r="B100" t="s">
        <v>3</v>
      </c>
      <c r="C100">
        <v>0</v>
      </c>
      <c r="E100">
        <f t="shared" si="1"/>
        <v>0</v>
      </c>
    </row>
    <row r="101" spans="1:5" hidden="1" x14ac:dyDescent="0.3">
      <c r="A101" t="s">
        <v>72</v>
      </c>
      <c r="B101" t="s">
        <v>3</v>
      </c>
      <c r="C101">
        <v>0</v>
      </c>
      <c r="E101">
        <f t="shared" si="1"/>
        <v>0</v>
      </c>
    </row>
    <row r="102" spans="1:5" hidden="1" x14ac:dyDescent="0.3">
      <c r="A102" t="s">
        <v>73</v>
      </c>
      <c r="B102" t="s">
        <v>3</v>
      </c>
      <c r="C102">
        <v>0</v>
      </c>
      <c r="E102">
        <f t="shared" si="1"/>
        <v>0</v>
      </c>
    </row>
    <row r="103" spans="1:5" hidden="1" x14ac:dyDescent="0.3">
      <c r="A103" t="s">
        <v>23</v>
      </c>
      <c r="B103" t="s">
        <v>3</v>
      </c>
      <c r="C103">
        <v>0</v>
      </c>
      <c r="E103">
        <f t="shared" si="1"/>
        <v>0</v>
      </c>
    </row>
    <row r="104" spans="1:5" hidden="1" x14ac:dyDescent="0.3">
      <c r="A104" t="s">
        <v>84</v>
      </c>
      <c r="B104" t="s">
        <v>22</v>
      </c>
      <c r="C104">
        <v>0</v>
      </c>
      <c r="E104">
        <f t="shared" si="1"/>
        <v>0</v>
      </c>
    </row>
    <row r="105" spans="1:5" x14ac:dyDescent="0.3">
      <c r="A105" t="s">
        <v>74</v>
      </c>
      <c r="B105" t="s">
        <v>3</v>
      </c>
      <c r="C105">
        <v>3</v>
      </c>
      <c r="D105">
        <v>28000</v>
      </c>
      <c r="E105">
        <f t="shared" si="1"/>
        <v>84000</v>
      </c>
    </row>
    <row r="106" spans="1:5" hidden="1" x14ac:dyDescent="0.3">
      <c r="A106" t="s">
        <v>86</v>
      </c>
      <c r="B106" t="s">
        <v>22</v>
      </c>
      <c r="C106">
        <v>0</v>
      </c>
      <c r="E106">
        <f t="shared" si="1"/>
        <v>0</v>
      </c>
    </row>
    <row r="107" spans="1:5" hidden="1" x14ac:dyDescent="0.3">
      <c r="A107" t="s">
        <v>75</v>
      </c>
      <c r="B107" t="s">
        <v>3</v>
      </c>
      <c r="C107">
        <v>0</v>
      </c>
      <c r="E107">
        <f t="shared" si="1"/>
        <v>0</v>
      </c>
    </row>
    <row r="108" spans="1:5" x14ac:dyDescent="0.3">
      <c r="A108" t="s">
        <v>76</v>
      </c>
      <c r="B108" t="s">
        <v>3</v>
      </c>
      <c r="C108">
        <v>9</v>
      </c>
      <c r="D108">
        <v>30000</v>
      </c>
      <c r="E108">
        <f t="shared" si="1"/>
        <v>270000</v>
      </c>
    </row>
    <row r="109" spans="1:5" hidden="1" x14ac:dyDescent="0.3">
      <c r="A109" t="s">
        <v>85</v>
      </c>
      <c r="B109" t="s">
        <v>22</v>
      </c>
      <c r="C109">
        <v>0</v>
      </c>
      <c r="E109">
        <f t="shared" si="1"/>
        <v>0</v>
      </c>
    </row>
    <row r="110" spans="1:5" x14ac:dyDescent="0.3">
      <c r="E110">
        <f>SUM(E3:E108)</f>
        <v>233383900</v>
      </c>
    </row>
    <row r="111" spans="1:5" hidden="1" x14ac:dyDescent="0.3">
      <c r="A111" t="s">
        <v>103</v>
      </c>
    </row>
    <row r="112" spans="1:5" x14ac:dyDescent="0.3">
      <c r="A112" t="s">
        <v>0</v>
      </c>
      <c r="B112" t="s">
        <v>1</v>
      </c>
      <c r="C112" t="s">
        <v>102</v>
      </c>
      <c r="D112" t="s">
        <v>100</v>
      </c>
      <c r="E112" t="s">
        <v>101</v>
      </c>
    </row>
    <row r="113" spans="1:5" x14ac:dyDescent="0.3">
      <c r="A113" t="s">
        <v>44</v>
      </c>
      <c r="B113" t="s">
        <v>3</v>
      </c>
      <c r="C113">
        <v>30</v>
      </c>
      <c r="D113">
        <v>36000</v>
      </c>
      <c r="E113">
        <f t="shared" si="1"/>
        <v>1080000</v>
      </c>
    </row>
    <row r="114" spans="1:5" hidden="1" x14ac:dyDescent="0.3">
      <c r="A114" t="s">
        <v>45</v>
      </c>
      <c r="B114" t="s">
        <v>3</v>
      </c>
      <c r="C114">
        <v>0</v>
      </c>
      <c r="E114">
        <f t="shared" si="1"/>
        <v>0</v>
      </c>
    </row>
    <row r="115" spans="1:5" x14ac:dyDescent="0.3">
      <c r="A115" t="s">
        <v>17</v>
      </c>
      <c r="B115" t="s">
        <v>3</v>
      </c>
      <c r="C115">
        <v>400</v>
      </c>
      <c r="D115">
        <v>6500</v>
      </c>
      <c r="E115">
        <f t="shared" si="1"/>
        <v>2600000</v>
      </c>
    </row>
    <row r="116" spans="1:5" x14ac:dyDescent="0.3">
      <c r="A116" t="s">
        <v>95</v>
      </c>
      <c r="B116" t="s">
        <v>3</v>
      </c>
      <c r="C116">
        <v>40</v>
      </c>
      <c r="D116">
        <v>10000</v>
      </c>
      <c r="E116">
        <f t="shared" si="1"/>
        <v>400000</v>
      </c>
    </row>
    <row r="117" spans="1:5" hidden="1" x14ac:dyDescent="0.3">
      <c r="A117" t="s">
        <v>24</v>
      </c>
      <c r="B117" t="s">
        <v>3</v>
      </c>
      <c r="C117">
        <v>0</v>
      </c>
      <c r="E117">
        <f t="shared" si="1"/>
        <v>0</v>
      </c>
    </row>
    <row r="118" spans="1:5" x14ac:dyDescent="0.3">
      <c r="A118" t="s">
        <v>25</v>
      </c>
      <c r="B118" t="s">
        <v>3</v>
      </c>
      <c r="C118">
        <v>25</v>
      </c>
      <c r="D118">
        <v>20500</v>
      </c>
      <c r="E118">
        <f t="shared" si="1"/>
        <v>512500</v>
      </c>
    </row>
    <row r="119" spans="1:5" hidden="1" x14ac:dyDescent="0.3">
      <c r="A119" t="s">
        <v>37</v>
      </c>
      <c r="B119" t="s">
        <v>3</v>
      </c>
      <c r="C119">
        <v>0</v>
      </c>
      <c r="E119">
        <f t="shared" si="1"/>
        <v>0</v>
      </c>
    </row>
    <row r="120" spans="1:5" hidden="1" x14ac:dyDescent="0.3">
      <c r="A120" t="s">
        <v>46</v>
      </c>
      <c r="B120" t="s">
        <v>3</v>
      </c>
      <c r="C120">
        <v>0</v>
      </c>
      <c r="E120">
        <f t="shared" si="1"/>
        <v>0</v>
      </c>
    </row>
    <row r="121" spans="1:5" hidden="1" x14ac:dyDescent="0.3">
      <c r="A121" t="s">
        <v>94</v>
      </c>
      <c r="B121" t="s">
        <v>3</v>
      </c>
      <c r="C121">
        <v>0</v>
      </c>
      <c r="E121">
        <f t="shared" si="1"/>
        <v>0</v>
      </c>
    </row>
    <row r="122" spans="1:5" hidden="1" x14ac:dyDescent="0.3">
      <c r="A122" t="s">
        <v>28</v>
      </c>
      <c r="B122" t="s">
        <v>3</v>
      </c>
      <c r="C122">
        <v>0</v>
      </c>
      <c r="E122">
        <f t="shared" si="1"/>
        <v>0</v>
      </c>
    </row>
    <row r="123" spans="1:5" hidden="1" x14ac:dyDescent="0.3">
      <c r="A123" t="s">
        <v>30</v>
      </c>
      <c r="B123" t="s">
        <v>3</v>
      </c>
      <c r="C123">
        <v>0</v>
      </c>
      <c r="E123">
        <f t="shared" si="1"/>
        <v>0</v>
      </c>
    </row>
    <row r="124" spans="1:5" x14ac:dyDescent="0.3">
      <c r="A124" t="s">
        <v>2</v>
      </c>
      <c r="B124" t="s">
        <v>3</v>
      </c>
      <c r="C124">
        <v>110</v>
      </c>
      <c r="D124">
        <v>13000</v>
      </c>
      <c r="E124">
        <f t="shared" si="1"/>
        <v>1430000</v>
      </c>
    </row>
    <row r="125" spans="1:5" x14ac:dyDescent="0.3">
      <c r="A125" t="s">
        <v>53</v>
      </c>
      <c r="B125" t="s">
        <v>3</v>
      </c>
      <c r="C125">
        <v>50</v>
      </c>
      <c r="D125">
        <v>10000</v>
      </c>
      <c r="E125">
        <f t="shared" si="1"/>
        <v>500000</v>
      </c>
    </row>
    <row r="126" spans="1:5" x14ac:dyDescent="0.3">
      <c r="A126" t="s">
        <v>20</v>
      </c>
      <c r="B126" t="s">
        <v>3</v>
      </c>
      <c r="C126">
        <v>1250</v>
      </c>
      <c r="D126">
        <v>5500</v>
      </c>
      <c r="E126">
        <f t="shared" si="1"/>
        <v>6875000</v>
      </c>
    </row>
    <row r="127" spans="1:5" x14ac:dyDescent="0.3">
      <c r="A127" t="s">
        <v>97</v>
      </c>
      <c r="B127" t="s">
        <v>3</v>
      </c>
      <c r="C127">
        <v>10</v>
      </c>
      <c r="D127">
        <v>16000</v>
      </c>
      <c r="E127">
        <f t="shared" si="1"/>
        <v>160000</v>
      </c>
    </row>
    <row r="128" spans="1:5" x14ac:dyDescent="0.3">
      <c r="A128" t="s">
        <v>21</v>
      </c>
      <c r="B128" t="s">
        <v>3</v>
      </c>
      <c r="C128">
        <v>50</v>
      </c>
      <c r="D128">
        <v>10000</v>
      </c>
      <c r="E128">
        <f t="shared" si="1"/>
        <v>500000</v>
      </c>
    </row>
    <row r="129" spans="1:5" x14ac:dyDescent="0.3">
      <c r="A129" t="s">
        <v>96</v>
      </c>
      <c r="B129" t="s">
        <v>3</v>
      </c>
      <c r="C129">
        <v>25</v>
      </c>
      <c r="D129">
        <v>28000</v>
      </c>
      <c r="E129">
        <f t="shared" si="1"/>
        <v>700000</v>
      </c>
    </row>
    <row r="130" spans="1:5" x14ac:dyDescent="0.3">
      <c r="A130" t="s">
        <v>56</v>
      </c>
      <c r="B130" t="s">
        <v>3</v>
      </c>
      <c r="C130">
        <v>15</v>
      </c>
      <c r="D130">
        <v>14000</v>
      </c>
      <c r="E130">
        <f t="shared" si="1"/>
        <v>210000</v>
      </c>
    </row>
    <row r="131" spans="1:5" hidden="1" x14ac:dyDescent="0.3">
      <c r="A131" t="s">
        <v>107</v>
      </c>
      <c r="B131" t="s">
        <v>6</v>
      </c>
      <c r="C131">
        <v>0</v>
      </c>
      <c r="E131">
        <f t="shared" si="1"/>
        <v>0</v>
      </c>
    </row>
    <row r="132" spans="1:5" x14ac:dyDescent="0.3">
      <c r="A132" t="s">
        <v>57</v>
      </c>
      <c r="B132" t="s">
        <v>3</v>
      </c>
      <c r="C132">
        <v>75</v>
      </c>
      <c r="D132">
        <v>5500</v>
      </c>
      <c r="E132">
        <f t="shared" si="1"/>
        <v>412500</v>
      </c>
    </row>
    <row r="133" spans="1:5" x14ac:dyDescent="0.3">
      <c r="A133" t="s">
        <v>9</v>
      </c>
      <c r="B133" t="s">
        <v>3</v>
      </c>
      <c r="C133">
        <v>80</v>
      </c>
      <c r="D133">
        <v>11000</v>
      </c>
      <c r="E133">
        <f t="shared" si="1"/>
        <v>880000</v>
      </c>
    </row>
    <row r="134" spans="1:5" hidden="1" x14ac:dyDescent="0.3">
      <c r="A134" t="s">
        <v>10</v>
      </c>
      <c r="B134" t="s">
        <v>3</v>
      </c>
      <c r="C134">
        <v>0</v>
      </c>
      <c r="E134">
        <f t="shared" ref="E134:E158" si="2">C134*D134</f>
        <v>0</v>
      </c>
    </row>
    <row r="135" spans="1:5" hidden="1" x14ac:dyDescent="0.3">
      <c r="A135" t="s">
        <v>13</v>
      </c>
      <c r="B135" t="s">
        <v>4</v>
      </c>
      <c r="C135">
        <v>0</v>
      </c>
      <c r="E135">
        <f t="shared" si="2"/>
        <v>0</v>
      </c>
    </row>
    <row r="136" spans="1:5" x14ac:dyDescent="0.3">
      <c r="A136" t="s">
        <v>14</v>
      </c>
      <c r="B136" t="s">
        <v>3</v>
      </c>
      <c r="C136">
        <v>100</v>
      </c>
      <c r="D136">
        <v>17000</v>
      </c>
      <c r="E136">
        <f t="shared" si="2"/>
        <v>1700000</v>
      </c>
    </row>
    <row r="137" spans="1:5" x14ac:dyDescent="0.3">
      <c r="A137" t="s">
        <v>89</v>
      </c>
      <c r="B137" t="s">
        <v>3</v>
      </c>
      <c r="C137">
        <v>25</v>
      </c>
      <c r="D137">
        <v>12000</v>
      </c>
      <c r="E137">
        <f t="shared" si="2"/>
        <v>300000</v>
      </c>
    </row>
    <row r="138" spans="1:5" hidden="1" x14ac:dyDescent="0.3">
      <c r="A138" t="s">
        <v>89</v>
      </c>
      <c r="B138" t="s">
        <v>4</v>
      </c>
      <c r="C138">
        <v>0</v>
      </c>
      <c r="E138">
        <f t="shared" si="2"/>
        <v>0</v>
      </c>
    </row>
    <row r="139" spans="1:5" hidden="1" x14ac:dyDescent="0.3">
      <c r="A139" t="s">
        <v>109</v>
      </c>
      <c r="B139" t="s">
        <v>3</v>
      </c>
      <c r="C139">
        <v>0</v>
      </c>
      <c r="E139">
        <f t="shared" si="2"/>
        <v>0</v>
      </c>
    </row>
    <row r="140" spans="1:5" x14ac:dyDescent="0.3">
      <c r="A140" t="s">
        <v>15</v>
      </c>
      <c r="B140" t="s">
        <v>3</v>
      </c>
      <c r="C140">
        <v>120</v>
      </c>
      <c r="D140">
        <v>18000</v>
      </c>
      <c r="E140">
        <f t="shared" si="2"/>
        <v>2160000</v>
      </c>
    </row>
    <row r="141" spans="1:5" hidden="1" x14ac:dyDescent="0.3">
      <c r="A141" t="s">
        <v>59</v>
      </c>
      <c r="B141" t="s">
        <v>3</v>
      </c>
      <c r="C141">
        <v>0</v>
      </c>
      <c r="E141">
        <f t="shared" si="2"/>
        <v>0</v>
      </c>
    </row>
    <row r="142" spans="1:5" x14ac:dyDescent="0.3">
      <c r="A142" t="s">
        <v>60</v>
      </c>
      <c r="B142" t="s">
        <v>4</v>
      </c>
      <c r="C142">
        <v>20</v>
      </c>
      <c r="D142">
        <v>6000</v>
      </c>
      <c r="E142">
        <f t="shared" si="2"/>
        <v>120000</v>
      </c>
    </row>
    <row r="143" spans="1:5" x14ac:dyDescent="0.3">
      <c r="A143" t="s">
        <v>61</v>
      </c>
      <c r="B143" t="s">
        <v>4</v>
      </c>
      <c r="C143">
        <v>110</v>
      </c>
      <c r="D143">
        <v>11000</v>
      </c>
      <c r="E143">
        <f t="shared" si="2"/>
        <v>1210000</v>
      </c>
    </row>
    <row r="144" spans="1:5" hidden="1" x14ac:dyDescent="0.3">
      <c r="A144" t="s">
        <v>32</v>
      </c>
      <c r="B144" t="s">
        <v>3</v>
      </c>
      <c r="C144">
        <v>0</v>
      </c>
      <c r="E144">
        <f t="shared" si="2"/>
        <v>0</v>
      </c>
    </row>
    <row r="145" spans="1:5" hidden="1" x14ac:dyDescent="0.3">
      <c r="A145" t="s">
        <v>32</v>
      </c>
      <c r="B145" t="s">
        <v>6</v>
      </c>
      <c r="C145">
        <v>0</v>
      </c>
      <c r="E145">
        <f t="shared" si="2"/>
        <v>0</v>
      </c>
    </row>
    <row r="146" spans="1:5" x14ac:dyDescent="0.3">
      <c r="A146" t="s">
        <v>66</v>
      </c>
      <c r="B146" t="s">
        <v>3</v>
      </c>
      <c r="C146">
        <v>8</v>
      </c>
      <c r="D146">
        <v>19000</v>
      </c>
      <c r="E146">
        <f t="shared" si="2"/>
        <v>152000</v>
      </c>
    </row>
    <row r="147" spans="1:5" x14ac:dyDescent="0.3">
      <c r="A147" t="s">
        <v>43</v>
      </c>
      <c r="B147" t="s">
        <v>3</v>
      </c>
      <c r="C147">
        <v>380</v>
      </c>
      <c r="D147">
        <v>27600</v>
      </c>
      <c r="E147">
        <f t="shared" si="2"/>
        <v>10488000</v>
      </c>
    </row>
    <row r="148" spans="1:5" hidden="1" x14ac:dyDescent="0.3">
      <c r="A148" t="s">
        <v>67</v>
      </c>
      <c r="B148" t="s">
        <v>3</v>
      </c>
      <c r="C148">
        <v>0</v>
      </c>
      <c r="E148">
        <f t="shared" si="2"/>
        <v>0</v>
      </c>
    </row>
    <row r="149" spans="1:5" hidden="1" x14ac:dyDescent="0.3">
      <c r="A149" t="s">
        <v>34</v>
      </c>
      <c r="B149" t="s">
        <v>3</v>
      </c>
      <c r="C149">
        <v>0</v>
      </c>
      <c r="E149">
        <f t="shared" si="2"/>
        <v>0</v>
      </c>
    </row>
    <row r="150" spans="1:5" hidden="1" x14ac:dyDescent="0.3">
      <c r="A150" t="s">
        <v>35</v>
      </c>
      <c r="B150" t="s">
        <v>3</v>
      </c>
      <c r="C150">
        <v>0</v>
      </c>
      <c r="E150">
        <f t="shared" si="2"/>
        <v>0</v>
      </c>
    </row>
    <row r="151" spans="1:5" hidden="1" x14ac:dyDescent="0.3">
      <c r="A151" t="s">
        <v>36</v>
      </c>
      <c r="B151" t="s">
        <v>3</v>
      </c>
      <c r="C151">
        <v>0</v>
      </c>
      <c r="E151">
        <f t="shared" si="2"/>
        <v>0</v>
      </c>
    </row>
    <row r="152" spans="1:5" x14ac:dyDescent="0.3">
      <c r="A152" t="s">
        <v>116</v>
      </c>
      <c r="B152" t="s">
        <v>26</v>
      </c>
      <c r="C152">
        <v>3735</v>
      </c>
      <c r="D152">
        <v>10000</v>
      </c>
      <c r="E152">
        <f t="shared" si="2"/>
        <v>37350000</v>
      </c>
    </row>
    <row r="153" spans="1:5" hidden="1" x14ac:dyDescent="0.3">
      <c r="A153" t="s">
        <v>88</v>
      </c>
      <c r="B153" t="s">
        <v>3</v>
      </c>
      <c r="C153">
        <v>0</v>
      </c>
      <c r="E153">
        <f t="shared" si="2"/>
        <v>0</v>
      </c>
    </row>
    <row r="154" spans="1:5" hidden="1" x14ac:dyDescent="0.3">
      <c r="A154" t="s">
        <v>72</v>
      </c>
      <c r="B154" t="s">
        <v>3</v>
      </c>
      <c r="C154">
        <v>0</v>
      </c>
      <c r="E154">
        <f t="shared" si="2"/>
        <v>0</v>
      </c>
    </row>
    <row r="155" spans="1:5" hidden="1" x14ac:dyDescent="0.3">
      <c r="A155" t="s">
        <v>23</v>
      </c>
      <c r="B155" t="s">
        <v>22</v>
      </c>
      <c r="C155">
        <v>0</v>
      </c>
      <c r="E155">
        <f t="shared" si="2"/>
        <v>0</v>
      </c>
    </row>
    <row r="156" spans="1:5" hidden="1" x14ac:dyDescent="0.3">
      <c r="A156" t="s">
        <v>84</v>
      </c>
      <c r="B156" t="s">
        <v>22</v>
      </c>
      <c r="C156">
        <v>0</v>
      </c>
      <c r="E156">
        <f t="shared" si="2"/>
        <v>0</v>
      </c>
    </row>
    <row r="157" spans="1:5" hidden="1" x14ac:dyDescent="0.3">
      <c r="A157" t="s">
        <v>86</v>
      </c>
      <c r="B157" t="s">
        <v>22</v>
      </c>
      <c r="C157">
        <v>0</v>
      </c>
      <c r="E157">
        <f t="shared" si="2"/>
        <v>0</v>
      </c>
    </row>
    <row r="158" spans="1:5" hidden="1" x14ac:dyDescent="0.3">
      <c r="A158" t="s">
        <v>85</v>
      </c>
      <c r="B158" t="s">
        <v>22</v>
      </c>
      <c r="C158">
        <v>0</v>
      </c>
      <c r="E158">
        <f t="shared" si="2"/>
        <v>0</v>
      </c>
    </row>
    <row r="159" spans="1:5" x14ac:dyDescent="0.3">
      <c r="E159">
        <f>SUM(E113:E152)</f>
        <v>69740000</v>
      </c>
    </row>
    <row r="160" spans="1:5" x14ac:dyDescent="0.3">
      <c r="E160">
        <f>E110+E159</f>
        <v>303123900</v>
      </c>
    </row>
  </sheetData>
  <autoFilter ref="A2:E159" xr:uid="{00000000-0009-0000-0000-000014000000}">
    <filterColumn colId="4">
      <filters>
        <filter val="100000"/>
        <filter val="10488000"/>
        <filter val="1080000"/>
        <filter val="113120000"/>
        <filter val="120000"/>
        <filter val="1210000"/>
        <filter val="1280000"/>
        <filter val="1350000"/>
        <filter val="1430000"/>
        <filter val="14960000"/>
        <filter val="150000"/>
        <filter val="152000"/>
        <filter val="160000"/>
        <filter val="1606000"/>
        <filter val="168000"/>
        <filter val="1700000"/>
        <filter val="184000"/>
        <filter val="1848000"/>
        <filter val="1875000"/>
        <filter val="1890000"/>
        <filter val="1925000"/>
        <filter val="1980000"/>
        <filter val="209000"/>
        <filter val="210000"/>
        <filter val="2160000"/>
        <filter val="2200000"/>
        <filter val="22800"/>
        <filter val="233383900"/>
        <filter val="240000"/>
        <filter val="2600000"/>
        <filter val="270000"/>
        <filter val="27300"/>
        <filter val="280000"/>
        <filter val="28428000"/>
        <filter val="285000"/>
        <filter val="30000"/>
        <filter val="300000"/>
        <filter val="3060000"/>
        <filter val="308000"/>
        <filter val="37350000"/>
        <filter val="374000"/>
        <filter val="400000"/>
        <filter val="412500"/>
        <filter val="414000"/>
        <filter val="456000"/>
        <filter val="472000"/>
        <filter val="500000"/>
        <filter val="512500"/>
        <filter val="5149000"/>
        <filter val="520000"/>
        <filter val="5446000"/>
        <filter val="5985000"/>
        <filter val="63000"/>
        <filter val="648000"/>
        <filter val="6650000"/>
        <filter val="6846000"/>
        <filter val="6875000"/>
        <filter val="69740000"/>
        <filter val="700000"/>
        <filter val="720000"/>
        <filter val="750000"/>
        <filter val="80000"/>
        <filter val="8085000"/>
        <filter val="84000"/>
        <filter val="8400000"/>
        <filter val="85800"/>
        <filter val="880000"/>
        <filter val="975000"/>
        <filter val="98000"/>
        <filter val="99000"/>
        <filter val="thành tiền"/>
      </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2:E143"/>
  <sheetViews>
    <sheetView workbookViewId="0">
      <selection activeCell="B152" sqref="B152"/>
    </sheetView>
  </sheetViews>
  <sheetFormatPr defaultRowHeight="14.4" x14ac:dyDescent="0.3"/>
  <cols>
    <col min="1" max="1" width="25.77734375" customWidth="1"/>
    <col min="3" max="3" width="10.6640625" customWidth="1"/>
    <col min="4" max="4" width="15.44140625" customWidth="1"/>
    <col min="5" max="5" width="16.88671875" customWidth="1"/>
  </cols>
  <sheetData>
    <row r="2" spans="1:5" x14ac:dyDescent="0.3">
      <c r="A2" t="s">
        <v>169</v>
      </c>
    </row>
    <row r="3" spans="1:5" x14ac:dyDescent="0.3">
      <c r="A3" t="s">
        <v>0</v>
      </c>
      <c r="B3" t="s">
        <v>1</v>
      </c>
      <c r="C3" t="s">
        <v>102</v>
      </c>
      <c r="D3" t="s">
        <v>100</v>
      </c>
      <c r="E3" t="s">
        <v>101</v>
      </c>
    </row>
    <row r="4" spans="1:5" hidden="1" x14ac:dyDescent="0.3">
      <c r="A4" t="s">
        <v>2</v>
      </c>
      <c r="B4" t="s">
        <v>3</v>
      </c>
      <c r="C4">
        <v>260</v>
      </c>
      <c r="D4">
        <v>13000</v>
      </c>
      <c r="E4">
        <f>C4*D4</f>
        <v>3380000</v>
      </c>
    </row>
    <row r="5" spans="1:5" hidden="1" x14ac:dyDescent="0.3">
      <c r="A5" t="s">
        <v>2</v>
      </c>
      <c r="B5" t="s">
        <v>4</v>
      </c>
      <c r="E5">
        <f t="shared" ref="E5:E68" si="0">C5*D5</f>
        <v>0</v>
      </c>
    </row>
    <row r="6" spans="1:5" hidden="1" x14ac:dyDescent="0.3">
      <c r="A6" t="s">
        <v>5</v>
      </c>
      <c r="B6" t="s">
        <v>6</v>
      </c>
      <c r="C6">
        <v>10</v>
      </c>
      <c r="D6">
        <v>10000</v>
      </c>
      <c r="E6">
        <f t="shared" si="0"/>
        <v>100000</v>
      </c>
    </row>
    <row r="7" spans="1:5" hidden="1" x14ac:dyDescent="0.3">
      <c r="A7" t="s">
        <v>7</v>
      </c>
      <c r="B7" t="s">
        <v>8</v>
      </c>
      <c r="C7">
        <v>6</v>
      </c>
      <c r="D7">
        <v>9000</v>
      </c>
      <c r="E7">
        <f t="shared" si="0"/>
        <v>54000</v>
      </c>
    </row>
    <row r="8" spans="1:5" hidden="1" x14ac:dyDescent="0.3">
      <c r="A8" t="s">
        <v>9</v>
      </c>
      <c r="B8" t="s">
        <v>3</v>
      </c>
      <c r="C8">
        <v>30</v>
      </c>
      <c r="D8">
        <v>11000</v>
      </c>
      <c r="E8">
        <f t="shared" si="0"/>
        <v>330000</v>
      </c>
    </row>
    <row r="9" spans="1:5" hidden="1" x14ac:dyDescent="0.3">
      <c r="A9" t="s">
        <v>10</v>
      </c>
      <c r="B9" t="s">
        <v>3</v>
      </c>
      <c r="C9">
        <v>360</v>
      </c>
      <c r="D9">
        <v>19000</v>
      </c>
      <c r="E9">
        <f t="shared" si="0"/>
        <v>6840000</v>
      </c>
    </row>
    <row r="10" spans="1:5" hidden="1" x14ac:dyDescent="0.3">
      <c r="A10" t="s">
        <v>12</v>
      </c>
      <c r="B10" t="s">
        <v>4</v>
      </c>
      <c r="C10">
        <v>173.33333333333334</v>
      </c>
      <c r="D10">
        <v>4500</v>
      </c>
      <c r="E10">
        <f t="shared" si="0"/>
        <v>780000</v>
      </c>
    </row>
    <row r="11" spans="1:5" hidden="1" x14ac:dyDescent="0.3">
      <c r="A11" t="s">
        <v>13</v>
      </c>
      <c r="B11" t="s">
        <v>3</v>
      </c>
      <c r="C11">
        <v>40</v>
      </c>
      <c r="D11">
        <v>24000</v>
      </c>
      <c r="E11">
        <f t="shared" si="0"/>
        <v>960000</v>
      </c>
    </row>
    <row r="12" spans="1:5" hidden="1" x14ac:dyDescent="0.3">
      <c r="A12" t="s">
        <v>14</v>
      </c>
      <c r="B12" t="s">
        <v>3</v>
      </c>
      <c r="C12">
        <v>340</v>
      </c>
      <c r="D12">
        <v>17000</v>
      </c>
      <c r="E12">
        <f t="shared" si="0"/>
        <v>5780000</v>
      </c>
    </row>
    <row r="13" spans="1:5" hidden="1" x14ac:dyDescent="0.3">
      <c r="A13" t="s">
        <v>15</v>
      </c>
      <c r="B13" t="s">
        <v>3</v>
      </c>
      <c r="C13">
        <v>400</v>
      </c>
      <c r="D13">
        <v>18000</v>
      </c>
      <c r="E13">
        <f t="shared" si="0"/>
        <v>7200000</v>
      </c>
    </row>
    <row r="14" spans="1:5" hidden="1" x14ac:dyDescent="0.3">
      <c r="A14" t="s">
        <v>15</v>
      </c>
      <c r="B14" t="s">
        <v>4</v>
      </c>
      <c r="C14">
        <v>36</v>
      </c>
      <c r="D14">
        <v>8000</v>
      </c>
      <c r="E14">
        <f t="shared" si="0"/>
        <v>288000</v>
      </c>
    </row>
    <row r="15" spans="1:5" hidden="1" x14ac:dyDescent="0.3">
      <c r="A15" t="s">
        <v>16</v>
      </c>
      <c r="B15" t="s">
        <v>6</v>
      </c>
      <c r="E15">
        <f t="shared" si="0"/>
        <v>0</v>
      </c>
    </row>
    <row r="16" spans="1:5" hidden="1" x14ac:dyDescent="0.3">
      <c r="A16" t="s">
        <v>17</v>
      </c>
      <c r="B16" t="s">
        <v>3</v>
      </c>
      <c r="C16">
        <v>380</v>
      </c>
      <c r="D16">
        <v>5500</v>
      </c>
      <c r="E16">
        <f t="shared" si="0"/>
        <v>2090000</v>
      </c>
    </row>
    <row r="17" spans="1:5" hidden="1" x14ac:dyDescent="0.3">
      <c r="A17" t="s">
        <v>18</v>
      </c>
      <c r="B17" t="s">
        <v>3</v>
      </c>
      <c r="C17">
        <v>8</v>
      </c>
      <c r="D17">
        <v>32000</v>
      </c>
      <c r="E17">
        <f t="shared" si="0"/>
        <v>256000</v>
      </c>
    </row>
    <row r="18" spans="1:5" hidden="1" x14ac:dyDescent="0.3">
      <c r="A18" t="s">
        <v>18</v>
      </c>
      <c r="B18" t="s">
        <v>4</v>
      </c>
      <c r="E18">
        <f t="shared" si="0"/>
        <v>0</v>
      </c>
    </row>
    <row r="19" spans="1:5" hidden="1" x14ac:dyDescent="0.3">
      <c r="A19" t="s">
        <v>19</v>
      </c>
      <c r="B19" t="s">
        <v>4</v>
      </c>
      <c r="C19">
        <v>9</v>
      </c>
      <c r="D19">
        <v>3900</v>
      </c>
      <c r="E19">
        <f t="shared" si="0"/>
        <v>35100</v>
      </c>
    </row>
    <row r="20" spans="1:5" hidden="1" x14ac:dyDescent="0.3">
      <c r="A20" t="s">
        <v>20</v>
      </c>
      <c r="B20" t="s">
        <v>3</v>
      </c>
      <c r="E20">
        <f t="shared" si="0"/>
        <v>0</v>
      </c>
    </row>
    <row r="21" spans="1:5" hidden="1" x14ac:dyDescent="0.3">
      <c r="A21" t="s">
        <v>21</v>
      </c>
      <c r="B21" t="s">
        <v>22</v>
      </c>
      <c r="E21">
        <f t="shared" si="0"/>
        <v>0</v>
      </c>
    </row>
    <row r="22" spans="1:5" hidden="1" x14ac:dyDescent="0.3">
      <c r="A22" t="s">
        <v>21</v>
      </c>
      <c r="B22" t="s">
        <v>3</v>
      </c>
      <c r="C22">
        <v>55</v>
      </c>
      <c r="D22">
        <v>10000</v>
      </c>
      <c r="E22">
        <f t="shared" si="0"/>
        <v>550000</v>
      </c>
    </row>
    <row r="23" spans="1:5" hidden="1" x14ac:dyDescent="0.3">
      <c r="A23" t="s">
        <v>23</v>
      </c>
      <c r="B23" t="s">
        <v>3</v>
      </c>
      <c r="C23">
        <v>5</v>
      </c>
      <c r="D23">
        <v>28000</v>
      </c>
      <c r="E23">
        <f t="shared" si="0"/>
        <v>140000</v>
      </c>
    </row>
    <row r="24" spans="1:5" hidden="1" x14ac:dyDescent="0.3">
      <c r="A24" t="s">
        <v>24</v>
      </c>
      <c r="B24" t="s">
        <v>3</v>
      </c>
      <c r="C24">
        <v>1060</v>
      </c>
      <c r="D24">
        <v>7000</v>
      </c>
      <c r="E24">
        <f t="shared" si="0"/>
        <v>7420000</v>
      </c>
    </row>
    <row r="25" spans="1:5" hidden="1" x14ac:dyDescent="0.3">
      <c r="A25" t="s">
        <v>25</v>
      </c>
      <c r="B25" t="s">
        <v>3</v>
      </c>
      <c r="C25">
        <v>70</v>
      </c>
      <c r="D25">
        <v>21000</v>
      </c>
      <c r="E25">
        <f t="shared" si="0"/>
        <v>1470000</v>
      </c>
    </row>
    <row r="26" spans="1:5" hidden="1" x14ac:dyDescent="0.3">
      <c r="A26" t="s">
        <v>25</v>
      </c>
      <c r="B26" t="s">
        <v>26</v>
      </c>
      <c r="E26">
        <f t="shared" si="0"/>
        <v>0</v>
      </c>
    </row>
    <row r="27" spans="1:5" hidden="1" x14ac:dyDescent="0.3">
      <c r="A27" t="s">
        <v>27</v>
      </c>
      <c r="B27" t="s">
        <v>3</v>
      </c>
      <c r="E27">
        <f t="shared" si="0"/>
        <v>0</v>
      </c>
    </row>
    <row r="28" spans="1:5" hidden="1" x14ac:dyDescent="0.3">
      <c r="A28" t="s">
        <v>27</v>
      </c>
      <c r="B28" t="s">
        <v>26</v>
      </c>
      <c r="E28">
        <f t="shared" si="0"/>
        <v>0</v>
      </c>
    </row>
    <row r="29" spans="1:5" hidden="1" x14ac:dyDescent="0.3">
      <c r="A29" t="s">
        <v>28</v>
      </c>
      <c r="B29" t="s">
        <v>3</v>
      </c>
      <c r="C29">
        <v>155</v>
      </c>
      <c r="D29">
        <v>17000</v>
      </c>
      <c r="E29">
        <f t="shared" si="0"/>
        <v>2635000</v>
      </c>
    </row>
    <row r="30" spans="1:5" hidden="1" x14ac:dyDescent="0.3">
      <c r="A30" t="s">
        <v>28</v>
      </c>
      <c r="B30" t="s">
        <v>29</v>
      </c>
      <c r="E30">
        <f t="shared" si="0"/>
        <v>0</v>
      </c>
    </row>
    <row r="31" spans="1:5" hidden="1" x14ac:dyDescent="0.3">
      <c r="A31" t="s">
        <v>30</v>
      </c>
      <c r="B31" t="s">
        <v>3</v>
      </c>
      <c r="C31">
        <v>343</v>
      </c>
      <c r="D31">
        <v>18000</v>
      </c>
      <c r="E31">
        <f t="shared" si="0"/>
        <v>6174000</v>
      </c>
    </row>
    <row r="32" spans="1:5" hidden="1" x14ac:dyDescent="0.3">
      <c r="A32" t="s">
        <v>30</v>
      </c>
      <c r="B32" t="s">
        <v>6</v>
      </c>
      <c r="E32">
        <f t="shared" si="0"/>
        <v>0</v>
      </c>
    </row>
    <row r="33" spans="1:5" hidden="1" x14ac:dyDescent="0.3">
      <c r="A33" t="s">
        <v>31</v>
      </c>
      <c r="B33" t="s">
        <v>4</v>
      </c>
      <c r="C33">
        <v>100</v>
      </c>
      <c r="D33">
        <v>13000</v>
      </c>
      <c r="E33">
        <f t="shared" si="0"/>
        <v>1300000</v>
      </c>
    </row>
    <row r="34" spans="1:5" hidden="1" x14ac:dyDescent="0.3">
      <c r="A34" t="s">
        <v>32</v>
      </c>
      <c r="B34" t="s">
        <v>3</v>
      </c>
      <c r="E34">
        <f t="shared" si="0"/>
        <v>0</v>
      </c>
    </row>
    <row r="35" spans="1:5" hidden="1" x14ac:dyDescent="0.3">
      <c r="A35" t="s">
        <v>32</v>
      </c>
      <c r="B35" t="s">
        <v>6</v>
      </c>
      <c r="E35">
        <f t="shared" si="0"/>
        <v>0</v>
      </c>
    </row>
    <row r="36" spans="1:5" hidden="1" x14ac:dyDescent="0.3">
      <c r="A36" t="s">
        <v>33</v>
      </c>
      <c r="B36" t="s">
        <v>3</v>
      </c>
      <c r="C36">
        <v>40</v>
      </c>
      <c r="D36">
        <v>15000</v>
      </c>
      <c r="E36">
        <f t="shared" si="0"/>
        <v>600000</v>
      </c>
    </row>
    <row r="37" spans="1:5" hidden="1" x14ac:dyDescent="0.3">
      <c r="A37" t="s">
        <v>34</v>
      </c>
      <c r="B37" t="s">
        <v>3</v>
      </c>
      <c r="C37">
        <v>185</v>
      </c>
      <c r="D37">
        <v>32000</v>
      </c>
      <c r="E37">
        <f t="shared" si="0"/>
        <v>5920000</v>
      </c>
    </row>
    <row r="38" spans="1:5" hidden="1" x14ac:dyDescent="0.3">
      <c r="A38" t="s">
        <v>34</v>
      </c>
      <c r="B38" t="s">
        <v>26</v>
      </c>
      <c r="E38">
        <f t="shared" si="0"/>
        <v>0</v>
      </c>
    </row>
    <row r="39" spans="1:5" hidden="1" x14ac:dyDescent="0.3">
      <c r="A39" t="s">
        <v>35</v>
      </c>
      <c r="B39" t="s">
        <v>3</v>
      </c>
      <c r="C39">
        <v>8</v>
      </c>
      <c r="D39">
        <v>35000</v>
      </c>
      <c r="E39">
        <f t="shared" si="0"/>
        <v>280000</v>
      </c>
    </row>
    <row r="40" spans="1:5" hidden="1" x14ac:dyDescent="0.3">
      <c r="A40" t="s">
        <v>35</v>
      </c>
      <c r="B40" t="s">
        <v>26</v>
      </c>
      <c r="E40">
        <f t="shared" si="0"/>
        <v>0</v>
      </c>
    </row>
    <row r="41" spans="1:5" hidden="1" x14ac:dyDescent="0.3">
      <c r="A41" t="s">
        <v>36</v>
      </c>
      <c r="B41" t="s">
        <v>3</v>
      </c>
      <c r="E41">
        <f t="shared" si="0"/>
        <v>0</v>
      </c>
    </row>
    <row r="42" spans="1:5" hidden="1" x14ac:dyDescent="0.3">
      <c r="A42" t="s">
        <v>36</v>
      </c>
      <c r="B42" t="s">
        <v>26</v>
      </c>
      <c r="E42">
        <f t="shared" si="0"/>
        <v>0</v>
      </c>
    </row>
    <row r="43" spans="1:5" hidden="1" x14ac:dyDescent="0.3">
      <c r="A43" t="s">
        <v>37</v>
      </c>
      <c r="B43" t="s">
        <v>3</v>
      </c>
      <c r="E43">
        <f t="shared" si="0"/>
        <v>0</v>
      </c>
    </row>
    <row r="44" spans="1:5" hidden="1" x14ac:dyDescent="0.3">
      <c r="A44" t="s">
        <v>38</v>
      </c>
      <c r="B44" t="s">
        <v>6</v>
      </c>
      <c r="E44">
        <f t="shared" si="0"/>
        <v>0</v>
      </c>
    </row>
    <row r="45" spans="1:5" hidden="1" x14ac:dyDescent="0.3">
      <c r="A45" t="s">
        <v>39</v>
      </c>
      <c r="B45" t="s">
        <v>3</v>
      </c>
      <c r="E45">
        <f t="shared" si="0"/>
        <v>0</v>
      </c>
    </row>
    <row r="46" spans="1:5" hidden="1" x14ac:dyDescent="0.3">
      <c r="A46" t="s">
        <v>40</v>
      </c>
      <c r="B46" t="s">
        <v>3</v>
      </c>
      <c r="C46">
        <v>10</v>
      </c>
      <c r="D46">
        <v>30000</v>
      </c>
      <c r="E46">
        <f t="shared" si="0"/>
        <v>300000</v>
      </c>
    </row>
    <row r="47" spans="1:5" hidden="1" x14ac:dyDescent="0.3">
      <c r="A47" t="s">
        <v>40</v>
      </c>
      <c r="B47" t="s">
        <v>41</v>
      </c>
      <c r="C47">
        <v>80</v>
      </c>
      <c r="D47">
        <v>9000</v>
      </c>
      <c r="E47">
        <f t="shared" si="0"/>
        <v>720000</v>
      </c>
    </row>
    <row r="48" spans="1:5" x14ac:dyDescent="0.3">
      <c r="A48" t="s">
        <v>43</v>
      </c>
      <c r="B48" t="s">
        <v>3</v>
      </c>
      <c r="C48">
        <v>325</v>
      </c>
      <c r="D48">
        <v>27600</v>
      </c>
      <c r="E48">
        <f t="shared" si="0"/>
        <v>8970000</v>
      </c>
    </row>
    <row r="49" spans="1:5" hidden="1" x14ac:dyDescent="0.3">
      <c r="A49" t="s">
        <v>44</v>
      </c>
      <c r="B49" t="s">
        <v>3</v>
      </c>
      <c r="C49">
        <v>11</v>
      </c>
      <c r="D49">
        <v>36000</v>
      </c>
      <c r="E49">
        <f t="shared" si="0"/>
        <v>396000</v>
      </c>
    </row>
    <row r="50" spans="1:5" hidden="1" x14ac:dyDescent="0.3">
      <c r="A50" t="s">
        <v>45</v>
      </c>
      <c r="B50" t="s">
        <v>3</v>
      </c>
      <c r="C50">
        <v>1108</v>
      </c>
      <c r="D50">
        <v>5500</v>
      </c>
      <c r="E50">
        <f t="shared" si="0"/>
        <v>6094000</v>
      </c>
    </row>
    <row r="51" spans="1:5" hidden="1" x14ac:dyDescent="0.3">
      <c r="A51" t="s">
        <v>46</v>
      </c>
      <c r="B51" t="s">
        <v>3</v>
      </c>
      <c r="E51">
        <f t="shared" si="0"/>
        <v>0</v>
      </c>
    </row>
    <row r="52" spans="1:5" hidden="1" x14ac:dyDescent="0.3">
      <c r="A52" t="s">
        <v>167</v>
      </c>
      <c r="B52" t="s">
        <v>54</v>
      </c>
      <c r="E52">
        <f t="shared" si="0"/>
        <v>0</v>
      </c>
    </row>
    <row r="53" spans="1:5" hidden="1" x14ac:dyDescent="0.3">
      <c r="A53" t="s">
        <v>48</v>
      </c>
      <c r="B53" t="s">
        <v>3</v>
      </c>
      <c r="E53">
        <f t="shared" si="0"/>
        <v>0</v>
      </c>
    </row>
    <row r="54" spans="1:5" hidden="1" x14ac:dyDescent="0.3">
      <c r="A54" t="s">
        <v>48</v>
      </c>
      <c r="B54" t="s">
        <v>49</v>
      </c>
      <c r="C54">
        <v>14</v>
      </c>
      <c r="D54">
        <v>9000</v>
      </c>
      <c r="E54">
        <f t="shared" si="0"/>
        <v>126000</v>
      </c>
    </row>
    <row r="55" spans="1:5" hidden="1" x14ac:dyDescent="0.3">
      <c r="A55" t="s">
        <v>50</v>
      </c>
      <c r="B55" t="s">
        <v>8</v>
      </c>
      <c r="C55">
        <v>9</v>
      </c>
      <c r="D55">
        <v>14400</v>
      </c>
      <c r="E55">
        <f t="shared" si="0"/>
        <v>129600</v>
      </c>
    </row>
    <row r="56" spans="1:5" hidden="1" x14ac:dyDescent="0.3">
      <c r="A56" t="s">
        <v>51</v>
      </c>
      <c r="B56" t="s">
        <v>3</v>
      </c>
      <c r="E56">
        <f t="shared" si="0"/>
        <v>0</v>
      </c>
    </row>
    <row r="57" spans="1:5" hidden="1" x14ac:dyDescent="0.3">
      <c r="A57" t="s">
        <v>51</v>
      </c>
      <c r="B57" t="s">
        <v>52</v>
      </c>
      <c r="C57">
        <v>62</v>
      </c>
      <c r="D57">
        <v>14400</v>
      </c>
      <c r="E57">
        <f t="shared" si="0"/>
        <v>892800</v>
      </c>
    </row>
    <row r="58" spans="1:5" hidden="1" x14ac:dyDescent="0.3">
      <c r="A58" t="s">
        <v>53</v>
      </c>
      <c r="B58" t="s">
        <v>3</v>
      </c>
      <c r="C58">
        <v>20</v>
      </c>
      <c r="D58">
        <v>10000</v>
      </c>
      <c r="E58">
        <f t="shared" si="0"/>
        <v>200000</v>
      </c>
    </row>
    <row r="59" spans="1:5" hidden="1" x14ac:dyDescent="0.3">
      <c r="A59" t="s">
        <v>55</v>
      </c>
      <c r="B59" t="s">
        <v>4</v>
      </c>
      <c r="C59">
        <v>5</v>
      </c>
      <c r="D59">
        <v>3900</v>
      </c>
      <c r="E59">
        <f t="shared" si="0"/>
        <v>19500</v>
      </c>
    </row>
    <row r="60" spans="1:5" hidden="1" x14ac:dyDescent="0.3">
      <c r="A60" t="s">
        <v>56</v>
      </c>
      <c r="B60" t="s">
        <v>3</v>
      </c>
      <c r="C60">
        <v>45</v>
      </c>
      <c r="D60">
        <v>14000</v>
      </c>
      <c r="E60">
        <f t="shared" si="0"/>
        <v>630000</v>
      </c>
    </row>
    <row r="61" spans="1:5" hidden="1" x14ac:dyDescent="0.3">
      <c r="A61" t="s">
        <v>57</v>
      </c>
      <c r="B61" t="s">
        <v>3</v>
      </c>
      <c r="C61">
        <v>40</v>
      </c>
      <c r="D61">
        <v>5500</v>
      </c>
      <c r="E61">
        <f t="shared" si="0"/>
        <v>220000</v>
      </c>
    </row>
    <row r="62" spans="1:5" hidden="1" x14ac:dyDescent="0.3">
      <c r="A62" t="s">
        <v>58</v>
      </c>
      <c r="B62" t="s">
        <v>3</v>
      </c>
      <c r="C62">
        <v>14</v>
      </c>
      <c r="D62">
        <v>23000</v>
      </c>
      <c r="E62">
        <f t="shared" si="0"/>
        <v>322000</v>
      </c>
    </row>
    <row r="63" spans="1:5" hidden="1" x14ac:dyDescent="0.3">
      <c r="A63" t="s">
        <v>59</v>
      </c>
      <c r="B63" t="s">
        <v>3</v>
      </c>
      <c r="C63">
        <v>45</v>
      </c>
      <c r="D63">
        <v>12000</v>
      </c>
      <c r="E63">
        <f t="shared" si="0"/>
        <v>540000</v>
      </c>
    </row>
    <row r="64" spans="1:5" hidden="1" x14ac:dyDescent="0.3">
      <c r="A64" t="s">
        <v>60</v>
      </c>
      <c r="B64" t="s">
        <v>4</v>
      </c>
      <c r="E64">
        <f t="shared" si="0"/>
        <v>0</v>
      </c>
    </row>
    <row r="65" spans="1:5" hidden="1" x14ac:dyDescent="0.3">
      <c r="A65" t="s">
        <v>61</v>
      </c>
      <c r="B65" t="s">
        <v>3</v>
      </c>
      <c r="C65">
        <v>20</v>
      </c>
      <c r="D65">
        <v>15000</v>
      </c>
      <c r="E65">
        <f t="shared" si="0"/>
        <v>300000</v>
      </c>
    </row>
    <row r="66" spans="1:5" hidden="1" x14ac:dyDescent="0.3">
      <c r="A66" t="s">
        <v>66</v>
      </c>
      <c r="B66" t="s">
        <v>22</v>
      </c>
      <c r="E66">
        <f t="shared" si="0"/>
        <v>0</v>
      </c>
    </row>
    <row r="67" spans="1:5" hidden="1" x14ac:dyDescent="0.3">
      <c r="A67" t="s">
        <v>66</v>
      </c>
      <c r="B67" t="s">
        <v>3</v>
      </c>
      <c r="E67">
        <f t="shared" si="0"/>
        <v>0</v>
      </c>
    </row>
    <row r="68" spans="1:5" hidden="1" x14ac:dyDescent="0.3">
      <c r="A68" t="s">
        <v>168</v>
      </c>
      <c r="B68" t="s">
        <v>3</v>
      </c>
      <c r="E68">
        <f t="shared" si="0"/>
        <v>0</v>
      </c>
    </row>
    <row r="69" spans="1:5" hidden="1" x14ac:dyDescent="0.3">
      <c r="A69" t="s">
        <v>68</v>
      </c>
      <c r="B69" t="s">
        <v>4</v>
      </c>
      <c r="C69">
        <v>4</v>
      </c>
      <c r="D69">
        <v>2100</v>
      </c>
      <c r="E69">
        <f t="shared" ref="E69:E134" si="1">C69*D69</f>
        <v>8400</v>
      </c>
    </row>
    <row r="70" spans="1:5" hidden="1" x14ac:dyDescent="0.3">
      <c r="A70" t="s">
        <v>69</v>
      </c>
      <c r="B70" t="s">
        <v>3</v>
      </c>
      <c r="C70">
        <v>9</v>
      </c>
      <c r="D70">
        <v>14000</v>
      </c>
      <c r="E70">
        <f t="shared" si="1"/>
        <v>126000</v>
      </c>
    </row>
    <row r="71" spans="1:5" hidden="1" x14ac:dyDescent="0.3">
      <c r="A71" t="s">
        <v>70</v>
      </c>
      <c r="B71" t="s">
        <v>8</v>
      </c>
      <c r="E71">
        <f t="shared" si="1"/>
        <v>0</v>
      </c>
    </row>
    <row r="72" spans="1:5" hidden="1" x14ac:dyDescent="0.3">
      <c r="A72" t="s">
        <v>71</v>
      </c>
      <c r="B72" t="s">
        <v>4</v>
      </c>
      <c r="C72">
        <v>57</v>
      </c>
      <c r="D72">
        <v>22000</v>
      </c>
      <c r="E72">
        <f t="shared" si="1"/>
        <v>1254000</v>
      </c>
    </row>
    <row r="73" spans="1:5" hidden="1" x14ac:dyDescent="0.3">
      <c r="A73" t="s">
        <v>72</v>
      </c>
      <c r="B73" t="s">
        <v>3</v>
      </c>
      <c r="E73">
        <f t="shared" si="1"/>
        <v>0</v>
      </c>
    </row>
    <row r="74" spans="1:5" hidden="1" x14ac:dyDescent="0.3">
      <c r="A74" t="s">
        <v>73</v>
      </c>
      <c r="B74" t="s">
        <v>3</v>
      </c>
      <c r="E74">
        <f t="shared" si="1"/>
        <v>0</v>
      </c>
    </row>
    <row r="75" spans="1:5" hidden="1" x14ac:dyDescent="0.3">
      <c r="A75" t="s">
        <v>74</v>
      </c>
      <c r="B75" t="s">
        <v>3</v>
      </c>
      <c r="E75">
        <f t="shared" si="1"/>
        <v>0</v>
      </c>
    </row>
    <row r="76" spans="1:5" hidden="1" x14ac:dyDescent="0.3">
      <c r="A76" t="s">
        <v>76</v>
      </c>
      <c r="B76" t="s">
        <v>3</v>
      </c>
      <c r="C76">
        <v>3</v>
      </c>
      <c r="D76">
        <v>30000</v>
      </c>
      <c r="E76">
        <f t="shared" si="1"/>
        <v>90000</v>
      </c>
    </row>
    <row r="77" spans="1:5" hidden="1" x14ac:dyDescent="0.3">
      <c r="A77" t="s">
        <v>82</v>
      </c>
      <c r="B77" t="s">
        <v>3</v>
      </c>
      <c r="C77">
        <v>4</v>
      </c>
      <c r="D77">
        <v>36000</v>
      </c>
      <c r="E77">
        <f t="shared" si="1"/>
        <v>144000</v>
      </c>
    </row>
    <row r="78" spans="1:5" hidden="1" x14ac:dyDescent="0.3">
      <c r="A78" t="s">
        <v>83</v>
      </c>
      <c r="B78" t="s">
        <v>4</v>
      </c>
      <c r="E78">
        <f t="shared" si="1"/>
        <v>0</v>
      </c>
    </row>
    <row r="79" spans="1:5" hidden="1" x14ac:dyDescent="0.3">
      <c r="A79" t="s">
        <v>85</v>
      </c>
      <c r="B79" t="s">
        <v>22</v>
      </c>
      <c r="E79">
        <f t="shared" si="1"/>
        <v>0</v>
      </c>
    </row>
    <row r="80" spans="1:5" hidden="1" x14ac:dyDescent="0.3">
      <c r="A80" t="s">
        <v>86</v>
      </c>
      <c r="B80" t="s">
        <v>22</v>
      </c>
      <c r="E80">
        <f t="shared" si="1"/>
        <v>0</v>
      </c>
    </row>
    <row r="81" spans="1:5" hidden="1" x14ac:dyDescent="0.3">
      <c r="A81" t="s">
        <v>84</v>
      </c>
      <c r="B81" t="s">
        <v>22</v>
      </c>
      <c r="E81">
        <f t="shared" si="1"/>
        <v>0</v>
      </c>
    </row>
    <row r="82" spans="1:5" hidden="1" x14ac:dyDescent="0.3">
      <c r="A82" t="s">
        <v>87</v>
      </c>
      <c r="B82" t="s">
        <v>4</v>
      </c>
      <c r="E82">
        <f t="shared" si="1"/>
        <v>0</v>
      </c>
    </row>
    <row r="83" spans="1:5" hidden="1" x14ac:dyDescent="0.3">
      <c r="A83" t="s">
        <v>88</v>
      </c>
      <c r="B83" t="s">
        <v>3</v>
      </c>
      <c r="C83">
        <v>3475</v>
      </c>
      <c r="D83">
        <v>28000</v>
      </c>
      <c r="E83">
        <f t="shared" si="1"/>
        <v>97300000</v>
      </c>
    </row>
    <row r="84" spans="1:5" hidden="1" x14ac:dyDescent="0.3">
      <c r="A84" t="s">
        <v>116</v>
      </c>
      <c r="B84" t="s">
        <v>26</v>
      </c>
      <c r="E84">
        <f t="shared" si="1"/>
        <v>0</v>
      </c>
    </row>
    <row r="85" spans="1:5" hidden="1" x14ac:dyDescent="0.3">
      <c r="A85" t="s">
        <v>117</v>
      </c>
      <c r="B85" t="s">
        <v>8</v>
      </c>
      <c r="E85">
        <f t="shared" si="1"/>
        <v>0</v>
      </c>
    </row>
    <row r="86" spans="1:5" hidden="1" x14ac:dyDescent="0.3">
      <c r="A86" t="s">
        <v>123</v>
      </c>
      <c r="B86" t="s">
        <v>3</v>
      </c>
      <c r="E86">
        <f t="shared" si="1"/>
        <v>0</v>
      </c>
    </row>
    <row r="87" spans="1:5" hidden="1" x14ac:dyDescent="0.3">
      <c r="A87" t="s">
        <v>166</v>
      </c>
      <c r="B87" t="s">
        <v>3</v>
      </c>
      <c r="E87">
        <f t="shared" si="1"/>
        <v>0</v>
      </c>
    </row>
    <row r="88" spans="1:5" hidden="1" x14ac:dyDescent="0.3">
      <c r="A88" t="s">
        <v>92</v>
      </c>
      <c r="B88" t="s">
        <v>3</v>
      </c>
      <c r="E88">
        <f t="shared" si="1"/>
        <v>0</v>
      </c>
    </row>
    <row r="89" spans="1:5" hidden="1" x14ac:dyDescent="0.3">
      <c r="A89" t="s">
        <v>81</v>
      </c>
      <c r="B89" t="s">
        <v>3</v>
      </c>
      <c r="C89">
        <v>4</v>
      </c>
      <c r="D89">
        <v>14000</v>
      </c>
      <c r="E89">
        <f t="shared" si="1"/>
        <v>56000</v>
      </c>
    </row>
    <row r="90" spans="1:5" hidden="1" x14ac:dyDescent="0.3">
      <c r="A90" t="s">
        <v>93</v>
      </c>
      <c r="B90" t="s">
        <v>3</v>
      </c>
      <c r="C90">
        <v>50</v>
      </c>
      <c r="D90">
        <v>25000</v>
      </c>
      <c r="E90">
        <f t="shared" si="1"/>
        <v>1250000</v>
      </c>
    </row>
    <row r="91" spans="1:5" hidden="1" x14ac:dyDescent="0.3">
      <c r="E91">
        <f>SUM(E4:E90)</f>
        <v>174670400</v>
      </c>
    </row>
    <row r="92" spans="1:5" hidden="1" x14ac:dyDescent="0.3">
      <c r="A92" t="s">
        <v>103</v>
      </c>
    </row>
    <row r="93" spans="1:5" hidden="1" x14ac:dyDescent="0.3">
      <c r="A93" t="s">
        <v>0</v>
      </c>
      <c r="B93" t="s">
        <v>1</v>
      </c>
      <c r="C93" t="s">
        <v>102</v>
      </c>
      <c r="D93" t="s">
        <v>100</v>
      </c>
      <c r="E93" t="s">
        <v>101</v>
      </c>
    </row>
    <row r="94" spans="1:5" hidden="1" x14ac:dyDescent="0.3">
      <c r="A94" t="s">
        <v>2</v>
      </c>
      <c r="B94" t="s">
        <v>3</v>
      </c>
      <c r="E94">
        <f t="shared" si="1"/>
        <v>0</v>
      </c>
    </row>
    <row r="95" spans="1:5" hidden="1" x14ac:dyDescent="0.3">
      <c r="A95" t="s">
        <v>107</v>
      </c>
      <c r="B95" t="s">
        <v>6</v>
      </c>
      <c r="C95">
        <v>0</v>
      </c>
      <c r="E95">
        <f t="shared" si="1"/>
        <v>0</v>
      </c>
    </row>
    <row r="96" spans="1:5" hidden="1" x14ac:dyDescent="0.3">
      <c r="A96" t="s">
        <v>57</v>
      </c>
      <c r="B96" t="s">
        <v>3</v>
      </c>
      <c r="C96">
        <v>80</v>
      </c>
      <c r="D96">
        <v>5000</v>
      </c>
      <c r="E96">
        <f t="shared" si="1"/>
        <v>400000</v>
      </c>
    </row>
    <row r="97" spans="1:5" hidden="1" x14ac:dyDescent="0.3">
      <c r="A97" t="s">
        <v>9</v>
      </c>
      <c r="B97" t="s">
        <v>3</v>
      </c>
      <c r="C97">
        <v>40</v>
      </c>
      <c r="D97">
        <v>11000</v>
      </c>
      <c r="E97">
        <f t="shared" si="1"/>
        <v>440000</v>
      </c>
    </row>
    <row r="98" spans="1:5" hidden="1" x14ac:dyDescent="0.3">
      <c r="A98" t="s">
        <v>10</v>
      </c>
      <c r="B98" t="s">
        <v>3</v>
      </c>
      <c r="E98">
        <f t="shared" si="1"/>
        <v>0</v>
      </c>
    </row>
    <row r="99" spans="1:5" hidden="1" x14ac:dyDescent="0.3">
      <c r="A99" t="s">
        <v>13</v>
      </c>
      <c r="B99" t="s">
        <v>4</v>
      </c>
      <c r="E99">
        <f t="shared" si="1"/>
        <v>0</v>
      </c>
    </row>
    <row r="100" spans="1:5" hidden="1" x14ac:dyDescent="0.3">
      <c r="A100" t="s">
        <v>14</v>
      </c>
      <c r="B100" t="s">
        <v>3</v>
      </c>
      <c r="E100">
        <f t="shared" si="1"/>
        <v>0</v>
      </c>
    </row>
    <row r="101" spans="1:5" hidden="1" x14ac:dyDescent="0.3">
      <c r="A101" t="s">
        <v>89</v>
      </c>
      <c r="B101" t="s">
        <v>4</v>
      </c>
      <c r="C101">
        <v>30</v>
      </c>
      <c r="D101">
        <v>6000</v>
      </c>
      <c r="E101">
        <f t="shared" si="1"/>
        <v>180000</v>
      </c>
    </row>
    <row r="102" spans="1:5" hidden="1" x14ac:dyDescent="0.3">
      <c r="A102" t="s">
        <v>15</v>
      </c>
      <c r="B102" t="s">
        <v>3</v>
      </c>
      <c r="C102">
        <v>120</v>
      </c>
      <c r="D102">
        <v>18000</v>
      </c>
      <c r="E102">
        <f t="shared" si="1"/>
        <v>2160000</v>
      </c>
    </row>
    <row r="103" spans="1:5" hidden="1" x14ac:dyDescent="0.3">
      <c r="A103" t="s">
        <v>59</v>
      </c>
      <c r="B103" t="s">
        <v>3</v>
      </c>
      <c r="C103">
        <v>30</v>
      </c>
      <c r="D103">
        <v>12000</v>
      </c>
      <c r="E103">
        <f t="shared" si="1"/>
        <v>360000</v>
      </c>
    </row>
    <row r="104" spans="1:5" hidden="1" x14ac:dyDescent="0.3">
      <c r="A104" t="s">
        <v>46</v>
      </c>
      <c r="B104" t="s">
        <v>3</v>
      </c>
      <c r="E104">
        <f t="shared" si="1"/>
        <v>0</v>
      </c>
    </row>
    <row r="105" spans="1:5" hidden="1" x14ac:dyDescent="0.3">
      <c r="A105" t="s">
        <v>94</v>
      </c>
      <c r="B105" t="s">
        <v>3</v>
      </c>
      <c r="E105">
        <f t="shared" si="1"/>
        <v>0</v>
      </c>
    </row>
    <row r="106" spans="1:5" hidden="1" x14ac:dyDescent="0.3">
      <c r="A106" t="s">
        <v>44</v>
      </c>
      <c r="B106" t="s">
        <v>3</v>
      </c>
      <c r="C106">
        <v>30</v>
      </c>
      <c r="D106">
        <v>36000</v>
      </c>
      <c r="E106">
        <f t="shared" si="1"/>
        <v>1080000</v>
      </c>
    </row>
    <row r="107" spans="1:5" hidden="1" x14ac:dyDescent="0.3">
      <c r="A107" t="s">
        <v>45</v>
      </c>
      <c r="B107" t="s">
        <v>3</v>
      </c>
      <c r="E107">
        <f t="shared" si="1"/>
        <v>0</v>
      </c>
    </row>
    <row r="108" spans="1:5" hidden="1" x14ac:dyDescent="0.3">
      <c r="A108" t="s">
        <v>17</v>
      </c>
      <c r="B108" t="s">
        <v>3</v>
      </c>
      <c r="E108">
        <f t="shared" si="1"/>
        <v>0</v>
      </c>
    </row>
    <row r="109" spans="1:5" hidden="1" x14ac:dyDescent="0.3">
      <c r="A109" t="s">
        <v>20</v>
      </c>
      <c r="B109" t="s">
        <v>3</v>
      </c>
      <c r="C109">
        <v>530</v>
      </c>
      <c r="D109">
        <v>5500</v>
      </c>
      <c r="E109">
        <f t="shared" si="1"/>
        <v>2915000</v>
      </c>
    </row>
    <row r="110" spans="1:5" hidden="1" x14ac:dyDescent="0.3">
      <c r="A110" t="s">
        <v>21</v>
      </c>
      <c r="B110" t="s">
        <v>3</v>
      </c>
      <c r="C110">
        <v>50</v>
      </c>
      <c r="D110">
        <v>10000</v>
      </c>
      <c r="E110">
        <f t="shared" si="1"/>
        <v>500000</v>
      </c>
    </row>
    <row r="111" spans="1:5" hidden="1" x14ac:dyDescent="0.3">
      <c r="A111" t="s">
        <v>66</v>
      </c>
      <c r="B111" t="s">
        <v>3</v>
      </c>
      <c r="E111">
        <f t="shared" si="1"/>
        <v>0</v>
      </c>
    </row>
    <row r="112" spans="1:5" hidden="1" x14ac:dyDescent="0.3">
      <c r="A112" t="s">
        <v>84</v>
      </c>
      <c r="B112" t="s">
        <v>22</v>
      </c>
      <c r="C112">
        <v>65</v>
      </c>
      <c r="D112">
        <v>6800</v>
      </c>
      <c r="E112">
        <f t="shared" si="1"/>
        <v>442000</v>
      </c>
    </row>
    <row r="113" spans="1:5" hidden="1" x14ac:dyDescent="0.3">
      <c r="A113" t="s">
        <v>86</v>
      </c>
      <c r="B113" t="s">
        <v>22</v>
      </c>
      <c r="C113">
        <v>23</v>
      </c>
      <c r="D113">
        <v>6800</v>
      </c>
      <c r="E113">
        <f t="shared" si="1"/>
        <v>156400</v>
      </c>
    </row>
    <row r="114" spans="1:5" hidden="1" x14ac:dyDescent="0.3">
      <c r="A114" t="s">
        <v>85</v>
      </c>
      <c r="B114" t="s">
        <v>22</v>
      </c>
      <c r="E114">
        <f t="shared" si="1"/>
        <v>0</v>
      </c>
    </row>
    <row r="115" spans="1:5" hidden="1" x14ac:dyDescent="0.3">
      <c r="A115" t="s">
        <v>95</v>
      </c>
      <c r="B115" t="s">
        <v>3</v>
      </c>
      <c r="C115">
        <v>30</v>
      </c>
      <c r="D115">
        <v>10000</v>
      </c>
      <c r="E115">
        <f t="shared" si="1"/>
        <v>300000</v>
      </c>
    </row>
    <row r="116" spans="1:5" hidden="1" x14ac:dyDescent="0.3">
      <c r="A116" t="s">
        <v>24</v>
      </c>
      <c r="B116" t="s">
        <v>3</v>
      </c>
      <c r="C116">
        <v>200</v>
      </c>
      <c r="D116">
        <v>7000</v>
      </c>
      <c r="E116">
        <f t="shared" si="1"/>
        <v>1400000</v>
      </c>
    </row>
    <row r="117" spans="1:5" hidden="1" x14ac:dyDescent="0.3">
      <c r="A117" t="s">
        <v>25</v>
      </c>
      <c r="B117" t="s">
        <v>3</v>
      </c>
      <c r="C117">
        <v>50</v>
      </c>
      <c r="D117">
        <v>21000</v>
      </c>
      <c r="E117">
        <f t="shared" si="1"/>
        <v>1050000</v>
      </c>
    </row>
    <row r="118" spans="1:5" hidden="1" x14ac:dyDescent="0.3">
      <c r="A118" t="s">
        <v>28</v>
      </c>
      <c r="B118" t="s">
        <v>3</v>
      </c>
      <c r="C118">
        <v>20</v>
      </c>
      <c r="D118">
        <v>17000</v>
      </c>
      <c r="E118">
        <f t="shared" si="1"/>
        <v>340000</v>
      </c>
    </row>
    <row r="119" spans="1:5" hidden="1" x14ac:dyDescent="0.3">
      <c r="A119" t="s">
        <v>30</v>
      </c>
      <c r="B119" t="s">
        <v>3</v>
      </c>
      <c r="E119">
        <f t="shared" si="1"/>
        <v>0</v>
      </c>
    </row>
    <row r="120" spans="1:5" hidden="1" x14ac:dyDescent="0.3">
      <c r="A120" t="s">
        <v>53</v>
      </c>
      <c r="B120" t="s">
        <v>3</v>
      </c>
      <c r="C120">
        <v>60</v>
      </c>
      <c r="D120">
        <v>15000</v>
      </c>
      <c r="E120">
        <f t="shared" si="1"/>
        <v>900000</v>
      </c>
    </row>
    <row r="121" spans="1:5" hidden="1" x14ac:dyDescent="0.3">
      <c r="A121" t="s">
        <v>34</v>
      </c>
      <c r="B121" t="s">
        <v>3</v>
      </c>
      <c r="E121">
        <f t="shared" si="1"/>
        <v>0</v>
      </c>
    </row>
    <row r="122" spans="1:5" hidden="1" x14ac:dyDescent="0.3">
      <c r="A122" t="s">
        <v>35</v>
      </c>
      <c r="B122" t="s">
        <v>3</v>
      </c>
      <c r="E122">
        <f t="shared" si="1"/>
        <v>0</v>
      </c>
    </row>
    <row r="123" spans="1:5" hidden="1" x14ac:dyDescent="0.3">
      <c r="A123" t="s">
        <v>36</v>
      </c>
      <c r="B123" t="s">
        <v>3</v>
      </c>
      <c r="E123">
        <f t="shared" si="1"/>
        <v>0</v>
      </c>
    </row>
    <row r="124" spans="1:5" hidden="1" x14ac:dyDescent="0.3">
      <c r="A124" t="s">
        <v>72</v>
      </c>
      <c r="B124" t="s">
        <v>3</v>
      </c>
      <c r="E124">
        <f t="shared" si="1"/>
        <v>0</v>
      </c>
    </row>
    <row r="125" spans="1:5" hidden="1" x14ac:dyDescent="0.3">
      <c r="A125" t="s">
        <v>56</v>
      </c>
      <c r="B125" t="s">
        <v>3</v>
      </c>
      <c r="E125">
        <f t="shared" si="1"/>
        <v>0</v>
      </c>
    </row>
    <row r="126" spans="1:5" hidden="1" x14ac:dyDescent="0.3">
      <c r="A126" t="s">
        <v>96</v>
      </c>
      <c r="B126" t="s">
        <v>3</v>
      </c>
      <c r="C126">
        <v>34</v>
      </c>
      <c r="D126">
        <v>27000</v>
      </c>
      <c r="E126">
        <f t="shared" si="1"/>
        <v>918000</v>
      </c>
    </row>
    <row r="127" spans="1:5" hidden="1" x14ac:dyDescent="0.3">
      <c r="A127" t="s">
        <v>97</v>
      </c>
      <c r="B127" t="s">
        <v>3</v>
      </c>
      <c r="C127">
        <v>10</v>
      </c>
      <c r="D127">
        <v>16000</v>
      </c>
      <c r="E127">
        <f t="shared" si="1"/>
        <v>160000</v>
      </c>
    </row>
    <row r="128" spans="1:5" hidden="1" x14ac:dyDescent="0.3">
      <c r="A128" t="s">
        <v>78</v>
      </c>
      <c r="B128" t="s">
        <v>3</v>
      </c>
      <c r="E128">
        <f t="shared" si="1"/>
        <v>0</v>
      </c>
    </row>
    <row r="129" spans="1:5" hidden="1" x14ac:dyDescent="0.3">
      <c r="A129" t="s">
        <v>109</v>
      </c>
      <c r="B129" t="s">
        <v>3</v>
      </c>
      <c r="C129">
        <v>0</v>
      </c>
      <c r="E129">
        <f t="shared" si="1"/>
        <v>0</v>
      </c>
    </row>
    <row r="130" spans="1:5" hidden="1" x14ac:dyDescent="0.3">
      <c r="A130" t="s">
        <v>32</v>
      </c>
      <c r="B130" t="s">
        <v>3</v>
      </c>
      <c r="E130">
        <f t="shared" si="1"/>
        <v>0</v>
      </c>
    </row>
    <row r="131" spans="1:5" hidden="1" x14ac:dyDescent="0.3">
      <c r="A131" t="s">
        <v>32</v>
      </c>
      <c r="B131" t="s">
        <v>6</v>
      </c>
      <c r="E131">
        <f t="shared" si="1"/>
        <v>0</v>
      </c>
    </row>
    <row r="132" spans="1:5" x14ac:dyDescent="0.3">
      <c r="A132" t="s">
        <v>43</v>
      </c>
      <c r="B132" t="s">
        <v>3</v>
      </c>
      <c r="C132">
        <v>350</v>
      </c>
      <c r="D132">
        <v>27600</v>
      </c>
      <c r="E132">
        <f t="shared" si="1"/>
        <v>9660000</v>
      </c>
    </row>
    <row r="133" spans="1:5" hidden="1" x14ac:dyDescent="0.3">
      <c r="A133" t="s">
        <v>60</v>
      </c>
      <c r="B133" t="s">
        <v>4</v>
      </c>
      <c r="C133">
        <v>15</v>
      </c>
      <c r="D133">
        <v>6000</v>
      </c>
      <c r="E133">
        <f t="shared" si="1"/>
        <v>90000</v>
      </c>
    </row>
    <row r="134" spans="1:5" hidden="1" x14ac:dyDescent="0.3">
      <c r="A134" t="s">
        <v>61</v>
      </c>
      <c r="B134" t="s">
        <v>4</v>
      </c>
      <c r="C134">
        <v>90</v>
      </c>
      <c r="D134">
        <v>15000</v>
      </c>
      <c r="E134">
        <f t="shared" si="1"/>
        <v>1350000</v>
      </c>
    </row>
    <row r="135" spans="1:5" hidden="1" x14ac:dyDescent="0.3">
      <c r="A135" t="s">
        <v>37</v>
      </c>
      <c r="B135" t="s">
        <v>3</v>
      </c>
      <c r="E135">
        <f t="shared" ref="E135:E141" si="2">C135*D135</f>
        <v>0</v>
      </c>
    </row>
    <row r="136" spans="1:5" hidden="1" x14ac:dyDescent="0.3">
      <c r="A136" t="s">
        <v>67</v>
      </c>
      <c r="B136" t="s">
        <v>3</v>
      </c>
      <c r="C136">
        <v>0</v>
      </c>
      <c r="E136">
        <f t="shared" si="2"/>
        <v>0</v>
      </c>
    </row>
    <row r="137" spans="1:5" hidden="1" x14ac:dyDescent="0.3">
      <c r="A137" t="s">
        <v>23</v>
      </c>
      <c r="B137" t="s">
        <v>22</v>
      </c>
      <c r="C137">
        <v>0</v>
      </c>
      <c r="E137">
        <f t="shared" si="2"/>
        <v>0</v>
      </c>
    </row>
    <row r="138" spans="1:5" hidden="1" x14ac:dyDescent="0.3">
      <c r="A138" t="s">
        <v>116</v>
      </c>
      <c r="B138" t="s">
        <v>26</v>
      </c>
      <c r="C138">
        <v>3215</v>
      </c>
      <c r="D138">
        <v>10000</v>
      </c>
      <c r="E138">
        <f t="shared" si="2"/>
        <v>32150000</v>
      </c>
    </row>
    <row r="139" spans="1:5" hidden="1" x14ac:dyDescent="0.3">
      <c r="A139" t="s">
        <v>98</v>
      </c>
      <c r="B139" t="s">
        <v>3</v>
      </c>
      <c r="E139">
        <f t="shared" si="2"/>
        <v>0</v>
      </c>
    </row>
    <row r="140" spans="1:5" hidden="1" x14ac:dyDescent="0.3">
      <c r="A140" t="e">
        <v>#N/A</v>
      </c>
      <c r="B140">
        <v>0</v>
      </c>
      <c r="C140">
        <v>0</v>
      </c>
      <c r="E140">
        <f t="shared" si="2"/>
        <v>0</v>
      </c>
    </row>
    <row r="141" spans="1:5" hidden="1" x14ac:dyDescent="0.3">
      <c r="A141" t="s">
        <v>170</v>
      </c>
      <c r="B141" t="s">
        <v>3</v>
      </c>
      <c r="C141">
        <v>1</v>
      </c>
      <c r="D141">
        <v>16000</v>
      </c>
      <c r="E141">
        <f t="shared" si="2"/>
        <v>16000</v>
      </c>
    </row>
    <row r="142" spans="1:5" hidden="1" x14ac:dyDescent="0.3">
      <c r="E142">
        <f>SUM(E96:E141)</f>
        <v>56967400</v>
      </c>
    </row>
    <row r="143" spans="1:5" hidden="1" x14ac:dyDescent="0.3">
      <c r="E143">
        <f>E142+E91</f>
        <v>231637800</v>
      </c>
    </row>
  </sheetData>
  <autoFilter ref="A3:E143" xr:uid="{00000000-0009-0000-0000-000015000000}">
    <filterColumn colId="0">
      <filters>
        <filter val="Hạt Dẻ Ngố"/>
      </filters>
    </filterColumn>
    <filterColumn colId="4">
      <filters>
        <filter val="100000"/>
        <filter val="1050000"/>
        <filter val="1080000"/>
        <filter val="1250000"/>
        <filter val="1254000"/>
        <filter val="126000"/>
        <filter val="129600"/>
        <filter val="1300000"/>
        <filter val="1350000"/>
        <filter val="140000"/>
        <filter val="1400000"/>
        <filter val="144000"/>
        <filter val="1470000"/>
        <filter val="156400"/>
        <filter val="16000"/>
        <filter val="160000"/>
        <filter val="174670400"/>
        <filter val="180000"/>
        <filter val="19500"/>
        <filter val="200000"/>
        <filter val="2090000"/>
        <filter val="2160000"/>
        <filter val="220000"/>
        <filter val="256000"/>
        <filter val="2635000"/>
        <filter val="280000"/>
        <filter val="288000"/>
        <filter val="2915000"/>
        <filter val="300000"/>
        <filter val="32150000"/>
        <filter val="322000"/>
        <filter val="330000"/>
        <filter val="3380000"/>
        <filter val="340000"/>
        <filter val="35100"/>
        <filter val="360000"/>
        <filter val="396000"/>
        <filter val="400000"/>
        <filter val="440000"/>
        <filter val="442000"/>
        <filter val="500000"/>
        <filter val="54000"/>
        <filter val="540000"/>
        <filter val="550000"/>
        <filter val="56000"/>
        <filter val="56967400"/>
        <filter val="5780000"/>
        <filter val="5920000"/>
        <filter val="600000"/>
        <filter val="6094000"/>
        <filter val="6174000"/>
        <filter val="630000"/>
        <filter val="6840000"/>
        <filter val="720000"/>
        <filter val="7200000"/>
        <filter val="7420000"/>
        <filter val="780000"/>
        <filter val="8400"/>
        <filter val="892800"/>
        <filter val="8970000"/>
        <filter val="90000"/>
        <filter val="900000"/>
        <filter val="918000"/>
        <filter val="960000"/>
        <filter val="9660000"/>
        <filter val="97300000"/>
        <filter val="thành tiền"/>
      </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E164"/>
  <sheetViews>
    <sheetView workbookViewId="0">
      <selection activeCell="E172" sqref="E172"/>
    </sheetView>
  </sheetViews>
  <sheetFormatPr defaultRowHeight="14.4" x14ac:dyDescent="0.3"/>
  <cols>
    <col min="1" max="1" width="35.109375" customWidth="1"/>
    <col min="3" max="3" width="10.88671875" customWidth="1"/>
    <col min="4" max="4" width="14.109375" customWidth="1"/>
    <col min="5" max="5" width="20.109375" customWidth="1"/>
  </cols>
  <sheetData>
    <row r="1" spans="1:5" x14ac:dyDescent="0.3">
      <c r="A1" t="s">
        <v>171</v>
      </c>
    </row>
    <row r="2" spans="1:5" x14ac:dyDescent="0.3">
      <c r="A2" t="s">
        <v>0</v>
      </c>
      <c r="B2" t="s">
        <v>1</v>
      </c>
      <c r="C2" t="s">
        <v>114</v>
      </c>
      <c r="D2" t="s">
        <v>115</v>
      </c>
      <c r="E2" t="s">
        <v>101</v>
      </c>
    </row>
    <row r="3" spans="1:5" hidden="1" x14ac:dyDescent="0.3">
      <c r="A3" t="s">
        <v>44</v>
      </c>
      <c r="B3" t="s">
        <v>3</v>
      </c>
      <c r="C3">
        <v>30</v>
      </c>
      <c r="D3">
        <v>36000</v>
      </c>
      <c r="E3">
        <f>C3*D3</f>
        <v>1080000</v>
      </c>
    </row>
    <row r="4" spans="1:5" hidden="1" x14ac:dyDescent="0.3">
      <c r="A4" t="s">
        <v>45</v>
      </c>
      <c r="B4" t="s">
        <v>3</v>
      </c>
      <c r="C4">
        <v>1475</v>
      </c>
      <c r="D4">
        <v>5500</v>
      </c>
      <c r="E4">
        <f t="shared" ref="E4:E67" si="0">C4*D4</f>
        <v>8112500</v>
      </c>
    </row>
    <row r="5" spans="1:5" hidden="1" x14ac:dyDescent="0.3">
      <c r="A5" t="s">
        <v>17</v>
      </c>
      <c r="B5" t="s">
        <v>3</v>
      </c>
      <c r="C5">
        <v>352</v>
      </c>
      <c r="D5">
        <v>5000</v>
      </c>
      <c r="E5">
        <f t="shared" si="0"/>
        <v>1760000</v>
      </c>
    </row>
    <row r="6" spans="1:5" hidden="1" x14ac:dyDescent="0.3">
      <c r="A6" t="s">
        <v>95</v>
      </c>
      <c r="B6" t="s">
        <v>3</v>
      </c>
      <c r="C6">
        <v>0</v>
      </c>
      <c r="E6">
        <f t="shared" si="0"/>
        <v>0</v>
      </c>
    </row>
    <row r="7" spans="1:5" hidden="1" x14ac:dyDescent="0.3">
      <c r="A7" t="s">
        <v>92</v>
      </c>
      <c r="B7" t="s">
        <v>3</v>
      </c>
      <c r="C7">
        <v>4</v>
      </c>
      <c r="D7">
        <v>11500</v>
      </c>
      <c r="E7">
        <f t="shared" si="0"/>
        <v>46000</v>
      </c>
    </row>
    <row r="8" spans="1:5" hidden="1" x14ac:dyDescent="0.3">
      <c r="A8" t="s">
        <v>24</v>
      </c>
      <c r="B8" t="s">
        <v>3</v>
      </c>
      <c r="C8">
        <v>930</v>
      </c>
      <c r="D8">
        <v>7000</v>
      </c>
      <c r="E8">
        <f t="shared" si="0"/>
        <v>6510000</v>
      </c>
    </row>
    <row r="9" spans="1:5" hidden="1" x14ac:dyDescent="0.3">
      <c r="A9" t="s">
        <v>78</v>
      </c>
      <c r="B9" t="s">
        <v>3</v>
      </c>
      <c r="C9">
        <v>0</v>
      </c>
      <c r="E9">
        <f t="shared" si="0"/>
        <v>0</v>
      </c>
    </row>
    <row r="10" spans="1:5" hidden="1" x14ac:dyDescent="0.3">
      <c r="A10" t="s">
        <v>25</v>
      </c>
      <c r="B10" t="s">
        <v>3</v>
      </c>
      <c r="C10">
        <v>128</v>
      </c>
      <c r="D10">
        <v>21000</v>
      </c>
      <c r="E10">
        <f t="shared" si="0"/>
        <v>2688000</v>
      </c>
    </row>
    <row r="11" spans="1:5" hidden="1" x14ac:dyDescent="0.3">
      <c r="A11" t="s">
        <v>25</v>
      </c>
      <c r="B11" t="s">
        <v>26</v>
      </c>
      <c r="C11">
        <v>0</v>
      </c>
      <c r="E11">
        <f t="shared" si="0"/>
        <v>0</v>
      </c>
    </row>
    <row r="12" spans="1:5" hidden="1" x14ac:dyDescent="0.3">
      <c r="A12" t="s">
        <v>27</v>
      </c>
      <c r="B12" t="s">
        <v>3</v>
      </c>
      <c r="C12">
        <v>4</v>
      </c>
      <c r="D12">
        <v>14000</v>
      </c>
      <c r="E12">
        <f t="shared" si="0"/>
        <v>56000</v>
      </c>
    </row>
    <row r="13" spans="1:5" hidden="1" x14ac:dyDescent="0.3">
      <c r="A13" t="s">
        <v>27</v>
      </c>
      <c r="B13" t="s">
        <v>26</v>
      </c>
      <c r="C13">
        <v>0</v>
      </c>
      <c r="E13">
        <f t="shared" si="0"/>
        <v>0</v>
      </c>
    </row>
    <row r="14" spans="1:5" hidden="1" x14ac:dyDescent="0.3">
      <c r="A14" t="s">
        <v>37</v>
      </c>
      <c r="B14" t="s">
        <v>3</v>
      </c>
      <c r="C14">
        <v>0</v>
      </c>
      <c r="E14">
        <f t="shared" si="0"/>
        <v>0</v>
      </c>
    </row>
    <row r="15" spans="1:5" hidden="1" x14ac:dyDescent="0.3">
      <c r="A15" t="s">
        <v>46</v>
      </c>
      <c r="B15" t="s">
        <v>3</v>
      </c>
      <c r="C15">
        <v>0</v>
      </c>
      <c r="E15">
        <f t="shared" si="0"/>
        <v>0</v>
      </c>
    </row>
    <row r="16" spans="1:5" hidden="1" x14ac:dyDescent="0.3">
      <c r="A16" t="s">
        <v>47</v>
      </c>
      <c r="B16" t="s">
        <v>3</v>
      </c>
      <c r="C16">
        <v>0</v>
      </c>
      <c r="E16">
        <f t="shared" si="0"/>
        <v>0</v>
      </c>
    </row>
    <row r="17" spans="1:5" hidden="1" x14ac:dyDescent="0.3">
      <c r="A17" t="s">
        <v>123</v>
      </c>
      <c r="B17" t="s">
        <v>3</v>
      </c>
      <c r="C17">
        <v>0</v>
      </c>
      <c r="E17">
        <f t="shared" si="0"/>
        <v>0</v>
      </c>
    </row>
    <row r="18" spans="1:5" hidden="1" x14ac:dyDescent="0.3">
      <c r="A18" t="s">
        <v>82</v>
      </c>
      <c r="B18" t="s">
        <v>3</v>
      </c>
      <c r="C18">
        <v>0</v>
      </c>
      <c r="E18">
        <f t="shared" si="0"/>
        <v>0</v>
      </c>
    </row>
    <row r="19" spans="1:5" hidden="1" x14ac:dyDescent="0.3">
      <c r="A19" t="s">
        <v>16</v>
      </c>
      <c r="B19" t="s">
        <v>6</v>
      </c>
      <c r="C19">
        <v>14</v>
      </c>
      <c r="D19">
        <v>8500</v>
      </c>
      <c r="E19">
        <f t="shared" si="0"/>
        <v>119000</v>
      </c>
    </row>
    <row r="20" spans="1:5" hidden="1" x14ac:dyDescent="0.3">
      <c r="A20" t="s">
        <v>28</v>
      </c>
      <c r="B20" t="s">
        <v>3</v>
      </c>
      <c r="C20">
        <v>20</v>
      </c>
      <c r="D20">
        <v>17000</v>
      </c>
      <c r="E20">
        <f t="shared" si="0"/>
        <v>340000</v>
      </c>
    </row>
    <row r="21" spans="1:5" hidden="1" x14ac:dyDescent="0.3">
      <c r="A21" t="s">
        <v>28</v>
      </c>
      <c r="B21" t="s">
        <v>6</v>
      </c>
      <c r="C21">
        <v>0</v>
      </c>
      <c r="E21">
        <f t="shared" si="0"/>
        <v>0</v>
      </c>
    </row>
    <row r="22" spans="1:5" hidden="1" x14ac:dyDescent="0.3">
      <c r="A22" t="s">
        <v>28</v>
      </c>
      <c r="B22" t="s">
        <v>29</v>
      </c>
      <c r="C22">
        <v>0</v>
      </c>
      <c r="E22">
        <f t="shared" si="0"/>
        <v>0</v>
      </c>
    </row>
    <row r="23" spans="1:5" hidden="1" x14ac:dyDescent="0.3">
      <c r="A23" t="s">
        <v>48</v>
      </c>
      <c r="B23" t="s">
        <v>3</v>
      </c>
      <c r="C23">
        <v>25</v>
      </c>
      <c r="D23">
        <v>17000</v>
      </c>
      <c r="E23">
        <f t="shared" si="0"/>
        <v>425000</v>
      </c>
    </row>
    <row r="24" spans="1:5" hidden="1" x14ac:dyDescent="0.3">
      <c r="A24" t="s">
        <v>48</v>
      </c>
      <c r="B24" t="s">
        <v>49</v>
      </c>
      <c r="C24">
        <v>0</v>
      </c>
      <c r="E24">
        <f t="shared" si="0"/>
        <v>0</v>
      </c>
    </row>
    <row r="25" spans="1:5" hidden="1" x14ac:dyDescent="0.3">
      <c r="A25" t="s">
        <v>40</v>
      </c>
      <c r="B25" t="s">
        <v>3</v>
      </c>
      <c r="C25">
        <v>12</v>
      </c>
      <c r="D25">
        <v>30000</v>
      </c>
      <c r="E25">
        <f t="shared" si="0"/>
        <v>360000</v>
      </c>
    </row>
    <row r="26" spans="1:5" hidden="1" x14ac:dyDescent="0.3">
      <c r="A26" t="s">
        <v>40</v>
      </c>
      <c r="B26" t="s">
        <v>41</v>
      </c>
      <c r="C26">
        <v>81</v>
      </c>
      <c r="D26">
        <v>9000</v>
      </c>
      <c r="E26">
        <f t="shared" si="0"/>
        <v>729000</v>
      </c>
    </row>
    <row r="27" spans="1:5" hidden="1" x14ac:dyDescent="0.3">
      <c r="A27" t="s">
        <v>50</v>
      </c>
      <c r="B27" t="s">
        <v>8</v>
      </c>
      <c r="C27">
        <v>19</v>
      </c>
      <c r="D27">
        <v>14400</v>
      </c>
      <c r="E27">
        <f t="shared" si="0"/>
        <v>273600</v>
      </c>
    </row>
    <row r="28" spans="1:5" hidden="1" x14ac:dyDescent="0.3">
      <c r="A28" t="s">
        <v>51</v>
      </c>
      <c r="B28" t="s">
        <v>3</v>
      </c>
      <c r="C28">
        <v>0</v>
      </c>
      <c r="E28">
        <f t="shared" si="0"/>
        <v>0</v>
      </c>
    </row>
    <row r="29" spans="1:5" hidden="1" x14ac:dyDescent="0.3">
      <c r="A29" t="s">
        <v>51</v>
      </c>
      <c r="B29" t="s">
        <v>52</v>
      </c>
      <c r="C29">
        <v>532</v>
      </c>
      <c r="D29">
        <v>12000</v>
      </c>
      <c r="E29">
        <f t="shared" si="0"/>
        <v>6384000</v>
      </c>
    </row>
    <row r="30" spans="1:5" hidden="1" x14ac:dyDescent="0.3">
      <c r="A30" t="s">
        <v>30</v>
      </c>
      <c r="B30" t="s">
        <v>3</v>
      </c>
      <c r="C30">
        <v>40</v>
      </c>
      <c r="D30">
        <v>14000</v>
      </c>
      <c r="E30">
        <f t="shared" si="0"/>
        <v>560000</v>
      </c>
    </row>
    <row r="31" spans="1:5" hidden="1" x14ac:dyDescent="0.3">
      <c r="A31" t="s">
        <v>30</v>
      </c>
      <c r="B31" t="s">
        <v>6</v>
      </c>
      <c r="C31">
        <v>0</v>
      </c>
      <c r="E31">
        <f t="shared" si="0"/>
        <v>0</v>
      </c>
    </row>
    <row r="32" spans="1:5" hidden="1" x14ac:dyDescent="0.3">
      <c r="A32" t="s">
        <v>31</v>
      </c>
      <c r="B32" t="s">
        <v>4</v>
      </c>
      <c r="C32">
        <v>206</v>
      </c>
      <c r="D32">
        <v>13000</v>
      </c>
      <c r="E32">
        <f t="shared" si="0"/>
        <v>2678000</v>
      </c>
    </row>
    <row r="33" spans="1:5" hidden="1" x14ac:dyDescent="0.3">
      <c r="A33" t="s">
        <v>2</v>
      </c>
      <c r="B33" t="s">
        <v>3</v>
      </c>
      <c r="C33">
        <v>320</v>
      </c>
      <c r="D33">
        <v>13000</v>
      </c>
      <c r="E33">
        <f t="shared" si="0"/>
        <v>4160000</v>
      </c>
    </row>
    <row r="34" spans="1:5" hidden="1" x14ac:dyDescent="0.3">
      <c r="A34" t="s">
        <v>2</v>
      </c>
      <c r="B34" t="s">
        <v>4</v>
      </c>
      <c r="C34">
        <v>0</v>
      </c>
      <c r="E34">
        <f t="shared" si="0"/>
        <v>0</v>
      </c>
    </row>
    <row r="35" spans="1:5" hidden="1" x14ac:dyDescent="0.3">
      <c r="A35" t="s">
        <v>5</v>
      </c>
      <c r="B35" t="s">
        <v>3</v>
      </c>
      <c r="C35">
        <v>0</v>
      </c>
      <c r="E35">
        <f t="shared" si="0"/>
        <v>0</v>
      </c>
    </row>
    <row r="36" spans="1:5" hidden="1" x14ac:dyDescent="0.3">
      <c r="A36" t="s">
        <v>5</v>
      </c>
      <c r="B36" t="s">
        <v>6</v>
      </c>
      <c r="C36">
        <v>0</v>
      </c>
      <c r="E36">
        <f t="shared" si="0"/>
        <v>0</v>
      </c>
    </row>
    <row r="37" spans="1:5" hidden="1" x14ac:dyDescent="0.3">
      <c r="A37" t="s">
        <v>53</v>
      </c>
      <c r="B37" t="s">
        <v>3</v>
      </c>
      <c r="C37">
        <v>80</v>
      </c>
      <c r="D37">
        <v>10000</v>
      </c>
      <c r="E37">
        <f t="shared" si="0"/>
        <v>800000</v>
      </c>
    </row>
    <row r="38" spans="1:5" hidden="1" x14ac:dyDescent="0.3">
      <c r="A38" t="s">
        <v>53</v>
      </c>
      <c r="B38" t="s">
        <v>54</v>
      </c>
      <c r="C38">
        <v>0</v>
      </c>
      <c r="E38">
        <f t="shared" si="0"/>
        <v>0</v>
      </c>
    </row>
    <row r="39" spans="1:5" hidden="1" x14ac:dyDescent="0.3">
      <c r="A39" t="s">
        <v>18</v>
      </c>
      <c r="B39" t="s">
        <v>3</v>
      </c>
      <c r="C39">
        <v>11</v>
      </c>
      <c r="D39">
        <v>32000</v>
      </c>
      <c r="E39">
        <f t="shared" si="0"/>
        <v>352000</v>
      </c>
    </row>
    <row r="40" spans="1:5" hidden="1" x14ac:dyDescent="0.3">
      <c r="A40" t="s">
        <v>18</v>
      </c>
      <c r="B40" t="s">
        <v>4</v>
      </c>
      <c r="C40">
        <v>0</v>
      </c>
      <c r="E40">
        <f t="shared" si="0"/>
        <v>0</v>
      </c>
    </row>
    <row r="41" spans="1:5" hidden="1" x14ac:dyDescent="0.3">
      <c r="A41" t="s">
        <v>55</v>
      </c>
      <c r="B41" t="s">
        <v>3</v>
      </c>
      <c r="C41">
        <v>0</v>
      </c>
      <c r="E41">
        <f t="shared" si="0"/>
        <v>0</v>
      </c>
    </row>
    <row r="42" spans="1:5" hidden="1" x14ac:dyDescent="0.3">
      <c r="A42" t="s">
        <v>55</v>
      </c>
      <c r="B42" t="s">
        <v>4</v>
      </c>
      <c r="C42">
        <v>6</v>
      </c>
      <c r="D42">
        <v>3900</v>
      </c>
      <c r="E42">
        <f t="shared" si="0"/>
        <v>23400</v>
      </c>
    </row>
    <row r="43" spans="1:5" hidden="1" x14ac:dyDescent="0.3">
      <c r="A43" t="s">
        <v>19</v>
      </c>
      <c r="B43" t="s">
        <v>3</v>
      </c>
      <c r="C43">
        <v>0</v>
      </c>
      <c r="E43">
        <f t="shared" si="0"/>
        <v>0</v>
      </c>
    </row>
    <row r="44" spans="1:5" hidden="1" x14ac:dyDescent="0.3">
      <c r="A44" t="s">
        <v>19</v>
      </c>
      <c r="B44" t="s">
        <v>4</v>
      </c>
      <c r="C44">
        <v>10</v>
      </c>
      <c r="D44">
        <v>3900</v>
      </c>
      <c r="E44">
        <f t="shared" si="0"/>
        <v>39000</v>
      </c>
    </row>
    <row r="45" spans="1:5" hidden="1" x14ac:dyDescent="0.3">
      <c r="A45" t="s">
        <v>20</v>
      </c>
      <c r="B45" t="s">
        <v>3</v>
      </c>
      <c r="C45">
        <v>300</v>
      </c>
      <c r="D45">
        <v>5500</v>
      </c>
      <c r="E45">
        <f t="shared" si="0"/>
        <v>1650000</v>
      </c>
    </row>
    <row r="46" spans="1:5" hidden="1" x14ac:dyDescent="0.3">
      <c r="A46" t="s">
        <v>21</v>
      </c>
      <c r="B46" t="s">
        <v>22</v>
      </c>
      <c r="C46">
        <v>0</v>
      </c>
      <c r="E46">
        <f t="shared" si="0"/>
        <v>0</v>
      </c>
    </row>
    <row r="47" spans="1:5" hidden="1" x14ac:dyDescent="0.3">
      <c r="A47" t="s">
        <v>21</v>
      </c>
      <c r="B47" t="s">
        <v>3</v>
      </c>
      <c r="C47">
        <v>25</v>
      </c>
      <c r="D47">
        <v>10000</v>
      </c>
      <c r="E47">
        <f t="shared" si="0"/>
        <v>250000</v>
      </c>
    </row>
    <row r="48" spans="1:5" hidden="1" x14ac:dyDescent="0.3">
      <c r="A48" t="s">
        <v>56</v>
      </c>
      <c r="B48" t="s">
        <v>3</v>
      </c>
      <c r="C48">
        <v>30</v>
      </c>
      <c r="D48">
        <v>14000</v>
      </c>
      <c r="E48">
        <f t="shared" si="0"/>
        <v>420000</v>
      </c>
    </row>
    <row r="49" spans="1:5" hidden="1" x14ac:dyDescent="0.3">
      <c r="A49" t="s">
        <v>7</v>
      </c>
      <c r="B49" t="s">
        <v>8</v>
      </c>
      <c r="C49">
        <v>4</v>
      </c>
      <c r="D49">
        <v>9000</v>
      </c>
      <c r="E49">
        <f t="shared" si="0"/>
        <v>36000</v>
      </c>
    </row>
    <row r="50" spans="1:5" hidden="1" x14ac:dyDescent="0.3">
      <c r="A50" t="s">
        <v>7</v>
      </c>
      <c r="B50" t="s">
        <v>3</v>
      </c>
      <c r="C50">
        <v>0</v>
      </c>
      <c r="E50">
        <f t="shared" si="0"/>
        <v>0</v>
      </c>
    </row>
    <row r="51" spans="1:5" hidden="1" x14ac:dyDescent="0.3">
      <c r="A51" t="s">
        <v>57</v>
      </c>
      <c r="B51" t="s">
        <v>3</v>
      </c>
      <c r="C51">
        <v>75</v>
      </c>
      <c r="D51">
        <v>5500</v>
      </c>
      <c r="E51">
        <f t="shared" si="0"/>
        <v>412500</v>
      </c>
    </row>
    <row r="52" spans="1:5" hidden="1" x14ac:dyDescent="0.3">
      <c r="A52" t="s">
        <v>9</v>
      </c>
      <c r="B52" t="s">
        <v>3</v>
      </c>
      <c r="C52">
        <v>30</v>
      </c>
      <c r="D52">
        <v>11000</v>
      </c>
      <c r="E52">
        <f t="shared" si="0"/>
        <v>330000</v>
      </c>
    </row>
    <row r="53" spans="1:5" hidden="1" x14ac:dyDescent="0.3">
      <c r="A53" t="s">
        <v>9</v>
      </c>
      <c r="B53" t="s">
        <v>4</v>
      </c>
      <c r="C53">
        <v>0</v>
      </c>
      <c r="E53">
        <f t="shared" si="0"/>
        <v>0</v>
      </c>
    </row>
    <row r="54" spans="1:5" hidden="1" x14ac:dyDescent="0.3">
      <c r="A54" t="s">
        <v>58</v>
      </c>
      <c r="B54" t="s">
        <v>3</v>
      </c>
      <c r="C54">
        <v>5</v>
      </c>
      <c r="D54">
        <v>23000</v>
      </c>
      <c r="E54">
        <f t="shared" si="0"/>
        <v>115000</v>
      </c>
    </row>
    <row r="55" spans="1:5" hidden="1" x14ac:dyDescent="0.3">
      <c r="A55" t="s">
        <v>10</v>
      </c>
      <c r="B55" t="s">
        <v>3</v>
      </c>
      <c r="C55">
        <v>195</v>
      </c>
      <c r="D55">
        <v>19000</v>
      </c>
      <c r="E55">
        <f t="shared" si="0"/>
        <v>3705000</v>
      </c>
    </row>
    <row r="56" spans="1:5" hidden="1" x14ac:dyDescent="0.3">
      <c r="A56" t="s">
        <v>10</v>
      </c>
      <c r="B56" t="s">
        <v>11</v>
      </c>
      <c r="C56">
        <v>0</v>
      </c>
      <c r="E56">
        <f t="shared" si="0"/>
        <v>0</v>
      </c>
    </row>
    <row r="57" spans="1:5" hidden="1" x14ac:dyDescent="0.3">
      <c r="A57" t="s">
        <v>106</v>
      </c>
      <c r="B57" t="s">
        <v>3</v>
      </c>
      <c r="C57">
        <v>13</v>
      </c>
      <c r="D57">
        <v>20000</v>
      </c>
      <c r="E57">
        <f t="shared" si="0"/>
        <v>260000</v>
      </c>
    </row>
    <row r="58" spans="1:5" hidden="1" x14ac:dyDescent="0.3">
      <c r="A58" t="s">
        <v>12</v>
      </c>
      <c r="B58" t="s">
        <v>4</v>
      </c>
      <c r="C58">
        <v>100</v>
      </c>
      <c r="D58">
        <v>4500</v>
      </c>
      <c r="E58">
        <f t="shared" si="0"/>
        <v>450000</v>
      </c>
    </row>
    <row r="59" spans="1:5" hidden="1" x14ac:dyDescent="0.3">
      <c r="A59" t="s">
        <v>39</v>
      </c>
      <c r="B59" t="s">
        <v>3</v>
      </c>
      <c r="C59">
        <v>220</v>
      </c>
      <c r="D59">
        <v>24000</v>
      </c>
      <c r="E59">
        <f t="shared" si="0"/>
        <v>5280000</v>
      </c>
    </row>
    <row r="60" spans="1:5" hidden="1" x14ac:dyDescent="0.3">
      <c r="A60" t="s">
        <v>13</v>
      </c>
      <c r="B60" t="s">
        <v>3</v>
      </c>
      <c r="C60">
        <v>0</v>
      </c>
      <c r="E60">
        <f t="shared" si="0"/>
        <v>0</v>
      </c>
    </row>
    <row r="61" spans="1:5" hidden="1" x14ac:dyDescent="0.3">
      <c r="A61" t="s">
        <v>133</v>
      </c>
      <c r="B61" t="s">
        <v>3</v>
      </c>
      <c r="C61">
        <v>390</v>
      </c>
      <c r="D61">
        <v>17000</v>
      </c>
      <c r="E61">
        <f t="shared" si="0"/>
        <v>6630000</v>
      </c>
    </row>
    <row r="62" spans="1:5" hidden="1" x14ac:dyDescent="0.3">
      <c r="A62" t="s">
        <v>14</v>
      </c>
      <c r="B62" t="s">
        <v>3</v>
      </c>
      <c r="C62">
        <v>108</v>
      </c>
      <c r="D62">
        <v>17000</v>
      </c>
      <c r="E62">
        <f t="shared" si="0"/>
        <v>1836000</v>
      </c>
    </row>
    <row r="63" spans="1:5" hidden="1" x14ac:dyDescent="0.3">
      <c r="A63" t="s">
        <v>93</v>
      </c>
      <c r="B63" t="s">
        <v>3</v>
      </c>
      <c r="C63">
        <v>25</v>
      </c>
      <c r="D63">
        <v>25000</v>
      </c>
      <c r="E63">
        <f t="shared" si="0"/>
        <v>625000</v>
      </c>
    </row>
    <row r="64" spans="1:5" hidden="1" x14ac:dyDescent="0.3">
      <c r="A64" t="s">
        <v>42</v>
      </c>
      <c r="B64" t="s">
        <v>3</v>
      </c>
      <c r="C64">
        <v>0</v>
      </c>
      <c r="E64">
        <f t="shared" si="0"/>
        <v>0</v>
      </c>
    </row>
    <row r="65" spans="1:5" hidden="1" x14ac:dyDescent="0.3">
      <c r="A65" t="s">
        <v>89</v>
      </c>
      <c r="B65" t="s">
        <v>3</v>
      </c>
      <c r="C65">
        <v>0</v>
      </c>
      <c r="E65">
        <f t="shared" si="0"/>
        <v>0</v>
      </c>
    </row>
    <row r="66" spans="1:5" hidden="1" x14ac:dyDescent="0.3">
      <c r="A66" t="s">
        <v>89</v>
      </c>
      <c r="B66" t="s">
        <v>4</v>
      </c>
      <c r="C66">
        <v>0</v>
      </c>
      <c r="E66">
        <f t="shared" si="0"/>
        <v>0</v>
      </c>
    </row>
    <row r="67" spans="1:5" hidden="1" x14ac:dyDescent="0.3">
      <c r="A67" t="s">
        <v>15</v>
      </c>
      <c r="B67" t="s">
        <v>3</v>
      </c>
      <c r="C67">
        <v>70</v>
      </c>
      <c r="D67">
        <v>18000</v>
      </c>
      <c r="E67">
        <f t="shared" si="0"/>
        <v>1260000</v>
      </c>
    </row>
    <row r="68" spans="1:5" hidden="1" x14ac:dyDescent="0.3">
      <c r="A68" t="s">
        <v>15</v>
      </c>
      <c r="B68" t="s">
        <v>4</v>
      </c>
      <c r="C68">
        <v>0</v>
      </c>
      <c r="E68">
        <f t="shared" ref="E68:E133" si="1">C68*D68</f>
        <v>0</v>
      </c>
    </row>
    <row r="69" spans="1:5" hidden="1" x14ac:dyDescent="0.3">
      <c r="A69" t="s">
        <v>87</v>
      </c>
      <c r="B69" t="s">
        <v>4</v>
      </c>
      <c r="C69">
        <v>50</v>
      </c>
      <c r="D69">
        <v>8000</v>
      </c>
      <c r="E69">
        <f t="shared" si="1"/>
        <v>400000</v>
      </c>
    </row>
    <row r="70" spans="1:5" hidden="1" x14ac:dyDescent="0.3">
      <c r="A70" t="s">
        <v>59</v>
      </c>
      <c r="B70" t="s">
        <v>3</v>
      </c>
      <c r="C70">
        <v>66</v>
      </c>
      <c r="D70">
        <v>13000</v>
      </c>
      <c r="E70">
        <f t="shared" si="1"/>
        <v>858000</v>
      </c>
    </row>
    <row r="71" spans="1:5" hidden="1" x14ac:dyDescent="0.3">
      <c r="A71" t="s">
        <v>60</v>
      </c>
      <c r="B71" t="s">
        <v>4</v>
      </c>
      <c r="C71">
        <v>25</v>
      </c>
      <c r="D71">
        <v>6000</v>
      </c>
      <c r="E71">
        <f t="shared" si="1"/>
        <v>150000</v>
      </c>
    </row>
    <row r="72" spans="1:5" hidden="1" x14ac:dyDescent="0.3">
      <c r="A72" t="s">
        <v>61</v>
      </c>
      <c r="B72" t="s">
        <v>3</v>
      </c>
      <c r="C72">
        <v>0</v>
      </c>
      <c r="E72">
        <f t="shared" si="1"/>
        <v>0</v>
      </c>
    </row>
    <row r="73" spans="1:5" hidden="1" x14ac:dyDescent="0.3">
      <c r="A73" t="s">
        <v>61</v>
      </c>
      <c r="B73" t="s">
        <v>62</v>
      </c>
      <c r="C73">
        <v>17</v>
      </c>
      <c r="D73">
        <v>15000</v>
      </c>
      <c r="E73">
        <f t="shared" si="1"/>
        <v>255000</v>
      </c>
    </row>
    <row r="74" spans="1:5" hidden="1" x14ac:dyDescent="0.3">
      <c r="A74" t="s">
        <v>63</v>
      </c>
      <c r="B74" t="s">
        <v>3</v>
      </c>
      <c r="C74">
        <v>4.9000000000000004</v>
      </c>
      <c r="D74">
        <v>60000</v>
      </c>
      <c r="E74">
        <f t="shared" si="1"/>
        <v>294000</v>
      </c>
    </row>
    <row r="75" spans="1:5" hidden="1" x14ac:dyDescent="0.3">
      <c r="A75" t="s">
        <v>64</v>
      </c>
      <c r="B75" t="s">
        <v>3</v>
      </c>
      <c r="C75">
        <v>0</v>
      </c>
      <c r="E75">
        <f t="shared" si="1"/>
        <v>0</v>
      </c>
    </row>
    <row r="76" spans="1:5" hidden="1" x14ac:dyDescent="0.3">
      <c r="A76" t="s">
        <v>65</v>
      </c>
      <c r="B76" t="s">
        <v>3</v>
      </c>
      <c r="C76">
        <v>0</v>
      </c>
      <c r="E76">
        <f t="shared" si="1"/>
        <v>0</v>
      </c>
    </row>
    <row r="77" spans="1:5" hidden="1" x14ac:dyDescent="0.3">
      <c r="A77" t="s">
        <v>32</v>
      </c>
      <c r="B77" t="s">
        <v>3</v>
      </c>
      <c r="C77">
        <v>0</v>
      </c>
      <c r="E77">
        <f t="shared" si="1"/>
        <v>0</v>
      </c>
    </row>
    <row r="78" spans="1:5" hidden="1" x14ac:dyDescent="0.3">
      <c r="A78" t="s">
        <v>32</v>
      </c>
      <c r="B78" t="s">
        <v>6</v>
      </c>
      <c r="C78">
        <v>0</v>
      </c>
      <c r="E78">
        <f t="shared" si="1"/>
        <v>0</v>
      </c>
    </row>
    <row r="79" spans="1:5" hidden="1" x14ac:dyDescent="0.3">
      <c r="A79" t="s">
        <v>33</v>
      </c>
      <c r="B79" t="s">
        <v>3</v>
      </c>
      <c r="C79">
        <v>15</v>
      </c>
      <c r="D79">
        <v>15000</v>
      </c>
      <c r="E79">
        <f t="shared" si="1"/>
        <v>225000</v>
      </c>
    </row>
    <row r="80" spans="1:5" hidden="1" x14ac:dyDescent="0.3">
      <c r="A80" t="s">
        <v>66</v>
      </c>
      <c r="B80" t="s">
        <v>22</v>
      </c>
      <c r="C80">
        <v>0</v>
      </c>
      <c r="E80">
        <f t="shared" si="1"/>
        <v>0</v>
      </c>
    </row>
    <row r="81" spans="1:5" hidden="1" x14ac:dyDescent="0.3">
      <c r="A81" t="s">
        <v>66</v>
      </c>
      <c r="B81" t="s">
        <v>3</v>
      </c>
      <c r="C81">
        <v>13</v>
      </c>
      <c r="D81">
        <v>17000</v>
      </c>
      <c r="E81">
        <f t="shared" si="1"/>
        <v>221000</v>
      </c>
    </row>
    <row r="82" spans="1:5" x14ac:dyDescent="0.3">
      <c r="A82" t="s">
        <v>43</v>
      </c>
      <c r="B82" t="s">
        <v>3</v>
      </c>
      <c r="C82">
        <v>2060</v>
      </c>
      <c r="D82">
        <v>27600</v>
      </c>
      <c r="E82">
        <f t="shared" si="1"/>
        <v>56856000</v>
      </c>
    </row>
    <row r="83" spans="1:5" hidden="1" x14ac:dyDescent="0.3">
      <c r="A83" t="s">
        <v>67</v>
      </c>
      <c r="B83" t="s">
        <v>3</v>
      </c>
      <c r="C83">
        <v>0</v>
      </c>
      <c r="E83">
        <f t="shared" si="1"/>
        <v>0</v>
      </c>
    </row>
    <row r="84" spans="1:5" hidden="1" x14ac:dyDescent="0.3">
      <c r="A84" t="s">
        <v>137</v>
      </c>
      <c r="B84" t="s">
        <v>8</v>
      </c>
      <c r="C84">
        <v>7</v>
      </c>
      <c r="D84">
        <v>100000</v>
      </c>
      <c r="E84">
        <f t="shared" si="1"/>
        <v>700000</v>
      </c>
    </row>
    <row r="85" spans="1:5" hidden="1" x14ac:dyDescent="0.3">
      <c r="A85" t="s">
        <v>68</v>
      </c>
      <c r="B85" t="s">
        <v>4</v>
      </c>
      <c r="C85">
        <v>0</v>
      </c>
      <c r="E85">
        <f t="shared" si="1"/>
        <v>0</v>
      </c>
    </row>
    <row r="86" spans="1:5" hidden="1" x14ac:dyDescent="0.3">
      <c r="A86" t="s">
        <v>69</v>
      </c>
      <c r="B86" t="s">
        <v>3</v>
      </c>
      <c r="C86">
        <v>12</v>
      </c>
      <c r="D86">
        <v>14000</v>
      </c>
      <c r="E86">
        <f t="shared" si="1"/>
        <v>168000</v>
      </c>
    </row>
    <row r="87" spans="1:5" hidden="1" x14ac:dyDescent="0.3">
      <c r="A87" t="s">
        <v>38</v>
      </c>
      <c r="B87" t="s">
        <v>6</v>
      </c>
      <c r="C87">
        <v>0</v>
      </c>
      <c r="E87">
        <f t="shared" si="1"/>
        <v>0</v>
      </c>
    </row>
    <row r="88" spans="1:5" hidden="1" x14ac:dyDescent="0.3">
      <c r="A88" t="s">
        <v>70</v>
      </c>
      <c r="B88" t="s">
        <v>8</v>
      </c>
      <c r="C88">
        <v>0</v>
      </c>
      <c r="E88">
        <f t="shared" si="1"/>
        <v>0</v>
      </c>
    </row>
    <row r="89" spans="1:5" hidden="1" x14ac:dyDescent="0.3">
      <c r="A89" t="s">
        <v>70</v>
      </c>
      <c r="B89" t="s">
        <v>3</v>
      </c>
      <c r="C89">
        <v>8</v>
      </c>
      <c r="D89">
        <v>44000</v>
      </c>
      <c r="E89">
        <f t="shared" si="1"/>
        <v>352000</v>
      </c>
    </row>
    <row r="90" spans="1:5" hidden="1" x14ac:dyDescent="0.3">
      <c r="A90" t="s">
        <v>34</v>
      </c>
      <c r="B90" t="s">
        <v>3</v>
      </c>
      <c r="C90">
        <v>110</v>
      </c>
      <c r="D90">
        <v>32000</v>
      </c>
      <c r="E90">
        <f t="shared" si="1"/>
        <v>3520000</v>
      </c>
    </row>
    <row r="91" spans="1:5" hidden="1" x14ac:dyDescent="0.3">
      <c r="A91" t="s">
        <v>34</v>
      </c>
      <c r="B91" t="s">
        <v>26</v>
      </c>
      <c r="C91">
        <v>0</v>
      </c>
      <c r="E91">
        <f t="shared" si="1"/>
        <v>0</v>
      </c>
    </row>
    <row r="92" spans="1:5" hidden="1" x14ac:dyDescent="0.3">
      <c r="A92" t="s">
        <v>35</v>
      </c>
      <c r="B92" t="s">
        <v>3</v>
      </c>
      <c r="C92">
        <v>0</v>
      </c>
      <c r="E92">
        <f t="shared" si="1"/>
        <v>0</v>
      </c>
    </row>
    <row r="93" spans="1:5" hidden="1" x14ac:dyDescent="0.3">
      <c r="A93" t="s">
        <v>35</v>
      </c>
      <c r="B93" t="s">
        <v>26</v>
      </c>
      <c r="C93">
        <v>0</v>
      </c>
      <c r="E93">
        <f t="shared" si="1"/>
        <v>0</v>
      </c>
    </row>
    <row r="94" spans="1:5" hidden="1" x14ac:dyDescent="0.3">
      <c r="A94" t="s">
        <v>36</v>
      </c>
      <c r="B94" t="s">
        <v>3</v>
      </c>
      <c r="C94">
        <v>0</v>
      </c>
      <c r="E94">
        <f t="shared" si="1"/>
        <v>0</v>
      </c>
    </row>
    <row r="95" spans="1:5" hidden="1" x14ac:dyDescent="0.3">
      <c r="A95" t="s">
        <v>36</v>
      </c>
      <c r="B95" t="s">
        <v>26</v>
      </c>
      <c r="C95">
        <v>0</v>
      </c>
      <c r="E95">
        <f t="shared" si="1"/>
        <v>0</v>
      </c>
    </row>
    <row r="96" spans="1:5" hidden="1" x14ac:dyDescent="0.3">
      <c r="A96" t="s">
        <v>71</v>
      </c>
      <c r="B96" t="s">
        <v>4</v>
      </c>
      <c r="C96">
        <v>13</v>
      </c>
      <c r="D96">
        <v>22000</v>
      </c>
      <c r="E96">
        <f t="shared" si="1"/>
        <v>286000</v>
      </c>
    </row>
    <row r="97" spans="1:5" hidden="1" x14ac:dyDescent="0.3">
      <c r="A97" t="s">
        <v>83</v>
      </c>
      <c r="B97" t="s">
        <v>4</v>
      </c>
      <c r="C97">
        <v>0</v>
      </c>
      <c r="E97">
        <f t="shared" si="1"/>
        <v>0</v>
      </c>
    </row>
    <row r="98" spans="1:5" hidden="1" x14ac:dyDescent="0.3">
      <c r="A98" t="s">
        <v>105</v>
      </c>
      <c r="B98" t="s">
        <v>3</v>
      </c>
      <c r="C98">
        <v>0</v>
      </c>
      <c r="E98">
        <f t="shared" si="1"/>
        <v>0</v>
      </c>
    </row>
    <row r="99" spans="1:5" hidden="1" x14ac:dyDescent="0.3">
      <c r="A99" t="s">
        <v>150</v>
      </c>
      <c r="B99" t="s">
        <v>26</v>
      </c>
      <c r="C99">
        <v>870</v>
      </c>
      <c r="D99">
        <v>17000</v>
      </c>
      <c r="E99">
        <f t="shared" si="1"/>
        <v>14790000</v>
      </c>
    </row>
    <row r="100" spans="1:5" hidden="1" x14ac:dyDescent="0.3">
      <c r="A100" t="s">
        <v>88</v>
      </c>
      <c r="B100" t="s">
        <v>3</v>
      </c>
      <c r="C100">
        <v>2881</v>
      </c>
      <c r="D100">
        <v>25000</v>
      </c>
      <c r="E100">
        <f t="shared" si="1"/>
        <v>72025000</v>
      </c>
    </row>
    <row r="101" spans="1:5" hidden="1" x14ac:dyDescent="0.3">
      <c r="A101" t="s">
        <v>91</v>
      </c>
      <c r="B101" t="s">
        <v>3</v>
      </c>
      <c r="C101">
        <v>0</v>
      </c>
      <c r="E101">
        <f t="shared" si="1"/>
        <v>0</v>
      </c>
    </row>
    <row r="102" spans="1:5" hidden="1" x14ac:dyDescent="0.3">
      <c r="A102" t="s">
        <v>117</v>
      </c>
      <c r="B102" t="s">
        <v>8</v>
      </c>
      <c r="C102">
        <v>0</v>
      </c>
      <c r="E102">
        <f t="shared" si="1"/>
        <v>0</v>
      </c>
    </row>
    <row r="103" spans="1:5" hidden="1" x14ac:dyDescent="0.3">
      <c r="A103" t="s">
        <v>72</v>
      </c>
      <c r="B103" t="s">
        <v>3</v>
      </c>
      <c r="C103">
        <v>40</v>
      </c>
      <c r="D103">
        <v>16000</v>
      </c>
      <c r="E103">
        <f t="shared" si="1"/>
        <v>640000</v>
      </c>
    </row>
    <row r="104" spans="1:5" hidden="1" x14ac:dyDescent="0.3">
      <c r="A104" t="s">
        <v>80</v>
      </c>
      <c r="B104" t="s">
        <v>3</v>
      </c>
      <c r="C104">
        <v>0</v>
      </c>
      <c r="E104">
        <f t="shared" si="1"/>
        <v>0</v>
      </c>
    </row>
    <row r="105" spans="1:5" hidden="1" x14ac:dyDescent="0.3">
      <c r="A105" t="s">
        <v>73</v>
      </c>
      <c r="B105" t="s">
        <v>3</v>
      </c>
      <c r="C105">
        <v>0</v>
      </c>
      <c r="E105">
        <f t="shared" si="1"/>
        <v>0</v>
      </c>
    </row>
    <row r="106" spans="1:5" hidden="1" x14ac:dyDescent="0.3">
      <c r="A106" t="s">
        <v>23</v>
      </c>
      <c r="B106" t="s">
        <v>3</v>
      </c>
      <c r="C106">
        <v>5</v>
      </c>
      <c r="D106">
        <v>28000</v>
      </c>
      <c r="E106">
        <f t="shared" si="1"/>
        <v>140000</v>
      </c>
    </row>
    <row r="107" spans="1:5" hidden="1" x14ac:dyDescent="0.3">
      <c r="A107" t="s">
        <v>84</v>
      </c>
      <c r="B107" t="s">
        <v>22</v>
      </c>
      <c r="C107">
        <v>0</v>
      </c>
      <c r="E107">
        <f t="shared" si="1"/>
        <v>0</v>
      </c>
    </row>
    <row r="108" spans="1:5" hidden="1" x14ac:dyDescent="0.3">
      <c r="A108" t="s">
        <v>74</v>
      </c>
      <c r="B108" t="s">
        <v>3</v>
      </c>
      <c r="C108">
        <v>0</v>
      </c>
      <c r="E108">
        <f t="shared" si="1"/>
        <v>0</v>
      </c>
    </row>
    <row r="109" spans="1:5" hidden="1" x14ac:dyDescent="0.3">
      <c r="A109" t="s">
        <v>86</v>
      </c>
      <c r="B109" t="s">
        <v>22</v>
      </c>
      <c r="C109">
        <v>0</v>
      </c>
      <c r="E109">
        <f t="shared" si="1"/>
        <v>0</v>
      </c>
    </row>
    <row r="110" spans="1:5" hidden="1" x14ac:dyDescent="0.3">
      <c r="A110" t="s">
        <v>75</v>
      </c>
      <c r="B110" t="s">
        <v>3</v>
      </c>
      <c r="C110">
        <v>0</v>
      </c>
      <c r="E110">
        <f t="shared" si="1"/>
        <v>0</v>
      </c>
    </row>
    <row r="111" spans="1:5" hidden="1" x14ac:dyDescent="0.3">
      <c r="A111" t="s">
        <v>76</v>
      </c>
      <c r="B111" t="s">
        <v>3</v>
      </c>
      <c r="C111">
        <v>5</v>
      </c>
      <c r="D111">
        <v>30000</v>
      </c>
      <c r="E111">
        <f t="shared" si="1"/>
        <v>150000</v>
      </c>
    </row>
    <row r="112" spans="1:5" hidden="1" x14ac:dyDescent="0.3">
      <c r="A112" t="s">
        <v>85</v>
      </c>
      <c r="B112" t="s">
        <v>22</v>
      </c>
      <c r="C112">
        <v>0</v>
      </c>
      <c r="E112">
        <f t="shared" si="1"/>
        <v>0</v>
      </c>
    </row>
    <row r="113" spans="1:5" hidden="1" x14ac:dyDescent="0.3">
      <c r="E113">
        <f>SUM(E3:E111)</f>
        <v>212785000</v>
      </c>
    </row>
    <row r="114" spans="1:5" hidden="1" x14ac:dyDescent="0.3">
      <c r="A114" t="s">
        <v>103</v>
      </c>
    </row>
    <row r="115" spans="1:5" hidden="1" x14ac:dyDescent="0.3">
      <c r="A115" t="s">
        <v>0</v>
      </c>
      <c r="B115" t="s">
        <v>1</v>
      </c>
      <c r="C115" t="s">
        <v>102</v>
      </c>
      <c r="D115" t="s">
        <v>115</v>
      </c>
      <c r="E115" t="s">
        <v>101</v>
      </c>
    </row>
    <row r="116" spans="1:5" hidden="1" x14ac:dyDescent="0.3">
      <c r="A116" t="s">
        <v>44</v>
      </c>
      <c r="B116" t="s">
        <v>3</v>
      </c>
      <c r="C116">
        <v>35</v>
      </c>
      <c r="D116">
        <v>36000</v>
      </c>
      <c r="E116">
        <f t="shared" si="1"/>
        <v>1260000</v>
      </c>
    </row>
    <row r="117" spans="1:5" hidden="1" x14ac:dyDescent="0.3">
      <c r="A117" t="s">
        <v>45</v>
      </c>
      <c r="B117" t="s">
        <v>3</v>
      </c>
      <c r="C117">
        <v>0</v>
      </c>
      <c r="E117">
        <f t="shared" si="1"/>
        <v>0</v>
      </c>
    </row>
    <row r="118" spans="1:5" hidden="1" x14ac:dyDescent="0.3">
      <c r="A118" t="s">
        <v>17</v>
      </c>
      <c r="B118" t="s">
        <v>3</v>
      </c>
      <c r="C118">
        <v>15</v>
      </c>
      <c r="D118">
        <v>6500</v>
      </c>
      <c r="E118">
        <f t="shared" si="1"/>
        <v>97500</v>
      </c>
    </row>
    <row r="119" spans="1:5" hidden="1" x14ac:dyDescent="0.3">
      <c r="A119" t="s">
        <v>95</v>
      </c>
      <c r="B119" t="s">
        <v>3</v>
      </c>
      <c r="C119">
        <v>50</v>
      </c>
      <c r="D119">
        <v>10000</v>
      </c>
      <c r="E119">
        <f t="shared" si="1"/>
        <v>500000</v>
      </c>
    </row>
    <row r="120" spans="1:5" hidden="1" x14ac:dyDescent="0.3">
      <c r="A120" t="s">
        <v>24</v>
      </c>
      <c r="B120" t="s">
        <v>3</v>
      </c>
      <c r="C120">
        <v>0</v>
      </c>
      <c r="E120">
        <f t="shared" si="1"/>
        <v>0</v>
      </c>
    </row>
    <row r="121" spans="1:5" hidden="1" x14ac:dyDescent="0.3">
      <c r="A121" t="s">
        <v>78</v>
      </c>
      <c r="B121" t="s">
        <v>3</v>
      </c>
      <c r="C121">
        <v>0</v>
      </c>
      <c r="E121">
        <f t="shared" si="1"/>
        <v>0</v>
      </c>
    </row>
    <row r="122" spans="1:5" hidden="1" x14ac:dyDescent="0.3">
      <c r="A122" t="s">
        <v>25</v>
      </c>
      <c r="B122" t="s">
        <v>3</v>
      </c>
      <c r="C122">
        <v>7</v>
      </c>
      <c r="D122">
        <v>21000</v>
      </c>
      <c r="E122">
        <f t="shared" si="1"/>
        <v>147000</v>
      </c>
    </row>
    <row r="123" spans="1:5" hidden="1" x14ac:dyDescent="0.3">
      <c r="A123" t="s">
        <v>37</v>
      </c>
      <c r="B123" t="s">
        <v>3</v>
      </c>
      <c r="C123">
        <v>0</v>
      </c>
      <c r="E123">
        <f t="shared" si="1"/>
        <v>0</v>
      </c>
    </row>
    <row r="124" spans="1:5" hidden="1" x14ac:dyDescent="0.3">
      <c r="A124" t="s">
        <v>46</v>
      </c>
      <c r="B124" t="s">
        <v>3</v>
      </c>
      <c r="C124">
        <v>0</v>
      </c>
      <c r="E124">
        <f t="shared" si="1"/>
        <v>0</v>
      </c>
    </row>
    <row r="125" spans="1:5" hidden="1" x14ac:dyDescent="0.3">
      <c r="A125" t="s">
        <v>94</v>
      </c>
      <c r="B125" t="s">
        <v>3</v>
      </c>
      <c r="D125">
        <v>29000</v>
      </c>
      <c r="E125">
        <f t="shared" si="1"/>
        <v>0</v>
      </c>
    </row>
    <row r="126" spans="1:5" hidden="1" x14ac:dyDescent="0.3">
      <c r="A126" t="s">
        <v>28</v>
      </c>
      <c r="B126" t="s">
        <v>3</v>
      </c>
      <c r="C126">
        <v>65</v>
      </c>
      <c r="D126">
        <v>17000</v>
      </c>
      <c r="E126">
        <f t="shared" si="1"/>
        <v>1105000</v>
      </c>
    </row>
    <row r="127" spans="1:5" hidden="1" x14ac:dyDescent="0.3">
      <c r="A127" t="s">
        <v>30</v>
      </c>
      <c r="B127" t="s">
        <v>3</v>
      </c>
      <c r="C127">
        <v>440</v>
      </c>
      <c r="D127">
        <v>14000</v>
      </c>
      <c r="E127">
        <f t="shared" si="1"/>
        <v>6160000</v>
      </c>
    </row>
    <row r="128" spans="1:5" hidden="1" x14ac:dyDescent="0.3">
      <c r="A128" t="s">
        <v>2</v>
      </c>
      <c r="B128" t="s">
        <v>3</v>
      </c>
      <c r="C128">
        <v>0</v>
      </c>
      <c r="E128">
        <f t="shared" si="1"/>
        <v>0</v>
      </c>
    </row>
    <row r="129" spans="1:5" hidden="1" x14ac:dyDescent="0.3">
      <c r="A129" t="s">
        <v>53</v>
      </c>
      <c r="B129" t="s">
        <v>3</v>
      </c>
      <c r="C129">
        <v>7</v>
      </c>
      <c r="D129">
        <v>10000</v>
      </c>
      <c r="E129">
        <f t="shared" si="1"/>
        <v>70000</v>
      </c>
    </row>
    <row r="130" spans="1:5" hidden="1" x14ac:dyDescent="0.3">
      <c r="A130" t="s">
        <v>20</v>
      </c>
      <c r="B130" t="s">
        <v>3</v>
      </c>
      <c r="C130">
        <v>350</v>
      </c>
      <c r="D130">
        <v>5500</v>
      </c>
      <c r="E130">
        <f t="shared" si="1"/>
        <v>1925000</v>
      </c>
    </row>
    <row r="131" spans="1:5" hidden="1" x14ac:dyDescent="0.3">
      <c r="A131" t="s">
        <v>97</v>
      </c>
      <c r="B131" t="s">
        <v>3</v>
      </c>
      <c r="C131">
        <v>9</v>
      </c>
      <c r="D131">
        <v>16000</v>
      </c>
      <c r="E131">
        <f t="shared" si="1"/>
        <v>144000</v>
      </c>
    </row>
    <row r="132" spans="1:5" hidden="1" x14ac:dyDescent="0.3">
      <c r="A132" t="s">
        <v>98</v>
      </c>
      <c r="B132" t="s">
        <v>3</v>
      </c>
      <c r="C132">
        <v>0</v>
      </c>
      <c r="E132">
        <f t="shared" si="1"/>
        <v>0</v>
      </c>
    </row>
    <row r="133" spans="1:5" hidden="1" x14ac:dyDescent="0.3">
      <c r="A133" t="s">
        <v>21</v>
      </c>
      <c r="B133" t="s">
        <v>3</v>
      </c>
      <c r="C133">
        <v>15</v>
      </c>
      <c r="D133">
        <v>10000</v>
      </c>
      <c r="E133">
        <f t="shared" si="1"/>
        <v>150000</v>
      </c>
    </row>
    <row r="134" spans="1:5" hidden="1" x14ac:dyDescent="0.3">
      <c r="A134" t="s">
        <v>96</v>
      </c>
      <c r="B134" t="s">
        <v>3</v>
      </c>
      <c r="C134">
        <v>20</v>
      </c>
      <c r="D134">
        <v>27000</v>
      </c>
      <c r="E134">
        <f t="shared" ref="E134:E162" si="2">C134*D134</f>
        <v>540000</v>
      </c>
    </row>
    <row r="135" spans="1:5" hidden="1" x14ac:dyDescent="0.3">
      <c r="A135" t="s">
        <v>56</v>
      </c>
      <c r="B135" t="s">
        <v>3</v>
      </c>
      <c r="C135">
        <v>0</v>
      </c>
      <c r="E135">
        <f t="shared" si="2"/>
        <v>0</v>
      </c>
    </row>
    <row r="136" spans="1:5" hidden="1" x14ac:dyDescent="0.3">
      <c r="A136" t="s">
        <v>107</v>
      </c>
      <c r="B136" t="s">
        <v>3</v>
      </c>
      <c r="C136">
        <v>1</v>
      </c>
      <c r="D136">
        <v>16000</v>
      </c>
      <c r="E136">
        <f t="shared" si="2"/>
        <v>16000</v>
      </c>
    </row>
    <row r="137" spans="1:5" hidden="1" x14ac:dyDescent="0.3">
      <c r="A137" t="s">
        <v>107</v>
      </c>
      <c r="B137" t="s">
        <v>6</v>
      </c>
      <c r="C137">
        <v>0</v>
      </c>
      <c r="E137">
        <f t="shared" si="2"/>
        <v>0</v>
      </c>
    </row>
    <row r="138" spans="1:5" hidden="1" x14ac:dyDescent="0.3">
      <c r="A138" t="s">
        <v>57</v>
      </c>
      <c r="B138" t="s">
        <v>3</v>
      </c>
      <c r="C138">
        <v>90</v>
      </c>
      <c r="D138">
        <v>5000</v>
      </c>
      <c r="E138">
        <f t="shared" si="2"/>
        <v>450000</v>
      </c>
    </row>
    <row r="139" spans="1:5" hidden="1" x14ac:dyDescent="0.3">
      <c r="A139" t="s">
        <v>9</v>
      </c>
      <c r="B139" t="s">
        <v>3</v>
      </c>
      <c r="C139">
        <v>30</v>
      </c>
      <c r="D139">
        <v>11000</v>
      </c>
      <c r="E139">
        <f t="shared" si="2"/>
        <v>330000</v>
      </c>
    </row>
    <row r="140" spans="1:5" hidden="1" x14ac:dyDescent="0.3">
      <c r="A140" t="s">
        <v>10</v>
      </c>
      <c r="B140" t="s">
        <v>3</v>
      </c>
      <c r="C140">
        <v>0</v>
      </c>
      <c r="E140">
        <f t="shared" si="2"/>
        <v>0</v>
      </c>
    </row>
    <row r="141" spans="1:5" hidden="1" x14ac:dyDescent="0.3">
      <c r="A141" t="s">
        <v>13</v>
      </c>
      <c r="B141" t="s">
        <v>4</v>
      </c>
      <c r="C141">
        <v>0</v>
      </c>
      <c r="E141">
        <f t="shared" si="2"/>
        <v>0</v>
      </c>
    </row>
    <row r="142" spans="1:5" hidden="1" x14ac:dyDescent="0.3">
      <c r="A142" t="s">
        <v>14</v>
      </c>
      <c r="B142" t="s">
        <v>3</v>
      </c>
      <c r="C142">
        <v>110</v>
      </c>
      <c r="D142">
        <v>17000</v>
      </c>
      <c r="E142">
        <f t="shared" si="2"/>
        <v>1870000</v>
      </c>
    </row>
    <row r="143" spans="1:5" hidden="1" x14ac:dyDescent="0.3">
      <c r="A143" t="s">
        <v>89</v>
      </c>
      <c r="B143" t="s">
        <v>4</v>
      </c>
      <c r="C143">
        <v>0</v>
      </c>
      <c r="E143">
        <f t="shared" si="2"/>
        <v>0</v>
      </c>
    </row>
    <row r="144" spans="1:5" hidden="1" x14ac:dyDescent="0.3">
      <c r="A144" t="s">
        <v>109</v>
      </c>
      <c r="B144" t="s">
        <v>3</v>
      </c>
      <c r="C144">
        <v>0</v>
      </c>
      <c r="E144">
        <f t="shared" si="2"/>
        <v>0</v>
      </c>
    </row>
    <row r="145" spans="1:5" hidden="1" x14ac:dyDescent="0.3">
      <c r="A145" t="s">
        <v>15</v>
      </c>
      <c r="B145" t="s">
        <v>3</v>
      </c>
      <c r="C145">
        <v>185</v>
      </c>
      <c r="D145">
        <v>18000</v>
      </c>
      <c r="E145">
        <f t="shared" si="2"/>
        <v>3330000</v>
      </c>
    </row>
    <row r="146" spans="1:5" hidden="1" x14ac:dyDescent="0.3">
      <c r="A146" t="s">
        <v>59</v>
      </c>
      <c r="B146" t="s">
        <v>3</v>
      </c>
      <c r="C146">
        <v>5</v>
      </c>
      <c r="D146">
        <v>13000</v>
      </c>
      <c r="E146">
        <f t="shared" si="2"/>
        <v>65000</v>
      </c>
    </row>
    <row r="147" spans="1:5" hidden="1" x14ac:dyDescent="0.3">
      <c r="A147" t="s">
        <v>60</v>
      </c>
      <c r="B147" t="s">
        <v>4</v>
      </c>
      <c r="C147">
        <v>20</v>
      </c>
      <c r="D147">
        <v>6000</v>
      </c>
      <c r="E147">
        <f t="shared" si="2"/>
        <v>120000</v>
      </c>
    </row>
    <row r="148" spans="1:5" hidden="1" x14ac:dyDescent="0.3">
      <c r="A148" t="s">
        <v>61</v>
      </c>
      <c r="B148" t="s">
        <v>4</v>
      </c>
      <c r="C148">
        <v>111</v>
      </c>
      <c r="D148">
        <v>15000</v>
      </c>
      <c r="E148">
        <f t="shared" si="2"/>
        <v>1665000</v>
      </c>
    </row>
    <row r="149" spans="1:5" hidden="1" x14ac:dyDescent="0.3">
      <c r="A149" t="s">
        <v>32</v>
      </c>
      <c r="B149" t="s">
        <v>3</v>
      </c>
      <c r="C149">
        <v>30</v>
      </c>
      <c r="D149">
        <v>9000</v>
      </c>
      <c r="E149">
        <f t="shared" si="2"/>
        <v>270000</v>
      </c>
    </row>
    <row r="150" spans="1:5" hidden="1" x14ac:dyDescent="0.3">
      <c r="A150" t="s">
        <v>32</v>
      </c>
      <c r="B150" t="s">
        <v>6</v>
      </c>
      <c r="C150">
        <v>0</v>
      </c>
      <c r="E150">
        <f t="shared" si="2"/>
        <v>0</v>
      </c>
    </row>
    <row r="151" spans="1:5" hidden="1" x14ac:dyDescent="0.3">
      <c r="A151" t="s">
        <v>66</v>
      </c>
      <c r="B151" t="s">
        <v>3</v>
      </c>
      <c r="C151">
        <v>7</v>
      </c>
      <c r="D151">
        <v>17000</v>
      </c>
      <c r="E151">
        <f t="shared" si="2"/>
        <v>119000</v>
      </c>
    </row>
    <row r="152" spans="1:5" x14ac:dyDescent="0.3">
      <c r="A152" t="s">
        <v>43</v>
      </c>
      <c r="B152" t="s">
        <v>3</v>
      </c>
      <c r="C152">
        <v>340</v>
      </c>
      <c r="D152">
        <v>27600</v>
      </c>
      <c r="E152">
        <f t="shared" si="2"/>
        <v>9384000</v>
      </c>
    </row>
    <row r="153" spans="1:5" hidden="1" x14ac:dyDescent="0.3">
      <c r="A153" t="s">
        <v>67</v>
      </c>
      <c r="B153" t="s">
        <v>3</v>
      </c>
      <c r="C153">
        <v>0</v>
      </c>
      <c r="E153">
        <f t="shared" si="2"/>
        <v>0</v>
      </c>
    </row>
    <row r="154" spans="1:5" hidden="1" x14ac:dyDescent="0.3">
      <c r="A154" t="s">
        <v>34</v>
      </c>
      <c r="B154" t="s">
        <v>3</v>
      </c>
      <c r="C154">
        <v>13</v>
      </c>
      <c r="D154">
        <v>32000</v>
      </c>
      <c r="E154">
        <f t="shared" si="2"/>
        <v>416000</v>
      </c>
    </row>
    <row r="155" spans="1:5" hidden="1" x14ac:dyDescent="0.3">
      <c r="A155" t="s">
        <v>35</v>
      </c>
      <c r="B155" t="s">
        <v>3</v>
      </c>
      <c r="C155">
        <v>0</v>
      </c>
      <c r="E155">
        <f t="shared" si="2"/>
        <v>0</v>
      </c>
    </row>
    <row r="156" spans="1:5" hidden="1" x14ac:dyDescent="0.3">
      <c r="A156" t="s">
        <v>36</v>
      </c>
      <c r="B156" t="s">
        <v>3</v>
      </c>
      <c r="C156">
        <v>0</v>
      </c>
      <c r="E156">
        <f t="shared" si="2"/>
        <v>0</v>
      </c>
    </row>
    <row r="157" spans="1:5" hidden="1" x14ac:dyDescent="0.3">
      <c r="A157" t="s">
        <v>116</v>
      </c>
      <c r="B157" t="s">
        <v>26</v>
      </c>
      <c r="C157">
        <v>2875</v>
      </c>
      <c r="D157">
        <v>10000</v>
      </c>
      <c r="E157">
        <f t="shared" si="2"/>
        <v>28750000</v>
      </c>
    </row>
    <row r="158" spans="1:5" hidden="1" x14ac:dyDescent="0.3">
      <c r="A158" t="s">
        <v>72</v>
      </c>
      <c r="B158" t="s">
        <v>3</v>
      </c>
      <c r="C158">
        <v>0</v>
      </c>
      <c r="E158">
        <f t="shared" si="2"/>
        <v>0</v>
      </c>
    </row>
    <row r="159" spans="1:5" hidden="1" x14ac:dyDescent="0.3">
      <c r="A159" t="s">
        <v>23</v>
      </c>
      <c r="B159" t="s">
        <v>22</v>
      </c>
      <c r="C159">
        <v>0</v>
      </c>
      <c r="E159">
        <f t="shared" si="2"/>
        <v>0</v>
      </c>
    </row>
    <row r="160" spans="1:5" hidden="1" x14ac:dyDescent="0.3">
      <c r="A160" t="s">
        <v>84</v>
      </c>
      <c r="B160" t="s">
        <v>22</v>
      </c>
      <c r="C160">
        <v>60</v>
      </c>
      <c r="D160">
        <v>6800</v>
      </c>
      <c r="E160">
        <f t="shared" si="2"/>
        <v>408000</v>
      </c>
    </row>
    <row r="161" spans="1:5" hidden="1" x14ac:dyDescent="0.3">
      <c r="A161" t="s">
        <v>86</v>
      </c>
      <c r="B161" t="s">
        <v>22</v>
      </c>
      <c r="C161">
        <v>0</v>
      </c>
      <c r="E161">
        <f t="shared" si="2"/>
        <v>0</v>
      </c>
    </row>
    <row r="162" spans="1:5" hidden="1" x14ac:dyDescent="0.3">
      <c r="A162" t="s">
        <v>85</v>
      </c>
      <c r="B162" t="s">
        <v>22</v>
      </c>
      <c r="C162">
        <v>0</v>
      </c>
      <c r="E162">
        <f t="shared" si="2"/>
        <v>0</v>
      </c>
    </row>
    <row r="163" spans="1:5" hidden="1" x14ac:dyDescent="0.3">
      <c r="E163">
        <f>SUM(E116:E160)</f>
        <v>59291500</v>
      </c>
    </row>
    <row r="164" spans="1:5" hidden="1" x14ac:dyDescent="0.3">
      <c r="E164">
        <f>E113+E163</f>
        <v>272076500</v>
      </c>
    </row>
  </sheetData>
  <autoFilter ref="A2:E164" xr:uid="{00000000-0009-0000-0000-000016000000}">
    <filterColumn colId="0">
      <filters>
        <filter val="Hạt Dẻ Ngố"/>
      </filters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E159"/>
  <sheetViews>
    <sheetView workbookViewId="0">
      <selection activeCell="E168" sqref="E168"/>
    </sheetView>
  </sheetViews>
  <sheetFormatPr defaultRowHeight="14.4" x14ac:dyDescent="0.3"/>
  <cols>
    <col min="1" max="1" width="25.6640625" customWidth="1"/>
    <col min="3" max="3" width="10.44140625" customWidth="1"/>
    <col min="4" max="4" width="13.109375" style="2" customWidth="1"/>
    <col min="5" max="5" width="19.6640625" style="2" customWidth="1"/>
  </cols>
  <sheetData>
    <row r="1" spans="1:5" x14ac:dyDescent="0.3">
      <c r="A1" t="s">
        <v>173</v>
      </c>
    </row>
    <row r="2" spans="1:5" x14ac:dyDescent="0.3">
      <c r="A2" t="s">
        <v>0</v>
      </c>
      <c r="B2" t="s">
        <v>1</v>
      </c>
      <c r="C2" s="1" t="s">
        <v>102</v>
      </c>
      <c r="D2" s="2" t="s">
        <v>100</v>
      </c>
      <c r="E2" s="2" t="s">
        <v>101</v>
      </c>
    </row>
    <row r="3" spans="1:5" hidden="1" x14ac:dyDescent="0.3">
      <c r="A3" t="s">
        <v>44</v>
      </c>
      <c r="B3" t="s">
        <v>3</v>
      </c>
      <c r="C3">
        <v>15</v>
      </c>
      <c r="D3" s="2">
        <v>36000</v>
      </c>
      <c r="E3" s="2">
        <f>C3*D3</f>
        <v>540000</v>
      </c>
    </row>
    <row r="4" spans="1:5" hidden="1" x14ac:dyDescent="0.3">
      <c r="A4" t="s">
        <v>45</v>
      </c>
      <c r="B4" t="s">
        <v>3</v>
      </c>
      <c r="C4">
        <v>1645</v>
      </c>
      <c r="D4" s="2">
        <v>7500</v>
      </c>
      <c r="E4" s="2">
        <f t="shared" ref="E4:E67" si="0">C4*D4</f>
        <v>12337500</v>
      </c>
    </row>
    <row r="5" spans="1:5" hidden="1" x14ac:dyDescent="0.3">
      <c r="A5" t="s">
        <v>17</v>
      </c>
      <c r="B5" t="s">
        <v>3</v>
      </c>
      <c r="C5">
        <v>190</v>
      </c>
      <c r="D5" s="2">
        <v>5000</v>
      </c>
      <c r="E5" s="2">
        <f t="shared" si="0"/>
        <v>950000</v>
      </c>
    </row>
    <row r="6" spans="1:5" hidden="1" x14ac:dyDescent="0.3">
      <c r="A6" t="s">
        <v>92</v>
      </c>
      <c r="B6" t="s">
        <v>3</v>
      </c>
      <c r="C6">
        <v>12</v>
      </c>
      <c r="D6" s="2">
        <v>11500</v>
      </c>
      <c r="E6" s="2">
        <f t="shared" si="0"/>
        <v>138000</v>
      </c>
    </row>
    <row r="7" spans="1:5" hidden="1" x14ac:dyDescent="0.3">
      <c r="A7" t="s">
        <v>24</v>
      </c>
      <c r="B7" t="s">
        <v>3</v>
      </c>
      <c r="C7">
        <v>146</v>
      </c>
      <c r="D7" s="2">
        <v>7000</v>
      </c>
      <c r="E7" s="2">
        <f t="shared" si="0"/>
        <v>1022000</v>
      </c>
    </row>
    <row r="8" spans="1:5" hidden="1" x14ac:dyDescent="0.3">
      <c r="A8" t="s">
        <v>25</v>
      </c>
      <c r="B8" t="s">
        <v>3</v>
      </c>
      <c r="C8">
        <v>200</v>
      </c>
      <c r="D8" s="2">
        <v>21000</v>
      </c>
      <c r="E8" s="2">
        <f t="shared" si="0"/>
        <v>4200000</v>
      </c>
    </row>
    <row r="9" spans="1:5" hidden="1" x14ac:dyDescent="0.3">
      <c r="A9" t="s">
        <v>25</v>
      </c>
      <c r="B9" t="s">
        <v>26</v>
      </c>
      <c r="C9">
        <v>0</v>
      </c>
      <c r="D9"/>
      <c r="E9">
        <f t="shared" si="0"/>
        <v>0</v>
      </c>
    </row>
    <row r="10" spans="1:5" hidden="1" x14ac:dyDescent="0.3">
      <c r="A10" t="s">
        <v>27</v>
      </c>
      <c r="B10" t="s">
        <v>3</v>
      </c>
      <c r="C10">
        <v>5</v>
      </c>
      <c r="D10" s="2">
        <v>14000</v>
      </c>
      <c r="E10" s="2">
        <f t="shared" si="0"/>
        <v>70000</v>
      </c>
    </row>
    <row r="11" spans="1:5" hidden="1" x14ac:dyDescent="0.3">
      <c r="A11" t="s">
        <v>27</v>
      </c>
      <c r="B11" t="s">
        <v>26</v>
      </c>
      <c r="C11">
        <v>0</v>
      </c>
      <c r="D11"/>
      <c r="E11">
        <f t="shared" si="0"/>
        <v>0</v>
      </c>
    </row>
    <row r="12" spans="1:5" hidden="1" x14ac:dyDescent="0.3">
      <c r="A12" t="s">
        <v>37</v>
      </c>
      <c r="B12" t="s">
        <v>3</v>
      </c>
      <c r="C12">
        <v>0</v>
      </c>
      <c r="D12"/>
      <c r="E12">
        <f t="shared" si="0"/>
        <v>0</v>
      </c>
    </row>
    <row r="13" spans="1:5" hidden="1" x14ac:dyDescent="0.3">
      <c r="A13" t="s">
        <v>46</v>
      </c>
      <c r="B13" t="s">
        <v>3</v>
      </c>
      <c r="C13">
        <v>0</v>
      </c>
      <c r="D13"/>
      <c r="E13">
        <f t="shared" si="0"/>
        <v>0</v>
      </c>
    </row>
    <row r="14" spans="1:5" hidden="1" x14ac:dyDescent="0.3">
      <c r="A14" t="s">
        <v>47</v>
      </c>
      <c r="B14" t="s">
        <v>3</v>
      </c>
      <c r="C14">
        <v>0</v>
      </c>
      <c r="D14"/>
      <c r="E14">
        <f t="shared" si="0"/>
        <v>0</v>
      </c>
    </row>
    <row r="15" spans="1:5" hidden="1" x14ac:dyDescent="0.3">
      <c r="A15" t="s">
        <v>123</v>
      </c>
      <c r="B15" t="s">
        <v>3</v>
      </c>
      <c r="C15">
        <v>0</v>
      </c>
      <c r="D15"/>
      <c r="E15">
        <f t="shared" si="0"/>
        <v>0</v>
      </c>
    </row>
    <row r="16" spans="1:5" hidden="1" x14ac:dyDescent="0.3">
      <c r="A16" t="s">
        <v>82</v>
      </c>
      <c r="B16" t="s">
        <v>3</v>
      </c>
      <c r="C16">
        <v>0</v>
      </c>
      <c r="D16"/>
      <c r="E16">
        <f t="shared" si="0"/>
        <v>0</v>
      </c>
    </row>
    <row r="17" spans="1:5" hidden="1" x14ac:dyDescent="0.3">
      <c r="A17" t="s">
        <v>16</v>
      </c>
      <c r="B17" t="s">
        <v>6</v>
      </c>
      <c r="C17">
        <v>20</v>
      </c>
      <c r="D17" s="2">
        <v>8500</v>
      </c>
      <c r="E17" s="2">
        <f t="shared" si="0"/>
        <v>170000</v>
      </c>
    </row>
    <row r="18" spans="1:5" hidden="1" x14ac:dyDescent="0.3">
      <c r="A18" t="s">
        <v>28</v>
      </c>
      <c r="B18" t="s">
        <v>3</v>
      </c>
      <c r="C18">
        <v>770</v>
      </c>
      <c r="D18" s="2">
        <v>19000</v>
      </c>
      <c r="E18" s="2">
        <f t="shared" si="0"/>
        <v>14630000</v>
      </c>
    </row>
    <row r="19" spans="1:5" hidden="1" x14ac:dyDescent="0.3">
      <c r="A19" t="s">
        <v>28</v>
      </c>
      <c r="B19" t="s">
        <v>6</v>
      </c>
      <c r="C19">
        <v>0</v>
      </c>
      <c r="D19"/>
      <c r="E19">
        <f t="shared" si="0"/>
        <v>0</v>
      </c>
    </row>
    <row r="20" spans="1:5" hidden="1" x14ac:dyDescent="0.3">
      <c r="A20" t="s">
        <v>28</v>
      </c>
      <c r="B20" t="s">
        <v>29</v>
      </c>
      <c r="C20">
        <v>0</v>
      </c>
      <c r="D20"/>
      <c r="E20">
        <f t="shared" si="0"/>
        <v>0</v>
      </c>
    </row>
    <row r="21" spans="1:5" hidden="1" x14ac:dyDescent="0.3">
      <c r="A21" t="s">
        <v>48</v>
      </c>
      <c r="B21" t="s">
        <v>3</v>
      </c>
      <c r="C21">
        <v>16</v>
      </c>
      <c r="D21" s="2">
        <v>16000</v>
      </c>
      <c r="E21" s="2">
        <f t="shared" si="0"/>
        <v>256000</v>
      </c>
    </row>
    <row r="22" spans="1:5" hidden="1" x14ac:dyDescent="0.3">
      <c r="A22" t="s">
        <v>48</v>
      </c>
      <c r="B22" t="s">
        <v>49</v>
      </c>
      <c r="C22">
        <v>82</v>
      </c>
      <c r="D22" s="2">
        <v>8000</v>
      </c>
      <c r="E22" s="2">
        <f t="shared" si="0"/>
        <v>656000</v>
      </c>
    </row>
    <row r="23" spans="1:5" hidden="1" x14ac:dyDescent="0.3">
      <c r="A23" t="s">
        <v>40</v>
      </c>
      <c r="B23" t="s">
        <v>3</v>
      </c>
      <c r="C23">
        <v>14</v>
      </c>
      <c r="D23" s="2">
        <v>24000</v>
      </c>
      <c r="E23" s="2">
        <f t="shared" si="0"/>
        <v>336000</v>
      </c>
    </row>
    <row r="24" spans="1:5" hidden="1" x14ac:dyDescent="0.3">
      <c r="A24" t="s">
        <v>40</v>
      </c>
      <c r="B24" t="s">
        <v>41</v>
      </c>
      <c r="C24">
        <v>29</v>
      </c>
      <c r="D24" s="2">
        <v>8400</v>
      </c>
      <c r="E24" s="2">
        <f t="shared" si="0"/>
        <v>243600</v>
      </c>
    </row>
    <row r="25" spans="1:5" hidden="1" x14ac:dyDescent="0.3">
      <c r="A25" t="s">
        <v>50</v>
      </c>
      <c r="B25" t="s">
        <v>8</v>
      </c>
      <c r="C25">
        <v>0</v>
      </c>
      <c r="D25"/>
      <c r="E25">
        <f t="shared" si="0"/>
        <v>0</v>
      </c>
    </row>
    <row r="26" spans="1:5" hidden="1" x14ac:dyDescent="0.3">
      <c r="A26" t="s">
        <v>51</v>
      </c>
      <c r="B26" t="s">
        <v>3</v>
      </c>
      <c r="C26">
        <v>0</v>
      </c>
      <c r="D26"/>
      <c r="E26">
        <f t="shared" si="0"/>
        <v>0</v>
      </c>
    </row>
    <row r="27" spans="1:5" hidden="1" x14ac:dyDescent="0.3">
      <c r="A27" t="s">
        <v>51</v>
      </c>
      <c r="B27" t="s">
        <v>52</v>
      </c>
      <c r="C27">
        <v>680</v>
      </c>
      <c r="D27" s="2">
        <v>12000</v>
      </c>
      <c r="E27" s="2">
        <f t="shared" si="0"/>
        <v>8160000</v>
      </c>
    </row>
    <row r="28" spans="1:5" hidden="1" x14ac:dyDescent="0.3">
      <c r="A28" t="s">
        <v>30</v>
      </c>
      <c r="B28" t="s">
        <v>3</v>
      </c>
      <c r="C28">
        <v>410</v>
      </c>
      <c r="D28" s="2">
        <v>12000</v>
      </c>
      <c r="E28" s="2">
        <f t="shared" si="0"/>
        <v>4920000</v>
      </c>
    </row>
    <row r="29" spans="1:5" hidden="1" x14ac:dyDescent="0.3">
      <c r="A29" t="s">
        <v>30</v>
      </c>
      <c r="B29" t="s">
        <v>6</v>
      </c>
      <c r="C29">
        <v>0</v>
      </c>
      <c r="D29"/>
      <c r="E29">
        <f t="shared" si="0"/>
        <v>0</v>
      </c>
    </row>
    <row r="30" spans="1:5" hidden="1" x14ac:dyDescent="0.3">
      <c r="A30" t="s">
        <v>31</v>
      </c>
      <c r="B30" t="s">
        <v>4</v>
      </c>
      <c r="C30">
        <v>0</v>
      </c>
      <c r="D30"/>
      <c r="E30">
        <f t="shared" si="0"/>
        <v>0</v>
      </c>
    </row>
    <row r="31" spans="1:5" hidden="1" x14ac:dyDescent="0.3">
      <c r="A31" t="s">
        <v>2</v>
      </c>
      <c r="B31" t="s">
        <v>3</v>
      </c>
      <c r="C31">
        <v>135</v>
      </c>
      <c r="D31" s="2">
        <v>13000</v>
      </c>
      <c r="E31" s="2">
        <f t="shared" si="0"/>
        <v>1755000</v>
      </c>
    </row>
    <row r="32" spans="1:5" hidden="1" x14ac:dyDescent="0.3">
      <c r="A32" t="s">
        <v>2</v>
      </c>
      <c r="B32" t="s">
        <v>4</v>
      </c>
      <c r="C32">
        <v>0</v>
      </c>
      <c r="D32"/>
      <c r="E32">
        <f t="shared" si="0"/>
        <v>0</v>
      </c>
    </row>
    <row r="33" spans="1:5" hidden="1" x14ac:dyDescent="0.3">
      <c r="A33" t="s">
        <v>5</v>
      </c>
      <c r="B33" t="s">
        <v>6</v>
      </c>
      <c r="C33">
        <v>5</v>
      </c>
      <c r="D33" s="2">
        <v>10000</v>
      </c>
      <c r="E33" s="2">
        <f t="shared" si="0"/>
        <v>50000</v>
      </c>
    </row>
    <row r="34" spans="1:5" hidden="1" x14ac:dyDescent="0.3">
      <c r="A34" t="s">
        <v>53</v>
      </c>
      <c r="B34" t="s">
        <v>3</v>
      </c>
      <c r="C34">
        <v>0</v>
      </c>
      <c r="D34"/>
      <c r="E34">
        <f t="shared" si="0"/>
        <v>0</v>
      </c>
    </row>
    <row r="35" spans="1:5" hidden="1" x14ac:dyDescent="0.3">
      <c r="A35" t="s">
        <v>53</v>
      </c>
      <c r="B35" t="s">
        <v>54</v>
      </c>
      <c r="C35">
        <v>0</v>
      </c>
      <c r="D35"/>
      <c r="E35">
        <f t="shared" si="0"/>
        <v>0</v>
      </c>
    </row>
    <row r="36" spans="1:5" hidden="1" x14ac:dyDescent="0.3">
      <c r="A36" t="s">
        <v>18</v>
      </c>
      <c r="B36" t="s">
        <v>3</v>
      </c>
      <c r="C36">
        <v>0</v>
      </c>
      <c r="D36"/>
      <c r="E36">
        <f t="shared" si="0"/>
        <v>0</v>
      </c>
    </row>
    <row r="37" spans="1:5" hidden="1" x14ac:dyDescent="0.3">
      <c r="A37" t="s">
        <v>18</v>
      </c>
      <c r="B37" t="s">
        <v>4</v>
      </c>
      <c r="C37">
        <v>0</v>
      </c>
      <c r="D37"/>
      <c r="E37">
        <f t="shared" si="0"/>
        <v>0</v>
      </c>
    </row>
    <row r="38" spans="1:5" hidden="1" x14ac:dyDescent="0.3">
      <c r="A38" t="s">
        <v>55</v>
      </c>
      <c r="B38" t="s">
        <v>4</v>
      </c>
      <c r="C38">
        <v>0</v>
      </c>
      <c r="D38"/>
      <c r="E38">
        <f t="shared" si="0"/>
        <v>0</v>
      </c>
    </row>
    <row r="39" spans="1:5" hidden="1" x14ac:dyDescent="0.3">
      <c r="A39" t="s">
        <v>19</v>
      </c>
      <c r="B39" t="s">
        <v>4</v>
      </c>
      <c r="C39">
        <v>12</v>
      </c>
      <c r="D39" s="2">
        <v>3900</v>
      </c>
      <c r="E39" s="2">
        <f t="shared" si="0"/>
        <v>46800</v>
      </c>
    </row>
    <row r="40" spans="1:5" hidden="1" x14ac:dyDescent="0.3">
      <c r="A40" t="s">
        <v>20</v>
      </c>
      <c r="B40" t="s">
        <v>3</v>
      </c>
      <c r="C40">
        <v>0</v>
      </c>
      <c r="D40"/>
      <c r="E40">
        <f t="shared" si="0"/>
        <v>0</v>
      </c>
    </row>
    <row r="41" spans="1:5" hidden="1" x14ac:dyDescent="0.3">
      <c r="A41" t="s">
        <v>21</v>
      </c>
      <c r="B41" t="s">
        <v>22</v>
      </c>
      <c r="C41">
        <v>0</v>
      </c>
      <c r="D41"/>
      <c r="E41">
        <f t="shared" si="0"/>
        <v>0</v>
      </c>
    </row>
    <row r="42" spans="1:5" hidden="1" x14ac:dyDescent="0.3">
      <c r="A42" t="s">
        <v>21</v>
      </c>
      <c r="B42" t="s">
        <v>3</v>
      </c>
      <c r="C42">
        <v>55</v>
      </c>
      <c r="D42" s="2">
        <v>10000</v>
      </c>
      <c r="E42" s="2">
        <f t="shared" si="0"/>
        <v>550000</v>
      </c>
    </row>
    <row r="43" spans="1:5" hidden="1" x14ac:dyDescent="0.3">
      <c r="A43" t="s">
        <v>56</v>
      </c>
      <c r="B43" t="s">
        <v>3</v>
      </c>
      <c r="C43">
        <v>25</v>
      </c>
      <c r="D43" s="2">
        <v>14000</v>
      </c>
      <c r="E43" s="2">
        <f t="shared" si="0"/>
        <v>350000</v>
      </c>
    </row>
    <row r="44" spans="1:5" hidden="1" x14ac:dyDescent="0.3">
      <c r="A44" t="s">
        <v>7</v>
      </c>
      <c r="B44" t="s">
        <v>8</v>
      </c>
      <c r="C44">
        <v>0</v>
      </c>
      <c r="D44"/>
      <c r="E44">
        <f t="shared" si="0"/>
        <v>0</v>
      </c>
    </row>
    <row r="45" spans="1:5" hidden="1" x14ac:dyDescent="0.3">
      <c r="A45" t="s">
        <v>57</v>
      </c>
      <c r="B45" t="s">
        <v>3</v>
      </c>
      <c r="C45">
        <v>0</v>
      </c>
      <c r="D45"/>
      <c r="E45">
        <f t="shared" si="0"/>
        <v>0</v>
      </c>
    </row>
    <row r="46" spans="1:5" hidden="1" x14ac:dyDescent="0.3">
      <c r="A46" t="s">
        <v>9</v>
      </c>
      <c r="B46" t="s">
        <v>3</v>
      </c>
      <c r="C46">
        <v>40</v>
      </c>
      <c r="D46" s="2">
        <v>10000</v>
      </c>
      <c r="E46" s="2">
        <f t="shared" si="0"/>
        <v>400000</v>
      </c>
    </row>
    <row r="47" spans="1:5" hidden="1" x14ac:dyDescent="0.3">
      <c r="A47" t="s">
        <v>9</v>
      </c>
      <c r="B47" t="s">
        <v>4</v>
      </c>
      <c r="C47">
        <v>0</v>
      </c>
      <c r="D47"/>
      <c r="E47">
        <f t="shared" si="0"/>
        <v>0</v>
      </c>
    </row>
    <row r="48" spans="1:5" hidden="1" x14ac:dyDescent="0.3">
      <c r="A48" t="s">
        <v>58</v>
      </c>
      <c r="B48" t="s">
        <v>3</v>
      </c>
      <c r="C48">
        <v>5</v>
      </c>
      <c r="D48" s="2">
        <v>23000</v>
      </c>
      <c r="E48" s="2">
        <f t="shared" si="0"/>
        <v>115000</v>
      </c>
    </row>
    <row r="49" spans="1:5" hidden="1" x14ac:dyDescent="0.3">
      <c r="A49" t="s">
        <v>10</v>
      </c>
      <c r="B49" t="s">
        <v>3</v>
      </c>
      <c r="C49">
        <v>486</v>
      </c>
      <c r="D49" s="2">
        <v>19000</v>
      </c>
      <c r="E49" s="2">
        <f t="shared" si="0"/>
        <v>9234000</v>
      </c>
    </row>
    <row r="50" spans="1:5" hidden="1" x14ac:dyDescent="0.3">
      <c r="A50" t="s">
        <v>10</v>
      </c>
      <c r="B50" t="s">
        <v>11</v>
      </c>
      <c r="C50">
        <v>0</v>
      </c>
      <c r="D50"/>
      <c r="E50">
        <f t="shared" si="0"/>
        <v>0</v>
      </c>
    </row>
    <row r="51" spans="1:5" hidden="1" x14ac:dyDescent="0.3">
      <c r="A51" t="s">
        <v>106</v>
      </c>
      <c r="B51" t="s">
        <v>3</v>
      </c>
      <c r="C51">
        <v>10</v>
      </c>
      <c r="D51" s="2">
        <v>20000</v>
      </c>
      <c r="E51" s="2">
        <f t="shared" si="0"/>
        <v>200000</v>
      </c>
    </row>
    <row r="52" spans="1:5" hidden="1" x14ac:dyDescent="0.3">
      <c r="A52" t="s">
        <v>12</v>
      </c>
      <c r="B52" t="s">
        <v>4</v>
      </c>
      <c r="C52">
        <v>0</v>
      </c>
      <c r="D52"/>
      <c r="E52">
        <f t="shared" si="0"/>
        <v>0</v>
      </c>
    </row>
    <row r="53" spans="1:5" ht="18" hidden="1" customHeight="1" x14ac:dyDescent="0.3">
      <c r="A53" t="s">
        <v>39</v>
      </c>
      <c r="B53" t="s">
        <v>3</v>
      </c>
      <c r="C53">
        <v>100</v>
      </c>
      <c r="D53" s="2">
        <v>24000</v>
      </c>
      <c r="E53" s="2">
        <f t="shared" si="0"/>
        <v>2400000</v>
      </c>
    </row>
    <row r="54" spans="1:5" hidden="1" x14ac:dyDescent="0.3">
      <c r="A54" t="s">
        <v>13</v>
      </c>
      <c r="B54" t="s">
        <v>3</v>
      </c>
      <c r="C54">
        <v>90</v>
      </c>
      <c r="D54" s="2">
        <v>24000</v>
      </c>
      <c r="E54" s="2">
        <f t="shared" si="0"/>
        <v>2160000</v>
      </c>
    </row>
    <row r="55" spans="1:5" hidden="1" x14ac:dyDescent="0.3">
      <c r="A55" t="s">
        <v>13</v>
      </c>
      <c r="B55" t="s">
        <v>4</v>
      </c>
      <c r="C55">
        <v>0</v>
      </c>
      <c r="D55"/>
      <c r="E55">
        <f t="shared" si="0"/>
        <v>0</v>
      </c>
    </row>
    <row r="56" spans="1:5" hidden="1" x14ac:dyDescent="0.3">
      <c r="A56" t="s">
        <v>133</v>
      </c>
      <c r="B56" t="s">
        <v>3</v>
      </c>
      <c r="C56">
        <v>430</v>
      </c>
      <c r="D56" s="2">
        <v>17000</v>
      </c>
      <c r="E56" s="2">
        <f t="shared" si="0"/>
        <v>7310000</v>
      </c>
    </row>
    <row r="57" spans="1:5" hidden="1" x14ac:dyDescent="0.3">
      <c r="A57" t="s">
        <v>14</v>
      </c>
      <c r="B57" t="s">
        <v>3</v>
      </c>
      <c r="C57">
        <v>160</v>
      </c>
      <c r="D57" s="2">
        <v>17000</v>
      </c>
      <c r="E57" s="2">
        <f t="shared" si="0"/>
        <v>2720000</v>
      </c>
    </row>
    <row r="58" spans="1:5" hidden="1" x14ac:dyDescent="0.3">
      <c r="A58" t="s">
        <v>93</v>
      </c>
      <c r="B58" t="s">
        <v>3</v>
      </c>
      <c r="C58">
        <v>0</v>
      </c>
      <c r="D58"/>
      <c r="E58">
        <f t="shared" si="0"/>
        <v>0</v>
      </c>
    </row>
    <row r="59" spans="1:5" hidden="1" x14ac:dyDescent="0.3">
      <c r="A59" t="s">
        <v>42</v>
      </c>
      <c r="B59" t="s">
        <v>3</v>
      </c>
      <c r="C59">
        <v>0</v>
      </c>
      <c r="D59"/>
      <c r="E59">
        <f t="shared" si="0"/>
        <v>0</v>
      </c>
    </row>
    <row r="60" spans="1:5" hidden="1" x14ac:dyDescent="0.3">
      <c r="A60" t="s">
        <v>89</v>
      </c>
      <c r="B60" t="s">
        <v>4</v>
      </c>
      <c r="C60">
        <v>0</v>
      </c>
      <c r="D60"/>
      <c r="E60">
        <f t="shared" si="0"/>
        <v>0</v>
      </c>
    </row>
    <row r="61" spans="1:5" hidden="1" x14ac:dyDescent="0.3">
      <c r="A61" t="s">
        <v>15</v>
      </c>
      <c r="B61" t="s">
        <v>3</v>
      </c>
      <c r="C61">
        <v>500</v>
      </c>
      <c r="D61" s="2">
        <v>17000</v>
      </c>
      <c r="E61" s="2">
        <f t="shared" si="0"/>
        <v>8500000</v>
      </c>
    </row>
    <row r="62" spans="1:5" hidden="1" x14ac:dyDescent="0.3">
      <c r="A62" t="s">
        <v>15</v>
      </c>
      <c r="B62" t="s">
        <v>4</v>
      </c>
      <c r="C62">
        <v>0</v>
      </c>
      <c r="D62"/>
      <c r="E62">
        <f t="shared" si="0"/>
        <v>0</v>
      </c>
    </row>
    <row r="63" spans="1:5" hidden="1" x14ac:dyDescent="0.3">
      <c r="A63" t="s">
        <v>87</v>
      </c>
      <c r="B63" t="s">
        <v>4</v>
      </c>
      <c r="C63">
        <v>16</v>
      </c>
      <c r="D63" s="2">
        <v>8000</v>
      </c>
      <c r="E63" s="2">
        <f t="shared" si="0"/>
        <v>128000</v>
      </c>
    </row>
    <row r="64" spans="1:5" hidden="1" x14ac:dyDescent="0.3">
      <c r="A64" t="s">
        <v>59</v>
      </c>
      <c r="B64" t="s">
        <v>3</v>
      </c>
      <c r="C64">
        <v>5</v>
      </c>
      <c r="D64" s="2">
        <v>13000</v>
      </c>
      <c r="E64" s="2">
        <f t="shared" si="0"/>
        <v>65000</v>
      </c>
    </row>
    <row r="65" spans="1:5" hidden="1" x14ac:dyDescent="0.3">
      <c r="A65" t="s">
        <v>60</v>
      </c>
      <c r="B65" t="s">
        <v>4</v>
      </c>
      <c r="C65">
        <v>0</v>
      </c>
      <c r="D65"/>
      <c r="E65">
        <f t="shared" si="0"/>
        <v>0</v>
      </c>
    </row>
    <row r="66" spans="1:5" hidden="1" x14ac:dyDescent="0.3">
      <c r="A66" t="s">
        <v>61</v>
      </c>
      <c r="B66" t="s">
        <v>3</v>
      </c>
      <c r="C66">
        <v>0</v>
      </c>
      <c r="D66"/>
      <c r="E66">
        <f t="shared" si="0"/>
        <v>0</v>
      </c>
    </row>
    <row r="67" spans="1:5" hidden="1" x14ac:dyDescent="0.3">
      <c r="A67" t="s">
        <v>61</v>
      </c>
      <c r="B67" t="s">
        <v>62</v>
      </c>
      <c r="C67">
        <v>25</v>
      </c>
      <c r="D67" s="2">
        <v>14000</v>
      </c>
      <c r="E67" s="2">
        <f t="shared" si="0"/>
        <v>350000</v>
      </c>
    </row>
    <row r="68" spans="1:5" hidden="1" x14ac:dyDescent="0.3">
      <c r="A68" t="s">
        <v>63</v>
      </c>
      <c r="B68" t="s">
        <v>3</v>
      </c>
      <c r="C68">
        <v>0</v>
      </c>
      <c r="D68"/>
      <c r="E68">
        <f t="shared" ref="E68:E133" si="1">C68*D68</f>
        <v>0</v>
      </c>
    </row>
    <row r="69" spans="1:5" hidden="1" x14ac:dyDescent="0.3">
      <c r="A69" t="s">
        <v>64</v>
      </c>
      <c r="B69" t="s">
        <v>3</v>
      </c>
      <c r="C69">
        <v>0</v>
      </c>
      <c r="D69"/>
      <c r="E69">
        <f t="shared" si="1"/>
        <v>0</v>
      </c>
    </row>
    <row r="70" spans="1:5" hidden="1" x14ac:dyDescent="0.3">
      <c r="A70" t="s">
        <v>65</v>
      </c>
      <c r="B70" t="s">
        <v>3</v>
      </c>
      <c r="C70">
        <v>0</v>
      </c>
      <c r="D70"/>
      <c r="E70">
        <f t="shared" si="1"/>
        <v>0</v>
      </c>
    </row>
    <row r="71" spans="1:5" hidden="1" x14ac:dyDescent="0.3">
      <c r="A71" t="s">
        <v>90</v>
      </c>
      <c r="B71" t="s">
        <v>4</v>
      </c>
      <c r="C71">
        <v>0</v>
      </c>
      <c r="D71"/>
      <c r="E71">
        <f t="shared" si="1"/>
        <v>0</v>
      </c>
    </row>
    <row r="72" spans="1:5" hidden="1" x14ac:dyDescent="0.3">
      <c r="A72" t="s">
        <v>32</v>
      </c>
      <c r="B72" t="s">
        <v>3</v>
      </c>
      <c r="C72">
        <v>0</v>
      </c>
      <c r="D72"/>
      <c r="E72">
        <f t="shared" si="1"/>
        <v>0</v>
      </c>
    </row>
    <row r="73" spans="1:5" hidden="1" x14ac:dyDescent="0.3">
      <c r="A73" t="s">
        <v>32</v>
      </c>
      <c r="B73" t="s">
        <v>6</v>
      </c>
      <c r="C73">
        <v>0</v>
      </c>
      <c r="D73"/>
      <c r="E73">
        <f t="shared" si="1"/>
        <v>0</v>
      </c>
    </row>
    <row r="74" spans="1:5" hidden="1" x14ac:dyDescent="0.3">
      <c r="A74" t="s">
        <v>81</v>
      </c>
      <c r="B74" t="s">
        <v>3</v>
      </c>
      <c r="C74">
        <v>0</v>
      </c>
      <c r="D74"/>
      <c r="E74">
        <f t="shared" si="1"/>
        <v>0</v>
      </c>
    </row>
    <row r="75" spans="1:5" hidden="1" x14ac:dyDescent="0.3">
      <c r="A75" t="s">
        <v>33</v>
      </c>
      <c r="B75" t="s">
        <v>3</v>
      </c>
      <c r="C75">
        <v>32</v>
      </c>
      <c r="D75" s="2">
        <v>15000</v>
      </c>
      <c r="E75" s="2">
        <f t="shared" si="1"/>
        <v>480000</v>
      </c>
    </row>
    <row r="76" spans="1:5" hidden="1" x14ac:dyDescent="0.3">
      <c r="A76" t="s">
        <v>66</v>
      </c>
      <c r="B76" t="s">
        <v>22</v>
      </c>
      <c r="C76">
        <v>0</v>
      </c>
      <c r="D76"/>
      <c r="E76">
        <f t="shared" si="1"/>
        <v>0</v>
      </c>
    </row>
    <row r="77" spans="1:5" hidden="1" x14ac:dyDescent="0.3">
      <c r="A77" t="s">
        <v>66</v>
      </c>
      <c r="B77" t="s">
        <v>3</v>
      </c>
      <c r="C77">
        <v>10</v>
      </c>
      <c r="D77" s="2">
        <v>17000</v>
      </c>
      <c r="E77" s="2">
        <f t="shared" si="1"/>
        <v>170000</v>
      </c>
    </row>
    <row r="78" spans="1:5" x14ac:dyDescent="0.3">
      <c r="A78" t="s">
        <v>43</v>
      </c>
      <c r="B78" t="s">
        <v>3</v>
      </c>
      <c r="C78">
        <v>1860</v>
      </c>
      <c r="D78" s="2">
        <v>27600</v>
      </c>
      <c r="E78" s="2">
        <f t="shared" si="1"/>
        <v>51336000</v>
      </c>
    </row>
    <row r="79" spans="1:5" hidden="1" x14ac:dyDescent="0.3">
      <c r="A79" t="s">
        <v>67</v>
      </c>
      <c r="B79" t="s">
        <v>3</v>
      </c>
      <c r="C79">
        <v>0</v>
      </c>
      <c r="D79"/>
      <c r="E79">
        <f t="shared" si="1"/>
        <v>0</v>
      </c>
    </row>
    <row r="80" spans="1:5" hidden="1" x14ac:dyDescent="0.3">
      <c r="A80" t="s">
        <v>137</v>
      </c>
      <c r="B80" t="s">
        <v>8</v>
      </c>
      <c r="C80">
        <v>0</v>
      </c>
      <c r="D80"/>
      <c r="E80">
        <f t="shared" si="1"/>
        <v>0</v>
      </c>
    </row>
    <row r="81" spans="1:5" hidden="1" x14ac:dyDescent="0.3">
      <c r="A81" t="s">
        <v>68</v>
      </c>
      <c r="B81" t="s">
        <v>4</v>
      </c>
      <c r="C81">
        <v>0</v>
      </c>
      <c r="D81"/>
      <c r="E81">
        <f t="shared" si="1"/>
        <v>0</v>
      </c>
    </row>
    <row r="82" spans="1:5" hidden="1" x14ac:dyDescent="0.3">
      <c r="A82" t="s">
        <v>69</v>
      </c>
      <c r="B82" t="s">
        <v>3</v>
      </c>
      <c r="C82">
        <v>5</v>
      </c>
      <c r="D82" s="2">
        <v>14000</v>
      </c>
      <c r="E82" s="2">
        <f t="shared" si="1"/>
        <v>70000</v>
      </c>
    </row>
    <row r="83" spans="1:5" hidden="1" x14ac:dyDescent="0.3">
      <c r="A83" t="s">
        <v>38</v>
      </c>
      <c r="B83" t="s">
        <v>6</v>
      </c>
      <c r="C83">
        <v>0</v>
      </c>
      <c r="D83"/>
      <c r="E83">
        <f t="shared" si="1"/>
        <v>0</v>
      </c>
    </row>
    <row r="84" spans="1:5" hidden="1" x14ac:dyDescent="0.3">
      <c r="A84" t="s">
        <v>70</v>
      </c>
      <c r="B84" t="s">
        <v>8</v>
      </c>
      <c r="C84">
        <v>0</v>
      </c>
      <c r="D84"/>
      <c r="E84">
        <f t="shared" si="1"/>
        <v>0</v>
      </c>
    </row>
    <row r="85" spans="1:5" hidden="1" x14ac:dyDescent="0.3">
      <c r="A85" t="s">
        <v>70</v>
      </c>
      <c r="B85" t="s">
        <v>3</v>
      </c>
      <c r="C85">
        <v>3</v>
      </c>
      <c r="D85" s="2">
        <v>44000</v>
      </c>
      <c r="E85" s="2">
        <f t="shared" si="1"/>
        <v>132000</v>
      </c>
    </row>
    <row r="86" spans="1:5" hidden="1" x14ac:dyDescent="0.3">
      <c r="A86" t="s">
        <v>34</v>
      </c>
      <c r="B86" t="s">
        <v>3</v>
      </c>
      <c r="C86">
        <v>125</v>
      </c>
      <c r="D86" s="2">
        <v>35000</v>
      </c>
      <c r="E86" s="2">
        <f t="shared" si="1"/>
        <v>4375000</v>
      </c>
    </row>
    <row r="87" spans="1:5" hidden="1" x14ac:dyDescent="0.3">
      <c r="A87" t="s">
        <v>34</v>
      </c>
      <c r="B87" t="s">
        <v>26</v>
      </c>
      <c r="C87">
        <v>0</v>
      </c>
      <c r="D87"/>
      <c r="E87">
        <f t="shared" si="1"/>
        <v>0</v>
      </c>
    </row>
    <row r="88" spans="1:5" hidden="1" x14ac:dyDescent="0.3">
      <c r="A88" t="s">
        <v>35</v>
      </c>
      <c r="B88" t="s">
        <v>3</v>
      </c>
      <c r="C88">
        <v>0</v>
      </c>
      <c r="D88"/>
      <c r="E88">
        <f t="shared" si="1"/>
        <v>0</v>
      </c>
    </row>
    <row r="89" spans="1:5" hidden="1" x14ac:dyDescent="0.3">
      <c r="A89" t="s">
        <v>35</v>
      </c>
      <c r="B89" t="s">
        <v>26</v>
      </c>
      <c r="C89">
        <v>0</v>
      </c>
      <c r="D89"/>
      <c r="E89">
        <f t="shared" si="1"/>
        <v>0</v>
      </c>
    </row>
    <row r="90" spans="1:5" hidden="1" x14ac:dyDescent="0.3">
      <c r="A90" t="s">
        <v>36</v>
      </c>
      <c r="B90" t="s">
        <v>3</v>
      </c>
      <c r="C90">
        <v>0</v>
      </c>
      <c r="D90"/>
      <c r="E90">
        <f t="shared" si="1"/>
        <v>0</v>
      </c>
    </row>
    <row r="91" spans="1:5" hidden="1" x14ac:dyDescent="0.3">
      <c r="A91" t="s">
        <v>36</v>
      </c>
      <c r="B91" t="s">
        <v>26</v>
      </c>
      <c r="C91">
        <v>0</v>
      </c>
      <c r="D91"/>
      <c r="E91">
        <f t="shared" si="1"/>
        <v>0</v>
      </c>
    </row>
    <row r="92" spans="1:5" hidden="1" x14ac:dyDescent="0.3">
      <c r="A92" t="s">
        <v>71</v>
      </c>
      <c r="B92" t="s">
        <v>4</v>
      </c>
      <c r="C92">
        <v>0</v>
      </c>
      <c r="D92"/>
      <c r="E92">
        <f t="shared" si="1"/>
        <v>0</v>
      </c>
    </row>
    <row r="93" spans="1:5" hidden="1" x14ac:dyDescent="0.3">
      <c r="A93" t="s">
        <v>83</v>
      </c>
      <c r="B93" t="s">
        <v>4</v>
      </c>
      <c r="C93">
        <v>0</v>
      </c>
      <c r="D93"/>
      <c r="E93">
        <f t="shared" si="1"/>
        <v>0</v>
      </c>
    </row>
    <row r="94" spans="1:5" hidden="1" x14ac:dyDescent="0.3">
      <c r="A94" t="s">
        <v>150</v>
      </c>
      <c r="B94" t="s">
        <v>26</v>
      </c>
      <c r="C94">
        <v>835</v>
      </c>
      <c r="D94" s="2">
        <v>17000</v>
      </c>
      <c r="E94" s="2">
        <f t="shared" si="1"/>
        <v>14195000</v>
      </c>
    </row>
    <row r="95" spans="1:5" hidden="1" x14ac:dyDescent="0.3">
      <c r="A95" t="s">
        <v>88</v>
      </c>
      <c r="B95" t="s">
        <v>3</v>
      </c>
      <c r="C95">
        <v>2861</v>
      </c>
      <c r="D95" s="2">
        <v>28000</v>
      </c>
      <c r="E95" s="2">
        <f>C95*D95</f>
        <v>80108000</v>
      </c>
    </row>
    <row r="96" spans="1:5" hidden="1" x14ac:dyDescent="0.3">
      <c r="A96" t="s">
        <v>91</v>
      </c>
      <c r="B96" t="s">
        <v>3</v>
      </c>
      <c r="C96">
        <v>0</v>
      </c>
      <c r="D96"/>
      <c r="E96">
        <f t="shared" si="1"/>
        <v>0</v>
      </c>
    </row>
    <row r="97" spans="1:5" hidden="1" x14ac:dyDescent="0.3">
      <c r="A97" t="s">
        <v>117</v>
      </c>
      <c r="B97" t="s">
        <v>8</v>
      </c>
      <c r="C97">
        <v>0</v>
      </c>
      <c r="D97"/>
      <c r="E97">
        <f t="shared" si="1"/>
        <v>0</v>
      </c>
    </row>
    <row r="98" spans="1:5" hidden="1" x14ac:dyDescent="0.3">
      <c r="A98" t="s">
        <v>72</v>
      </c>
      <c r="B98" t="s">
        <v>3</v>
      </c>
      <c r="C98">
        <v>135</v>
      </c>
      <c r="D98" s="2">
        <v>16000</v>
      </c>
      <c r="E98" s="2">
        <f t="shared" si="1"/>
        <v>2160000</v>
      </c>
    </row>
    <row r="99" spans="1:5" hidden="1" x14ac:dyDescent="0.3">
      <c r="A99" t="s">
        <v>73</v>
      </c>
      <c r="B99" t="s">
        <v>3</v>
      </c>
      <c r="C99">
        <v>10</v>
      </c>
      <c r="D99" s="2">
        <v>28000</v>
      </c>
      <c r="E99" s="2">
        <f t="shared" si="1"/>
        <v>280000</v>
      </c>
    </row>
    <row r="100" spans="1:5" hidden="1" x14ac:dyDescent="0.3">
      <c r="A100" t="s">
        <v>23</v>
      </c>
      <c r="B100" t="s">
        <v>3</v>
      </c>
      <c r="C100">
        <v>0</v>
      </c>
      <c r="D100"/>
      <c r="E100">
        <f t="shared" si="1"/>
        <v>0</v>
      </c>
    </row>
    <row r="101" spans="1:5" hidden="1" x14ac:dyDescent="0.3">
      <c r="A101" t="s">
        <v>84</v>
      </c>
      <c r="B101" t="s">
        <v>22</v>
      </c>
      <c r="C101">
        <v>0</v>
      </c>
      <c r="D101"/>
      <c r="E101">
        <f t="shared" si="1"/>
        <v>0</v>
      </c>
    </row>
    <row r="102" spans="1:5" hidden="1" x14ac:dyDescent="0.3">
      <c r="A102" t="s">
        <v>74</v>
      </c>
      <c r="B102" t="s">
        <v>3</v>
      </c>
      <c r="C102">
        <v>0</v>
      </c>
      <c r="D102"/>
      <c r="E102">
        <f t="shared" si="1"/>
        <v>0</v>
      </c>
    </row>
    <row r="103" spans="1:5" hidden="1" x14ac:dyDescent="0.3">
      <c r="A103" t="s">
        <v>86</v>
      </c>
      <c r="B103" t="s">
        <v>22</v>
      </c>
      <c r="C103">
        <v>0</v>
      </c>
      <c r="D103"/>
      <c r="E103">
        <f t="shared" si="1"/>
        <v>0</v>
      </c>
    </row>
    <row r="104" spans="1:5" hidden="1" x14ac:dyDescent="0.3">
      <c r="A104" t="s">
        <v>75</v>
      </c>
      <c r="B104" t="s">
        <v>3</v>
      </c>
      <c r="C104">
        <v>0</v>
      </c>
      <c r="D104"/>
      <c r="E104">
        <f t="shared" si="1"/>
        <v>0</v>
      </c>
    </row>
    <row r="105" spans="1:5" hidden="1" x14ac:dyDescent="0.3">
      <c r="A105" t="s">
        <v>76</v>
      </c>
      <c r="B105" t="s">
        <v>3</v>
      </c>
      <c r="C105">
        <v>4</v>
      </c>
      <c r="D105" s="2">
        <v>28000</v>
      </c>
      <c r="E105" s="2">
        <f t="shared" si="1"/>
        <v>112000</v>
      </c>
    </row>
    <row r="106" spans="1:5" hidden="1" x14ac:dyDescent="0.3">
      <c r="A106" t="s">
        <v>85</v>
      </c>
      <c r="B106" t="s">
        <v>22</v>
      </c>
      <c r="C106">
        <v>0</v>
      </c>
      <c r="D106"/>
      <c r="E106">
        <f t="shared" si="1"/>
        <v>0</v>
      </c>
    </row>
    <row r="107" spans="1:5" hidden="1" x14ac:dyDescent="0.3">
      <c r="E107" s="2">
        <f>SUM(E3:E105)</f>
        <v>238380900</v>
      </c>
    </row>
    <row r="108" spans="1:5" hidden="1" x14ac:dyDescent="0.3">
      <c r="A108" t="s">
        <v>103</v>
      </c>
      <c r="D108"/>
      <c r="E108"/>
    </row>
    <row r="109" spans="1:5" hidden="1" x14ac:dyDescent="0.3">
      <c r="A109" t="s">
        <v>0</v>
      </c>
      <c r="B109" t="s">
        <v>1</v>
      </c>
      <c r="C109" t="s">
        <v>102</v>
      </c>
      <c r="D109" s="2" t="s">
        <v>100</v>
      </c>
      <c r="E109" s="2" t="s">
        <v>101</v>
      </c>
    </row>
    <row r="110" spans="1:5" hidden="1" x14ac:dyDescent="0.3">
      <c r="A110" t="s">
        <v>2</v>
      </c>
      <c r="B110" t="s">
        <v>3</v>
      </c>
      <c r="C110">
        <v>100</v>
      </c>
      <c r="D110" s="2">
        <v>13000</v>
      </c>
      <c r="E110" s="2">
        <f t="shared" si="1"/>
        <v>1300000</v>
      </c>
    </row>
    <row r="111" spans="1:5" hidden="1" x14ac:dyDescent="0.3">
      <c r="A111" t="s">
        <v>107</v>
      </c>
      <c r="B111" t="s">
        <v>6</v>
      </c>
      <c r="C111">
        <v>0</v>
      </c>
      <c r="D111"/>
      <c r="E111">
        <f t="shared" si="1"/>
        <v>0</v>
      </c>
    </row>
    <row r="112" spans="1:5" hidden="1" x14ac:dyDescent="0.3">
      <c r="A112" t="s">
        <v>57</v>
      </c>
      <c r="B112" t="s">
        <v>3</v>
      </c>
      <c r="C112">
        <v>90</v>
      </c>
      <c r="D112" s="2">
        <v>5500</v>
      </c>
      <c r="E112" s="2">
        <f t="shared" si="1"/>
        <v>495000</v>
      </c>
    </row>
    <row r="113" spans="1:5" hidden="1" x14ac:dyDescent="0.3">
      <c r="A113" t="s">
        <v>9</v>
      </c>
      <c r="B113" t="s">
        <v>3</v>
      </c>
      <c r="C113">
        <v>40</v>
      </c>
      <c r="D113" s="2">
        <v>10000</v>
      </c>
      <c r="E113" s="2">
        <f t="shared" si="1"/>
        <v>400000</v>
      </c>
    </row>
    <row r="114" spans="1:5" hidden="1" x14ac:dyDescent="0.3">
      <c r="A114" t="s">
        <v>10</v>
      </c>
      <c r="B114" t="s">
        <v>3</v>
      </c>
      <c r="C114">
        <v>0</v>
      </c>
      <c r="D114"/>
      <c r="E114">
        <f t="shared" si="1"/>
        <v>0</v>
      </c>
    </row>
    <row r="115" spans="1:5" hidden="1" x14ac:dyDescent="0.3">
      <c r="A115" t="s">
        <v>13</v>
      </c>
      <c r="B115" t="s">
        <v>4</v>
      </c>
      <c r="C115">
        <v>0</v>
      </c>
      <c r="D115"/>
      <c r="E115">
        <f t="shared" si="1"/>
        <v>0</v>
      </c>
    </row>
    <row r="116" spans="1:5" hidden="1" x14ac:dyDescent="0.3">
      <c r="A116" t="s">
        <v>14</v>
      </c>
      <c r="B116" t="s">
        <v>3</v>
      </c>
      <c r="C116">
        <v>150</v>
      </c>
      <c r="D116" s="2">
        <v>17000</v>
      </c>
      <c r="E116" s="2">
        <f t="shared" si="1"/>
        <v>2550000</v>
      </c>
    </row>
    <row r="117" spans="1:5" hidden="1" x14ac:dyDescent="0.3">
      <c r="A117" t="s">
        <v>89</v>
      </c>
      <c r="B117" t="s">
        <v>4</v>
      </c>
      <c r="C117">
        <v>0</v>
      </c>
      <c r="D117"/>
      <c r="E117">
        <f t="shared" si="1"/>
        <v>0</v>
      </c>
    </row>
    <row r="118" spans="1:5" hidden="1" x14ac:dyDescent="0.3">
      <c r="A118" t="s">
        <v>15</v>
      </c>
      <c r="B118" t="s">
        <v>3</v>
      </c>
      <c r="C118">
        <v>80</v>
      </c>
      <c r="D118" s="2">
        <v>18000</v>
      </c>
      <c r="E118" s="2">
        <f t="shared" si="1"/>
        <v>1440000</v>
      </c>
    </row>
    <row r="119" spans="1:5" hidden="1" x14ac:dyDescent="0.3">
      <c r="A119" t="s">
        <v>59</v>
      </c>
      <c r="B119" t="s">
        <v>3</v>
      </c>
      <c r="C119">
        <v>35</v>
      </c>
      <c r="D119" s="2">
        <v>13000</v>
      </c>
      <c r="E119" s="2">
        <f t="shared" si="1"/>
        <v>455000</v>
      </c>
    </row>
    <row r="120" spans="1:5" hidden="1" x14ac:dyDescent="0.3">
      <c r="A120" t="s">
        <v>46</v>
      </c>
      <c r="B120" t="s">
        <v>3</v>
      </c>
      <c r="C120">
        <v>0</v>
      </c>
      <c r="D120"/>
      <c r="E120">
        <f t="shared" si="1"/>
        <v>0</v>
      </c>
    </row>
    <row r="121" spans="1:5" hidden="1" x14ac:dyDescent="0.3">
      <c r="A121" t="s">
        <v>94</v>
      </c>
      <c r="B121" t="s">
        <v>3</v>
      </c>
      <c r="C121">
        <v>0</v>
      </c>
      <c r="D121"/>
      <c r="E121">
        <f t="shared" si="1"/>
        <v>0</v>
      </c>
    </row>
    <row r="122" spans="1:5" hidden="1" x14ac:dyDescent="0.3">
      <c r="A122" t="s">
        <v>44</v>
      </c>
      <c r="B122" t="s">
        <v>3</v>
      </c>
      <c r="C122">
        <v>0</v>
      </c>
      <c r="D122"/>
      <c r="E122">
        <f t="shared" si="1"/>
        <v>0</v>
      </c>
    </row>
    <row r="123" spans="1:5" hidden="1" x14ac:dyDescent="0.3">
      <c r="A123" t="s">
        <v>45</v>
      </c>
      <c r="B123" t="s">
        <v>3</v>
      </c>
      <c r="C123">
        <v>0</v>
      </c>
      <c r="D123"/>
      <c r="E123">
        <f t="shared" si="1"/>
        <v>0</v>
      </c>
    </row>
    <row r="124" spans="1:5" hidden="1" x14ac:dyDescent="0.3">
      <c r="A124" t="s">
        <v>17</v>
      </c>
      <c r="B124" t="s">
        <v>3</v>
      </c>
      <c r="C124">
        <v>406</v>
      </c>
      <c r="D124" s="2">
        <v>6500</v>
      </c>
      <c r="E124" s="2">
        <f t="shared" si="1"/>
        <v>2639000</v>
      </c>
    </row>
    <row r="125" spans="1:5" hidden="1" x14ac:dyDescent="0.3">
      <c r="A125" t="s">
        <v>20</v>
      </c>
      <c r="B125" t="s">
        <v>3</v>
      </c>
      <c r="C125">
        <v>710</v>
      </c>
      <c r="D125" s="2">
        <v>5500</v>
      </c>
      <c r="E125" s="2">
        <f t="shared" si="1"/>
        <v>3905000</v>
      </c>
    </row>
    <row r="126" spans="1:5" hidden="1" x14ac:dyDescent="0.3">
      <c r="A126" t="s">
        <v>21</v>
      </c>
      <c r="B126" t="s">
        <v>3</v>
      </c>
      <c r="C126">
        <v>50</v>
      </c>
      <c r="D126" s="2">
        <v>10000</v>
      </c>
      <c r="E126" s="2">
        <f t="shared" si="1"/>
        <v>500000</v>
      </c>
    </row>
    <row r="127" spans="1:5" hidden="1" x14ac:dyDescent="0.3">
      <c r="A127" t="s">
        <v>66</v>
      </c>
      <c r="B127" t="s">
        <v>3</v>
      </c>
      <c r="C127">
        <v>0</v>
      </c>
      <c r="D127"/>
      <c r="E127">
        <f t="shared" si="1"/>
        <v>0</v>
      </c>
    </row>
    <row r="128" spans="1:5" hidden="1" x14ac:dyDescent="0.3">
      <c r="A128" t="s">
        <v>84</v>
      </c>
      <c r="B128" t="s">
        <v>22</v>
      </c>
      <c r="C128">
        <v>60</v>
      </c>
      <c r="D128" s="2">
        <v>6800</v>
      </c>
      <c r="E128" s="2">
        <f t="shared" si="1"/>
        <v>408000</v>
      </c>
    </row>
    <row r="129" spans="1:5" hidden="1" x14ac:dyDescent="0.3">
      <c r="A129" t="s">
        <v>86</v>
      </c>
      <c r="B129" t="s">
        <v>22</v>
      </c>
      <c r="C129">
        <v>0</v>
      </c>
      <c r="D129"/>
      <c r="E129">
        <f t="shared" si="1"/>
        <v>0</v>
      </c>
    </row>
    <row r="130" spans="1:5" hidden="1" x14ac:dyDescent="0.3">
      <c r="A130" t="s">
        <v>85</v>
      </c>
      <c r="B130" t="s">
        <v>22</v>
      </c>
      <c r="C130">
        <v>0</v>
      </c>
      <c r="D130"/>
      <c r="E130">
        <f t="shared" si="1"/>
        <v>0</v>
      </c>
    </row>
    <row r="131" spans="1:5" hidden="1" x14ac:dyDescent="0.3">
      <c r="A131" t="s">
        <v>95</v>
      </c>
      <c r="B131" t="s">
        <v>3</v>
      </c>
      <c r="C131">
        <v>38</v>
      </c>
      <c r="D131" s="2">
        <v>10000</v>
      </c>
      <c r="E131" s="2">
        <f t="shared" si="1"/>
        <v>380000</v>
      </c>
    </row>
    <row r="132" spans="1:5" hidden="1" x14ac:dyDescent="0.3">
      <c r="A132" t="s">
        <v>24</v>
      </c>
      <c r="B132" t="s">
        <v>3</v>
      </c>
      <c r="C132">
        <v>0</v>
      </c>
      <c r="D132"/>
      <c r="E132">
        <f t="shared" si="1"/>
        <v>0</v>
      </c>
    </row>
    <row r="133" spans="1:5" hidden="1" x14ac:dyDescent="0.3">
      <c r="A133" t="s">
        <v>25</v>
      </c>
      <c r="B133" t="s">
        <v>3</v>
      </c>
      <c r="C133">
        <v>0</v>
      </c>
      <c r="D133"/>
      <c r="E133">
        <f t="shared" si="1"/>
        <v>0</v>
      </c>
    </row>
    <row r="134" spans="1:5" hidden="1" x14ac:dyDescent="0.3">
      <c r="A134" t="s">
        <v>28</v>
      </c>
      <c r="B134" t="s">
        <v>3</v>
      </c>
      <c r="C134">
        <v>0</v>
      </c>
      <c r="D134"/>
      <c r="E134">
        <f t="shared" ref="E134:E157" si="2">C134*D134</f>
        <v>0</v>
      </c>
    </row>
    <row r="135" spans="1:5" hidden="1" x14ac:dyDescent="0.3">
      <c r="A135" t="s">
        <v>30</v>
      </c>
      <c r="B135" t="s">
        <v>3</v>
      </c>
      <c r="C135">
        <v>0</v>
      </c>
      <c r="D135"/>
      <c r="E135">
        <f t="shared" si="2"/>
        <v>0</v>
      </c>
    </row>
    <row r="136" spans="1:5" hidden="1" x14ac:dyDescent="0.3">
      <c r="A136" t="s">
        <v>53</v>
      </c>
      <c r="B136" t="s">
        <v>3</v>
      </c>
      <c r="C136">
        <v>75</v>
      </c>
      <c r="D136" s="2">
        <v>8000</v>
      </c>
      <c r="E136" s="2">
        <f t="shared" si="2"/>
        <v>600000</v>
      </c>
    </row>
    <row r="137" spans="1:5" hidden="1" x14ac:dyDescent="0.3">
      <c r="A137" t="s">
        <v>34</v>
      </c>
      <c r="B137" t="s">
        <v>3</v>
      </c>
      <c r="C137">
        <v>0</v>
      </c>
      <c r="D137"/>
      <c r="E137">
        <f t="shared" si="2"/>
        <v>0</v>
      </c>
    </row>
    <row r="138" spans="1:5" hidden="1" x14ac:dyDescent="0.3">
      <c r="A138" t="s">
        <v>35</v>
      </c>
      <c r="B138" t="s">
        <v>3</v>
      </c>
      <c r="C138">
        <v>0</v>
      </c>
      <c r="D138"/>
      <c r="E138">
        <f t="shared" si="2"/>
        <v>0</v>
      </c>
    </row>
    <row r="139" spans="1:5" hidden="1" x14ac:dyDescent="0.3">
      <c r="A139" t="s">
        <v>36</v>
      </c>
      <c r="B139" t="s">
        <v>3</v>
      </c>
      <c r="C139">
        <v>0</v>
      </c>
      <c r="D139"/>
      <c r="E139">
        <f t="shared" si="2"/>
        <v>0</v>
      </c>
    </row>
    <row r="140" spans="1:5" hidden="1" x14ac:dyDescent="0.3">
      <c r="A140" t="s">
        <v>72</v>
      </c>
      <c r="B140" t="s">
        <v>3</v>
      </c>
      <c r="C140">
        <v>0</v>
      </c>
      <c r="D140"/>
      <c r="E140">
        <f t="shared" si="2"/>
        <v>0</v>
      </c>
    </row>
    <row r="141" spans="1:5" hidden="1" x14ac:dyDescent="0.3">
      <c r="A141" t="s">
        <v>56</v>
      </c>
      <c r="B141" t="s">
        <v>3</v>
      </c>
      <c r="C141">
        <v>0</v>
      </c>
      <c r="D141"/>
      <c r="E141">
        <f t="shared" si="2"/>
        <v>0</v>
      </c>
    </row>
    <row r="142" spans="1:5" hidden="1" x14ac:dyDescent="0.3">
      <c r="A142" t="s">
        <v>96</v>
      </c>
      <c r="B142" t="s">
        <v>3</v>
      </c>
      <c r="C142">
        <v>32</v>
      </c>
      <c r="D142" s="2">
        <v>27000</v>
      </c>
      <c r="E142" s="2">
        <f t="shared" si="2"/>
        <v>864000</v>
      </c>
    </row>
    <row r="143" spans="1:5" hidden="1" x14ac:dyDescent="0.3">
      <c r="A143" t="s">
        <v>97</v>
      </c>
      <c r="B143" t="s">
        <v>3</v>
      </c>
      <c r="C143">
        <v>9</v>
      </c>
      <c r="D143" s="2">
        <v>16000</v>
      </c>
      <c r="E143" s="2">
        <f t="shared" si="2"/>
        <v>144000</v>
      </c>
    </row>
    <row r="144" spans="1:5" hidden="1" x14ac:dyDescent="0.3">
      <c r="A144" t="s">
        <v>78</v>
      </c>
      <c r="B144" t="s">
        <v>3</v>
      </c>
      <c r="C144">
        <v>0</v>
      </c>
      <c r="D144"/>
      <c r="E144">
        <f t="shared" si="2"/>
        <v>0</v>
      </c>
    </row>
    <row r="145" spans="1:5" hidden="1" x14ac:dyDescent="0.3">
      <c r="A145" t="s">
        <v>109</v>
      </c>
      <c r="B145" t="s">
        <v>3</v>
      </c>
      <c r="C145">
        <v>0</v>
      </c>
      <c r="D145"/>
      <c r="E145">
        <f t="shared" si="2"/>
        <v>0</v>
      </c>
    </row>
    <row r="146" spans="1:5" hidden="1" x14ac:dyDescent="0.3">
      <c r="A146" t="s">
        <v>32</v>
      </c>
      <c r="B146" t="s">
        <v>3</v>
      </c>
      <c r="C146">
        <v>0</v>
      </c>
      <c r="D146"/>
      <c r="E146">
        <f t="shared" si="2"/>
        <v>0</v>
      </c>
    </row>
    <row r="147" spans="1:5" hidden="1" x14ac:dyDescent="0.3">
      <c r="A147" t="s">
        <v>32</v>
      </c>
      <c r="B147" t="s">
        <v>6</v>
      </c>
      <c r="C147">
        <v>0</v>
      </c>
      <c r="D147"/>
      <c r="E147">
        <f t="shared" si="2"/>
        <v>0</v>
      </c>
    </row>
    <row r="148" spans="1:5" x14ac:dyDescent="0.3">
      <c r="A148" t="s">
        <v>43</v>
      </c>
      <c r="B148" t="s">
        <v>3</v>
      </c>
      <c r="D148">
        <v>27600</v>
      </c>
      <c r="E148">
        <f t="shared" si="2"/>
        <v>0</v>
      </c>
    </row>
    <row r="149" spans="1:5" hidden="1" x14ac:dyDescent="0.3">
      <c r="A149" t="s">
        <v>60</v>
      </c>
      <c r="B149" t="s">
        <v>4</v>
      </c>
      <c r="C149">
        <v>20</v>
      </c>
      <c r="D149" s="2">
        <v>6000</v>
      </c>
      <c r="E149" s="2">
        <f t="shared" si="2"/>
        <v>120000</v>
      </c>
    </row>
    <row r="150" spans="1:5" hidden="1" x14ac:dyDescent="0.3">
      <c r="A150" t="s">
        <v>61</v>
      </c>
      <c r="B150" t="s">
        <v>4</v>
      </c>
      <c r="C150">
        <v>100</v>
      </c>
      <c r="D150" s="2">
        <v>14000</v>
      </c>
      <c r="E150" s="2">
        <f t="shared" si="2"/>
        <v>1400000</v>
      </c>
    </row>
    <row r="151" spans="1:5" hidden="1" x14ac:dyDescent="0.3">
      <c r="A151" t="s">
        <v>37</v>
      </c>
      <c r="B151" t="s">
        <v>3</v>
      </c>
      <c r="C151">
        <v>0</v>
      </c>
      <c r="D151"/>
      <c r="E151">
        <f t="shared" si="2"/>
        <v>0</v>
      </c>
    </row>
    <row r="152" spans="1:5" hidden="1" x14ac:dyDescent="0.3">
      <c r="A152" t="s">
        <v>67</v>
      </c>
      <c r="B152" t="s">
        <v>3</v>
      </c>
      <c r="C152">
        <v>0</v>
      </c>
      <c r="D152"/>
      <c r="E152">
        <f t="shared" si="2"/>
        <v>0</v>
      </c>
    </row>
    <row r="153" spans="1:5" hidden="1" x14ac:dyDescent="0.3">
      <c r="A153" t="s">
        <v>98</v>
      </c>
      <c r="B153" t="s">
        <v>3</v>
      </c>
      <c r="C153">
        <v>0</v>
      </c>
      <c r="D153"/>
      <c r="E153">
        <f t="shared" si="2"/>
        <v>0</v>
      </c>
    </row>
    <row r="154" spans="1:5" hidden="1" x14ac:dyDescent="0.3">
      <c r="A154" t="s">
        <v>23</v>
      </c>
      <c r="B154" t="s">
        <v>22</v>
      </c>
      <c r="C154">
        <v>0</v>
      </c>
      <c r="D154"/>
      <c r="E154">
        <f t="shared" si="2"/>
        <v>0</v>
      </c>
    </row>
    <row r="155" spans="1:5" hidden="1" x14ac:dyDescent="0.3">
      <c r="A155" t="s">
        <v>116</v>
      </c>
      <c r="B155" t="s">
        <v>26</v>
      </c>
      <c r="C155">
        <v>2750</v>
      </c>
      <c r="D155" s="2">
        <v>10000</v>
      </c>
      <c r="E155" s="2">
        <f t="shared" si="2"/>
        <v>27500000</v>
      </c>
    </row>
    <row r="156" spans="1:5" hidden="1" x14ac:dyDescent="0.3">
      <c r="A156" t="e">
        <v>#N/A</v>
      </c>
      <c r="B156">
        <v>0</v>
      </c>
      <c r="C156">
        <v>0</v>
      </c>
      <c r="D156"/>
      <c r="E156">
        <f t="shared" si="2"/>
        <v>0</v>
      </c>
    </row>
    <row r="157" spans="1:5" hidden="1" x14ac:dyDescent="0.3">
      <c r="A157" t="e">
        <v>#N/A</v>
      </c>
      <c r="B157">
        <v>0</v>
      </c>
      <c r="C157">
        <v>0</v>
      </c>
      <c r="D157"/>
      <c r="E157">
        <f t="shared" si="2"/>
        <v>0</v>
      </c>
    </row>
    <row r="158" spans="1:5" hidden="1" x14ac:dyDescent="0.3">
      <c r="E158" s="2">
        <f>SUM(E110:E155)</f>
        <v>45100000</v>
      </c>
    </row>
    <row r="159" spans="1:5" hidden="1" x14ac:dyDescent="0.3">
      <c r="E159" s="2">
        <f>E107+E158</f>
        <v>283480900</v>
      </c>
    </row>
  </sheetData>
  <autoFilter ref="A2:E159" xr:uid="{00000000-0009-0000-0000-000017000000}">
    <filterColumn colId="0">
      <filters>
        <filter val="Hạt Dẻ Ngố"/>
      </filters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2:E167"/>
  <sheetViews>
    <sheetView workbookViewId="0">
      <selection activeCell="G189" sqref="G189"/>
    </sheetView>
  </sheetViews>
  <sheetFormatPr defaultRowHeight="14.4" x14ac:dyDescent="0.3"/>
  <cols>
    <col min="1" max="1" width="28.77734375" customWidth="1"/>
    <col min="4" max="4" width="11.88671875" customWidth="1"/>
    <col min="5" max="5" width="18" customWidth="1"/>
  </cols>
  <sheetData>
    <row r="2" spans="1:5" x14ac:dyDescent="0.3">
      <c r="A2" t="s">
        <v>0</v>
      </c>
      <c r="B2" t="s">
        <v>1</v>
      </c>
      <c r="C2" s="1" t="s">
        <v>102</v>
      </c>
      <c r="D2" t="s">
        <v>100</v>
      </c>
      <c r="E2" t="s">
        <v>101</v>
      </c>
    </row>
    <row r="3" spans="1:5" hidden="1" x14ac:dyDescent="0.3">
      <c r="A3" t="s">
        <v>2</v>
      </c>
      <c r="B3" t="s">
        <v>3</v>
      </c>
      <c r="C3">
        <v>178</v>
      </c>
      <c r="D3">
        <v>13000</v>
      </c>
      <c r="E3">
        <f>C3*D3</f>
        <v>2314000</v>
      </c>
    </row>
    <row r="4" spans="1:5" hidden="1" x14ac:dyDescent="0.3">
      <c r="A4" t="s">
        <v>2</v>
      </c>
      <c r="B4" t="s">
        <v>4</v>
      </c>
      <c r="C4">
        <v>0</v>
      </c>
      <c r="E4">
        <f t="shared" ref="E4:E67" si="0">C4*D4</f>
        <v>0</v>
      </c>
    </row>
    <row r="5" spans="1:5" hidden="1" x14ac:dyDescent="0.3">
      <c r="A5" t="s">
        <v>5</v>
      </c>
      <c r="B5" t="s">
        <v>6</v>
      </c>
      <c r="C5">
        <v>0</v>
      </c>
      <c r="E5">
        <f t="shared" si="0"/>
        <v>0</v>
      </c>
    </row>
    <row r="6" spans="1:5" hidden="1" x14ac:dyDescent="0.3">
      <c r="A6" t="s">
        <v>7</v>
      </c>
      <c r="B6" t="s">
        <v>8</v>
      </c>
      <c r="C6">
        <v>0</v>
      </c>
      <c r="E6">
        <f t="shared" si="0"/>
        <v>0</v>
      </c>
    </row>
    <row r="7" spans="1:5" hidden="1" x14ac:dyDescent="0.3">
      <c r="A7" t="s">
        <v>7</v>
      </c>
      <c r="B7" t="s">
        <v>3</v>
      </c>
      <c r="C7">
        <v>0</v>
      </c>
      <c r="E7">
        <f t="shared" si="0"/>
        <v>0</v>
      </c>
    </row>
    <row r="8" spans="1:5" hidden="1" x14ac:dyDescent="0.3">
      <c r="A8" t="s">
        <v>9</v>
      </c>
      <c r="B8" t="s">
        <v>3</v>
      </c>
      <c r="C8">
        <v>40</v>
      </c>
      <c r="D8">
        <v>10000</v>
      </c>
      <c r="E8">
        <f t="shared" si="0"/>
        <v>400000</v>
      </c>
    </row>
    <row r="9" spans="1:5" hidden="1" x14ac:dyDescent="0.3">
      <c r="A9" t="s">
        <v>9</v>
      </c>
      <c r="B9" t="s">
        <v>4</v>
      </c>
      <c r="C9">
        <v>0</v>
      </c>
      <c r="E9">
        <f t="shared" si="0"/>
        <v>0</v>
      </c>
    </row>
    <row r="10" spans="1:5" hidden="1" x14ac:dyDescent="0.3">
      <c r="A10" t="s">
        <v>10</v>
      </c>
      <c r="B10" t="s">
        <v>3</v>
      </c>
      <c r="C10">
        <v>445</v>
      </c>
      <c r="D10">
        <v>19000</v>
      </c>
      <c r="E10">
        <f t="shared" si="0"/>
        <v>8455000</v>
      </c>
    </row>
    <row r="11" spans="1:5" hidden="1" x14ac:dyDescent="0.3">
      <c r="A11" t="s">
        <v>10</v>
      </c>
      <c r="B11" t="s">
        <v>11</v>
      </c>
      <c r="C11">
        <v>0</v>
      </c>
      <c r="E11">
        <f t="shared" si="0"/>
        <v>0</v>
      </c>
    </row>
    <row r="12" spans="1:5" hidden="1" x14ac:dyDescent="0.3">
      <c r="A12" t="s">
        <v>12</v>
      </c>
      <c r="B12" t="s">
        <v>4</v>
      </c>
      <c r="C12">
        <v>0</v>
      </c>
      <c r="E12">
        <f t="shared" si="0"/>
        <v>0</v>
      </c>
    </row>
    <row r="13" spans="1:5" hidden="1" x14ac:dyDescent="0.3">
      <c r="A13" t="s">
        <v>13</v>
      </c>
      <c r="B13" t="s">
        <v>3</v>
      </c>
      <c r="C13">
        <v>340</v>
      </c>
      <c r="D13">
        <v>30000</v>
      </c>
      <c r="E13">
        <f t="shared" si="0"/>
        <v>10200000</v>
      </c>
    </row>
    <row r="14" spans="1:5" hidden="1" x14ac:dyDescent="0.3">
      <c r="A14" t="s">
        <v>13</v>
      </c>
      <c r="B14" t="s">
        <v>4</v>
      </c>
      <c r="C14">
        <v>0</v>
      </c>
      <c r="E14">
        <f t="shared" si="0"/>
        <v>0</v>
      </c>
    </row>
    <row r="15" spans="1:5" hidden="1" x14ac:dyDescent="0.3">
      <c r="A15" t="s">
        <v>14</v>
      </c>
      <c r="B15" t="s">
        <v>3</v>
      </c>
      <c r="C15">
        <v>100</v>
      </c>
      <c r="D15">
        <v>17000</v>
      </c>
      <c r="E15">
        <f t="shared" si="0"/>
        <v>1700000</v>
      </c>
    </row>
    <row r="16" spans="1:5" hidden="1" x14ac:dyDescent="0.3">
      <c r="A16" t="s">
        <v>15</v>
      </c>
      <c r="B16" t="s">
        <v>3</v>
      </c>
      <c r="C16">
        <v>450</v>
      </c>
      <c r="D16">
        <v>18000</v>
      </c>
      <c r="E16">
        <f t="shared" si="0"/>
        <v>8100000</v>
      </c>
    </row>
    <row r="17" spans="1:5" hidden="1" x14ac:dyDescent="0.3">
      <c r="A17" t="s">
        <v>15</v>
      </c>
      <c r="B17" t="s">
        <v>4</v>
      </c>
      <c r="C17">
        <v>0</v>
      </c>
      <c r="E17">
        <f t="shared" si="0"/>
        <v>0</v>
      </c>
    </row>
    <row r="18" spans="1:5" hidden="1" x14ac:dyDescent="0.3">
      <c r="A18" t="s">
        <v>16</v>
      </c>
      <c r="B18" t="s">
        <v>6</v>
      </c>
      <c r="C18">
        <v>17</v>
      </c>
      <c r="D18">
        <v>8500</v>
      </c>
      <c r="E18">
        <f t="shared" si="0"/>
        <v>144500</v>
      </c>
    </row>
    <row r="19" spans="1:5" hidden="1" x14ac:dyDescent="0.3">
      <c r="A19" t="s">
        <v>17</v>
      </c>
      <c r="B19" t="s">
        <v>3</v>
      </c>
      <c r="C19">
        <v>130</v>
      </c>
      <c r="D19">
        <v>5000</v>
      </c>
      <c r="E19">
        <f t="shared" si="0"/>
        <v>650000</v>
      </c>
    </row>
    <row r="20" spans="1:5" hidden="1" x14ac:dyDescent="0.3">
      <c r="A20" t="s">
        <v>18</v>
      </c>
      <c r="B20" t="s">
        <v>3</v>
      </c>
      <c r="C20">
        <v>19</v>
      </c>
      <c r="D20">
        <v>35000</v>
      </c>
      <c r="E20">
        <f t="shared" si="0"/>
        <v>665000</v>
      </c>
    </row>
    <row r="21" spans="1:5" hidden="1" x14ac:dyDescent="0.3">
      <c r="A21" t="s">
        <v>18</v>
      </c>
      <c r="B21" t="s">
        <v>4</v>
      </c>
      <c r="C21">
        <v>0</v>
      </c>
      <c r="E21">
        <f t="shared" si="0"/>
        <v>0</v>
      </c>
    </row>
    <row r="22" spans="1:5" hidden="1" x14ac:dyDescent="0.3">
      <c r="A22" t="s">
        <v>19</v>
      </c>
      <c r="B22" t="s">
        <v>4</v>
      </c>
      <c r="C22">
        <v>14</v>
      </c>
      <c r="D22">
        <v>3900</v>
      </c>
      <c r="E22">
        <f t="shared" si="0"/>
        <v>54600</v>
      </c>
    </row>
    <row r="23" spans="1:5" hidden="1" x14ac:dyDescent="0.3">
      <c r="A23" t="s">
        <v>20</v>
      </c>
      <c r="B23" t="s">
        <v>3</v>
      </c>
      <c r="C23">
        <v>0</v>
      </c>
      <c r="E23">
        <f t="shared" si="0"/>
        <v>0</v>
      </c>
    </row>
    <row r="24" spans="1:5" hidden="1" x14ac:dyDescent="0.3">
      <c r="A24" t="s">
        <v>21</v>
      </c>
      <c r="B24" t="s">
        <v>22</v>
      </c>
      <c r="C24">
        <v>0</v>
      </c>
      <c r="E24">
        <f t="shared" si="0"/>
        <v>0</v>
      </c>
    </row>
    <row r="25" spans="1:5" hidden="1" x14ac:dyDescent="0.3">
      <c r="A25" t="s">
        <v>21</v>
      </c>
      <c r="B25" t="s">
        <v>3</v>
      </c>
      <c r="C25">
        <v>27</v>
      </c>
      <c r="D25">
        <v>10000</v>
      </c>
      <c r="E25">
        <f t="shared" si="0"/>
        <v>270000</v>
      </c>
    </row>
    <row r="26" spans="1:5" hidden="1" x14ac:dyDescent="0.3">
      <c r="A26" t="s">
        <v>23</v>
      </c>
      <c r="B26" t="s">
        <v>3</v>
      </c>
      <c r="C26">
        <v>0</v>
      </c>
      <c r="E26">
        <f t="shared" si="0"/>
        <v>0</v>
      </c>
    </row>
    <row r="27" spans="1:5" hidden="1" x14ac:dyDescent="0.3">
      <c r="A27" t="s">
        <v>24</v>
      </c>
      <c r="B27" t="s">
        <v>3</v>
      </c>
      <c r="C27">
        <v>330</v>
      </c>
      <c r="D27">
        <v>11500</v>
      </c>
      <c r="E27">
        <f t="shared" si="0"/>
        <v>3795000</v>
      </c>
    </row>
    <row r="28" spans="1:5" hidden="1" x14ac:dyDescent="0.3">
      <c r="A28" t="s">
        <v>25</v>
      </c>
      <c r="B28" t="s">
        <v>3</v>
      </c>
      <c r="C28">
        <v>155</v>
      </c>
      <c r="D28">
        <v>21000</v>
      </c>
      <c r="E28">
        <f t="shared" si="0"/>
        <v>3255000</v>
      </c>
    </row>
    <row r="29" spans="1:5" hidden="1" x14ac:dyDescent="0.3">
      <c r="A29" t="s">
        <v>25</v>
      </c>
      <c r="B29" t="s">
        <v>26</v>
      </c>
      <c r="C29">
        <v>0</v>
      </c>
      <c r="E29">
        <f t="shared" si="0"/>
        <v>0</v>
      </c>
    </row>
    <row r="30" spans="1:5" hidden="1" x14ac:dyDescent="0.3">
      <c r="A30" t="s">
        <v>27</v>
      </c>
      <c r="B30" t="s">
        <v>3</v>
      </c>
      <c r="C30">
        <v>5</v>
      </c>
      <c r="D30">
        <v>17000</v>
      </c>
      <c r="E30">
        <f t="shared" si="0"/>
        <v>85000</v>
      </c>
    </row>
    <row r="31" spans="1:5" hidden="1" x14ac:dyDescent="0.3">
      <c r="A31" t="s">
        <v>27</v>
      </c>
      <c r="B31" t="s">
        <v>26</v>
      </c>
      <c r="C31">
        <v>0</v>
      </c>
      <c r="E31">
        <f t="shared" si="0"/>
        <v>0</v>
      </c>
    </row>
    <row r="32" spans="1:5" hidden="1" x14ac:dyDescent="0.3">
      <c r="A32" t="s">
        <v>28</v>
      </c>
      <c r="B32" t="s">
        <v>3</v>
      </c>
      <c r="C32">
        <v>192</v>
      </c>
      <c r="D32">
        <v>18000</v>
      </c>
      <c r="E32">
        <f t="shared" si="0"/>
        <v>3456000</v>
      </c>
    </row>
    <row r="33" spans="1:5" hidden="1" x14ac:dyDescent="0.3">
      <c r="A33" t="s">
        <v>28</v>
      </c>
      <c r="B33" t="s">
        <v>6</v>
      </c>
      <c r="C33">
        <v>0</v>
      </c>
      <c r="E33">
        <f t="shared" si="0"/>
        <v>0</v>
      </c>
    </row>
    <row r="34" spans="1:5" hidden="1" x14ac:dyDescent="0.3">
      <c r="A34" t="s">
        <v>28</v>
      </c>
      <c r="B34" t="s">
        <v>29</v>
      </c>
      <c r="C34">
        <v>0</v>
      </c>
      <c r="E34">
        <f t="shared" si="0"/>
        <v>0</v>
      </c>
    </row>
    <row r="35" spans="1:5" hidden="1" x14ac:dyDescent="0.3">
      <c r="A35" t="s">
        <v>30</v>
      </c>
      <c r="B35" t="s">
        <v>3</v>
      </c>
      <c r="C35">
        <v>220</v>
      </c>
      <c r="D35">
        <v>14000</v>
      </c>
      <c r="E35">
        <f t="shared" si="0"/>
        <v>3080000</v>
      </c>
    </row>
    <row r="36" spans="1:5" hidden="1" x14ac:dyDescent="0.3">
      <c r="A36" t="s">
        <v>30</v>
      </c>
      <c r="B36" t="s">
        <v>6</v>
      </c>
      <c r="C36">
        <v>0</v>
      </c>
      <c r="E36">
        <f t="shared" si="0"/>
        <v>0</v>
      </c>
    </row>
    <row r="37" spans="1:5" hidden="1" x14ac:dyDescent="0.3">
      <c r="A37" t="s">
        <v>31</v>
      </c>
      <c r="B37" t="s">
        <v>4</v>
      </c>
      <c r="C37">
        <v>260</v>
      </c>
      <c r="D37">
        <v>7000</v>
      </c>
      <c r="E37">
        <f t="shared" si="0"/>
        <v>1820000</v>
      </c>
    </row>
    <row r="38" spans="1:5" hidden="1" x14ac:dyDescent="0.3">
      <c r="A38" t="s">
        <v>32</v>
      </c>
      <c r="B38" t="s">
        <v>3</v>
      </c>
      <c r="C38">
        <v>240</v>
      </c>
      <c r="D38">
        <v>9500</v>
      </c>
      <c r="E38">
        <f t="shared" si="0"/>
        <v>2280000</v>
      </c>
    </row>
    <row r="39" spans="1:5" hidden="1" x14ac:dyDescent="0.3">
      <c r="A39" t="s">
        <v>32</v>
      </c>
      <c r="B39" t="s">
        <v>6</v>
      </c>
      <c r="C39">
        <v>757</v>
      </c>
      <c r="D39">
        <v>9000</v>
      </c>
      <c r="E39">
        <f t="shared" si="0"/>
        <v>6813000</v>
      </c>
    </row>
    <row r="40" spans="1:5" hidden="1" x14ac:dyDescent="0.3">
      <c r="A40" t="s">
        <v>33</v>
      </c>
      <c r="B40" t="s">
        <v>3</v>
      </c>
      <c r="C40">
        <v>6</v>
      </c>
      <c r="D40">
        <v>15000</v>
      </c>
      <c r="E40">
        <f t="shared" si="0"/>
        <v>90000</v>
      </c>
    </row>
    <row r="41" spans="1:5" hidden="1" x14ac:dyDescent="0.3">
      <c r="A41" t="s">
        <v>34</v>
      </c>
      <c r="B41" t="s">
        <v>3</v>
      </c>
      <c r="C41">
        <v>155</v>
      </c>
      <c r="D41">
        <v>35000</v>
      </c>
      <c r="E41">
        <f t="shared" si="0"/>
        <v>5425000</v>
      </c>
    </row>
    <row r="42" spans="1:5" hidden="1" x14ac:dyDescent="0.3">
      <c r="A42" t="s">
        <v>34</v>
      </c>
      <c r="B42" t="s">
        <v>26</v>
      </c>
      <c r="C42">
        <v>0</v>
      </c>
      <c r="E42">
        <f t="shared" si="0"/>
        <v>0</v>
      </c>
    </row>
    <row r="43" spans="1:5" hidden="1" x14ac:dyDescent="0.3">
      <c r="A43" t="s">
        <v>35</v>
      </c>
      <c r="B43" t="s">
        <v>3</v>
      </c>
      <c r="C43">
        <v>92</v>
      </c>
      <c r="D43">
        <v>40000</v>
      </c>
      <c r="E43">
        <f t="shared" si="0"/>
        <v>3680000</v>
      </c>
    </row>
    <row r="44" spans="1:5" hidden="1" x14ac:dyDescent="0.3">
      <c r="A44" t="s">
        <v>35</v>
      </c>
      <c r="B44" t="s">
        <v>26</v>
      </c>
      <c r="C44">
        <v>0</v>
      </c>
      <c r="E44">
        <f t="shared" si="0"/>
        <v>0</v>
      </c>
    </row>
    <row r="45" spans="1:5" hidden="1" x14ac:dyDescent="0.3">
      <c r="A45" t="s">
        <v>36</v>
      </c>
      <c r="B45" t="s">
        <v>3</v>
      </c>
      <c r="C45">
        <v>8</v>
      </c>
      <c r="D45">
        <v>30000</v>
      </c>
      <c r="E45">
        <f t="shared" si="0"/>
        <v>240000</v>
      </c>
    </row>
    <row r="46" spans="1:5" hidden="1" x14ac:dyDescent="0.3">
      <c r="A46" t="s">
        <v>36</v>
      </c>
      <c r="B46" t="s">
        <v>26</v>
      </c>
      <c r="C46">
        <v>0</v>
      </c>
      <c r="E46">
        <f t="shared" si="0"/>
        <v>0</v>
      </c>
    </row>
    <row r="47" spans="1:5" hidden="1" x14ac:dyDescent="0.3">
      <c r="A47" t="s">
        <v>37</v>
      </c>
      <c r="B47" t="s">
        <v>3</v>
      </c>
      <c r="C47">
        <v>0</v>
      </c>
      <c r="E47">
        <f t="shared" si="0"/>
        <v>0</v>
      </c>
    </row>
    <row r="48" spans="1:5" hidden="1" x14ac:dyDescent="0.3">
      <c r="A48" t="s">
        <v>38</v>
      </c>
      <c r="B48" t="s">
        <v>6</v>
      </c>
      <c r="C48">
        <v>0</v>
      </c>
      <c r="E48">
        <f t="shared" si="0"/>
        <v>0</v>
      </c>
    </row>
    <row r="49" spans="1:5" hidden="1" x14ac:dyDescent="0.3">
      <c r="A49" t="s">
        <v>39</v>
      </c>
      <c r="B49" t="s">
        <v>3</v>
      </c>
      <c r="C49">
        <v>210</v>
      </c>
      <c r="D49">
        <v>30000</v>
      </c>
      <c r="E49">
        <f t="shared" si="0"/>
        <v>6300000</v>
      </c>
    </row>
    <row r="50" spans="1:5" hidden="1" x14ac:dyDescent="0.3">
      <c r="A50" t="s">
        <v>40</v>
      </c>
      <c r="B50" t="s">
        <v>3</v>
      </c>
      <c r="C50">
        <v>0</v>
      </c>
      <c r="E50">
        <f t="shared" si="0"/>
        <v>0</v>
      </c>
    </row>
    <row r="51" spans="1:5" hidden="1" x14ac:dyDescent="0.3">
      <c r="A51" t="s">
        <v>40</v>
      </c>
      <c r="B51" t="s">
        <v>41</v>
      </c>
      <c r="C51">
        <v>125</v>
      </c>
      <c r="D51">
        <v>8400</v>
      </c>
      <c r="E51">
        <f t="shared" si="0"/>
        <v>1050000</v>
      </c>
    </row>
    <row r="52" spans="1:5" hidden="1" x14ac:dyDescent="0.3">
      <c r="A52" t="s">
        <v>42</v>
      </c>
      <c r="B52" t="s">
        <v>3</v>
      </c>
      <c r="C52">
        <v>0</v>
      </c>
      <c r="E52">
        <f t="shared" si="0"/>
        <v>0</v>
      </c>
    </row>
    <row r="53" spans="1:5" x14ac:dyDescent="0.3">
      <c r="A53" t="s">
        <v>43</v>
      </c>
      <c r="B53" t="s">
        <v>3</v>
      </c>
      <c r="C53">
        <v>0</v>
      </c>
      <c r="E53">
        <f t="shared" si="0"/>
        <v>0</v>
      </c>
    </row>
    <row r="54" spans="1:5" hidden="1" x14ac:dyDescent="0.3">
      <c r="A54" t="s">
        <v>44</v>
      </c>
      <c r="B54" t="s">
        <v>3</v>
      </c>
      <c r="C54">
        <v>16</v>
      </c>
      <c r="D54">
        <v>36000</v>
      </c>
      <c r="E54">
        <f t="shared" si="0"/>
        <v>576000</v>
      </c>
    </row>
    <row r="55" spans="1:5" hidden="1" x14ac:dyDescent="0.3">
      <c r="A55" t="s">
        <v>45</v>
      </c>
      <c r="B55" t="s">
        <v>3</v>
      </c>
      <c r="C55">
        <v>1205</v>
      </c>
      <c r="D55">
        <v>7500</v>
      </c>
      <c r="E55">
        <f t="shared" si="0"/>
        <v>9037500</v>
      </c>
    </row>
    <row r="56" spans="1:5" hidden="1" x14ac:dyDescent="0.3">
      <c r="A56" t="s">
        <v>46</v>
      </c>
      <c r="B56" t="s">
        <v>3</v>
      </c>
      <c r="C56">
        <v>0</v>
      </c>
      <c r="E56">
        <f t="shared" si="0"/>
        <v>0</v>
      </c>
    </row>
    <row r="57" spans="1:5" hidden="1" x14ac:dyDescent="0.3">
      <c r="A57" t="s">
        <v>47</v>
      </c>
      <c r="B57" t="s">
        <v>3</v>
      </c>
      <c r="C57">
        <v>0</v>
      </c>
      <c r="E57">
        <f t="shared" si="0"/>
        <v>0</v>
      </c>
    </row>
    <row r="58" spans="1:5" hidden="1" x14ac:dyDescent="0.3">
      <c r="A58" t="s">
        <v>48</v>
      </c>
      <c r="B58" t="s">
        <v>3</v>
      </c>
      <c r="C58">
        <v>25</v>
      </c>
      <c r="D58">
        <v>16000</v>
      </c>
      <c r="E58">
        <f t="shared" si="0"/>
        <v>400000</v>
      </c>
    </row>
    <row r="59" spans="1:5" hidden="1" x14ac:dyDescent="0.3">
      <c r="A59" t="s">
        <v>48</v>
      </c>
      <c r="B59" t="s">
        <v>49</v>
      </c>
      <c r="C59">
        <v>0</v>
      </c>
      <c r="E59">
        <f t="shared" si="0"/>
        <v>0</v>
      </c>
    </row>
    <row r="60" spans="1:5" hidden="1" x14ac:dyDescent="0.3">
      <c r="A60" t="s">
        <v>50</v>
      </c>
      <c r="B60" t="s">
        <v>8</v>
      </c>
      <c r="C60">
        <v>42</v>
      </c>
      <c r="D60">
        <v>14400</v>
      </c>
      <c r="E60">
        <f t="shared" si="0"/>
        <v>604800</v>
      </c>
    </row>
    <row r="61" spans="1:5" hidden="1" x14ac:dyDescent="0.3">
      <c r="A61" t="s">
        <v>51</v>
      </c>
      <c r="B61" t="s">
        <v>3</v>
      </c>
      <c r="C61">
        <v>0</v>
      </c>
      <c r="E61">
        <f t="shared" si="0"/>
        <v>0</v>
      </c>
    </row>
    <row r="62" spans="1:5" hidden="1" x14ac:dyDescent="0.3">
      <c r="A62" t="s">
        <v>51</v>
      </c>
      <c r="B62" t="s">
        <v>52</v>
      </c>
      <c r="C62">
        <v>449</v>
      </c>
      <c r="D62">
        <v>10000</v>
      </c>
      <c r="E62">
        <f t="shared" si="0"/>
        <v>4490000</v>
      </c>
    </row>
    <row r="63" spans="1:5" hidden="1" x14ac:dyDescent="0.3">
      <c r="A63" t="s">
        <v>53</v>
      </c>
      <c r="B63" t="s">
        <v>3</v>
      </c>
      <c r="C63">
        <v>55</v>
      </c>
      <c r="D63">
        <v>16000</v>
      </c>
      <c r="E63">
        <f t="shared" si="0"/>
        <v>880000</v>
      </c>
    </row>
    <row r="64" spans="1:5" hidden="1" x14ac:dyDescent="0.3">
      <c r="A64" t="s">
        <v>53</v>
      </c>
      <c r="B64" t="s">
        <v>54</v>
      </c>
      <c r="C64">
        <v>0</v>
      </c>
      <c r="E64">
        <f t="shared" si="0"/>
        <v>0</v>
      </c>
    </row>
    <row r="65" spans="1:5" hidden="1" x14ac:dyDescent="0.3">
      <c r="A65" t="s">
        <v>55</v>
      </c>
      <c r="B65" t="s">
        <v>3</v>
      </c>
      <c r="C65">
        <v>0</v>
      </c>
      <c r="E65">
        <f t="shared" si="0"/>
        <v>0</v>
      </c>
    </row>
    <row r="66" spans="1:5" hidden="1" x14ac:dyDescent="0.3">
      <c r="A66" t="s">
        <v>55</v>
      </c>
      <c r="B66" t="s">
        <v>4</v>
      </c>
      <c r="C66">
        <v>20</v>
      </c>
      <c r="D66">
        <v>4500</v>
      </c>
      <c r="E66">
        <f t="shared" si="0"/>
        <v>90000</v>
      </c>
    </row>
    <row r="67" spans="1:5" hidden="1" x14ac:dyDescent="0.3">
      <c r="A67" t="s">
        <v>56</v>
      </c>
      <c r="B67" t="s">
        <v>3</v>
      </c>
      <c r="C67">
        <v>25</v>
      </c>
      <c r="D67">
        <v>14000</v>
      </c>
      <c r="E67">
        <f t="shared" si="0"/>
        <v>350000</v>
      </c>
    </row>
    <row r="68" spans="1:5" hidden="1" x14ac:dyDescent="0.3">
      <c r="A68" t="s">
        <v>57</v>
      </c>
      <c r="B68" t="s">
        <v>3</v>
      </c>
      <c r="C68">
        <v>60</v>
      </c>
      <c r="D68">
        <v>5500</v>
      </c>
      <c r="E68">
        <f t="shared" ref="E68:E133" si="1">C68*D68</f>
        <v>330000</v>
      </c>
    </row>
    <row r="69" spans="1:5" hidden="1" x14ac:dyDescent="0.3">
      <c r="A69" t="s">
        <v>58</v>
      </c>
      <c r="B69" t="s">
        <v>3</v>
      </c>
      <c r="C69">
        <v>5</v>
      </c>
      <c r="D69">
        <v>23000</v>
      </c>
      <c r="E69">
        <f t="shared" si="1"/>
        <v>115000</v>
      </c>
    </row>
    <row r="70" spans="1:5" hidden="1" x14ac:dyDescent="0.3">
      <c r="A70" t="s">
        <v>59</v>
      </c>
      <c r="B70" t="s">
        <v>3</v>
      </c>
      <c r="C70">
        <v>38</v>
      </c>
      <c r="D70">
        <v>13000</v>
      </c>
      <c r="E70">
        <f t="shared" si="1"/>
        <v>494000</v>
      </c>
    </row>
    <row r="71" spans="1:5" hidden="1" x14ac:dyDescent="0.3">
      <c r="A71" t="s">
        <v>60</v>
      </c>
      <c r="B71" t="s">
        <v>4</v>
      </c>
      <c r="C71">
        <v>19</v>
      </c>
      <c r="D71">
        <v>11000</v>
      </c>
      <c r="E71">
        <f t="shared" si="1"/>
        <v>209000</v>
      </c>
    </row>
    <row r="72" spans="1:5" hidden="1" x14ac:dyDescent="0.3">
      <c r="A72" t="s">
        <v>61</v>
      </c>
      <c r="B72" t="s">
        <v>3</v>
      </c>
      <c r="C72">
        <v>0</v>
      </c>
      <c r="E72">
        <f t="shared" si="1"/>
        <v>0</v>
      </c>
    </row>
    <row r="73" spans="1:5" hidden="1" x14ac:dyDescent="0.3">
      <c r="A73" t="s">
        <v>61</v>
      </c>
      <c r="B73" t="s">
        <v>62</v>
      </c>
      <c r="C73">
        <v>15</v>
      </c>
      <c r="D73">
        <v>14000</v>
      </c>
      <c r="E73">
        <f t="shared" si="1"/>
        <v>210000</v>
      </c>
    </row>
    <row r="74" spans="1:5" hidden="1" x14ac:dyDescent="0.3">
      <c r="A74" t="s">
        <v>63</v>
      </c>
      <c r="B74" t="s">
        <v>3</v>
      </c>
      <c r="C74">
        <v>0.5</v>
      </c>
      <c r="D74">
        <v>80000</v>
      </c>
      <c r="E74">
        <f t="shared" si="1"/>
        <v>40000</v>
      </c>
    </row>
    <row r="75" spans="1:5" hidden="1" x14ac:dyDescent="0.3">
      <c r="A75" t="s">
        <v>64</v>
      </c>
      <c r="B75" t="s">
        <v>3</v>
      </c>
      <c r="C75">
        <v>1.5</v>
      </c>
      <c r="D75">
        <v>70000</v>
      </c>
      <c r="E75">
        <f t="shared" si="1"/>
        <v>105000</v>
      </c>
    </row>
    <row r="76" spans="1:5" hidden="1" x14ac:dyDescent="0.3">
      <c r="A76" t="s">
        <v>65</v>
      </c>
      <c r="B76" t="s">
        <v>3</v>
      </c>
      <c r="C76">
        <v>1.5</v>
      </c>
      <c r="D76">
        <v>70000</v>
      </c>
      <c r="E76">
        <f t="shared" si="1"/>
        <v>105000</v>
      </c>
    </row>
    <row r="77" spans="1:5" hidden="1" x14ac:dyDescent="0.3">
      <c r="A77" t="s">
        <v>66</v>
      </c>
      <c r="B77" t="s">
        <v>22</v>
      </c>
      <c r="C77">
        <v>0</v>
      </c>
      <c r="E77">
        <f t="shared" si="1"/>
        <v>0</v>
      </c>
    </row>
    <row r="78" spans="1:5" hidden="1" x14ac:dyDescent="0.3">
      <c r="A78" t="s">
        <v>66</v>
      </c>
      <c r="B78" t="s">
        <v>3</v>
      </c>
      <c r="C78">
        <v>7</v>
      </c>
      <c r="D78">
        <v>17000</v>
      </c>
      <c r="E78">
        <f t="shared" si="1"/>
        <v>119000</v>
      </c>
    </row>
    <row r="79" spans="1:5" hidden="1" x14ac:dyDescent="0.3">
      <c r="A79" t="s">
        <v>67</v>
      </c>
      <c r="B79" t="s">
        <v>3</v>
      </c>
      <c r="C79">
        <v>0</v>
      </c>
      <c r="E79">
        <f t="shared" si="1"/>
        <v>0</v>
      </c>
    </row>
    <row r="80" spans="1:5" hidden="1" x14ac:dyDescent="0.3">
      <c r="A80" t="s">
        <v>68</v>
      </c>
      <c r="B80" t="s">
        <v>4</v>
      </c>
      <c r="C80">
        <v>0</v>
      </c>
      <c r="E80">
        <f t="shared" si="1"/>
        <v>0</v>
      </c>
    </row>
    <row r="81" spans="1:5" hidden="1" x14ac:dyDescent="0.3">
      <c r="A81" t="s">
        <v>69</v>
      </c>
      <c r="B81" t="s">
        <v>3</v>
      </c>
      <c r="C81">
        <v>13</v>
      </c>
      <c r="D81">
        <v>14000</v>
      </c>
      <c r="E81">
        <f t="shared" si="1"/>
        <v>182000</v>
      </c>
    </row>
    <row r="82" spans="1:5" hidden="1" x14ac:dyDescent="0.3">
      <c r="A82" t="s">
        <v>70</v>
      </c>
      <c r="B82" t="s">
        <v>8</v>
      </c>
      <c r="C82">
        <v>0</v>
      </c>
      <c r="E82">
        <f t="shared" si="1"/>
        <v>0</v>
      </c>
    </row>
    <row r="83" spans="1:5" hidden="1" x14ac:dyDescent="0.3">
      <c r="A83" t="s">
        <v>70</v>
      </c>
      <c r="B83" t="s">
        <v>3</v>
      </c>
      <c r="C83">
        <v>10</v>
      </c>
      <c r="D83">
        <v>44000</v>
      </c>
      <c r="E83">
        <f t="shared" si="1"/>
        <v>440000</v>
      </c>
    </row>
    <row r="84" spans="1:5" hidden="1" x14ac:dyDescent="0.3">
      <c r="A84" t="s">
        <v>71</v>
      </c>
      <c r="B84" t="s">
        <v>3</v>
      </c>
      <c r="C84">
        <v>40</v>
      </c>
      <c r="D84">
        <v>60000</v>
      </c>
      <c r="E84">
        <f t="shared" si="1"/>
        <v>2400000</v>
      </c>
    </row>
    <row r="85" spans="1:5" hidden="1" x14ac:dyDescent="0.3">
      <c r="A85" t="s">
        <v>71</v>
      </c>
      <c r="B85" t="s">
        <v>4</v>
      </c>
      <c r="C85">
        <v>82</v>
      </c>
      <c r="D85">
        <v>22000</v>
      </c>
      <c r="E85">
        <f t="shared" si="1"/>
        <v>1804000</v>
      </c>
    </row>
    <row r="86" spans="1:5" hidden="1" x14ac:dyDescent="0.3">
      <c r="A86" t="s">
        <v>72</v>
      </c>
      <c r="B86" t="s">
        <v>3</v>
      </c>
      <c r="C86">
        <v>207</v>
      </c>
      <c r="D86">
        <v>16000</v>
      </c>
      <c r="E86">
        <f t="shared" si="1"/>
        <v>3312000</v>
      </c>
    </row>
    <row r="87" spans="1:5" hidden="1" x14ac:dyDescent="0.3">
      <c r="A87" t="s">
        <v>73</v>
      </c>
      <c r="B87" t="s">
        <v>3</v>
      </c>
      <c r="C87">
        <v>0</v>
      </c>
      <c r="E87">
        <f t="shared" si="1"/>
        <v>0</v>
      </c>
    </row>
    <row r="88" spans="1:5" hidden="1" x14ac:dyDescent="0.3">
      <c r="A88" t="s">
        <v>74</v>
      </c>
      <c r="B88" t="s">
        <v>3</v>
      </c>
      <c r="C88">
        <v>0</v>
      </c>
      <c r="E88">
        <f t="shared" si="1"/>
        <v>0</v>
      </c>
    </row>
    <row r="89" spans="1:5" hidden="1" x14ac:dyDescent="0.3">
      <c r="A89" t="s">
        <v>75</v>
      </c>
      <c r="B89" t="s">
        <v>3</v>
      </c>
      <c r="C89">
        <v>0</v>
      </c>
      <c r="E89">
        <f t="shared" si="1"/>
        <v>0</v>
      </c>
    </row>
    <row r="90" spans="1:5" hidden="1" x14ac:dyDescent="0.3">
      <c r="A90" t="s">
        <v>76</v>
      </c>
      <c r="B90" t="s">
        <v>3</v>
      </c>
      <c r="C90">
        <v>0</v>
      </c>
      <c r="E90">
        <f t="shared" si="1"/>
        <v>0</v>
      </c>
    </row>
    <row r="91" spans="1:5" hidden="1" x14ac:dyDescent="0.3">
      <c r="A91" t="s">
        <v>81</v>
      </c>
      <c r="B91" t="s">
        <v>3</v>
      </c>
      <c r="C91">
        <v>0</v>
      </c>
      <c r="E91">
        <f t="shared" si="1"/>
        <v>0</v>
      </c>
    </row>
    <row r="92" spans="1:5" hidden="1" x14ac:dyDescent="0.3">
      <c r="A92" t="s">
        <v>106</v>
      </c>
      <c r="B92" t="s">
        <v>3</v>
      </c>
      <c r="C92">
        <v>10</v>
      </c>
      <c r="D92">
        <v>20000</v>
      </c>
      <c r="E92">
        <f t="shared" si="1"/>
        <v>200000</v>
      </c>
    </row>
    <row r="93" spans="1:5" hidden="1" x14ac:dyDescent="0.3">
      <c r="A93" t="s">
        <v>89</v>
      </c>
      <c r="B93" t="s">
        <v>3</v>
      </c>
      <c r="C93">
        <v>0</v>
      </c>
      <c r="E93">
        <f t="shared" si="1"/>
        <v>0</v>
      </c>
    </row>
    <row r="94" spans="1:5" hidden="1" x14ac:dyDescent="0.3">
      <c r="A94" t="s">
        <v>89</v>
      </c>
      <c r="B94" t="s">
        <v>4</v>
      </c>
      <c r="C94">
        <v>0</v>
      </c>
      <c r="E94">
        <f t="shared" si="1"/>
        <v>0</v>
      </c>
    </row>
    <row r="95" spans="1:5" hidden="1" x14ac:dyDescent="0.3">
      <c r="A95" t="s">
        <v>78</v>
      </c>
      <c r="B95" t="s">
        <v>3</v>
      </c>
      <c r="C95">
        <v>0</v>
      </c>
      <c r="E95">
        <f t="shared" si="1"/>
        <v>0</v>
      </c>
    </row>
    <row r="96" spans="1:5" hidden="1" x14ac:dyDescent="0.3">
      <c r="A96" t="s">
        <v>80</v>
      </c>
      <c r="B96" t="s">
        <v>3</v>
      </c>
      <c r="C96">
        <v>0</v>
      </c>
      <c r="E96">
        <f t="shared" si="1"/>
        <v>0</v>
      </c>
    </row>
    <row r="97" spans="1:5" hidden="1" x14ac:dyDescent="0.3">
      <c r="A97" t="s">
        <v>105</v>
      </c>
      <c r="B97" t="s">
        <v>3</v>
      </c>
      <c r="C97">
        <v>0</v>
      </c>
      <c r="E97">
        <f t="shared" si="1"/>
        <v>0</v>
      </c>
    </row>
    <row r="98" spans="1:5" hidden="1" x14ac:dyDescent="0.3">
      <c r="A98" t="s">
        <v>83</v>
      </c>
      <c r="B98" t="s">
        <v>4</v>
      </c>
      <c r="C98">
        <v>0</v>
      </c>
      <c r="E98">
        <f t="shared" si="1"/>
        <v>0</v>
      </c>
    </row>
    <row r="99" spans="1:5" hidden="1" x14ac:dyDescent="0.3">
      <c r="A99" t="s">
        <v>84</v>
      </c>
      <c r="B99" t="s">
        <v>22</v>
      </c>
      <c r="C99">
        <v>0</v>
      </c>
      <c r="E99">
        <f t="shared" si="1"/>
        <v>0</v>
      </c>
    </row>
    <row r="100" spans="1:5" hidden="1" x14ac:dyDescent="0.3">
      <c r="A100" t="s">
        <v>85</v>
      </c>
      <c r="B100" t="s">
        <v>22</v>
      </c>
      <c r="C100">
        <v>0</v>
      </c>
      <c r="E100">
        <f t="shared" si="1"/>
        <v>0</v>
      </c>
    </row>
    <row r="101" spans="1:5" hidden="1" x14ac:dyDescent="0.3">
      <c r="A101" t="s">
        <v>82</v>
      </c>
      <c r="B101" t="s">
        <v>3</v>
      </c>
      <c r="C101">
        <v>19</v>
      </c>
      <c r="D101">
        <v>38000</v>
      </c>
      <c r="E101">
        <f t="shared" si="1"/>
        <v>722000</v>
      </c>
    </row>
    <row r="102" spans="1:5" hidden="1" x14ac:dyDescent="0.3">
      <c r="A102" t="s">
        <v>86</v>
      </c>
      <c r="B102" t="s">
        <v>22</v>
      </c>
      <c r="C102">
        <v>0</v>
      </c>
      <c r="E102">
        <f t="shared" si="1"/>
        <v>0</v>
      </c>
    </row>
    <row r="103" spans="1:5" hidden="1" x14ac:dyDescent="0.3">
      <c r="A103" t="s">
        <v>87</v>
      </c>
      <c r="B103" t="s">
        <v>4</v>
      </c>
      <c r="C103">
        <v>90</v>
      </c>
      <c r="D103">
        <v>8000</v>
      </c>
      <c r="E103">
        <f t="shared" si="1"/>
        <v>720000</v>
      </c>
    </row>
    <row r="104" spans="1:5" hidden="1" x14ac:dyDescent="0.3">
      <c r="A104" t="s">
        <v>88</v>
      </c>
      <c r="B104" t="s">
        <v>3</v>
      </c>
      <c r="C104">
        <v>2041</v>
      </c>
      <c r="D104">
        <v>28000</v>
      </c>
      <c r="E104">
        <f t="shared" si="1"/>
        <v>57148000</v>
      </c>
    </row>
    <row r="105" spans="1:5" hidden="1" x14ac:dyDescent="0.3">
      <c r="A105" t="s">
        <v>117</v>
      </c>
      <c r="B105" t="s">
        <v>8</v>
      </c>
      <c r="C105">
        <v>0</v>
      </c>
      <c r="E105">
        <f t="shared" si="1"/>
        <v>0</v>
      </c>
    </row>
    <row r="106" spans="1:5" hidden="1" x14ac:dyDescent="0.3">
      <c r="A106" t="s">
        <v>111</v>
      </c>
      <c r="B106" t="s">
        <v>3</v>
      </c>
      <c r="C106">
        <v>0</v>
      </c>
      <c r="E106">
        <f t="shared" si="1"/>
        <v>0</v>
      </c>
    </row>
    <row r="107" spans="1:5" hidden="1" x14ac:dyDescent="0.3">
      <c r="A107" t="s">
        <v>112</v>
      </c>
      <c r="B107" t="s">
        <v>3</v>
      </c>
      <c r="C107">
        <v>0</v>
      </c>
      <c r="E107">
        <f t="shared" si="1"/>
        <v>0</v>
      </c>
    </row>
    <row r="108" spans="1:5" hidden="1" x14ac:dyDescent="0.3">
      <c r="A108" t="s">
        <v>91</v>
      </c>
      <c r="B108" t="s">
        <v>3</v>
      </c>
      <c r="C108">
        <v>0</v>
      </c>
      <c r="E108">
        <f t="shared" si="1"/>
        <v>0</v>
      </c>
    </row>
    <row r="109" spans="1:5" hidden="1" x14ac:dyDescent="0.3">
      <c r="A109" t="s">
        <v>123</v>
      </c>
      <c r="B109" t="s">
        <v>3</v>
      </c>
      <c r="C109">
        <v>0</v>
      </c>
      <c r="E109">
        <f t="shared" si="1"/>
        <v>0</v>
      </c>
    </row>
    <row r="110" spans="1:5" hidden="1" x14ac:dyDescent="0.3">
      <c r="A110" t="s">
        <v>92</v>
      </c>
      <c r="B110" t="s">
        <v>3</v>
      </c>
      <c r="C110">
        <v>0</v>
      </c>
      <c r="E110">
        <f t="shared" si="1"/>
        <v>0</v>
      </c>
    </row>
    <row r="111" spans="1:5" hidden="1" x14ac:dyDescent="0.3">
      <c r="A111" t="s">
        <v>93</v>
      </c>
      <c r="B111" t="s">
        <v>3</v>
      </c>
      <c r="C111">
        <v>0</v>
      </c>
      <c r="E111">
        <f t="shared" si="1"/>
        <v>0</v>
      </c>
    </row>
    <row r="112" spans="1:5" hidden="1" x14ac:dyDescent="0.3">
      <c r="A112" t="s">
        <v>133</v>
      </c>
      <c r="B112" t="s">
        <v>3</v>
      </c>
      <c r="C112">
        <v>320</v>
      </c>
      <c r="D112">
        <v>17000</v>
      </c>
      <c r="E112">
        <f t="shared" si="1"/>
        <v>5440000</v>
      </c>
    </row>
    <row r="113" spans="1:5" x14ac:dyDescent="0.3">
      <c r="A113" t="s">
        <v>172</v>
      </c>
      <c r="B113" t="s">
        <v>3</v>
      </c>
      <c r="C113">
        <v>1760</v>
      </c>
      <c r="D113">
        <v>27600</v>
      </c>
      <c r="E113">
        <f t="shared" si="1"/>
        <v>48576000</v>
      </c>
    </row>
    <row r="114" spans="1:5" hidden="1" x14ac:dyDescent="0.3">
      <c r="A114" t="s">
        <v>150</v>
      </c>
      <c r="B114" t="s">
        <v>26</v>
      </c>
      <c r="C114">
        <v>825</v>
      </c>
      <c r="D114">
        <v>17000</v>
      </c>
      <c r="E114">
        <f t="shared" si="1"/>
        <v>14025000</v>
      </c>
    </row>
    <row r="115" spans="1:5" hidden="1" x14ac:dyDescent="0.3">
      <c r="E115">
        <f>SUM(E3:E114)</f>
        <v>227446400</v>
      </c>
    </row>
    <row r="116" spans="1:5" hidden="1" x14ac:dyDescent="0.3">
      <c r="A116" t="s">
        <v>103</v>
      </c>
    </row>
    <row r="117" spans="1:5" hidden="1" x14ac:dyDescent="0.3">
      <c r="A117" t="s">
        <v>0</v>
      </c>
      <c r="B117" t="s">
        <v>1</v>
      </c>
      <c r="C117" t="s">
        <v>102</v>
      </c>
      <c r="D117" t="s">
        <v>100</v>
      </c>
      <c r="E117" t="s">
        <v>101</v>
      </c>
    </row>
    <row r="118" spans="1:5" hidden="1" x14ac:dyDescent="0.3">
      <c r="A118" t="s">
        <v>2</v>
      </c>
      <c r="B118" t="s">
        <v>3</v>
      </c>
      <c r="C118">
        <v>0</v>
      </c>
      <c r="E118">
        <f t="shared" si="1"/>
        <v>0</v>
      </c>
    </row>
    <row r="119" spans="1:5" hidden="1" x14ac:dyDescent="0.3">
      <c r="A119" t="s">
        <v>107</v>
      </c>
      <c r="B119" t="s">
        <v>6</v>
      </c>
      <c r="C119">
        <v>0</v>
      </c>
      <c r="E119">
        <f t="shared" si="1"/>
        <v>0</v>
      </c>
    </row>
    <row r="120" spans="1:5" hidden="1" x14ac:dyDescent="0.3">
      <c r="A120" t="s">
        <v>57</v>
      </c>
      <c r="B120" t="s">
        <v>3</v>
      </c>
      <c r="C120">
        <v>70</v>
      </c>
      <c r="D120">
        <v>5500</v>
      </c>
      <c r="E120">
        <f t="shared" si="1"/>
        <v>385000</v>
      </c>
    </row>
    <row r="121" spans="1:5" hidden="1" x14ac:dyDescent="0.3">
      <c r="A121" t="s">
        <v>9</v>
      </c>
      <c r="B121" t="s">
        <v>3</v>
      </c>
      <c r="C121">
        <v>50</v>
      </c>
      <c r="D121">
        <v>10000</v>
      </c>
      <c r="E121">
        <f t="shared" si="1"/>
        <v>500000</v>
      </c>
    </row>
    <row r="122" spans="1:5" hidden="1" x14ac:dyDescent="0.3">
      <c r="A122" t="s">
        <v>10</v>
      </c>
      <c r="B122" t="s">
        <v>3</v>
      </c>
      <c r="C122">
        <v>0</v>
      </c>
      <c r="E122">
        <f t="shared" si="1"/>
        <v>0</v>
      </c>
    </row>
    <row r="123" spans="1:5" hidden="1" x14ac:dyDescent="0.3">
      <c r="A123" t="s">
        <v>13</v>
      </c>
      <c r="B123" t="s">
        <v>4</v>
      </c>
      <c r="C123">
        <v>0</v>
      </c>
      <c r="E123">
        <f t="shared" si="1"/>
        <v>0</v>
      </c>
    </row>
    <row r="124" spans="1:5" hidden="1" x14ac:dyDescent="0.3">
      <c r="A124" t="s">
        <v>14</v>
      </c>
      <c r="B124" t="s">
        <v>3</v>
      </c>
      <c r="C124">
        <v>0</v>
      </c>
      <c r="E124">
        <f t="shared" si="1"/>
        <v>0</v>
      </c>
    </row>
    <row r="125" spans="1:5" hidden="1" x14ac:dyDescent="0.3">
      <c r="A125" t="s">
        <v>89</v>
      </c>
      <c r="B125" t="s">
        <v>4</v>
      </c>
      <c r="C125">
        <v>0</v>
      </c>
      <c r="E125">
        <f t="shared" si="1"/>
        <v>0</v>
      </c>
    </row>
    <row r="126" spans="1:5" hidden="1" x14ac:dyDescent="0.3">
      <c r="A126" t="s">
        <v>15</v>
      </c>
      <c r="B126" t="s">
        <v>3</v>
      </c>
      <c r="C126">
        <v>100</v>
      </c>
      <c r="D126">
        <v>18000</v>
      </c>
      <c r="E126">
        <f t="shared" si="1"/>
        <v>1800000</v>
      </c>
    </row>
    <row r="127" spans="1:5" hidden="1" x14ac:dyDescent="0.3">
      <c r="A127" t="s">
        <v>59</v>
      </c>
      <c r="B127" t="s">
        <v>3</v>
      </c>
      <c r="C127">
        <v>35</v>
      </c>
      <c r="D127">
        <v>13000</v>
      </c>
      <c r="E127">
        <f t="shared" si="1"/>
        <v>455000</v>
      </c>
    </row>
    <row r="128" spans="1:5" hidden="1" x14ac:dyDescent="0.3">
      <c r="A128" t="s">
        <v>46</v>
      </c>
      <c r="B128" t="s">
        <v>3</v>
      </c>
      <c r="C128">
        <v>0</v>
      </c>
      <c r="E128">
        <f t="shared" si="1"/>
        <v>0</v>
      </c>
    </row>
    <row r="129" spans="1:5" hidden="1" x14ac:dyDescent="0.3">
      <c r="A129" t="s">
        <v>94</v>
      </c>
      <c r="B129" t="s">
        <v>3</v>
      </c>
      <c r="C129">
        <v>0</v>
      </c>
      <c r="E129">
        <f t="shared" si="1"/>
        <v>0</v>
      </c>
    </row>
    <row r="130" spans="1:5" hidden="1" x14ac:dyDescent="0.3">
      <c r="A130" t="s">
        <v>44</v>
      </c>
      <c r="B130" t="s">
        <v>3</v>
      </c>
      <c r="C130">
        <v>15</v>
      </c>
      <c r="D130">
        <v>36000</v>
      </c>
      <c r="E130">
        <f t="shared" si="1"/>
        <v>540000</v>
      </c>
    </row>
    <row r="131" spans="1:5" hidden="1" x14ac:dyDescent="0.3">
      <c r="A131" t="s">
        <v>45</v>
      </c>
      <c r="B131" t="s">
        <v>3</v>
      </c>
      <c r="C131">
        <v>0</v>
      </c>
      <c r="E131">
        <f t="shared" si="1"/>
        <v>0</v>
      </c>
    </row>
    <row r="132" spans="1:5" hidden="1" x14ac:dyDescent="0.3">
      <c r="A132" t="s">
        <v>17</v>
      </c>
      <c r="B132" t="s">
        <v>3</v>
      </c>
      <c r="C132">
        <v>10</v>
      </c>
      <c r="D132">
        <v>6500</v>
      </c>
      <c r="E132">
        <f t="shared" si="1"/>
        <v>65000</v>
      </c>
    </row>
    <row r="133" spans="1:5" hidden="1" x14ac:dyDescent="0.3">
      <c r="A133" t="s">
        <v>20</v>
      </c>
      <c r="B133" t="s">
        <v>3</v>
      </c>
      <c r="C133">
        <v>700</v>
      </c>
      <c r="D133">
        <v>5500</v>
      </c>
      <c r="E133">
        <f t="shared" si="1"/>
        <v>3850000</v>
      </c>
    </row>
    <row r="134" spans="1:5" hidden="1" x14ac:dyDescent="0.3">
      <c r="A134" t="s">
        <v>21</v>
      </c>
      <c r="B134" t="s">
        <v>3</v>
      </c>
      <c r="C134">
        <v>45</v>
      </c>
      <c r="D134">
        <v>10000</v>
      </c>
      <c r="E134">
        <f t="shared" ref="E134:E165" si="2">C134*D134</f>
        <v>450000</v>
      </c>
    </row>
    <row r="135" spans="1:5" hidden="1" x14ac:dyDescent="0.3">
      <c r="A135" t="s">
        <v>66</v>
      </c>
      <c r="B135" t="s">
        <v>3</v>
      </c>
      <c r="C135">
        <v>0</v>
      </c>
      <c r="E135">
        <f t="shared" si="2"/>
        <v>0</v>
      </c>
    </row>
    <row r="136" spans="1:5" hidden="1" x14ac:dyDescent="0.3">
      <c r="A136" t="s">
        <v>84</v>
      </c>
      <c r="B136" t="s">
        <v>22</v>
      </c>
      <c r="C136">
        <v>0</v>
      </c>
      <c r="E136">
        <f t="shared" si="2"/>
        <v>0</v>
      </c>
    </row>
    <row r="137" spans="1:5" hidden="1" x14ac:dyDescent="0.3">
      <c r="A137" t="s">
        <v>86</v>
      </c>
      <c r="B137" t="s">
        <v>22</v>
      </c>
      <c r="C137">
        <v>0</v>
      </c>
      <c r="E137">
        <f t="shared" si="2"/>
        <v>0</v>
      </c>
    </row>
    <row r="138" spans="1:5" hidden="1" x14ac:dyDescent="0.3">
      <c r="A138" t="s">
        <v>85</v>
      </c>
      <c r="B138" t="s">
        <v>22</v>
      </c>
      <c r="C138">
        <v>0</v>
      </c>
      <c r="E138">
        <f t="shared" si="2"/>
        <v>0</v>
      </c>
    </row>
    <row r="139" spans="1:5" hidden="1" x14ac:dyDescent="0.3">
      <c r="A139" t="s">
        <v>95</v>
      </c>
      <c r="B139" t="s">
        <v>3</v>
      </c>
      <c r="C139">
        <v>45</v>
      </c>
      <c r="D139">
        <v>10000</v>
      </c>
      <c r="E139">
        <f t="shared" si="2"/>
        <v>450000</v>
      </c>
    </row>
    <row r="140" spans="1:5" hidden="1" x14ac:dyDescent="0.3">
      <c r="A140" t="s">
        <v>24</v>
      </c>
      <c r="B140" t="s">
        <v>3</v>
      </c>
      <c r="C140">
        <v>0</v>
      </c>
      <c r="E140">
        <f t="shared" si="2"/>
        <v>0</v>
      </c>
    </row>
    <row r="141" spans="1:5" hidden="1" x14ac:dyDescent="0.3">
      <c r="A141" t="s">
        <v>25</v>
      </c>
      <c r="B141" t="s">
        <v>3</v>
      </c>
      <c r="C141">
        <v>27</v>
      </c>
      <c r="D141">
        <v>21000</v>
      </c>
      <c r="E141">
        <f t="shared" si="2"/>
        <v>567000</v>
      </c>
    </row>
    <row r="142" spans="1:5" hidden="1" x14ac:dyDescent="0.3">
      <c r="A142" t="s">
        <v>28</v>
      </c>
      <c r="B142" t="s">
        <v>3</v>
      </c>
      <c r="C142">
        <v>0</v>
      </c>
      <c r="E142">
        <f t="shared" si="2"/>
        <v>0</v>
      </c>
    </row>
    <row r="143" spans="1:5" hidden="1" x14ac:dyDescent="0.3">
      <c r="A143" t="s">
        <v>30</v>
      </c>
      <c r="B143" t="s">
        <v>3</v>
      </c>
      <c r="C143">
        <v>0</v>
      </c>
      <c r="E143">
        <f t="shared" si="2"/>
        <v>0</v>
      </c>
    </row>
    <row r="144" spans="1:5" hidden="1" x14ac:dyDescent="0.3">
      <c r="A144" t="s">
        <v>53</v>
      </c>
      <c r="B144" t="s">
        <v>3</v>
      </c>
      <c r="C144">
        <v>40</v>
      </c>
      <c r="D144">
        <v>8000</v>
      </c>
      <c r="E144">
        <f t="shared" si="2"/>
        <v>320000</v>
      </c>
    </row>
    <row r="145" spans="1:5" hidden="1" x14ac:dyDescent="0.3">
      <c r="A145" t="s">
        <v>34</v>
      </c>
      <c r="B145" t="s">
        <v>3</v>
      </c>
      <c r="C145">
        <v>10</v>
      </c>
      <c r="D145">
        <v>35000</v>
      </c>
      <c r="E145">
        <f t="shared" si="2"/>
        <v>350000</v>
      </c>
    </row>
    <row r="146" spans="1:5" hidden="1" x14ac:dyDescent="0.3">
      <c r="A146" t="s">
        <v>35</v>
      </c>
      <c r="B146" t="s">
        <v>3</v>
      </c>
      <c r="C146">
        <v>0</v>
      </c>
      <c r="E146">
        <f t="shared" si="2"/>
        <v>0</v>
      </c>
    </row>
    <row r="147" spans="1:5" hidden="1" x14ac:dyDescent="0.3">
      <c r="A147" t="s">
        <v>36</v>
      </c>
      <c r="B147" t="s">
        <v>3</v>
      </c>
      <c r="C147">
        <v>35</v>
      </c>
      <c r="D147">
        <v>20000</v>
      </c>
      <c r="E147">
        <f t="shared" si="2"/>
        <v>700000</v>
      </c>
    </row>
    <row r="148" spans="1:5" hidden="1" x14ac:dyDescent="0.3">
      <c r="A148" t="s">
        <v>72</v>
      </c>
      <c r="B148" t="s">
        <v>3</v>
      </c>
      <c r="C148">
        <v>88</v>
      </c>
      <c r="D148">
        <v>16000</v>
      </c>
      <c r="E148">
        <f t="shared" si="2"/>
        <v>1408000</v>
      </c>
    </row>
    <row r="149" spans="1:5" hidden="1" x14ac:dyDescent="0.3">
      <c r="A149" t="s">
        <v>56</v>
      </c>
      <c r="B149" t="s">
        <v>3</v>
      </c>
      <c r="C149">
        <v>0</v>
      </c>
      <c r="E149">
        <f t="shared" si="2"/>
        <v>0</v>
      </c>
    </row>
    <row r="150" spans="1:5" hidden="1" x14ac:dyDescent="0.3">
      <c r="A150" t="s">
        <v>96</v>
      </c>
      <c r="B150" t="s">
        <v>3</v>
      </c>
      <c r="C150">
        <v>20</v>
      </c>
      <c r="D150">
        <v>27000</v>
      </c>
      <c r="E150">
        <f t="shared" si="2"/>
        <v>540000</v>
      </c>
    </row>
    <row r="151" spans="1:5" hidden="1" x14ac:dyDescent="0.3">
      <c r="A151" t="s">
        <v>97</v>
      </c>
      <c r="B151" t="s">
        <v>3</v>
      </c>
      <c r="C151">
        <v>9</v>
      </c>
      <c r="D151">
        <v>16000</v>
      </c>
      <c r="E151">
        <f t="shared" si="2"/>
        <v>144000</v>
      </c>
    </row>
    <row r="152" spans="1:5" hidden="1" x14ac:dyDescent="0.3">
      <c r="A152" t="s">
        <v>109</v>
      </c>
      <c r="B152" t="s">
        <v>3</v>
      </c>
      <c r="C152">
        <v>0</v>
      </c>
      <c r="E152">
        <f t="shared" si="2"/>
        <v>0</v>
      </c>
    </row>
    <row r="153" spans="1:5" hidden="1" x14ac:dyDescent="0.3">
      <c r="A153" t="s">
        <v>32</v>
      </c>
      <c r="B153" t="s">
        <v>3</v>
      </c>
      <c r="C153">
        <v>0</v>
      </c>
      <c r="E153">
        <f t="shared" si="2"/>
        <v>0</v>
      </c>
    </row>
    <row r="154" spans="1:5" hidden="1" x14ac:dyDescent="0.3">
      <c r="A154" t="s">
        <v>32</v>
      </c>
      <c r="B154" t="s">
        <v>6</v>
      </c>
      <c r="C154">
        <v>154</v>
      </c>
      <c r="D154">
        <v>9000</v>
      </c>
      <c r="E154">
        <f t="shared" si="2"/>
        <v>1386000</v>
      </c>
    </row>
    <row r="155" spans="1:5" x14ac:dyDescent="0.3">
      <c r="A155" t="s">
        <v>43</v>
      </c>
      <c r="B155" t="s">
        <v>3</v>
      </c>
      <c r="C155">
        <v>0</v>
      </c>
      <c r="E155">
        <f t="shared" si="2"/>
        <v>0</v>
      </c>
    </row>
    <row r="156" spans="1:5" hidden="1" x14ac:dyDescent="0.3">
      <c r="A156" t="s">
        <v>60</v>
      </c>
      <c r="B156" t="s">
        <v>4</v>
      </c>
      <c r="C156">
        <v>20</v>
      </c>
      <c r="D156">
        <v>6000</v>
      </c>
      <c r="E156">
        <f t="shared" si="2"/>
        <v>120000</v>
      </c>
    </row>
    <row r="157" spans="1:5" hidden="1" x14ac:dyDescent="0.3">
      <c r="A157" t="s">
        <v>61</v>
      </c>
      <c r="B157" t="s">
        <v>4</v>
      </c>
      <c r="C157">
        <v>100</v>
      </c>
      <c r="D157">
        <v>14000</v>
      </c>
      <c r="E157">
        <f t="shared" si="2"/>
        <v>1400000</v>
      </c>
    </row>
    <row r="158" spans="1:5" hidden="1" x14ac:dyDescent="0.3">
      <c r="A158" t="s">
        <v>37</v>
      </c>
      <c r="B158" t="s">
        <v>3</v>
      </c>
      <c r="C158">
        <v>0</v>
      </c>
      <c r="E158">
        <f t="shared" si="2"/>
        <v>0</v>
      </c>
    </row>
    <row r="159" spans="1:5" hidden="1" x14ac:dyDescent="0.3">
      <c r="A159" t="s">
        <v>67</v>
      </c>
      <c r="B159" t="s">
        <v>3</v>
      </c>
      <c r="C159">
        <v>0</v>
      </c>
      <c r="E159">
        <f t="shared" si="2"/>
        <v>0</v>
      </c>
    </row>
    <row r="160" spans="1:5" hidden="1" x14ac:dyDescent="0.3">
      <c r="A160" t="s">
        <v>98</v>
      </c>
      <c r="B160" t="s">
        <v>3</v>
      </c>
      <c r="C160">
        <v>0</v>
      </c>
      <c r="E160">
        <f t="shared" si="2"/>
        <v>0</v>
      </c>
    </row>
    <row r="161" spans="1:5" hidden="1" x14ac:dyDescent="0.3">
      <c r="A161" t="s">
        <v>23</v>
      </c>
      <c r="B161" t="s">
        <v>22</v>
      </c>
      <c r="C161">
        <v>0</v>
      </c>
      <c r="E161">
        <f t="shared" si="2"/>
        <v>0</v>
      </c>
    </row>
    <row r="162" spans="1:5" hidden="1" x14ac:dyDescent="0.3">
      <c r="A162" t="s">
        <v>116</v>
      </c>
      <c r="B162" t="s">
        <v>26</v>
      </c>
      <c r="C162">
        <v>2615</v>
      </c>
      <c r="D162">
        <v>10000</v>
      </c>
      <c r="E162">
        <f t="shared" si="2"/>
        <v>26150000</v>
      </c>
    </row>
    <row r="163" spans="1:5" hidden="1" x14ac:dyDescent="0.3">
      <c r="A163" t="s">
        <v>88</v>
      </c>
      <c r="B163" t="s">
        <v>3</v>
      </c>
      <c r="C163">
        <v>0</v>
      </c>
      <c r="E163">
        <f t="shared" si="2"/>
        <v>0</v>
      </c>
    </row>
    <row r="164" spans="1:5" hidden="1" x14ac:dyDescent="0.3">
      <c r="A164" t="e">
        <v>#N/A</v>
      </c>
      <c r="B164">
        <v>0</v>
      </c>
      <c r="C164">
        <v>0</v>
      </c>
      <c r="E164">
        <f t="shared" si="2"/>
        <v>0</v>
      </c>
    </row>
    <row r="165" spans="1:5" hidden="1" x14ac:dyDescent="0.3">
      <c r="A165" t="e">
        <v>#N/A</v>
      </c>
      <c r="B165">
        <v>0</v>
      </c>
      <c r="C165">
        <v>0</v>
      </c>
      <c r="E165">
        <f t="shared" si="2"/>
        <v>0</v>
      </c>
    </row>
    <row r="166" spans="1:5" hidden="1" x14ac:dyDescent="0.3">
      <c r="E166">
        <f>SUM(E120:E162)</f>
        <v>41580000</v>
      </c>
    </row>
    <row r="167" spans="1:5" hidden="1" x14ac:dyDescent="0.3">
      <c r="E167">
        <f>E115+E166</f>
        <v>269026400</v>
      </c>
    </row>
  </sheetData>
  <autoFilter ref="A2:E167" xr:uid="{00000000-0009-0000-0000-000018000000}">
    <filterColumn colId="0">
      <filters>
        <filter val="Hạt Dẻ Ngố"/>
        <filter val="Hạt Dẻ Tươi"/>
      </filters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E165"/>
  <sheetViews>
    <sheetView workbookViewId="0">
      <selection activeCell="B173" sqref="B173"/>
    </sheetView>
  </sheetViews>
  <sheetFormatPr defaultRowHeight="14.4" x14ac:dyDescent="0.3"/>
  <cols>
    <col min="1" max="1" width="26.88671875" customWidth="1"/>
    <col min="3" max="3" width="10.6640625" customWidth="1"/>
    <col min="4" max="4" width="11.109375" style="2" customWidth="1"/>
    <col min="5" max="5" width="17.44140625" style="2" customWidth="1"/>
  </cols>
  <sheetData>
    <row r="1" spans="1:5" x14ac:dyDescent="0.3">
      <c r="A1" t="s">
        <v>174</v>
      </c>
    </row>
    <row r="2" spans="1:5" x14ac:dyDescent="0.3">
      <c r="A2" t="s">
        <v>0</v>
      </c>
      <c r="B2" t="s">
        <v>1</v>
      </c>
      <c r="C2" t="s">
        <v>102</v>
      </c>
      <c r="D2" s="2" t="s">
        <v>100</v>
      </c>
      <c r="E2" s="2" t="s">
        <v>101</v>
      </c>
    </row>
    <row r="3" spans="1:5" hidden="1" x14ac:dyDescent="0.3">
      <c r="A3" t="s">
        <v>44</v>
      </c>
      <c r="B3" t="s">
        <v>3</v>
      </c>
      <c r="C3">
        <v>16</v>
      </c>
      <c r="D3" s="2">
        <v>36000</v>
      </c>
      <c r="E3" s="2">
        <f>C3*D3</f>
        <v>576000</v>
      </c>
    </row>
    <row r="4" spans="1:5" hidden="1" x14ac:dyDescent="0.3">
      <c r="A4" t="s">
        <v>45</v>
      </c>
      <c r="B4" t="s">
        <v>3</v>
      </c>
      <c r="C4">
        <v>1205</v>
      </c>
      <c r="D4" s="2">
        <v>7500</v>
      </c>
      <c r="E4" s="2">
        <f t="shared" ref="E4:E67" si="0">C4*D4</f>
        <v>9037500</v>
      </c>
    </row>
    <row r="5" spans="1:5" hidden="1" x14ac:dyDescent="0.3">
      <c r="A5" t="s">
        <v>17</v>
      </c>
      <c r="B5" t="s">
        <v>3</v>
      </c>
      <c r="C5">
        <v>130</v>
      </c>
      <c r="D5" s="2">
        <v>5000</v>
      </c>
      <c r="E5" s="2">
        <f t="shared" si="0"/>
        <v>650000</v>
      </c>
    </row>
    <row r="6" spans="1:5" hidden="1" x14ac:dyDescent="0.3">
      <c r="A6" t="s">
        <v>92</v>
      </c>
      <c r="B6" t="s">
        <v>3</v>
      </c>
      <c r="C6">
        <v>0</v>
      </c>
      <c r="D6"/>
      <c r="E6">
        <f t="shared" si="0"/>
        <v>0</v>
      </c>
    </row>
    <row r="7" spans="1:5" hidden="1" x14ac:dyDescent="0.3">
      <c r="A7" t="s">
        <v>24</v>
      </c>
      <c r="B7" t="s">
        <v>3</v>
      </c>
      <c r="C7">
        <v>330</v>
      </c>
      <c r="D7" s="2">
        <v>11500</v>
      </c>
      <c r="E7" s="2">
        <f t="shared" si="0"/>
        <v>3795000</v>
      </c>
    </row>
    <row r="8" spans="1:5" hidden="1" x14ac:dyDescent="0.3">
      <c r="A8" t="s">
        <v>78</v>
      </c>
      <c r="B8" t="s">
        <v>3</v>
      </c>
      <c r="C8">
        <v>0</v>
      </c>
      <c r="D8"/>
      <c r="E8">
        <f t="shared" si="0"/>
        <v>0</v>
      </c>
    </row>
    <row r="9" spans="1:5" hidden="1" x14ac:dyDescent="0.3">
      <c r="A9" t="s">
        <v>25</v>
      </c>
      <c r="B9" t="s">
        <v>3</v>
      </c>
      <c r="C9">
        <v>155</v>
      </c>
      <c r="D9" s="2">
        <v>21000</v>
      </c>
      <c r="E9" s="2">
        <f t="shared" si="0"/>
        <v>3255000</v>
      </c>
    </row>
    <row r="10" spans="1:5" hidden="1" x14ac:dyDescent="0.3">
      <c r="A10" t="s">
        <v>25</v>
      </c>
      <c r="B10" t="s">
        <v>26</v>
      </c>
      <c r="C10">
        <v>0</v>
      </c>
      <c r="D10"/>
      <c r="E10">
        <f t="shared" si="0"/>
        <v>0</v>
      </c>
    </row>
    <row r="11" spans="1:5" hidden="1" x14ac:dyDescent="0.3">
      <c r="A11" t="s">
        <v>27</v>
      </c>
      <c r="B11" t="s">
        <v>3</v>
      </c>
      <c r="C11">
        <v>5</v>
      </c>
      <c r="D11" s="2">
        <v>17000</v>
      </c>
      <c r="E11" s="2">
        <f t="shared" si="0"/>
        <v>85000</v>
      </c>
    </row>
    <row r="12" spans="1:5" hidden="1" x14ac:dyDescent="0.3">
      <c r="A12" t="s">
        <v>27</v>
      </c>
      <c r="B12" t="s">
        <v>26</v>
      </c>
      <c r="C12">
        <v>0</v>
      </c>
      <c r="D12"/>
      <c r="E12">
        <f t="shared" si="0"/>
        <v>0</v>
      </c>
    </row>
    <row r="13" spans="1:5" hidden="1" x14ac:dyDescent="0.3">
      <c r="A13" t="s">
        <v>37</v>
      </c>
      <c r="B13" t="s">
        <v>3</v>
      </c>
      <c r="C13">
        <v>0</v>
      </c>
      <c r="D13"/>
      <c r="E13">
        <f t="shared" si="0"/>
        <v>0</v>
      </c>
    </row>
    <row r="14" spans="1:5" hidden="1" x14ac:dyDescent="0.3">
      <c r="A14" t="s">
        <v>46</v>
      </c>
      <c r="B14" t="s">
        <v>3</v>
      </c>
      <c r="C14">
        <v>0</v>
      </c>
      <c r="D14"/>
      <c r="E14">
        <f t="shared" si="0"/>
        <v>0</v>
      </c>
    </row>
    <row r="15" spans="1:5" hidden="1" x14ac:dyDescent="0.3">
      <c r="A15" t="s">
        <v>47</v>
      </c>
      <c r="B15" t="s">
        <v>3</v>
      </c>
      <c r="C15">
        <v>0</v>
      </c>
      <c r="D15"/>
      <c r="E15">
        <f t="shared" si="0"/>
        <v>0</v>
      </c>
    </row>
    <row r="16" spans="1:5" hidden="1" x14ac:dyDescent="0.3">
      <c r="A16" t="s">
        <v>123</v>
      </c>
      <c r="B16" t="s">
        <v>3</v>
      </c>
      <c r="C16">
        <v>0</v>
      </c>
      <c r="D16"/>
      <c r="E16">
        <f t="shared" si="0"/>
        <v>0</v>
      </c>
    </row>
    <row r="17" spans="1:5" hidden="1" x14ac:dyDescent="0.3">
      <c r="A17" t="s">
        <v>82</v>
      </c>
      <c r="B17" t="s">
        <v>3</v>
      </c>
      <c r="C17">
        <v>19</v>
      </c>
      <c r="D17" s="2">
        <v>22000</v>
      </c>
      <c r="E17" s="2">
        <f t="shared" si="0"/>
        <v>418000</v>
      </c>
    </row>
    <row r="18" spans="1:5" hidden="1" x14ac:dyDescent="0.3">
      <c r="A18" t="s">
        <v>16</v>
      </c>
      <c r="B18" t="s">
        <v>6</v>
      </c>
      <c r="C18">
        <v>17</v>
      </c>
      <c r="D18" s="2">
        <v>8500</v>
      </c>
      <c r="E18" s="2">
        <f t="shared" si="0"/>
        <v>144500</v>
      </c>
    </row>
    <row r="19" spans="1:5" hidden="1" x14ac:dyDescent="0.3">
      <c r="A19" t="s">
        <v>28</v>
      </c>
      <c r="B19" t="s">
        <v>3</v>
      </c>
      <c r="C19">
        <v>192</v>
      </c>
      <c r="D19" s="2">
        <v>18000</v>
      </c>
      <c r="E19" s="2">
        <f t="shared" si="0"/>
        <v>3456000</v>
      </c>
    </row>
    <row r="20" spans="1:5" hidden="1" x14ac:dyDescent="0.3">
      <c r="A20" t="s">
        <v>28</v>
      </c>
      <c r="B20" t="s">
        <v>6</v>
      </c>
      <c r="C20">
        <v>0</v>
      </c>
      <c r="D20"/>
      <c r="E20">
        <f t="shared" si="0"/>
        <v>0</v>
      </c>
    </row>
    <row r="21" spans="1:5" hidden="1" x14ac:dyDescent="0.3">
      <c r="A21" t="s">
        <v>28</v>
      </c>
      <c r="B21" t="s">
        <v>29</v>
      </c>
      <c r="C21">
        <v>0</v>
      </c>
      <c r="D21"/>
      <c r="E21">
        <f t="shared" si="0"/>
        <v>0</v>
      </c>
    </row>
    <row r="22" spans="1:5" hidden="1" x14ac:dyDescent="0.3">
      <c r="A22" t="s">
        <v>48</v>
      </c>
      <c r="B22" t="s">
        <v>3</v>
      </c>
      <c r="C22">
        <v>25</v>
      </c>
      <c r="D22" s="2">
        <v>16000</v>
      </c>
      <c r="E22" s="2">
        <f t="shared" si="0"/>
        <v>400000</v>
      </c>
    </row>
    <row r="23" spans="1:5" hidden="1" x14ac:dyDescent="0.3">
      <c r="A23" t="s">
        <v>48</v>
      </c>
      <c r="B23" t="s">
        <v>49</v>
      </c>
      <c r="C23">
        <v>0</v>
      </c>
      <c r="D23"/>
      <c r="E23">
        <f t="shared" si="0"/>
        <v>0</v>
      </c>
    </row>
    <row r="24" spans="1:5" hidden="1" x14ac:dyDescent="0.3">
      <c r="A24" t="s">
        <v>40</v>
      </c>
      <c r="B24" t="s">
        <v>159</v>
      </c>
      <c r="C24">
        <v>0</v>
      </c>
      <c r="D24"/>
      <c r="E24">
        <f t="shared" si="0"/>
        <v>0</v>
      </c>
    </row>
    <row r="25" spans="1:5" hidden="1" x14ac:dyDescent="0.3">
      <c r="A25" t="s">
        <v>40</v>
      </c>
      <c r="B25" t="s">
        <v>41</v>
      </c>
      <c r="C25">
        <v>125</v>
      </c>
      <c r="D25" s="2">
        <v>8400</v>
      </c>
      <c r="E25" s="2">
        <f t="shared" si="0"/>
        <v>1050000</v>
      </c>
    </row>
    <row r="26" spans="1:5" hidden="1" x14ac:dyDescent="0.3">
      <c r="A26" t="s">
        <v>50</v>
      </c>
      <c r="B26" t="s">
        <v>8</v>
      </c>
      <c r="C26">
        <v>42</v>
      </c>
      <c r="D26" s="2">
        <v>12600</v>
      </c>
      <c r="E26" s="2">
        <f t="shared" si="0"/>
        <v>529200</v>
      </c>
    </row>
    <row r="27" spans="1:5" hidden="1" x14ac:dyDescent="0.3">
      <c r="A27" t="s">
        <v>51</v>
      </c>
      <c r="B27" t="s">
        <v>3</v>
      </c>
      <c r="C27">
        <v>0</v>
      </c>
      <c r="D27"/>
      <c r="E27">
        <f t="shared" si="0"/>
        <v>0</v>
      </c>
    </row>
    <row r="28" spans="1:5" hidden="1" x14ac:dyDescent="0.3">
      <c r="A28" t="s">
        <v>51</v>
      </c>
      <c r="B28" t="s">
        <v>52</v>
      </c>
      <c r="C28">
        <v>449</v>
      </c>
      <c r="D28" s="2">
        <v>10000</v>
      </c>
      <c r="E28" s="2">
        <f t="shared" si="0"/>
        <v>4490000</v>
      </c>
    </row>
    <row r="29" spans="1:5" hidden="1" x14ac:dyDescent="0.3">
      <c r="A29" t="s">
        <v>30</v>
      </c>
      <c r="B29" t="s">
        <v>3</v>
      </c>
      <c r="C29">
        <v>220</v>
      </c>
      <c r="D29" s="2">
        <v>15000</v>
      </c>
      <c r="E29" s="2">
        <f t="shared" si="0"/>
        <v>3300000</v>
      </c>
    </row>
    <row r="30" spans="1:5" hidden="1" x14ac:dyDescent="0.3">
      <c r="A30" t="s">
        <v>30</v>
      </c>
      <c r="B30" t="s">
        <v>6</v>
      </c>
      <c r="C30">
        <v>0</v>
      </c>
      <c r="D30"/>
      <c r="E30">
        <f t="shared" si="0"/>
        <v>0</v>
      </c>
    </row>
    <row r="31" spans="1:5" hidden="1" x14ac:dyDescent="0.3">
      <c r="A31" t="s">
        <v>31</v>
      </c>
      <c r="B31" t="s">
        <v>4</v>
      </c>
      <c r="C31">
        <v>260</v>
      </c>
      <c r="D31" s="2">
        <v>7000</v>
      </c>
      <c r="E31" s="2">
        <f t="shared" si="0"/>
        <v>1820000</v>
      </c>
    </row>
    <row r="32" spans="1:5" hidden="1" x14ac:dyDescent="0.3">
      <c r="A32" t="s">
        <v>2</v>
      </c>
      <c r="B32" t="s">
        <v>3</v>
      </c>
      <c r="C32">
        <v>178</v>
      </c>
      <c r="D32" s="2">
        <v>13000</v>
      </c>
      <c r="E32" s="2">
        <f t="shared" si="0"/>
        <v>2314000</v>
      </c>
    </row>
    <row r="33" spans="1:5" hidden="1" x14ac:dyDescent="0.3">
      <c r="A33" t="s">
        <v>2</v>
      </c>
      <c r="B33" t="s">
        <v>4</v>
      </c>
      <c r="C33">
        <v>0</v>
      </c>
      <c r="D33"/>
      <c r="E33">
        <f t="shared" si="0"/>
        <v>0</v>
      </c>
    </row>
    <row r="34" spans="1:5" hidden="1" x14ac:dyDescent="0.3">
      <c r="A34" t="s">
        <v>5</v>
      </c>
      <c r="B34" t="s">
        <v>6</v>
      </c>
      <c r="C34">
        <v>0</v>
      </c>
      <c r="D34"/>
      <c r="E34">
        <f t="shared" si="0"/>
        <v>0</v>
      </c>
    </row>
    <row r="35" spans="1:5" hidden="1" x14ac:dyDescent="0.3">
      <c r="A35" t="s">
        <v>53</v>
      </c>
      <c r="B35" t="s">
        <v>3</v>
      </c>
      <c r="C35">
        <v>55</v>
      </c>
      <c r="D35" s="2">
        <v>16000</v>
      </c>
      <c r="E35" s="2">
        <f t="shared" si="0"/>
        <v>880000</v>
      </c>
    </row>
    <row r="36" spans="1:5" hidden="1" x14ac:dyDescent="0.3">
      <c r="A36" t="s">
        <v>53</v>
      </c>
      <c r="B36" t="s">
        <v>54</v>
      </c>
      <c r="C36">
        <v>0</v>
      </c>
      <c r="D36"/>
      <c r="E36">
        <f t="shared" si="0"/>
        <v>0</v>
      </c>
    </row>
    <row r="37" spans="1:5" hidden="1" x14ac:dyDescent="0.3">
      <c r="A37" t="s">
        <v>18</v>
      </c>
      <c r="B37" t="s">
        <v>3</v>
      </c>
      <c r="C37">
        <v>19</v>
      </c>
      <c r="D37" s="2">
        <v>35000</v>
      </c>
      <c r="E37" s="2">
        <f t="shared" si="0"/>
        <v>665000</v>
      </c>
    </row>
    <row r="38" spans="1:5" hidden="1" x14ac:dyDescent="0.3">
      <c r="A38" t="s">
        <v>18</v>
      </c>
      <c r="B38" t="s">
        <v>4</v>
      </c>
      <c r="C38">
        <v>0</v>
      </c>
      <c r="D38"/>
      <c r="E38">
        <f t="shared" si="0"/>
        <v>0</v>
      </c>
    </row>
    <row r="39" spans="1:5" hidden="1" x14ac:dyDescent="0.3">
      <c r="A39" t="s">
        <v>55</v>
      </c>
      <c r="B39" t="s">
        <v>3</v>
      </c>
      <c r="C39">
        <v>0</v>
      </c>
      <c r="D39"/>
      <c r="E39">
        <f t="shared" si="0"/>
        <v>0</v>
      </c>
    </row>
    <row r="40" spans="1:5" hidden="1" x14ac:dyDescent="0.3">
      <c r="A40" t="s">
        <v>55</v>
      </c>
      <c r="B40" t="s">
        <v>4</v>
      </c>
      <c r="C40">
        <v>20</v>
      </c>
      <c r="D40" s="2">
        <v>4500</v>
      </c>
      <c r="E40" s="2">
        <f t="shared" si="0"/>
        <v>90000</v>
      </c>
    </row>
    <row r="41" spans="1:5" hidden="1" x14ac:dyDescent="0.3">
      <c r="A41" t="s">
        <v>19</v>
      </c>
      <c r="B41" t="s">
        <v>4</v>
      </c>
      <c r="C41">
        <v>14</v>
      </c>
      <c r="D41" s="2">
        <v>3900</v>
      </c>
      <c r="E41" s="2">
        <f t="shared" si="0"/>
        <v>54600</v>
      </c>
    </row>
    <row r="42" spans="1:5" hidden="1" x14ac:dyDescent="0.3">
      <c r="A42" t="s">
        <v>20</v>
      </c>
      <c r="B42" t="s">
        <v>3</v>
      </c>
      <c r="C42">
        <v>0</v>
      </c>
      <c r="D42"/>
      <c r="E42">
        <f t="shared" si="0"/>
        <v>0</v>
      </c>
    </row>
    <row r="43" spans="1:5" hidden="1" x14ac:dyDescent="0.3">
      <c r="A43" t="s">
        <v>21</v>
      </c>
      <c r="B43" t="s">
        <v>22</v>
      </c>
      <c r="C43">
        <v>0</v>
      </c>
      <c r="D43"/>
      <c r="E43">
        <f t="shared" si="0"/>
        <v>0</v>
      </c>
    </row>
    <row r="44" spans="1:5" hidden="1" x14ac:dyDescent="0.3">
      <c r="A44" t="s">
        <v>21</v>
      </c>
      <c r="B44" t="s">
        <v>3</v>
      </c>
      <c r="C44">
        <v>27</v>
      </c>
      <c r="D44" s="2">
        <v>10000</v>
      </c>
      <c r="E44" s="2">
        <f t="shared" si="0"/>
        <v>270000</v>
      </c>
    </row>
    <row r="45" spans="1:5" hidden="1" x14ac:dyDescent="0.3">
      <c r="A45" t="s">
        <v>56</v>
      </c>
      <c r="B45" t="s">
        <v>3</v>
      </c>
      <c r="C45">
        <v>25</v>
      </c>
      <c r="D45" s="2">
        <v>14000</v>
      </c>
      <c r="E45" s="2">
        <f t="shared" si="0"/>
        <v>350000</v>
      </c>
    </row>
    <row r="46" spans="1:5" hidden="1" x14ac:dyDescent="0.3">
      <c r="A46" t="s">
        <v>7</v>
      </c>
      <c r="B46" t="s">
        <v>8</v>
      </c>
      <c r="C46">
        <v>0</v>
      </c>
      <c r="D46"/>
      <c r="E46">
        <f t="shared" si="0"/>
        <v>0</v>
      </c>
    </row>
    <row r="47" spans="1:5" hidden="1" x14ac:dyDescent="0.3">
      <c r="A47" t="s">
        <v>7</v>
      </c>
      <c r="B47" t="s">
        <v>3</v>
      </c>
      <c r="C47">
        <v>0</v>
      </c>
      <c r="D47"/>
      <c r="E47">
        <f t="shared" si="0"/>
        <v>0</v>
      </c>
    </row>
    <row r="48" spans="1:5" hidden="1" x14ac:dyDescent="0.3">
      <c r="A48" t="s">
        <v>57</v>
      </c>
      <c r="B48" t="s">
        <v>3</v>
      </c>
      <c r="C48">
        <v>60</v>
      </c>
      <c r="D48" s="2">
        <v>6500</v>
      </c>
      <c r="E48" s="2">
        <f t="shared" si="0"/>
        <v>390000</v>
      </c>
    </row>
    <row r="49" spans="1:5" hidden="1" x14ac:dyDescent="0.3">
      <c r="A49" t="s">
        <v>9</v>
      </c>
      <c r="B49" t="s">
        <v>3</v>
      </c>
      <c r="C49">
        <v>40</v>
      </c>
      <c r="D49" s="2">
        <v>10000</v>
      </c>
      <c r="E49" s="2">
        <f t="shared" si="0"/>
        <v>400000</v>
      </c>
    </row>
    <row r="50" spans="1:5" hidden="1" x14ac:dyDescent="0.3">
      <c r="A50" t="s">
        <v>9</v>
      </c>
      <c r="B50" t="s">
        <v>4</v>
      </c>
      <c r="C50">
        <v>0</v>
      </c>
      <c r="D50"/>
      <c r="E50">
        <f t="shared" si="0"/>
        <v>0</v>
      </c>
    </row>
    <row r="51" spans="1:5" hidden="1" x14ac:dyDescent="0.3">
      <c r="A51" t="s">
        <v>58</v>
      </c>
      <c r="B51" t="s">
        <v>3</v>
      </c>
      <c r="C51">
        <v>5</v>
      </c>
      <c r="D51" s="2">
        <v>23000</v>
      </c>
      <c r="E51" s="2">
        <f t="shared" si="0"/>
        <v>115000</v>
      </c>
    </row>
    <row r="52" spans="1:5" hidden="1" x14ac:dyDescent="0.3">
      <c r="A52" t="s">
        <v>10</v>
      </c>
      <c r="B52" t="s">
        <v>3</v>
      </c>
      <c r="C52">
        <v>445</v>
      </c>
      <c r="D52" s="2">
        <v>16000</v>
      </c>
      <c r="E52" s="2">
        <f t="shared" si="0"/>
        <v>7120000</v>
      </c>
    </row>
    <row r="53" spans="1:5" hidden="1" x14ac:dyDescent="0.3">
      <c r="A53" t="s">
        <v>10</v>
      </c>
      <c r="B53" t="s">
        <v>11</v>
      </c>
      <c r="C53">
        <v>0</v>
      </c>
      <c r="D53"/>
      <c r="E53">
        <f t="shared" si="0"/>
        <v>0</v>
      </c>
    </row>
    <row r="54" spans="1:5" hidden="1" x14ac:dyDescent="0.3">
      <c r="A54" t="s">
        <v>106</v>
      </c>
      <c r="B54" t="s">
        <v>3</v>
      </c>
      <c r="C54">
        <v>10</v>
      </c>
      <c r="D54" s="2">
        <v>20000</v>
      </c>
      <c r="E54" s="2">
        <f t="shared" si="0"/>
        <v>200000</v>
      </c>
    </row>
    <row r="55" spans="1:5" hidden="1" x14ac:dyDescent="0.3">
      <c r="A55" t="s">
        <v>12</v>
      </c>
      <c r="B55" t="s">
        <v>4</v>
      </c>
      <c r="C55">
        <v>0</v>
      </c>
      <c r="D55"/>
      <c r="E55">
        <f t="shared" si="0"/>
        <v>0</v>
      </c>
    </row>
    <row r="56" spans="1:5" hidden="1" x14ac:dyDescent="0.3">
      <c r="A56" t="s">
        <v>39</v>
      </c>
      <c r="B56" t="s">
        <v>3</v>
      </c>
      <c r="C56">
        <v>210</v>
      </c>
      <c r="D56" s="2">
        <v>30000</v>
      </c>
      <c r="E56" s="2">
        <f t="shared" si="0"/>
        <v>6300000</v>
      </c>
    </row>
    <row r="57" spans="1:5" hidden="1" x14ac:dyDescent="0.3">
      <c r="A57" t="s">
        <v>13</v>
      </c>
      <c r="B57" t="s">
        <v>3</v>
      </c>
      <c r="C57">
        <v>340</v>
      </c>
      <c r="D57" s="2">
        <v>30000</v>
      </c>
      <c r="E57" s="2">
        <f t="shared" si="0"/>
        <v>10200000</v>
      </c>
    </row>
    <row r="58" spans="1:5" hidden="1" x14ac:dyDescent="0.3">
      <c r="A58" t="s">
        <v>13</v>
      </c>
      <c r="B58" t="s">
        <v>4</v>
      </c>
      <c r="C58">
        <v>0</v>
      </c>
      <c r="D58"/>
      <c r="E58">
        <f t="shared" si="0"/>
        <v>0</v>
      </c>
    </row>
    <row r="59" spans="1:5" hidden="1" x14ac:dyDescent="0.3">
      <c r="A59" t="s">
        <v>133</v>
      </c>
      <c r="B59" t="s">
        <v>3</v>
      </c>
      <c r="C59">
        <v>320</v>
      </c>
      <c r="D59" s="2">
        <v>17000</v>
      </c>
      <c r="E59" s="2">
        <f t="shared" si="0"/>
        <v>5440000</v>
      </c>
    </row>
    <row r="60" spans="1:5" hidden="1" x14ac:dyDescent="0.3">
      <c r="A60" t="s">
        <v>14</v>
      </c>
      <c r="B60" t="s">
        <v>3</v>
      </c>
      <c r="C60">
        <v>100</v>
      </c>
      <c r="D60" s="2">
        <v>17000</v>
      </c>
      <c r="E60" s="2">
        <f t="shared" si="0"/>
        <v>1700000</v>
      </c>
    </row>
    <row r="61" spans="1:5" hidden="1" x14ac:dyDescent="0.3">
      <c r="A61" t="s">
        <v>93</v>
      </c>
      <c r="B61" t="s">
        <v>3</v>
      </c>
      <c r="C61">
        <v>0</v>
      </c>
      <c r="D61"/>
      <c r="E61">
        <f t="shared" si="0"/>
        <v>0</v>
      </c>
    </row>
    <row r="62" spans="1:5" hidden="1" x14ac:dyDescent="0.3">
      <c r="A62" t="s">
        <v>42</v>
      </c>
      <c r="B62" t="s">
        <v>3</v>
      </c>
      <c r="C62">
        <v>0</v>
      </c>
      <c r="D62"/>
      <c r="E62">
        <f t="shared" si="0"/>
        <v>0</v>
      </c>
    </row>
    <row r="63" spans="1:5" hidden="1" x14ac:dyDescent="0.3">
      <c r="A63" t="s">
        <v>89</v>
      </c>
      <c r="B63" t="s">
        <v>3</v>
      </c>
      <c r="C63">
        <v>0</v>
      </c>
      <c r="D63"/>
      <c r="E63">
        <f t="shared" si="0"/>
        <v>0</v>
      </c>
    </row>
    <row r="64" spans="1:5" hidden="1" x14ac:dyDescent="0.3">
      <c r="A64" t="s">
        <v>89</v>
      </c>
      <c r="B64" t="s">
        <v>4</v>
      </c>
      <c r="C64">
        <v>0</v>
      </c>
      <c r="D64"/>
      <c r="E64">
        <f t="shared" si="0"/>
        <v>0</v>
      </c>
    </row>
    <row r="65" spans="1:5" hidden="1" x14ac:dyDescent="0.3">
      <c r="A65" t="s">
        <v>15</v>
      </c>
      <c r="B65" t="s">
        <v>3</v>
      </c>
      <c r="C65">
        <v>450</v>
      </c>
      <c r="D65" s="2">
        <v>17000</v>
      </c>
      <c r="E65" s="2">
        <f t="shared" si="0"/>
        <v>7650000</v>
      </c>
    </row>
    <row r="66" spans="1:5" hidden="1" x14ac:dyDescent="0.3">
      <c r="A66" t="s">
        <v>15</v>
      </c>
      <c r="B66" t="s">
        <v>4</v>
      </c>
      <c r="C66">
        <v>0</v>
      </c>
      <c r="D66"/>
      <c r="E66">
        <f t="shared" si="0"/>
        <v>0</v>
      </c>
    </row>
    <row r="67" spans="1:5" hidden="1" x14ac:dyDescent="0.3">
      <c r="A67" t="s">
        <v>87</v>
      </c>
      <c r="B67" t="s">
        <v>4</v>
      </c>
      <c r="C67">
        <v>90</v>
      </c>
      <c r="D67" s="2">
        <v>7500</v>
      </c>
      <c r="E67" s="2">
        <f t="shared" si="0"/>
        <v>675000</v>
      </c>
    </row>
    <row r="68" spans="1:5" hidden="1" x14ac:dyDescent="0.3">
      <c r="A68" t="s">
        <v>59</v>
      </c>
      <c r="B68" t="s">
        <v>3</v>
      </c>
      <c r="C68">
        <v>38</v>
      </c>
      <c r="D68" s="2">
        <v>13000</v>
      </c>
      <c r="E68" s="2">
        <f t="shared" ref="E68:E133" si="1">C68*D68</f>
        <v>494000</v>
      </c>
    </row>
    <row r="69" spans="1:5" hidden="1" x14ac:dyDescent="0.3">
      <c r="A69" t="s">
        <v>60</v>
      </c>
      <c r="B69" t="s">
        <v>4</v>
      </c>
      <c r="C69">
        <v>19</v>
      </c>
      <c r="D69" s="2">
        <v>9000</v>
      </c>
      <c r="E69" s="2">
        <f t="shared" si="1"/>
        <v>171000</v>
      </c>
    </row>
    <row r="70" spans="1:5" hidden="1" x14ac:dyDescent="0.3">
      <c r="A70" t="s">
        <v>61</v>
      </c>
      <c r="B70" t="s">
        <v>3</v>
      </c>
      <c r="C70">
        <v>0</v>
      </c>
      <c r="D70"/>
      <c r="E70">
        <f t="shared" si="1"/>
        <v>0</v>
      </c>
    </row>
    <row r="71" spans="1:5" hidden="1" x14ac:dyDescent="0.3">
      <c r="A71" t="s">
        <v>61</v>
      </c>
      <c r="B71" t="s">
        <v>62</v>
      </c>
      <c r="C71">
        <v>15</v>
      </c>
      <c r="D71" s="2">
        <v>14000</v>
      </c>
      <c r="E71" s="2">
        <f t="shared" si="1"/>
        <v>210000</v>
      </c>
    </row>
    <row r="72" spans="1:5" hidden="1" x14ac:dyDescent="0.3">
      <c r="A72" t="s">
        <v>63</v>
      </c>
      <c r="B72" t="s">
        <v>3</v>
      </c>
      <c r="C72">
        <v>0.5</v>
      </c>
      <c r="D72" s="2">
        <v>80000</v>
      </c>
      <c r="E72" s="2">
        <f t="shared" si="1"/>
        <v>40000</v>
      </c>
    </row>
    <row r="73" spans="1:5" hidden="1" x14ac:dyDescent="0.3">
      <c r="A73" t="s">
        <v>64</v>
      </c>
      <c r="B73" t="s">
        <v>3</v>
      </c>
      <c r="C73">
        <v>1.5</v>
      </c>
      <c r="D73" s="2">
        <v>70000</v>
      </c>
      <c r="E73" s="2">
        <f t="shared" si="1"/>
        <v>105000</v>
      </c>
    </row>
    <row r="74" spans="1:5" hidden="1" x14ac:dyDescent="0.3">
      <c r="A74" t="s">
        <v>65</v>
      </c>
      <c r="B74" t="s">
        <v>3</v>
      </c>
      <c r="C74">
        <v>1.5</v>
      </c>
      <c r="D74" s="2">
        <v>70000</v>
      </c>
      <c r="E74" s="2">
        <f t="shared" si="1"/>
        <v>105000</v>
      </c>
    </row>
    <row r="75" spans="1:5" hidden="1" x14ac:dyDescent="0.3">
      <c r="A75" t="s">
        <v>32</v>
      </c>
      <c r="B75" t="s">
        <v>3</v>
      </c>
      <c r="C75">
        <v>240</v>
      </c>
      <c r="D75" s="2">
        <v>9500</v>
      </c>
      <c r="E75" s="2">
        <f t="shared" si="1"/>
        <v>2280000</v>
      </c>
    </row>
    <row r="76" spans="1:5" hidden="1" x14ac:dyDescent="0.3">
      <c r="A76" t="s">
        <v>32</v>
      </c>
      <c r="B76" t="s">
        <v>6</v>
      </c>
      <c r="C76">
        <v>757</v>
      </c>
      <c r="D76" s="2">
        <v>9000</v>
      </c>
      <c r="E76" s="2">
        <f t="shared" si="1"/>
        <v>6813000</v>
      </c>
    </row>
    <row r="77" spans="1:5" hidden="1" x14ac:dyDescent="0.3">
      <c r="A77" t="s">
        <v>81</v>
      </c>
      <c r="B77" t="s">
        <v>3</v>
      </c>
      <c r="C77">
        <v>0</v>
      </c>
      <c r="D77"/>
      <c r="E77">
        <f t="shared" si="1"/>
        <v>0</v>
      </c>
    </row>
    <row r="78" spans="1:5" hidden="1" x14ac:dyDescent="0.3">
      <c r="A78" t="s">
        <v>33</v>
      </c>
      <c r="B78" t="s">
        <v>3</v>
      </c>
      <c r="C78">
        <v>6</v>
      </c>
      <c r="D78" s="2">
        <v>12000</v>
      </c>
      <c r="E78" s="2">
        <f t="shared" si="1"/>
        <v>72000</v>
      </c>
    </row>
    <row r="79" spans="1:5" hidden="1" x14ac:dyDescent="0.3">
      <c r="A79" t="s">
        <v>66</v>
      </c>
      <c r="B79" t="s">
        <v>22</v>
      </c>
      <c r="C79">
        <v>0</v>
      </c>
      <c r="D79"/>
      <c r="E79">
        <f t="shared" si="1"/>
        <v>0</v>
      </c>
    </row>
    <row r="80" spans="1:5" hidden="1" x14ac:dyDescent="0.3">
      <c r="A80" t="s">
        <v>66</v>
      </c>
      <c r="B80" t="s">
        <v>3</v>
      </c>
      <c r="C80">
        <v>7</v>
      </c>
      <c r="D80" s="2">
        <v>17000</v>
      </c>
      <c r="E80" s="2">
        <f t="shared" si="1"/>
        <v>119000</v>
      </c>
    </row>
    <row r="81" spans="1:5" x14ac:dyDescent="0.3">
      <c r="A81" t="s">
        <v>43</v>
      </c>
      <c r="B81" t="s">
        <v>3</v>
      </c>
      <c r="C81">
        <v>0</v>
      </c>
      <c r="D81"/>
      <c r="E81">
        <f t="shared" si="1"/>
        <v>0</v>
      </c>
    </row>
    <row r="82" spans="1:5" x14ac:dyDescent="0.3">
      <c r="A82" t="s">
        <v>172</v>
      </c>
      <c r="B82" t="s">
        <v>3</v>
      </c>
      <c r="C82">
        <v>1330</v>
      </c>
      <c r="D82" s="2">
        <v>27600</v>
      </c>
      <c r="E82" s="2">
        <f t="shared" si="1"/>
        <v>36708000</v>
      </c>
    </row>
    <row r="83" spans="1:5" hidden="1" x14ac:dyDescent="0.3">
      <c r="A83" t="s">
        <v>67</v>
      </c>
      <c r="B83" t="s">
        <v>3</v>
      </c>
      <c r="C83">
        <v>0</v>
      </c>
      <c r="D83"/>
      <c r="E83">
        <f t="shared" si="1"/>
        <v>0</v>
      </c>
    </row>
    <row r="84" spans="1:5" hidden="1" x14ac:dyDescent="0.3">
      <c r="A84" t="s">
        <v>68</v>
      </c>
      <c r="B84" t="s">
        <v>4</v>
      </c>
      <c r="C84">
        <v>0</v>
      </c>
      <c r="D84"/>
      <c r="E84">
        <f t="shared" si="1"/>
        <v>0</v>
      </c>
    </row>
    <row r="85" spans="1:5" hidden="1" x14ac:dyDescent="0.3">
      <c r="A85" t="s">
        <v>69</v>
      </c>
      <c r="B85" t="s">
        <v>3</v>
      </c>
      <c r="C85">
        <v>13</v>
      </c>
      <c r="D85" s="2">
        <v>14000</v>
      </c>
      <c r="E85" s="2">
        <f t="shared" si="1"/>
        <v>182000</v>
      </c>
    </row>
    <row r="86" spans="1:5" hidden="1" x14ac:dyDescent="0.3">
      <c r="A86" t="s">
        <v>38</v>
      </c>
      <c r="B86" t="s">
        <v>6</v>
      </c>
      <c r="C86">
        <v>0</v>
      </c>
      <c r="D86"/>
      <c r="E86">
        <f t="shared" si="1"/>
        <v>0</v>
      </c>
    </row>
    <row r="87" spans="1:5" hidden="1" x14ac:dyDescent="0.3">
      <c r="A87" t="s">
        <v>70</v>
      </c>
      <c r="B87" t="s">
        <v>8</v>
      </c>
      <c r="C87">
        <v>0</v>
      </c>
      <c r="D87"/>
      <c r="E87">
        <f t="shared" si="1"/>
        <v>0</v>
      </c>
    </row>
    <row r="88" spans="1:5" hidden="1" x14ac:dyDescent="0.3">
      <c r="A88" t="s">
        <v>70</v>
      </c>
      <c r="B88" t="s">
        <v>3</v>
      </c>
      <c r="C88">
        <v>10</v>
      </c>
      <c r="D88" s="2">
        <v>44000</v>
      </c>
      <c r="E88" s="2">
        <f t="shared" si="1"/>
        <v>440000</v>
      </c>
    </row>
    <row r="89" spans="1:5" hidden="1" x14ac:dyDescent="0.3">
      <c r="A89" t="s">
        <v>34</v>
      </c>
      <c r="B89" t="s">
        <v>3</v>
      </c>
      <c r="C89">
        <v>155</v>
      </c>
      <c r="D89" s="2">
        <v>35000</v>
      </c>
      <c r="E89" s="2">
        <f t="shared" si="1"/>
        <v>5425000</v>
      </c>
    </row>
    <row r="90" spans="1:5" hidden="1" x14ac:dyDescent="0.3">
      <c r="A90" t="s">
        <v>34</v>
      </c>
      <c r="B90" t="s">
        <v>26</v>
      </c>
      <c r="C90">
        <v>0</v>
      </c>
      <c r="D90"/>
      <c r="E90">
        <f t="shared" si="1"/>
        <v>0</v>
      </c>
    </row>
    <row r="91" spans="1:5" hidden="1" x14ac:dyDescent="0.3">
      <c r="A91" t="s">
        <v>35</v>
      </c>
      <c r="B91" t="s">
        <v>3</v>
      </c>
      <c r="C91">
        <v>92</v>
      </c>
      <c r="D91" s="2">
        <v>40000</v>
      </c>
      <c r="E91" s="2">
        <f t="shared" si="1"/>
        <v>3680000</v>
      </c>
    </row>
    <row r="92" spans="1:5" hidden="1" x14ac:dyDescent="0.3">
      <c r="A92" t="s">
        <v>35</v>
      </c>
      <c r="B92" t="s">
        <v>26</v>
      </c>
      <c r="C92">
        <v>0</v>
      </c>
      <c r="D92"/>
      <c r="E92">
        <f t="shared" si="1"/>
        <v>0</v>
      </c>
    </row>
    <row r="93" spans="1:5" hidden="1" x14ac:dyDescent="0.3">
      <c r="A93" t="s">
        <v>36</v>
      </c>
      <c r="B93" t="s">
        <v>3</v>
      </c>
      <c r="C93">
        <v>8</v>
      </c>
      <c r="D93" s="2">
        <v>30000</v>
      </c>
      <c r="E93" s="2">
        <f t="shared" si="1"/>
        <v>240000</v>
      </c>
    </row>
    <row r="94" spans="1:5" hidden="1" x14ac:dyDescent="0.3">
      <c r="A94" t="s">
        <v>36</v>
      </c>
      <c r="B94" t="s">
        <v>26</v>
      </c>
      <c r="C94">
        <v>0</v>
      </c>
      <c r="D94"/>
      <c r="E94">
        <f t="shared" si="1"/>
        <v>0</v>
      </c>
    </row>
    <row r="95" spans="1:5" hidden="1" x14ac:dyDescent="0.3">
      <c r="A95" t="s">
        <v>71</v>
      </c>
      <c r="B95" t="s">
        <v>3</v>
      </c>
      <c r="C95">
        <v>40</v>
      </c>
      <c r="D95" s="2">
        <v>60000</v>
      </c>
      <c r="E95" s="2">
        <f t="shared" si="1"/>
        <v>2400000</v>
      </c>
    </row>
    <row r="96" spans="1:5" hidden="1" x14ac:dyDescent="0.3">
      <c r="A96" t="s">
        <v>71</v>
      </c>
      <c r="B96" t="s">
        <v>4</v>
      </c>
      <c r="C96">
        <v>82</v>
      </c>
      <c r="D96" s="2">
        <v>22000</v>
      </c>
      <c r="E96" s="2">
        <f t="shared" si="1"/>
        <v>1804000</v>
      </c>
    </row>
    <row r="97" spans="1:5" hidden="1" x14ac:dyDescent="0.3">
      <c r="A97" t="s">
        <v>83</v>
      </c>
      <c r="B97" t="s">
        <v>4</v>
      </c>
      <c r="C97">
        <v>0</v>
      </c>
      <c r="D97"/>
      <c r="E97">
        <f t="shared" si="1"/>
        <v>0</v>
      </c>
    </row>
    <row r="98" spans="1:5" hidden="1" x14ac:dyDescent="0.3">
      <c r="A98" t="s">
        <v>111</v>
      </c>
      <c r="B98" t="s">
        <v>3</v>
      </c>
      <c r="C98">
        <v>0</v>
      </c>
      <c r="D98"/>
      <c r="E98">
        <f t="shared" si="1"/>
        <v>0</v>
      </c>
    </row>
    <row r="99" spans="1:5" hidden="1" x14ac:dyDescent="0.3">
      <c r="A99" t="s">
        <v>105</v>
      </c>
      <c r="B99" t="s">
        <v>3</v>
      </c>
      <c r="C99">
        <v>0</v>
      </c>
      <c r="D99"/>
      <c r="E99">
        <f t="shared" si="1"/>
        <v>0</v>
      </c>
    </row>
    <row r="100" spans="1:5" hidden="1" x14ac:dyDescent="0.3">
      <c r="A100" t="s">
        <v>150</v>
      </c>
      <c r="B100" t="s">
        <v>26</v>
      </c>
      <c r="C100">
        <v>825</v>
      </c>
      <c r="D100" s="2">
        <v>17000</v>
      </c>
      <c r="E100" s="2">
        <f t="shared" si="1"/>
        <v>14025000</v>
      </c>
    </row>
    <row r="101" spans="1:5" hidden="1" x14ac:dyDescent="0.3">
      <c r="A101" t="s">
        <v>88</v>
      </c>
      <c r="B101" t="s">
        <v>3</v>
      </c>
      <c r="C101">
        <v>2041</v>
      </c>
      <c r="D101" s="2">
        <v>28000</v>
      </c>
      <c r="E101" s="2">
        <f t="shared" si="1"/>
        <v>57148000</v>
      </c>
    </row>
    <row r="102" spans="1:5" hidden="1" x14ac:dyDescent="0.3">
      <c r="A102" t="s">
        <v>91</v>
      </c>
      <c r="B102" t="s">
        <v>3</v>
      </c>
      <c r="C102">
        <v>0</v>
      </c>
      <c r="D102"/>
      <c r="E102">
        <f t="shared" si="1"/>
        <v>0</v>
      </c>
    </row>
    <row r="103" spans="1:5" hidden="1" x14ac:dyDescent="0.3">
      <c r="A103" t="s">
        <v>117</v>
      </c>
      <c r="B103" t="s">
        <v>8</v>
      </c>
      <c r="C103">
        <v>0</v>
      </c>
      <c r="D103"/>
      <c r="E103">
        <f t="shared" si="1"/>
        <v>0</v>
      </c>
    </row>
    <row r="104" spans="1:5" hidden="1" x14ac:dyDescent="0.3">
      <c r="A104" t="s">
        <v>72</v>
      </c>
      <c r="B104" t="s">
        <v>3</v>
      </c>
      <c r="C104">
        <v>207</v>
      </c>
      <c r="D104" s="2">
        <v>16000</v>
      </c>
      <c r="E104" s="2">
        <f t="shared" si="1"/>
        <v>3312000</v>
      </c>
    </row>
    <row r="105" spans="1:5" hidden="1" x14ac:dyDescent="0.3">
      <c r="A105" t="s">
        <v>80</v>
      </c>
      <c r="B105" t="s">
        <v>3</v>
      </c>
      <c r="C105">
        <v>0</v>
      </c>
      <c r="D105"/>
      <c r="E105">
        <f t="shared" si="1"/>
        <v>0</v>
      </c>
    </row>
    <row r="106" spans="1:5" hidden="1" x14ac:dyDescent="0.3">
      <c r="A106" t="s">
        <v>73</v>
      </c>
      <c r="B106" t="s">
        <v>3</v>
      </c>
      <c r="C106">
        <v>0</v>
      </c>
      <c r="D106"/>
      <c r="E106">
        <f t="shared" si="1"/>
        <v>0</v>
      </c>
    </row>
    <row r="107" spans="1:5" hidden="1" x14ac:dyDescent="0.3">
      <c r="A107" t="s">
        <v>112</v>
      </c>
      <c r="B107" t="s">
        <v>3</v>
      </c>
      <c r="C107">
        <v>0</v>
      </c>
      <c r="D107"/>
      <c r="E107">
        <f t="shared" si="1"/>
        <v>0</v>
      </c>
    </row>
    <row r="108" spans="1:5" hidden="1" x14ac:dyDescent="0.3">
      <c r="A108" t="s">
        <v>23</v>
      </c>
      <c r="B108" t="s">
        <v>3</v>
      </c>
      <c r="C108">
        <v>0</v>
      </c>
      <c r="D108"/>
      <c r="E108">
        <f t="shared" si="1"/>
        <v>0</v>
      </c>
    </row>
    <row r="109" spans="1:5" hidden="1" x14ac:dyDescent="0.3">
      <c r="A109" t="s">
        <v>84</v>
      </c>
      <c r="B109" t="s">
        <v>22</v>
      </c>
      <c r="C109">
        <v>0</v>
      </c>
      <c r="D109"/>
      <c r="E109">
        <f t="shared" si="1"/>
        <v>0</v>
      </c>
    </row>
    <row r="110" spans="1:5" hidden="1" x14ac:dyDescent="0.3">
      <c r="A110" t="s">
        <v>74</v>
      </c>
      <c r="B110" t="s">
        <v>3</v>
      </c>
      <c r="C110">
        <v>0</v>
      </c>
      <c r="D110"/>
      <c r="E110">
        <f t="shared" si="1"/>
        <v>0</v>
      </c>
    </row>
    <row r="111" spans="1:5" hidden="1" x14ac:dyDescent="0.3">
      <c r="A111" t="s">
        <v>86</v>
      </c>
      <c r="B111" t="s">
        <v>22</v>
      </c>
      <c r="C111">
        <v>0</v>
      </c>
      <c r="D111"/>
      <c r="E111">
        <f t="shared" si="1"/>
        <v>0</v>
      </c>
    </row>
    <row r="112" spans="1:5" hidden="1" x14ac:dyDescent="0.3">
      <c r="A112" t="s">
        <v>75</v>
      </c>
      <c r="B112" t="s">
        <v>3</v>
      </c>
      <c r="C112">
        <v>0</v>
      </c>
      <c r="D112"/>
      <c r="E112">
        <f t="shared" si="1"/>
        <v>0</v>
      </c>
    </row>
    <row r="113" spans="1:5" hidden="1" x14ac:dyDescent="0.3">
      <c r="A113" t="s">
        <v>76</v>
      </c>
      <c r="B113" t="s">
        <v>3</v>
      </c>
      <c r="C113">
        <v>0</v>
      </c>
      <c r="D113"/>
      <c r="E113">
        <f t="shared" si="1"/>
        <v>0</v>
      </c>
    </row>
    <row r="114" spans="1:5" hidden="1" x14ac:dyDescent="0.3">
      <c r="A114" t="s">
        <v>85</v>
      </c>
      <c r="B114" t="s">
        <v>22</v>
      </c>
      <c r="C114">
        <v>0</v>
      </c>
      <c r="D114"/>
      <c r="E114">
        <f t="shared" si="1"/>
        <v>0</v>
      </c>
    </row>
    <row r="115" spans="1:5" hidden="1" x14ac:dyDescent="0.3">
      <c r="D115"/>
      <c r="E115">
        <f>SUM(E3:E104)</f>
        <v>213592800</v>
      </c>
    </row>
    <row r="116" spans="1:5" hidden="1" x14ac:dyDescent="0.3">
      <c r="A116" t="s">
        <v>103</v>
      </c>
      <c r="D116"/>
      <c r="E116"/>
    </row>
    <row r="117" spans="1:5" hidden="1" x14ac:dyDescent="0.3">
      <c r="A117" t="s">
        <v>0</v>
      </c>
      <c r="B117" t="s">
        <v>1</v>
      </c>
      <c r="C117" t="s">
        <v>102</v>
      </c>
      <c r="D117" s="2" t="s">
        <v>100</v>
      </c>
      <c r="E117" s="2" t="s">
        <v>101</v>
      </c>
    </row>
    <row r="118" spans="1:5" hidden="1" x14ac:dyDescent="0.3">
      <c r="A118" t="s">
        <v>44</v>
      </c>
      <c r="B118" t="s">
        <v>3</v>
      </c>
      <c r="C118">
        <v>15</v>
      </c>
      <c r="D118" s="2">
        <v>36000</v>
      </c>
      <c r="E118" s="2">
        <f t="shared" si="1"/>
        <v>540000</v>
      </c>
    </row>
    <row r="119" spans="1:5" hidden="1" x14ac:dyDescent="0.3">
      <c r="A119" t="s">
        <v>45</v>
      </c>
      <c r="B119" t="s">
        <v>3</v>
      </c>
      <c r="C119">
        <v>0</v>
      </c>
      <c r="D119"/>
      <c r="E119">
        <f t="shared" si="1"/>
        <v>0</v>
      </c>
    </row>
    <row r="120" spans="1:5" hidden="1" x14ac:dyDescent="0.3">
      <c r="A120" t="s">
        <v>17</v>
      </c>
      <c r="B120" t="s">
        <v>3</v>
      </c>
      <c r="C120">
        <v>10</v>
      </c>
      <c r="D120" s="2">
        <v>6500</v>
      </c>
      <c r="E120" s="2">
        <f t="shared" si="1"/>
        <v>65000</v>
      </c>
    </row>
    <row r="121" spans="1:5" hidden="1" x14ac:dyDescent="0.3">
      <c r="A121" t="s">
        <v>95</v>
      </c>
      <c r="B121" t="s">
        <v>3</v>
      </c>
      <c r="C121">
        <v>45</v>
      </c>
      <c r="D121" s="2">
        <v>10000</v>
      </c>
      <c r="E121" s="2">
        <f t="shared" si="1"/>
        <v>450000</v>
      </c>
    </row>
    <row r="122" spans="1:5" hidden="1" x14ac:dyDescent="0.3">
      <c r="A122" t="s">
        <v>24</v>
      </c>
      <c r="B122" t="s">
        <v>3</v>
      </c>
      <c r="C122">
        <v>0</v>
      </c>
      <c r="D122"/>
      <c r="E122">
        <f t="shared" si="1"/>
        <v>0</v>
      </c>
    </row>
    <row r="123" spans="1:5" hidden="1" x14ac:dyDescent="0.3">
      <c r="A123" t="s">
        <v>25</v>
      </c>
      <c r="B123" t="s">
        <v>3</v>
      </c>
      <c r="C123">
        <v>27</v>
      </c>
      <c r="D123" s="2">
        <v>21000</v>
      </c>
      <c r="E123" s="2">
        <f t="shared" si="1"/>
        <v>567000</v>
      </c>
    </row>
    <row r="124" spans="1:5" hidden="1" x14ac:dyDescent="0.3">
      <c r="A124" t="s">
        <v>37</v>
      </c>
      <c r="B124" t="s">
        <v>3</v>
      </c>
      <c r="C124">
        <v>0</v>
      </c>
      <c r="D124"/>
      <c r="E124">
        <f t="shared" si="1"/>
        <v>0</v>
      </c>
    </row>
    <row r="125" spans="1:5" hidden="1" x14ac:dyDescent="0.3">
      <c r="A125" t="s">
        <v>46</v>
      </c>
      <c r="B125" t="s">
        <v>3</v>
      </c>
      <c r="C125">
        <v>0</v>
      </c>
      <c r="D125"/>
      <c r="E125">
        <f t="shared" si="1"/>
        <v>0</v>
      </c>
    </row>
    <row r="126" spans="1:5" hidden="1" x14ac:dyDescent="0.3">
      <c r="A126" t="s">
        <v>94</v>
      </c>
      <c r="B126" t="s">
        <v>3</v>
      </c>
      <c r="C126">
        <v>0</v>
      </c>
      <c r="D126"/>
      <c r="E126">
        <f t="shared" si="1"/>
        <v>0</v>
      </c>
    </row>
    <row r="127" spans="1:5" hidden="1" x14ac:dyDescent="0.3">
      <c r="A127" t="s">
        <v>28</v>
      </c>
      <c r="B127" t="s">
        <v>3</v>
      </c>
      <c r="C127">
        <v>0</v>
      </c>
      <c r="D127"/>
      <c r="E127">
        <f t="shared" si="1"/>
        <v>0</v>
      </c>
    </row>
    <row r="128" spans="1:5" hidden="1" x14ac:dyDescent="0.3">
      <c r="A128" t="s">
        <v>30</v>
      </c>
      <c r="B128" t="s">
        <v>3</v>
      </c>
      <c r="C128">
        <v>0</v>
      </c>
      <c r="D128"/>
      <c r="E128">
        <f t="shared" si="1"/>
        <v>0</v>
      </c>
    </row>
    <row r="129" spans="1:5" hidden="1" x14ac:dyDescent="0.3">
      <c r="A129" t="s">
        <v>2</v>
      </c>
      <c r="B129" t="s">
        <v>3</v>
      </c>
      <c r="C129">
        <v>0</v>
      </c>
      <c r="D129"/>
      <c r="E129">
        <f t="shared" si="1"/>
        <v>0</v>
      </c>
    </row>
    <row r="130" spans="1:5" hidden="1" x14ac:dyDescent="0.3">
      <c r="A130" t="s">
        <v>53</v>
      </c>
      <c r="B130" t="s">
        <v>3</v>
      </c>
      <c r="C130">
        <v>40</v>
      </c>
      <c r="D130" s="2">
        <v>8000</v>
      </c>
      <c r="E130" s="2">
        <f t="shared" si="1"/>
        <v>320000</v>
      </c>
    </row>
    <row r="131" spans="1:5" hidden="1" x14ac:dyDescent="0.3">
      <c r="A131" t="s">
        <v>20</v>
      </c>
      <c r="B131" t="s">
        <v>3</v>
      </c>
      <c r="C131">
        <v>700</v>
      </c>
      <c r="D131" s="2">
        <v>5500</v>
      </c>
      <c r="E131" s="2">
        <f t="shared" si="1"/>
        <v>3850000</v>
      </c>
    </row>
    <row r="132" spans="1:5" hidden="1" x14ac:dyDescent="0.3">
      <c r="A132" t="s">
        <v>97</v>
      </c>
      <c r="B132" t="s">
        <v>3</v>
      </c>
      <c r="C132">
        <v>9</v>
      </c>
      <c r="D132" s="2">
        <v>16000</v>
      </c>
      <c r="E132" s="2">
        <f t="shared" si="1"/>
        <v>144000</v>
      </c>
    </row>
    <row r="133" spans="1:5" hidden="1" x14ac:dyDescent="0.3">
      <c r="A133" t="s">
        <v>98</v>
      </c>
      <c r="B133" t="s">
        <v>3</v>
      </c>
      <c r="C133">
        <v>0</v>
      </c>
      <c r="D133"/>
      <c r="E133">
        <f t="shared" si="1"/>
        <v>0</v>
      </c>
    </row>
    <row r="134" spans="1:5" hidden="1" x14ac:dyDescent="0.3">
      <c r="A134" t="s">
        <v>21</v>
      </c>
      <c r="B134" t="s">
        <v>3</v>
      </c>
      <c r="C134">
        <v>45</v>
      </c>
      <c r="D134" s="2">
        <v>10000</v>
      </c>
      <c r="E134" s="2">
        <f t="shared" ref="E134:E163" si="2">C134*D134</f>
        <v>450000</v>
      </c>
    </row>
    <row r="135" spans="1:5" hidden="1" x14ac:dyDescent="0.3">
      <c r="A135" t="s">
        <v>96</v>
      </c>
      <c r="B135" t="s">
        <v>3</v>
      </c>
      <c r="C135">
        <v>20</v>
      </c>
      <c r="D135" s="2">
        <v>27000</v>
      </c>
      <c r="E135" s="2">
        <f t="shared" si="2"/>
        <v>540000</v>
      </c>
    </row>
    <row r="136" spans="1:5" hidden="1" x14ac:dyDescent="0.3">
      <c r="A136" t="s">
        <v>56</v>
      </c>
      <c r="B136" t="s">
        <v>3</v>
      </c>
      <c r="C136">
        <v>0</v>
      </c>
      <c r="D136"/>
      <c r="E136">
        <f t="shared" si="2"/>
        <v>0</v>
      </c>
    </row>
    <row r="137" spans="1:5" hidden="1" x14ac:dyDescent="0.3">
      <c r="A137" t="s">
        <v>107</v>
      </c>
      <c r="B137" t="s">
        <v>6</v>
      </c>
      <c r="C137">
        <v>0</v>
      </c>
      <c r="D137"/>
      <c r="E137">
        <f t="shared" si="2"/>
        <v>0</v>
      </c>
    </row>
    <row r="138" spans="1:5" hidden="1" x14ac:dyDescent="0.3">
      <c r="A138" t="s">
        <v>57</v>
      </c>
      <c r="B138" t="s">
        <v>3</v>
      </c>
      <c r="C138">
        <v>70</v>
      </c>
      <c r="D138" s="2">
        <v>6500</v>
      </c>
      <c r="E138" s="2">
        <f t="shared" si="2"/>
        <v>455000</v>
      </c>
    </row>
    <row r="139" spans="1:5" hidden="1" x14ac:dyDescent="0.3">
      <c r="A139" t="s">
        <v>9</v>
      </c>
      <c r="B139" t="s">
        <v>3</v>
      </c>
      <c r="C139">
        <v>50</v>
      </c>
      <c r="D139" s="2">
        <v>10000</v>
      </c>
      <c r="E139" s="2">
        <f t="shared" si="2"/>
        <v>500000</v>
      </c>
    </row>
    <row r="140" spans="1:5" hidden="1" x14ac:dyDescent="0.3">
      <c r="A140" t="s">
        <v>10</v>
      </c>
      <c r="B140" t="s">
        <v>3</v>
      </c>
      <c r="C140">
        <v>0</v>
      </c>
      <c r="D140"/>
      <c r="E140">
        <f t="shared" si="2"/>
        <v>0</v>
      </c>
    </row>
    <row r="141" spans="1:5" hidden="1" x14ac:dyDescent="0.3">
      <c r="A141" t="s">
        <v>13</v>
      </c>
      <c r="B141" t="s">
        <v>4</v>
      </c>
      <c r="C141">
        <v>0</v>
      </c>
      <c r="D141"/>
      <c r="E141">
        <f t="shared" si="2"/>
        <v>0</v>
      </c>
    </row>
    <row r="142" spans="1:5" hidden="1" x14ac:dyDescent="0.3">
      <c r="A142" t="s">
        <v>14</v>
      </c>
      <c r="B142" t="s">
        <v>3</v>
      </c>
      <c r="C142">
        <v>0</v>
      </c>
      <c r="D142"/>
      <c r="E142">
        <f t="shared" si="2"/>
        <v>0</v>
      </c>
    </row>
    <row r="143" spans="1:5" hidden="1" x14ac:dyDescent="0.3">
      <c r="A143" t="s">
        <v>89</v>
      </c>
      <c r="B143" t="s">
        <v>4</v>
      </c>
      <c r="C143">
        <v>0</v>
      </c>
      <c r="D143"/>
      <c r="E143">
        <f t="shared" si="2"/>
        <v>0</v>
      </c>
    </row>
    <row r="144" spans="1:5" hidden="1" x14ac:dyDescent="0.3">
      <c r="A144" t="s">
        <v>109</v>
      </c>
      <c r="B144" t="s">
        <v>3</v>
      </c>
      <c r="C144">
        <v>0</v>
      </c>
      <c r="D144"/>
      <c r="E144">
        <f t="shared" si="2"/>
        <v>0</v>
      </c>
    </row>
    <row r="145" spans="1:5" hidden="1" x14ac:dyDescent="0.3">
      <c r="A145" t="s">
        <v>15</v>
      </c>
      <c r="B145" t="s">
        <v>3</v>
      </c>
      <c r="C145">
        <v>100</v>
      </c>
      <c r="D145" s="2">
        <v>17000</v>
      </c>
      <c r="E145" s="2">
        <f t="shared" si="2"/>
        <v>1700000</v>
      </c>
    </row>
    <row r="146" spans="1:5" hidden="1" x14ac:dyDescent="0.3">
      <c r="A146" t="s">
        <v>59</v>
      </c>
      <c r="B146" t="s">
        <v>3</v>
      </c>
      <c r="C146">
        <v>35</v>
      </c>
      <c r="D146" s="2">
        <v>13000</v>
      </c>
      <c r="E146" s="2">
        <f t="shared" si="2"/>
        <v>455000</v>
      </c>
    </row>
    <row r="147" spans="1:5" hidden="1" x14ac:dyDescent="0.3">
      <c r="A147" t="s">
        <v>60</v>
      </c>
      <c r="B147" t="s">
        <v>4</v>
      </c>
      <c r="C147">
        <v>20</v>
      </c>
      <c r="D147" s="2">
        <v>6000</v>
      </c>
      <c r="E147" s="2">
        <f t="shared" si="2"/>
        <v>120000</v>
      </c>
    </row>
    <row r="148" spans="1:5" hidden="1" x14ac:dyDescent="0.3">
      <c r="A148" t="s">
        <v>61</v>
      </c>
      <c r="B148" t="s">
        <v>4</v>
      </c>
      <c r="C148">
        <v>100</v>
      </c>
      <c r="D148" s="2">
        <v>14000</v>
      </c>
      <c r="E148" s="2">
        <f t="shared" si="2"/>
        <v>1400000</v>
      </c>
    </row>
    <row r="149" spans="1:5" hidden="1" x14ac:dyDescent="0.3">
      <c r="A149" t="s">
        <v>32</v>
      </c>
      <c r="B149" t="s">
        <v>3</v>
      </c>
      <c r="C149">
        <v>0</v>
      </c>
      <c r="D149"/>
      <c r="E149">
        <f t="shared" si="2"/>
        <v>0</v>
      </c>
    </row>
    <row r="150" spans="1:5" hidden="1" x14ac:dyDescent="0.3">
      <c r="A150" t="s">
        <v>32</v>
      </c>
      <c r="B150" t="s">
        <v>6</v>
      </c>
      <c r="C150">
        <v>154</v>
      </c>
      <c r="D150" s="2">
        <v>9000</v>
      </c>
      <c r="E150" s="2">
        <f t="shared" si="2"/>
        <v>1386000</v>
      </c>
    </row>
    <row r="151" spans="1:5" hidden="1" x14ac:dyDescent="0.3">
      <c r="A151" t="s">
        <v>66</v>
      </c>
      <c r="B151" t="s">
        <v>3</v>
      </c>
      <c r="C151">
        <v>0</v>
      </c>
      <c r="D151"/>
      <c r="E151">
        <f t="shared" si="2"/>
        <v>0</v>
      </c>
    </row>
    <row r="152" spans="1:5" x14ac:dyDescent="0.3">
      <c r="A152" t="s">
        <v>43</v>
      </c>
      <c r="B152" t="s">
        <v>3</v>
      </c>
      <c r="C152">
        <v>0</v>
      </c>
      <c r="D152"/>
      <c r="E152">
        <f t="shared" si="2"/>
        <v>0</v>
      </c>
    </row>
    <row r="153" spans="1:5" hidden="1" x14ac:dyDescent="0.3">
      <c r="A153" t="s">
        <v>67</v>
      </c>
      <c r="B153" t="s">
        <v>3</v>
      </c>
      <c r="C153">
        <v>0</v>
      </c>
      <c r="D153"/>
      <c r="E153">
        <f t="shared" si="2"/>
        <v>0</v>
      </c>
    </row>
    <row r="154" spans="1:5" hidden="1" x14ac:dyDescent="0.3">
      <c r="A154" t="s">
        <v>34</v>
      </c>
      <c r="B154" t="s">
        <v>3</v>
      </c>
      <c r="C154">
        <v>10</v>
      </c>
      <c r="D154" s="2">
        <v>35000</v>
      </c>
      <c r="E154" s="2">
        <f t="shared" si="2"/>
        <v>350000</v>
      </c>
    </row>
    <row r="155" spans="1:5" hidden="1" x14ac:dyDescent="0.3">
      <c r="A155" t="s">
        <v>35</v>
      </c>
      <c r="B155" t="s">
        <v>3</v>
      </c>
      <c r="C155">
        <v>0</v>
      </c>
      <c r="D155"/>
      <c r="E155">
        <f t="shared" si="2"/>
        <v>0</v>
      </c>
    </row>
    <row r="156" spans="1:5" hidden="1" x14ac:dyDescent="0.3">
      <c r="A156" t="s">
        <v>36</v>
      </c>
      <c r="B156" t="s">
        <v>3</v>
      </c>
      <c r="C156">
        <v>35</v>
      </c>
      <c r="D156" s="2">
        <v>30000</v>
      </c>
      <c r="E156" s="2">
        <f t="shared" si="2"/>
        <v>1050000</v>
      </c>
    </row>
    <row r="157" spans="1:5" hidden="1" x14ac:dyDescent="0.3">
      <c r="A157" t="s">
        <v>116</v>
      </c>
      <c r="B157" t="s">
        <v>26</v>
      </c>
      <c r="C157">
        <v>2615</v>
      </c>
      <c r="D157" s="2">
        <v>10000</v>
      </c>
      <c r="E157" s="2">
        <f>C157*D157</f>
        <v>26150000</v>
      </c>
    </row>
    <row r="158" spans="1:5" hidden="1" x14ac:dyDescent="0.3">
      <c r="A158" t="s">
        <v>88</v>
      </c>
      <c r="B158" t="s">
        <v>3</v>
      </c>
      <c r="C158">
        <v>0</v>
      </c>
      <c r="D158"/>
      <c r="E158">
        <f t="shared" si="2"/>
        <v>0</v>
      </c>
    </row>
    <row r="159" spans="1:5" hidden="1" x14ac:dyDescent="0.3">
      <c r="A159" t="s">
        <v>72</v>
      </c>
      <c r="B159" t="s">
        <v>3</v>
      </c>
      <c r="C159">
        <v>88</v>
      </c>
      <c r="D159" s="2">
        <v>16000</v>
      </c>
      <c r="E159" s="2">
        <f>C159*D159</f>
        <v>1408000</v>
      </c>
    </row>
    <row r="160" spans="1:5" hidden="1" x14ac:dyDescent="0.3">
      <c r="A160" t="s">
        <v>23</v>
      </c>
      <c r="B160" t="s">
        <v>22</v>
      </c>
      <c r="C160">
        <v>0</v>
      </c>
      <c r="D160"/>
      <c r="E160">
        <f t="shared" si="2"/>
        <v>0</v>
      </c>
    </row>
    <row r="161" spans="1:5" hidden="1" x14ac:dyDescent="0.3">
      <c r="A161" t="s">
        <v>84</v>
      </c>
      <c r="B161" t="s">
        <v>22</v>
      </c>
      <c r="C161">
        <v>0</v>
      </c>
      <c r="D161"/>
      <c r="E161">
        <f t="shared" si="2"/>
        <v>0</v>
      </c>
    </row>
    <row r="162" spans="1:5" hidden="1" x14ac:dyDescent="0.3">
      <c r="A162" t="s">
        <v>86</v>
      </c>
      <c r="B162" t="s">
        <v>22</v>
      </c>
      <c r="C162">
        <v>0</v>
      </c>
      <c r="D162"/>
      <c r="E162">
        <f t="shared" si="2"/>
        <v>0</v>
      </c>
    </row>
    <row r="163" spans="1:5" hidden="1" x14ac:dyDescent="0.3">
      <c r="A163" t="s">
        <v>85</v>
      </c>
      <c r="B163" t="s">
        <v>22</v>
      </c>
      <c r="C163">
        <v>0</v>
      </c>
      <c r="D163"/>
      <c r="E163">
        <f t="shared" si="2"/>
        <v>0</v>
      </c>
    </row>
    <row r="164" spans="1:5" hidden="1" x14ac:dyDescent="0.3">
      <c r="D164"/>
      <c r="E164">
        <f>SUM(E118:E159)</f>
        <v>41900000</v>
      </c>
    </row>
    <row r="165" spans="1:5" hidden="1" x14ac:dyDescent="0.3">
      <c r="D165"/>
      <c r="E165">
        <f>E164+E115</f>
        <v>255492800</v>
      </c>
    </row>
  </sheetData>
  <autoFilter ref="A2:E165" xr:uid="{00000000-0009-0000-0000-000019000000}">
    <filterColumn colId="0">
      <filters>
        <filter val="Hạt Dẻ Ngố"/>
        <filter val="Hạt Dẻ Tươi"/>
      </filters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E169"/>
  <sheetViews>
    <sheetView workbookViewId="0">
      <selection activeCell="G18" sqref="G18"/>
    </sheetView>
  </sheetViews>
  <sheetFormatPr defaultRowHeight="14.4" x14ac:dyDescent="0.3"/>
  <cols>
    <col min="1" max="1" width="28" customWidth="1"/>
    <col min="4" max="4" width="11.77734375" customWidth="1"/>
    <col min="5" max="5" width="17.109375" customWidth="1"/>
  </cols>
  <sheetData>
    <row r="1" spans="1:5" x14ac:dyDescent="0.3">
      <c r="A1" t="s">
        <v>177</v>
      </c>
    </row>
    <row r="2" spans="1:5" x14ac:dyDescent="0.3">
      <c r="A2" t="s">
        <v>0</v>
      </c>
      <c r="B2" t="s">
        <v>1</v>
      </c>
      <c r="C2" t="s">
        <v>102</v>
      </c>
      <c r="D2" t="s">
        <v>115</v>
      </c>
      <c r="E2" t="s">
        <v>101</v>
      </c>
    </row>
    <row r="3" spans="1:5" hidden="1" x14ac:dyDescent="0.3">
      <c r="A3" t="s">
        <v>44</v>
      </c>
      <c r="B3" t="s">
        <v>3</v>
      </c>
      <c r="C3">
        <v>34</v>
      </c>
      <c r="D3">
        <v>36000</v>
      </c>
      <c r="E3">
        <f>C3*D3</f>
        <v>1224000</v>
      </c>
    </row>
    <row r="4" spans="1:5" hidden="1" x14ac:dyDescent="0.3">
      <c r="A4" t="s">
        <v>45</v>
      </c>
      <c r="B4" t="s">
        <v>3</v>
      </c>
      <c r="C4">
        <v>890</v>
      </c>
      <c r="D4">
        <v>7500</v>
      </c>
      <c r="E4">
        <f t="shared" ref="E4:E67" si="0">C4*D4</f>
        <v>6675000</v>
      </c>
    </row>
    <row r="5" spans="1:5" hidden="1" x14ac:dyDescent="0.3">
      <c r="A5" t="s">
        <v>17</v>
      </c>
      <c r="B5" t="s">
        <v>3</v>
      </c>
      <c r="C5">
        <v>624</v>
      </c>
      <c r="D5">
        <v>5000</v>
      </c>
      <c r="E5">
        <f t="shared" si="0"/>
        <v>3120000</v>
      </c>
    </row>
    <row r="6" spans="1:5" hidden="1" x14ac:dyDescent="0.3">
      <c r="A6" t="s">
        <v>95</v>
      </c>
      <c r="B6" t="s">
        <v>3</v>
      </c>
      <c r="C6">
        <v>0</v>
      </c>
      <c r="E6">
        <f t="shared" si="0"/>
        <v>0</v>
      </c>
    </row>
    <row r="7" spans="1:5" hidden="1" x14ac:dyDescent="0.3">
      <c r="A7" t="s">
        <v>92</v>
      </c>
      <c r="B7" t="s">
        <v>3</v>
      </c>
      <c r="C7">
        <v>25</v>
      </c>
      <c r="D7">
        <v>11500</v>
      </c>
      <c r="E7">
        <f t="shared" si="0"/>
        <v>287500</v>
      </c>
    </row>
    <row r="8" spans="1:5" hidden="1" x14ac:dyDescent="0.3">
      <c r="A8" t="s">
        <v>24</v>
      </c>
      <c r="B8" t="s">
        <v>3</v>
      </c>
      <c r="C8">
        <v>360</v>
      </c>
      <c r="D8">
        <v>11500</v>
      </c>
      <c r="E8">
        <f t="shared" si="0"/>
        <v>4140000</v>
      </c>
    </row>
    <row r="9" spans="1:5" hidden="1" x14ac:dyDescent="0.3">
      <c r="A9" t="s">
        <v>78</v>
      </c>
      <c r="B9" t="s">
        <v>3</v>
      </c>
      <c r="C9">
        <v>0</v>
      </c>
      <c r="E9">
        <f t="shared" si="0"/>
        <v>0</v>
      </c>
    </row>
    <row r="10" spans="1:5" hidden="1" x14ac:dyDescent="0.3">
      <c r="A10" t="s">
        <v>25</v>
      </c>
      <c r="B10" t="s">
        <v>3</v>
      </c>
      <c r="C10">
        <v>120</v>
      </c>
      <c r="D10">
        <v>21000</v>
      </c>
      <c r="E10">
        <f t="shared" si="0"/>
        <v>2520000</v>
      </c>
    </row>
    <row r="11" spans="1:5" hidden="1" x14ac:dyDescent="0.3">
      <c r="A11" t="s">
        <v>25</v>
      </c>
      <c r="B11" t="s">
        <v>26</v>
      </c>
      <c r="C11">
        <v>0</v>
      </c>
      <c r="E11">
        <f t="shared" si="0"/>
        <v>0</v>
      </c>
    </row>
    <row r="12" spans="1:5" hidden="1" x14ac:dyDescent="0.3">
      <c r="A12" t="s">
        <v>25</v>
      </c>
      <c r="B12" t="s">
        <v>175</v>
      </c>
      <c r="C12">
        <v>0</v>
      </c>
      <c r="E12">
        <f t="shared" si="0"/>
        <v>0</v>
      </c>
    </row>
    <row r="13" spans="1:5" hidden="1" x14ac:dyDescent="0.3">
      <c r="A13" t="s">
        <v>27</v>
      </c>
      <c r="B13" t="s">
        <v>3</v>
      </c>
      <c r="C13">
        <v>18</v>
      </c>
      <c r="D13">
        <v>22000</v>
      </c>
      <c r="E13">
        <f t="shared" si="0"/>
        <v>396000</v>
      </c>
    </row>
    <row r="14" spans="1:5" hidden="1" x14ac:dyDescent="0.3">
      <c r="A14" t="s">
        <v>27</v>
      </c>
      <c r="B14" t="s">
        <v>26</v>
      </c>
      <c r="C14">
        <v>0</v>
      </c>
      <c r="E14">
        <f t="shared" si="0"/>
        <v>0</v>
      </c>
    </row>
    <row r="15" spans="1:5" hidden="1" x14ac:dyDescent="0.3">
      <c r="A15" t="s">
        <v>37</v>
      </c>
      <c r="B15" t="s">
        <v>3</v>
      </c>
      <c r="C15">
        <v>0</v>
      </c>
      <c r="E15">
        <f t="shared" si="0"/>
        <v>0</v>
      </c>
    </row>
    <row r="16" spans="1:5" hidden="1" x14ac:dyDescent="0.3">
      <c r="A16" t="s">
        <v>46</v>
      </c>
      <c r="B16" t="s">
        <v>3</v>
      </c>
      <c r="C16">
        <v>4</v>
      </c>
      <c r="D16">
        <v>16000</v>
      </c>
      <c r="E16">
        <f t="shared" si="0"/>
        <v>64000</v>
      </c>
    </row>
    <row r="17" spans="1:5" hidden="1" x14ac:dyDescent="0.3">
      <c r="A17" t="s">
        <v>47</v>
      </c>
      <c r="B17" t="s">
        <v>3</v>
      </c>
      <c r="C17">
        <v>108</v>
      </c>
      <c r="D17">
        <v>25000</v>
      </c>
      <c r="E17">
        <f t="shared" si="0"/>
        <v>2700000</v>
      </c>
    </row>
    <row r="18" spans="1:5" hidden="1" x14ac:dyDescent="0.3">
      <c r="A18" t="s">
        <v>123</v>
      </c>
      <c r="B18" t="s">
        <v>3</v>
      </c>
      <c r="C18">
        <v>0</v>
      </c>
      <c r="E18">
        <f t="shared" si="0"/>
        <v>0</v>
      </c>
    </row>
    <row r="19" spans="1:5" hidden="1" x14ac:dyDescent="0.3">
      <c r="A19" t="s">
        <v>82</v>
      </c>
      <c r="B19" t="s">
        <v>3</v>
      </c>
      <c r="C19">
        <v>22</v>
      </c>
      <c r="D19">
        <v>35000</v>
      </c>
      <c r="E19">
        <f t="shared" si="0"/>
        <v>770000</v>
      </c>
    </row>
    <row r="20" spans="1:5" hidden="1" x14ac:dyDescent="0.3">
      <c r="A20" t="s">
        <v>16</v>
      </c>
      <c r="B20" t="s">
        <v>6</v>
      </c>
      <c r="C20">
        <v>7</v>
      </c>
      <c r="D20">
        <v>9000</v>
      </c>
      <c r="E20">
        <f t="shared" si="0"/>
        <v>63000</v>
      </c>
    </row>
    <row r="21" spans="1:5" hidden="1" x14ac:dyDescent="0.3">
      <c r="A21" t="s">
        <v>28</v>
      </c>
      <c r="B21" t="s">
        <v>3</v>
      </c>
      <c r="C21">
        <v>295</v>
      </c>
      <c r="D21">
        <v>17000</v>
      </c>
      <c r="E21">
        <f t="shared" si="0"/>
        <v>5015000</v>
      </c>
    </row>
    <row r="22" spans="1:5" hidden="1" x14ac:dyDescent="0.3">
      <c r="A22" t="s">
        <v>28</v>
      </c>
      <c r="B22" t="s">
        <v>6</v>
      </c>
      <c r="C22">
        <v>0</v>
      </c>
      <c r="E22">
        <f t="shared" si="0"/>
        <v>0</v>
      </c>
    </row>
    <row r="23" spans="1:5" hidden="1" x14ac:dyDescent="0.3">
      <c r="A23" t="s">
        <v>28</v>
      </c>
      <c r="B23" t="s">
        <v>29</v>
      </c>
      <c r="C23">
        <v>0</v>
      </c>
      <c r="E23">
        <f t="shared" si="0"/>
        <v>0</v>
      </c>
    </row>
    <row r="24" spans="1:5" hidden="1" x14ac:dyDescent="0.3">
      <c r="A24" t="s">
        <v>48</v>
      </c>
      <c r="B24" t="s">
        <v>3</v>
      </c>
      <c r="C24">
        <v>28</v>
      </c>
      <c r="D24">
        <v>16000</v>
      </c>
      <c r="E24">
        <f t="shared" si="0"/>
        <v>448000</v>
      </c>
    </row>
    <row r="25" spans="1:5" hidden="1" x14ac:dyDescent="0.3">
      <c r="A25" t="s">
        <v>48</v>
      </c>
      <c r="B25" t="s">
        <v>49</v>
      </c>
      <c r="C25">
        <v>0</v>
      </c>
      <c r="E25">
        <f t="shared" si="0"/>
        <v>0</v>
      </c>
    </row>
    <row r="26" spans="1:5" hidden="1" x14ac:dyDescent="0.3">
      <c r="A26" t="s">
        <v>40</v>
      </c>
      <c r="B26" t="s">
        <v>3</v>
      </c>
      <c r="C26">
        <v>16</v>
      </c>
      <c r="D26">
        <v>24000</v>
      </c>
      <c r="E26">
        <f t="shared" si="0"/>
        <v>384000</v>
      </c>
    </row>
    <row r="27" spans="1:5" hidden="1" x14ac:dyDescent="0.3">
      <c r="A27" t="s">
        <v>40</v>
      </c>
      <c r="B27" t="s">
        <v>41</v>
      </c>
      <c r="C27">
        <v>93</v>
      </c>
      <c r="D27">
        <v>8400</v>
      </c>
      <c r="E27">
        <f t="shared" si="0"/>
        <v>781200</v>
      </c>
    </row>
    <row r="28" spans="1:5" hidden="1" x14ac:dyDescent="0.3">
      <c r="A28" t="s">
        <v>50</v>
      </c>
      <c r="B28" t="s">
        <v>8</v>
      </c>
      <c r="C28">
        <v>5</v>
      </c>
      <c r="D28">
        <v>12600</v>
      </c>
      <c r="E28">
        <f t="shared" si="0"/>
        <v>63000</v>
      </c>
    </row>
    <row r="29" spans="1:5" hidden="1" x14ac:dyDescent="0.3">
      <c r="A29" t="s">
        <v>51</v>
      </c>
      <c r="B29" t="s">
        <v>3</v>
      </c>
      <c r="C29">
        <v>11</v>
      </c>
      <c r="D29">
        <v>31000</v>
      </c>
      <c r="E29">
        <f t="shared" si="0"/>
        <v>341000</v>
      </c>
    </row>
    <row r="30" spans="1:5" hidden="1" x14ac:dyDescent="0.3">
      <c r="A30" t="s">
        <v>51</v>
      </c>
      <c r="B30" t="s">
        <v>52</v>
      </c>
      <c r="C30">
        <v>403</v>
      </c>
      <c r="D30">
        <v>10000</v>
      </c>
      <c r="E30">
        <f t="shared" si="0"/>
        <v>4030000</v>
      </c>
    </row>
    <row r="31" spans="1:5" hidden="1" x14ac:dyDescent="0.3">
      <c r="A31" t="s">
        <v>30</v>
      </c>
      <c r="B31" t="s">
        <v>3</v>
      </c>
      <c r="C31">
        <v>980</v>
      </c>
      <c r="D31">
        <v>16000</v>
      </c>
      <c r="E31">
        <f t="shared" si="0"/>
        <v>15680000</v>
      </c>
    </row>
    <row r="32" spans="1:5" hidden="1" x14ac:dyDescent="0.3">
      <c r="A32" t="s">
        <v>30</v>
      </c>
      <c r="B32" t="s">
        <v>6</v>
      </c>
      <c r="C32">
        <v>0</v>
      </c>
      <c r="E32">
        <f t="shared" si="0"/>
        <v>0</v>
      </c>
    </row>
    <row r="33" spans="1:5" hidden="1" x14ac:dyDescent="0.3">
      <c r="A33" t="s">
        <v>31</v>
      </c>
      <c r="B33" t="s">
        <v>4</v>
      </c>
      <c r="C33">
        <v>120</v>
      </c>
      <c r="D33">
        <v>7000</v>
      </c>
      <c r="E33">
        <f t="shared" si="0"/>
        <v>840000</v>
      </c>
    </row>
    <row r="34" spans="1:5" hidden="1" x14ac:dyDescent="0.3">
      <c r="A34" t="s">
        <v>2</v>
      </c>
      <c r="B34" t="s">
        <v>3</v>
      </c>
      <c r="C34">
        <v>210</v>
      </c>
      <c r="D34">
        <v>13000</v>
      </c>
      <c r="E34">
        <f t="shared" si="0"/>
        <v>2730000</v>
      </c>
    </row>
    <row r="35" spans="1:5" hidden="1" x14ac:dyDescent="0.3">
      <c r="A35" t="s">
        <v>2</v>
      </c>
      <c r="B35" t="s">
        <v>4</v>
      </c>
      <c r="C35">
        <v>0</v>
      </c>
      <c r="E35">
        <f t="shared" si="0"/>
        <v>0</v>
      </c>
    </row>
    <row r="36" spans="1:5" hidden="1" x14ac:dyDescent="0.3">
      <c r="A36" t="s">
        <v>5</v>
      </c>
      <c r="B36" t="s">
        <v>3</v>
      </c>
      <c r="C36">
        <v>0</v>
      </c>
      <c r="E36">
        <f t="shared" si="0"/>
        <v>0</v>
      </c>
    </row>
    <row r="37" spans="1:5" hidden="1" x14ac:dyDescent="0.3">
      <c r="A37" t="s">
        <v>5</v>
      </c>
      <c r="B37" t="s">
        <v>6</v>
      </c>
      <c r="C37">
        <v>8</v>
      </c>
      <c r="D37">
        <v>10000</v>
      </c>
      <c r="E37">
        <f t="shared" si="0"/>
        <v>80000</v>
      </c>
    </row>
    <row r="38" spans="1:5" hidden="1" x14ac:dyDescent="0.3">
      <c r="A38" t="s">
        <v>53</v>
      </c>
      <c r="B38" t="s">
        <v>3</v>
      </c>
      <c r="C38">
        <v>135</v>
      </c>
      <c r="D38">
        <v>16000</v>
      </c>
      <c r="E38">
        <f t="shared" si="0"/>
        <v>2160000</v>
      </c>
    </row>
    <row r="39" spans="1:5" hidden="1" x14ac:dyDescent="0.3">
      <c r="A39" t="s">
        <v>53</v>
      </c>
      <c r="B39" t="s">
        <v>54</v>
      </c>
      <c r="C39">
        <v>0</v>
      </c>
      <c r="E39">
        <f t="shared" si="0"/>
        <v>0</v>
      </c>
    </row>
    <row r="40" spans="1:5" hidden="1" x14ac:dyDescent="0.3">
      <c r="A40" t="s">
        <v>18</v>
      </c>
      <c r="B40" t="s">
        <v>3</v>
      </c>
      <c r="C40">
        <v>3</v>
      </c>
      <c r="D40">
        <v>34000</v>
      </c>
      <c r="E40">
        <f t="shared" si="0"/>
        <v>102000</v>
      </c>
    </row>
    <row r="41" spans="1:5" hidden="1" x14ac:dyDescent="0.3">
      <c r="A41" t="s">
        <v>18</v>
      </c>
      <c r="B41" t="s">
        <v>4</v>
      </c>
      <c r="C41">
        <v>0</v>
      </c>
      <c r="E41">
        <f t="shared" si="0"/>
        <v>0</v>
      </c>
    </row>
    <row r="42" spans="1:5" hidden="1" x14ac:dyDescent="0.3">
      <c r="A42" t="s">
        <v>55</v>
      </c>
      <c r="B42" t="s">
        <v>3</v>
      </c>
      <c r="C42">
        <v>0</v>
      </c>
      <c r="E42">
        <f t="shared" si="0"/>
        <v>0</v>
      </c>
    </row>
    <row r="43" spans="1:5" hidden="1" x14ac:dyDescent="0.3">
      <c r="A43" t="s">
        <v>55</v>
      </c>
      <c r="B43" t="s">
        <v>4</v>
      </c>
      <c r="C43">
        <v>13</v>
      </c>
      <c r="D43">
        <v>3900</v>
      </c>
      <c r="E43">
        <f t="shared" si="0"/>
        <v>50700</v>
      </c>
    </row>
    <row r="44" spans="1:5" hidden="1" x14ac:dyDescent="0.3">
      <c r="A44" t="s">
        <v>19</v>
      </c>
      <c r="B44" t="s">
        <v>3</v>
      </c>
      <c r="C44">
        <v>0</v>
      </c>
      <c r="E44">
        <f t="shared" si="0"/>
        <v>0</v>
      </c>
    </row>
    <row r="45" spans="1:5" hidden="1" x14ac:dyDescent="0.3">
      <c r="A45" t="s">
        <v>19</v>
      </c>
      <c r="B45" t="s">
        <v>4</v>
      </c>
      <c r="C45">
        <v>8</v>
      </c>
      <c r="D45">
        <v>3900</v>
      </c>
      <c r="E45">
        <f t="shared" si="0"/>
        <v>31200</v>
      </c>
    </row>
    <row r="46" spans="1:5" hidden="1" x14ac:dyDescent="0.3">
      <c r="A46" t="s">
        <v>20</v>
      </c>
      <c r="B46" t="s">
        <v>3</v>
      </c>
      <c r="C46">
        <v>910</v>
      </c>
      <c r="D46">
        <v>5500</v>
      </c>
      <c r="E46">
        <f t="shared" si="0"/>
        <v>5005000</v>
      </c>
    </row>
    <row r="47" spans="1:5" hidden="1" x14ac:dyDescent="0.3">
      <c r="A47" t="s">
        <v>97</v>
      </c>
      <c r="B47" t="s">
        <v>3</v>
      </c>
      <c r="C47">
        <v>15</v>
      </c>
      <c r="D47">
        <v>16000</v>
      </c>
      <c r="E47">
        <f t="shared" si="0"/>
        <v>240000</v>
      </c>
    </row>
    <row r="48" spans="1:5" hidden="1" x14ac:dyDescent="0.3">
      <c r="A48" t="s">
        <v>21</v>
      </c>
      <c r="B48" t="s">
        <v>22</v>
      </c>
      <c r="C48">
        <v>0</v>
      </c>
      <c r="E48">
        <f t="shared" si="0"/>
        <v>0</v>
      </c>
    </row>
    <row r="49" spans="1:5" hidden="1" x14ac:dyDescent="0.3">
      <c r="A49" t="s">
        <v>21</v>
      </c>
      <c r="B49" t="s">
        <v>3</v>
      </c>
      <c r="C49">
        <v>16</v>
      </c>
      <c r="D49">
        <v>12000</v>
      </c>
      <c r="E49">
        <f t="shared" si="0"/>
        <v>192000</v>
      </c>
    </row>
    <row r="50" spans="1:5" hidden="1" x14ac:dyDescent="0.3">
      <c r="A50" t="s">
        <v>56</v>
      </c>
      <c r="B50" t="s">
        <v>3</v>
      </c>
      <c r="C50">
        <v>18</v>
      </c>
      <c r="D50">
        <v>14000</v>
      </c>
      <c r="E50">
        <f t="shared" si="0"/>
        <v>252000</v>
      </c>
    </row>
    <row r="51" spans="1:5" hidden="1" x14ac:dyDescent="0.3">
      <c r="A51" t="s">
        <v>7</v>
      </c>
      <c r="B51" t="s">
        <v>8</v>
      </c>
      <c r="C51">
        <v>8</v>
      </c>
      <c r="D51">
        <v>11500</v>
      </c>
      <c r="E51">
        <f t="shared" si="0"/>
        <v>92000</v>
      </c>
    </row>
    <row r="52" spans="1:5" hidden="1" x14ac:dyDescent="0.3">
      <c r="A52" t="s">
        <v>7</v>
      </c>
      <c r="B52" t="s">
        <v>3</v>
      </c>
      <c r="C52">
        <v>0</v>
      </c>
      <c r="E52">
        <f t="shared" si="0"/>
        <v>0</v>
      </c>
    </row>
    <row r="53" spans="1:5" hidden="1" x14ac:dyDescent="0.3">
      <c r="A53" t="s">
        <v>107</v>
      </c>
      <c r="B53" t="s">
        <v>3</v>
      </c>
      <c r="C53">
        <v>9</v>
      </c>
      <c r="D53">
        <v>16000</v>
      </c>
      <c r="E53">
        <f t="shared" si="0"/>
        <v>144000</v>
      </c>
    </row>
    <row r="54" spans="1:5" hidden="1" x14ac:dyDescent="0.3">
      <c r="A54" t="s">
        <v>57</v>
      </c>
      <c r="B54" t="s">
        <v>3</v>
      </c>
      <c r="C54">
        <v>112</v>
      </c>
      <c r="D54">
        <v>7000</v>
      </c>
      <c r="E54">
        <f t="shared" si="0"/>
        <v>784000</v>
      </c>
    </row>
    <row r="55" spans="1:5" hidden="1" x14ac:dyDescent="0.3">
      <c r="A55" t="s">
        <v>9</v>
      </c>
      <c r="B55" t="s">
        <v>3</v>
      </c>
      <c r="C55">
        <v>77</v>
      </c>
      <c r="D55">
        <v>10000</v>
      </c>
      <c r="E55">
        <f t="shared" si="0"/>
        <v>770000</v>
      </c>
    </row>
    <row r="56" spans="1:5" hidden="1" x14ac:dyDescent="0.3">
      <c r="A56" t="s">
        <v>9</v>
      </c>
      <c r="B56" t="s">
        <v>4</v>
      </c>
      <c r="C56">
        <v>0</v>
      </c>
      <c r="E56">
        <f t="shared" si="0"/>
        <v>0</v>
      </c>
    </row>
    <row r="57" spans="1:5" hidden="1" x14ac:dyDescent="0.3">
      <c r="A57" t="s">
        <v>58</v>
      </c>
      <c r="B57" t="s">
        <v>3</v>
      </c>
      <c r="C57">
        <v>25</v>
      </c>
      <c r="D57">
        <v>23000</v>
      </c>
      <c r="E57">
        <f t="shared" si="0"/>
        <v>575000</v>
      </c>
    </row>
    <row r="58" spans="1:5" hidden="1" x14ac:dyDescent="0.3">
      <c r="A58" t="s">
        <v>10</v>
      </c>
      <c r="B58" t="s">
        <v>3</v>
      </c>
      <c r="C58">
        <v>280</v>
      </c>
      <c r="D58">
        <v>14000</v>
      </c>
      <c r="E58">
        <f t="shared" si="0"/>
        <v>3920000</v>
      </c>
    </row>
    <row r="59" spans="1:5" hidden="1" x14ac:dyDescent="0.3">
      <c r="A59" t="s">
        <v>10</v>
      </c>
      <c r="B59" t="s">
        <v>11</v>
      </c>
      <c r="C59">
        <v>0</v>
      </c>
      <c r="E59">
        <f t="shared" si="0"/>
        <v>0</v>
      </c>
    </row>
    <row r="60" spans="1:5" hidden="1" x14ac:dyDescent="0.3">
      <c r="A60" t="s">
        <v>106</v>
      </c>
      <c r="B60" t="s">
        <v>3</v>
      </c>
      <c r="C60">
        <v>10</v>
      </c>
      <c r="D60">
        <v>20000</v>
      </c>
      <c r="E60">
        <f t="shared" si="0"/>
        <v>200000</v>
      </c>
    </row>
    <row r="61" spans="1:5" hidden="1" x14ac:dyDescent="0.3">
      <c r="A61" t="s">
        <v>12</v>
      </c>
      <c r="B61" t="s">
        <v>4</v>
      </c>
      <c r="C61">
        <v>130</v>
      </c>
      <c r="D61">
        <v>3600</v>
      </c>
      <c r="E61">
        <f t="shared" si="0"/>
        <v>468000</v>
      </c>
    </row>
    <row r="62" spans="1:5" hidden="1" x14ac:dyDescent="0.3">
      <c r="A62" t="s">
        <v>39</v>
      </c>
      <c r="B62" t="s">
        <v>3</v>
      </c>
      <c r="C62">
        <v>140</v>
      </c>
      <c r="D62">
        <v>30000</v>
      </c>
      <c r="E62">
        <f t="shared" si="0"/>
        <v>4200000</v>
      </c>
    </row>
    <row r="63" spans="1:5" hidden="1" x14ac:dyDescent="0.3">
      <c r="A63" t="s">
        <v>13</v>
      </c>
      <c r="B63" t="s">
        <v>3</v>
      </c>
      <c r="C63">
        <v>665</v>
      </c>
      <c r="D63">
        <v>30000</v>
      </c>
      <c r="E63">
        <f t="shared" si="0"/>
        <v>19950000</v>
      </c>
    </row>
    <row r="64" spans="1:5" hidden="1" x14ac:dyDescent="0.3">
      <c r="A64" t="s">
        <v>13</v>
      </c>
      <c r="B64" t="s">
        <v>4</v>
      </c>
      <c r="C64">
        <v>0</v>
      </c>
      <c r="E64">
        <f t="shared" si="0"/>
        <v>0</v>
      </c>
    </row>
    <row r="65" spans="1:5" hidden="1" x14ac:dyDescent="0.3">
      <c r="A65" t="s">
        <v>133</v>
      </c>
      <c r="B65" t="s">
        <v>3</v>
      </c>
      <c r="C65">
        <v>280</v>
      </c>
      <c r="D65">
        <v>17000</v>
      </c>
      <c r="E65">
        <f t="shared" si="0"/>
        <v>4760000</v>
      </c>
    </row>
    <row r="66" spans="1:5" hidden="1" x14ac:dyDescent="0.3">
      <c r="A66" t="s">
        <v>14</v>
      </c>
      <c r="B66" t="s">
        <v>3</v>
      </c>
      <c r="C66">
        <v>68</v>
      </c>
      <c r="D66">
        <v>17000</v>
      </c>
      <c r="E66">
        <f t="shared" si="0"/>
        <v>1156000</v>
      </c>
    </row>
    <row r="67" spans="1:5" hidden="1" x14ac:dyDescent="0.3">
      <c r="A67" t="s">
        <v>93</v>
      </c>
      <c r="B67" t="s">
        <v>3</v>
      </c>
      <c r="C67">
        <v>38</v>
      </c>
      <c r="D67">
        <v>25000</v>
      </c>
      <c r="E67">
        <f t="shared" si="0"/>
        <v>950000</v>
      </c>
    </row>
    <row r="68" spans="1:5" hidden="1" x14ac:dyDescent="0.3">
      <c r="A68" t="s">
        <v>42</v>
      </c>
      <c r="B68" t="s">
        <v>3</v>
      </c>
      <c r="C68">
        <v>0</v>
      </c>
      <c r="E68">
        <f t="shared" ref="E68:E133" si="1">C68*D68</f>
        <v>0</v>
      </c>
    </row>
    <row r="69" spans="1:5" hidden="1" x14ac:dyDescent="0.3">
      <c r="A69" t="s">
        <v>89</v>
      </c>
      <c r="B69" t="s">
        <v>4</v>
      </c>
      <c r="C69">
        <v>0</v>
      </c>
      <c r="E69">
        <f t="shared" si="1"/>
        <v>0</v>
      </c>
    </row>
    <row r="70" spans="1:5" hidden="1" x14ac:dyDescent="0.3">
      <c r="A70" t="s">
        <v>15</v>
      </c>
      <c r="B70" t="s">
        <v>3</v>
      </c>
      <c r="C70">
        <v>705</v>
      </c>
      <c r="D70">
        <v>17000</v>
      </c>
      <c r="E70">
        <f t="shared" si="1"/>
        <v>11985000</v>
      </c>
    </row>
    <row r="71" spans="1:5" hidden="1" x14ac:dyDescent="0.3">
      <c r="A71" t="s">
        <v>15</v>
      </c>
      <c r="B71" t="s">
        <v>4</v>
      </c>
      <c r="C71">
        <v>0</v>
      </c>
      <c r="E71">
        <f t="shared" si="1"/>
        <v>0</v>
      </c>
    </row>
    <row r="72" spans="1:5" hidden="1" x14ac:dyDescent="0.3">
      <c r="A72" t="s">
        <v>87</v>
      </c>
      <c r="B72" t="s">
        <v>4</v>
      </c>
      <c r="C72">
        <v>120</v>
      </c>
      <c r="D72">
        <v>7500</v>
      </c>
      <c r="E72">
        <f t="shared" si="1"/>
        <v>900000</v>
      </c>
    </row>
    <row r="73" spans="1:5" hidden="1" x14ac:dyDescent="0.3">
      <c r="A73" t="s">
        <v>59</v>
      </c>
      <c r="B73" t="s">
        <v>3</v>
      </c>
      <c r="C73">
        <v>35</v>
      </c>
      <c r="D73">
        <v>13000</v>
      </c>
      <c r="E73">
        <f t="shared" si="1"/>
        <v>455000</v>
      </c>
    </row>
    <row r="74" spans="1:5" hidden="1" x14ac:dyDescent="0.3">
      <c r="A74" t="s">
        <v>60</v>
      </c>
      <c r="B74" t="s">
        <v>4</v>
      </c>
      <c r="C74">
        <v>80</v>
      </c>
      <c r="D74">
        <v>9000</v>
      </c>
      <c r="E74">
        <f t="shared" si="1"/>
        <v>720000</v>
      </c>
    </row>
    <row r="75" spans="1:5" hidden="1" x14ac:dyDescent="0.3">
      <c r="A75" t="s">
        <v>61</v>
      </c>
      <c r="B75" t="s">
        <v>3</v>
      </c>
      <c r="C75">
        <v>0</v>
      </c>
      <c r="E75">
        <f t="shared" si="1"/>
        <v>0</v>
      </c>
    </row>
    <row r="76" spans="1:5" hidden="1" x14ac:dyDescent="0.3">
      <c r="A76" t="s">
        <v>61</v>
      </c>
      <c r="B76" t="s">
        <v>62</v>
      </c>
      <c r="C76">
        <v>179</v>
      </c>
      <c r="D76">
        <v>14500</v>
      </c>
      <c r="E76">
        <f t="shared" si="1"/>
        <v>2595500</v>
      </c>
    </row>
    <row r="77" spans="1:5" hidden="1" x14ac:dyDescent="0.3">
      <c r="A77" t="s">
        <v>63</v>
      </c>
      <c r="B77" t="s">
        <v>3</v>
      </c>
      <c r="C77">
        <v>0</v>
      </c>
      <c r="E77">
        <f t="shared" si="1"/>
        <v>0</v>
      </c>
    </row>
    <row r="78" spans="1:5" hidden="1" x14ac:dyDescent="0.3">
      <c r="A78" t="s">
        <v>79</v>
      </c>
      <c r="B78" t="s">
        <v>3</v>
      </c>
      <c r="C78">
        <v>0</v>
      </c>
      <c r="E78">
        <f t="shared" si="1"/>
        <v>0</v>
      </c>
    </row>
    <row r="79" spans="1:5" hidden="1" x14ac:dyDescent="0.3">
      <c r="A79" t="s">
        <v>64</v>
      </c>
      <c r="B79" t="s">
        <v>3</v>
      </c>
      <c r="C79">
        <v>0</v>
      </c>
      <c r="E79">
        <f t="shared" si="1"/>
        <v>0</v>
      </c>
    </row>
    <row r="80" spans="1:5" hidden="1" x14ac:dyDescent="0.3">
      <c r="A80" t="s">
        <v>65</v>
      </c>
      <c r="B80" t="s">
        <v>3</v>
      </c>
      <c r="C80">
        <v>0</v>
      </c>
      <c r="E80">
        <f t="shared" si="1"/>
        <v>0</v>
      </c>
    </row>
    <row r="81" spans="1:5" hidden="1" x14ac:dyDescent="0.3">
      <c r="A81" t="s">
        <v>90</v>
      </c>
      <c r="B81" t="s">
        <v>4</v>
      </c>
      <c r="C81">
        <v>0</v>
      </c>
      <c r="E81">
        <f t="shared" si="1"/>
        <v>0</v>
      </c>
    </row>
    <row r="82" spans="1:5" hidden="1" x14ac:dyDescent="0.3">
      <c r="A82" t="s">
        <v>32</v>
      </c>
      <c r="B82" t="s">
        <v>3</v>
      </c>
      <c r="C82">
        <v>63</v>
      </c>
      <c r="D82">
        <v>9500</v>
      </c>
      <c r="E82">
        <f t="shared" si="1"/>
        <v>598500</v>
      </c>
    </row>
    <row r="83" spans="1:5" hidden="1" x14ac:dyDescent="0.3">
      <c r="A83" t="s">
        <v>32</v>
      </c>
      <c r="B83" t="s">
        <v>6</v>
      </c>
      <c r="C83">
        <v>1925</v>
      </c>
      <c r="D83">
        <v>7000</v>
      </c>
      <c r="E83">
        <f t="shared" si="1"/>
        <v>13475000</v>
      </c>
    </row>
    <row r="84" spans="1:5" hidden="1" x14ac:dyDescent="0.3">
      <c r="A84" t="s">
        <v>81</v>
      </c>
      <c r="B84" t="s">
        <v>3</v>
      </c>
      <c r="C84">
        <v>0</v>
      </c>
      <c r="E84">
        <f t="shared" si="1"/>
        <v>0</v>
      </c>
    </row>
    <row r="85" spans="1:5" hidden="1" x14ac:dyDescent="0.3">
      <c r="A85" t="s">
        <v>33</v>
      </c>
      <c r="B85" t="s">
        <v>3</v>
      </c>
      <c r="C85">
        <v>20</v>
      </c>
      <c r="D85">
        <v>12000</v>
      </c>
      <c r="E85">
        <f t="shared" si="1"/>
        <v>240000</v>
      </c>
    </row>
    <row r="86" spans="1:5" hidden="1" x14ac:dyDescent="0.3">
      <c r="A86" t="s">
        <v>66</v>
      </c>
      <c r="B86" t="s">
        <v>22</v>
      </c>
      <c r="C86">
        <v>0</v>
      </c>
      <c r="E86">
        <f t="shared" si="1"/>
        <v>0</v>
      </c>
    </row>
    <row r="87" spans="1:5" hidden="1" x14ac:dyDescent="0.3">
      <c r="A87" t="s">
        <v>66</v>
      </c>
      <c r="B87" t="s">
        <v>3</v>
      </c>
      <c r="C87">
        <v>20</v>
      </c>
      <c r="D87">
        <v>17000</v>
      </c>
      <c r="E87">
        <f t="shared" si="1"/>
        <v>340000</v>
      </c>
    </row>
    <row r="88" spans="1:5" x14ac:dyDescent="0.3">
      <c r="A88" t="s">
        <v>43</v>
      </c>
      <c r="B88" t="s">
        <v>3</v>
      </c>
      <c r="C88">
        <v>1000</v>
      </c>
      <c r="D88">
        <v>27600</v>
      </c>
      <c r="E88">
        <f t="shared" si="1"/>
        <v>27600000</v>
      </c>
    </row>
    <row r="89" spans="1:5" hidden="1" x14ac:dyDescent="0.3">
      <c r="A89" t="s">
        <v>67</v>
      </c>
      <c r="B89" t="s">
        <v>3</v>
      </c>
      <c r="C89">
        <v>0</v>
      </c>
      <c r="E89">
        <f t="shared" si="1"/>
        <v>0</v>
      </c>
    </row>
    <row r="90" spans="1:5" hidden="1" x14ac:dyDescent="0.3">
      <c r="A90" t="s">
        <v>68</v>
      </c>
      <c r="B90" t="s">
        <v>4</v>
      </c>
      <c r="C90">
        <v>0</v>
      </c>
      <c r="E90">
        <f t="shared" si="1"/>
        <v>0</v>
      </c>
    </row>
    <row r="91" spans="1:5" hidden="1" x14ac:dyDescent="0.3">
      <c r="A91" t="s">
        <v>69</v>
      </c>
      <c r="B91" t="s">
        <v>3</v>
      </c>
      <c r="C91">
        <v>28</v>
      </c>
      <c r="D91">
        <v>14000</v>
      </c>
      <c r="E91">
        <f t="shared" si="1"/>
        <v>392000</v>
      </c>
    </row>
    <row r="92" spans="1:5" hidden="1" x14ac:dyDescent="0.3">
      <c r="A92" t="s">
        <v>38</v>
      </c>
      <c r="B92" t="s">
        <v>6</v>
      </c>
      <c r="C92">
        <v>0</v>
      </c>
      <c r="E92">
        <f t="shared" si="1"/>
        <v>0</v>
      </c>
    </row>
    <row r="93" spans="1:5" hidden="1" x14ac:dyDescent="0.3">
      <c r="A93" t="s">
        <v>70</v>
      </c>
      <c r="B93" t="s">
        <v>8</v>
      </c>
      <c r="C93">
        <v>0</v>
      </c>
      <c r="E93">
        <f t="shared" si="1"/>
        <v>0</v>
      </c>
    </row>
    <row r="94" spans="1:5" hidden="1" x14ac:dyDescent="0.3">
      <c r="A94" t="s">
        <v>70</v>
      </c>
      <c r="B94" t="s">
        <v>3</v>
      </c>
      <c r="C94">
        <v>4</v>
      </c>
      <c r="D94">
        <v>45000</v>
      </c>
      <c r="E94">
        <f t="shared" si="1"/>
        <v>180000</v>
      </c>
    </row>
    <row r="95" spans="1:5" hidden="1" x14ac:dyDescent="0.3">
      <c r="A95" t="s">
        <v>34</v>
      </c>
      <c r="B95" t="s">
        <v>3</v>
      </c>
      <c r="C95">
        <v>34</v>
      </c>
      <c r="D95">
        <v>32000</v>
      </c>
      <c r="E95">
        <f t="shared" si="1"/>
        <v>1088000</v>
      </c>
    </row>
    <row r="96" spans="1:5" hidden="1" x14ac:dyDescent="0.3">
      <c r="A96" t="s">
        <v>34</v>
      </c>
      <c r="B96" t="s">
        <v>26</v>
      </c>
      <c r="C96">
        <v>0</v>
      </c>
      <c r="E96">
        <f t="shared" si="1"/>
        <v>0</v>
      </c>
    </row>
    <row r="97" spans="1:5" hidden="1" x14ac:dyDescent="0.3">
      <c r="A97" t="s">
        <v>34</v>
      </c>
      <c r="B97" t="s">
        <v>176</v>
      </c>
      <c r="C97">
        <v>0</v>
      </c>
      <c r="E97">
        <f t="shared" si="1"/>
        <v>0</v>
      </c>
    </row>
    <row r="98" spans="1:5" hidden="1" x14ac:dyDescent="0.3">
      <c r="A98" t="s">
        <v>35</v>
      </c>
      <c r="B98" t="s">
        <v>3</v>
      </c>
      <c r="C98">
        <v>4</v>
      </c>
      <c r="D98">
        <v>38000</v>
      </c>
      <c r="E98">
        <f t="shared" si="1"/>
        <v>152000</v>
      </c>
    </row>
    <row r="99" spans="1:5" hidden="1" x14ac:dyDescent="0.3">
      <c r="A99" t="s">
        <v>35</v>
      </c>
      <c r="B99" t="s">
        <v>26</v>
      </c>
      <c r="C99">
        <v>0</v>
      </c>
      <c r="E99">
        <f t="shared" si="1"/>
        <v>0</v>
      </c>
    </row>
    <row r="100" spans="1:5" hidden="1" x14ac:dyDescent="0.3">
      <c r="A100" t="s">
        <v>35</v>
      </c>
      <c r="B100" t="s">
        <v>176</v>
      </c>
      <c r="C100">
        <v>0</v>
      </c>
      <c r="E100">
        <f t="shared" si="1"/>
        <v>0</v>
      </c>
    </row>
    <row r="101" spans="1:5" hidden="1" x14ac:dyDescent="0.3">
      <c r="A101" t="s">
        <v>36</v>
      </c>
      <c r="B101" t="s">
        <v>3</v>
      </c>
      <c r="C101">
        <v>88</v>
      </c>
      <c r="D101">
        <v>30000</v>
      </c>
      <c r="E101">
        <f t="shared" si="1"/>
        <v>2640000</v>
      </c>
    </row>
    <row r="102" spans="1:5" hidden="1" x14ac:dyDescent="0.3">
      <c r="A102" t="s">
        <v>36</v>
      </c>
      <c r="B102" t="s">
        <v>26</v>
      </c>
      <c r="C102">
        <v>0</v>
      </c>
      <c r="E102">
        <f t="shared" si="1"/>
        <v>0</v>
      </c>
    </row>
    <row r="103" spans="1:5" hidden="1" x14ac:dyDescent="0.3">
      <c r="A103" t="s">
        <v>36</v>
      </c>
      <c r="B103" t="s">
        <v>176</v>
      </c>
      <c r="C103">
        <v>0</v>
      </c>
      <c r="E103">
        <f t="shared" si="1"/>
        <v>0</v>
      </c>
    </row>
    <row r="104" spans="1:5" hidden="1" x14ac:dyDescent="0.3">
      <c r="A104" t="s">
        <v>71</v>
      </c>
      <c r="B104" t="s">
        <v>4</v>
      </c>
      <c r="C104">
        <v>74</v>
      </c>
      <c r="D104">
        <v>22000</v>
      </c>
      <c r="E104">
        <f t="shared" si="1"/>
        <v>1628000</v>
      </c>
    </row>
    <row r="105" spans="1:5" hidden="1" x14ac:dyDescent="0.3">
      <c r="A105" t="s">
        <v>83</v>
      </c>
      <c r="B105" t="s">
        <v>4</v>
      </c>
      <c r="C105">
        <v>0</v>
      </c>
      <c r="E105">
        <f t="shared" si="1"/>
        <v>0</v>
      </c>
    </row>
    <row r="106" spans="1:5" hidden="1" x14ac:dyDescent="0.3">
      <c r="A106" t="s">
        <v>105</v>
      </c>
      <c r="B106" t="s">
        <v>3</v>
      </c>
      <c r="C106">
        <v>0</v>
      </c>
      <c r="E106">
        <f t="shared" si="1"/>
        <v>0</v>
      </c>
    </row>
    <row r="107" spans="1:5" hidden="1" x14ac:dyDescent="0.3">
      <c r="A107" t="s">
        <v>116</v>
      </c>
      <c r="B107" t="s">
        <v>26</v>
      </c>
      <c r="C107">
        <v>3865</v>
      </c>
      <c r="D107">
        <v>10000</v>
      </c>
      <c r="E107">
        <f t="shared" si="1"/>
        <v>38650000</v>
      </c>
    </row>
    <row r="108" spans="1:5" hidden="1" x14ac:dyDescent="0.3">
      <c r="A108" t="s">
        <v>150</v>
      </c>
      <c r="B108" t="s">
        <v>26</v>
      </c>
      <c r="C108">
        <v>791</v>
      </c>
      <c r="D108">
        <v>17000</v>
      </c>
      <c r="E108">
        <f t="shared" si="1"/>
        <v>13447000</v>
      </c>
    </row>
    <row r="109" spans="1:5" hidden="1" x14ac:dyDescent="0.3">
      <c r="A109" t="s">
        <v>88</v>
      </c>
      <c r="B109" t="s">
        <v>3</v>
      </c>
      <c r="C109">
        <v>1066</v>
      </c>
      <c r="D109">
        <v>28000</v>
      </c>
      <c r="E109">
        <f t="shared" si="1"/>
        <v>29848000</v>
      </c>
    </row>
    <row r="110" spans="1:5" hidden="1" x14ac:dyDescent="0.3">
      <c r="A110" t="s">
        <v>91</v>
      </c>
      <c r="B110" t="s">
        <v>3</v>
      </c>
      <c r="C110">
        <v>0</v>
      </c>
      <c r="E110">
        <f t="shared" si="1"/>
        <v>0</v>
      </c>
    </row>
    <row r="111" spans="1:5" hidden="1" x14ac:dyDescent="0.3">
      <c r="A111" t="s">
        <v>117</v>
      </c>
      <c r="B111" t="s">
        <v>8</v>
      </c>
      <c r="C111">
        <v>0</v>
      </c>
      <c r="E111">
        <f t="shared" si="1"/>
        <v>0</v>
      </c>
    </row>
    <row r="112" spans="1:5" hidden="1" x14ac:dyDescent="0.3">
      <c r="A112" t="s">
        <v>72</v>
      </c>
      <c r="B112" t="s">
        <v>3</v>
      </c>
      <c r="C112">
        <v>165</v>
      </c>
      <c r="D112">
        <v>16000</v>
      </c>
      <c r="E112">
        <f t="shared" si="1"/>
        <v>2640000</v>
      </c>
    </row>
    <row r="113" spans="1:5" hidden="1" x14ac:dyDescent="0.3">
      <c r="A113" t="s">
        <v>80</v>
      </c>
      <c r="B113" t="s">
        <v>3</v>
      </c>
      <c r="C113">
        <v>0</v>
      </c>
      <c r="E113">
        <f t="shared" si="1"/>
        <v>0</v>
      </c>
    </row>
    <row r="114" spans="1:5" hidden="1" x14ac:dyDescent="0.3">
      <c r="A114" t="s">
        <v>73</v>
      </c>
      <c r="B114" t="s">
        <v>3</v>
      </c>
      <c r="C114">
        <v>20</v>
      </c>
      <c r="D114">
        <v>33000</v>
      </c>
      <c r="E114">
        <f t="shared" si="1"/>
        <v>660000</v>
      </c>
    </row>
    <row r="115" spans="1:5" hidden="1" x14ac:dyDescent="0.3">
      <c r="A115" t="s">
        <v>23</v>
      </c>
      <c r="B115" t="s">
        <v>3</v>
      </c>
      <c r="C115">
        <v>0</v>
      </c>
      <c r="E115">
        <f t="shared" si="1"/>
        <v>0</v>
      </c>
    </row>
    <row r="116" spans="1:5" hidden="1" x14ac:dyDescent="0.3">
      <c r="A116" t="s">
        <v>84</v>
      </c>
      <c r="B116" t="s">
        <v>22</v>
      </c>
      <c r="C116">
        <v>0</v>
      </c>
      <c r="E116">
        <f t="shared" si="1"/>
        <v>0</v>
      </c>
    </row>
    <row r="117" spans="1:5" hidden="1" x14ac:dyDescent="0.3">
      <c r="A117" t="s">
        <v>74</v>
      </c>
      <c r="B117" t="s">
        <v>3</v>
      </c>
      <c r="C117">
        <v>0</v>
      </c>
      <c r="E117">
        <f t="shared" si="1"/>
        <v>0</v>
      </c>
    </row>
    <row r="118" spans="1:5" hidden="1" x14ac:dyDescent="0.3">
      <c r="A118" t="s">
        <v>86</v>
      </c>
      <c r="B118" t="s">
        <v>22</v>
      </c>
      <c r="C118">
        <v>0</v>
      </c>
      <c r="E118">
        <f t="shared" si="1"/>
        <v>0</v>
      </c>
    </row>
    <row r="119" spans="1:5" hidden="1" x14ac:dyDescent="0.3">
      <c r="A119" t="s">
        <v>75</v>
      </c>
      <c r="B119" t="s">
        <v>3</v>
      </c>
      <c r="C119">
        <v>0</v>
      </c>
      <c r="E119">
        <f t="shared" si="1"/>
        <v>0</v>
      </c>
    </row>
    <row r="120" spans="1:5" hidden="1" x14ac:dyDescent="0.3">
      <c r="A120" t="s">
        <v>76</v>
      </c>
      <c r="B120" t="s">
        <v>3</v>
      </c>
      <c r="C120">
        <v>0</v>
      </c>
      <c r="E120">
        <f t="shared" si="1"/>
        <v>0</v>
      </c>
    </row>
    <row r="121" spans="1:5" hidden="1" x14ac:dyDescent="0.3">
      <c r="A121" t="s">
        <v>85</v>
      </c>
      <c r="B121" t="s">
        <v>22</v>
      </c>
      <c r="C121">
        <v>0</v>
      </c>
      <c r="E121">
        <f t="shared" si="1"/>
        <v>0</v>
      </c>
    </row>
    <row r="122" spans="1:5" hidden="1" x14ac:dyDescent="0.3">
      <c r="E122">
        <f>SUM(E3:E114)</f>
        <v>248587600</v>
      </c>
    </row>
    <row r="123" spans="1:5" hidden="1" x14ac:dyDescent="0.3">
      <c r="A123" t="s">
        <v>103</v>
      </c>
    </row>
    <row r="124" spans="1:5" hidden="1" x14ac:dyDescent="0.3">
      <c r="A124" t="s">
        <v>0</v>
      </c>
      <c r="B124" t="s">
        <v>1</v>
      </c>
      <c r="C124" t="s">
        <v>102</v>
      </c>
      <c r="D124" t="s">
        <v>115</v>
      </c>
      <c r="E124" t="s">
        <v>101</v>
      </c>
    </row>
    <row r="125" spans="1:5" hidden="1" x14ac:dyDescent="0.3">
      <c r="A125" t="s">
        <v>44</v>
      </c>
      <c r="B125" t="s">
        <v>3</v>
      </c>
      <c r="C125">
        <v>4</v>
      </c>
      <c r="D125">
        <v>36000</v>
      </c>
      <c r="E125">
        <f t="shared" si="1"/>
        <v>144000</v>
      </c>
    </row>
    <row r="126" spans="1:5" hidden="1" x14ac:dyDescent="0.3">
      <c r="A126" t="s">
        <v>45</v>
      </c>
      <c r="B126" t="s">
        <v>3</v>
      </c>
      <c r="C126">
        <v>15</v>
      </c>
      <c r="D126">
        <v>7500</v>
      </c>
      <c r="E126">
        <f t="shared" si="1"/>
        <v>112500</v>
      </c>
    </row>
    <row r="127" spans="1:5" hidden="1" x14ac:dyDescent="0.3">
      <c r="A127" t="s">
        <v>17</v>
      </c>
      <c r="B127" t="s">
        <v>3</v>
      </c>
      <c r="C127">
        <v>100</v>
      </c>
      <c r="D127">
        <v>6500</v>
      </c>
      <c r="E127">
        <f t="shared" si="1"/>
        <v>650000</v>
      </c>
    </row>
    <row r="128" spans="1:5" hidden="1" x14ac:dyDescent="0.3">
      <c r="A128" t="s">
        <v>95</v>
      </c>
      <c r="B128" t="s">
        <v>3</v>
      </c>
      <c r="C128">
        <v>0</v>
      </c>
      <c r="E128">
        <f t="shared" si="1"/>
        <v>0</v>
      </c>
    </row>
    <row r="129" spans="1:5" hidden="1" x14ac:dyDescent="0.3">
      <c r="A129" t="s">
        <v>24</v>
      </c>
      <c r="B129" t="s">
        <v>3</v>
      </c>
      <c r="C129">
        <v>0</v>
      </c>
      <c r="E129">
        <f t="shared" si="1"/>
        <v>0</v>
      </c>
    </row>
    <row r="130" spans="1:5" hidden="1" x14ac:dyDescent="0.3">
      <c r="A130" t="s">
        <v>25</v>
      </c>
      <c r="B130" t="s">
        <v>3</v>
      </c>
      <c r="C130">
        <v>8</v>
      </c>
      <c r="D130">
        <v>21000</v>
      </c>
      <c r="E130">
        <f t="shared" si="1"/>
        <v>168000</v>
      </c>
    </row>
    <row r="131" spans="1:5" hidden="1" x14ac:dyDescent="0.3">
      <c r="A131" t="s">
        <v>37</v>
      </c>
      <c r="B131" t="s">
        <v>3</v>
      </c>
      <c r="C131">
        <v>0</v>
      </c>
      <c r="E131">
        <f t="shared" si="1"/>
        <v>0</v>
      </c>
    </row>
    <row r="132" spans="1:5" hidden="1" x14ac:dyDescent="0.3">
      <c r="A132" t="s">
        <v>46</v>
      </c>
      <c r="B132" t="s">
        <v>3</v>
      </c>
      <c r="C132">
        <v>0</v>
      </c>
      <c r="E132">
        <f t="shared" si="1"/>
        <v>0</v>
      </c>
    </row>
    <row r="133" spans="1:5" hidden="1" x14ac:dyDescent="0.3">
      <c r="A133" t="s">
        <v>94</v>
      </c>
      <c r="B133" t="s">
        <v>3</v>
      </c>
      <c r="C133">
        <v>42</v>
      </c>
      <c r="D133">
        <v>25000</v>
      </c>
      <c r="E133">
        <f t="shared" si="1"/>
        <v>1050000</v>
      </c>
    </row>
    <row r="134" spans="1:5" hidden="1" x14ac:dyDescent="0.3">
      <c r="A134" t="s">
        <v>28</v>
      </c>
      <c r="B134" t="s">
        <v>3</v>
      </c>
      <c r="C134">
        <v>40</v>
      </c>
      <c r="D134">
        <v>17000</v>
      </c>
      <c r="E134">
        <f t="shared" ref="E134:E167" si="2">C134*D134</f>
        <v>680000</v>
      </c>
    </row>
    <row r="135" spans="1:5" hidden="1" x14ac:dyDescent="0.3">
      <c r="A135" t="s">
        <v>30</v>
      </c>
      <c r="B135" t="s">
        <v>3</v>
      </c>
      <c r="C135">
        <v>80</v>
      </c>
      <c r="D135">
        <v>16000</v>
      </c>
      <c r="E135">
        <f t="shared" si="2"/>
        <v>1280000</v>
      </c>
    </row>
    <row r="136" spans="1:5" hidden="1" x14ac:dyDescent="0.3">
      <c r="A136" t="s">
        <v>2</v>
      </c>
      <c r="B136" t="s">
        <v>3</v>
      </c>
      <c r="C136">
        <v>90</v>
      </c>
      <c r="D136">
        <v>13000</v>
      </c>
      <c r="E136">
        <f t="shared" si="2"/>
        <v>1170000</v>
      </c>
    </row>
    <row r="137" spans="1:5" hidden="1" x14ac:dyDescent="0.3">
      <c r="A137" t="s">
        <v>53</v>
      </c>
      <c r="B137" t="s">
        <v>3</v>
      </c>
      <c r="C137">
        <v>5</v>
      </c>
      <c r="D137">
        <v>16000</v>
      </c>
      <c r="E137">
        <f t="shared" si="2"/>
        <v>80000</v>
      </c>
    </row>
    <row r="138" spans="1:5" hidden="1" x14ac:dyDescent="0.3">
      <c r="A138" t="s">
        <v>20</v>
      </c>
      <c r="B138" t="s">
        <v>3</v>
      </c>
      <c r="C138">
        <v>130</v>
      </c>
      <c r="D138">
        <v>5500</v>
      </c>
      <c r="E138">
        <f t="shared" si="2"/>
        <v>715000</v>
      </c>
    </row>
    <row r="139" spans="1:5" hidden="1" x14ac:dyDescent="0.3">
      <c r="A139" t="s">
        <v>97</v>
      </c>
      <c r="B139" t="s">
        <v>3</v>
      </c>
      <c r="C139">
        <v>5</v>
      </c>
      <c r="D139">
        <v>16000</v>
      </c>
      <c r="E139">
        <f t="shared" si="2"/>
        <v>80000</v>
      </c>
    </row>
    <row r="140" spans="1:5" hidden="1" x14ac:dyDescent="0.3">
      <c r="A140" t="s">
        <v>98</v>
      </c>
      <c r="B140" t="s">
        <v>3</v>
      </c>
      <c r="C140">
        <v>270</v>
      </c>
      <c r="D140">
        <v>5500</v>
      </c>
      <c r="E140">
        <f t="shared" si="2"/>
        <v>1485000</v>
      </c>
    </row>
    <row r="141" spans="1:5" hidden="1" x14ac:dyDescent="0.3">
      <c r="A141" t="s">
        <v>21</v>
      </c>
      <c r="B141" t="s">
        <v>3</v>
      </c>
      <c r="C141">
        <v>0</v>
      </c>
      <c r="E141">
        <f t="shared" si="2"/>
        <v>0</v>
      </c>
    </row>
    <row r="142" spans="1:5" hidden="1" x14ac:dyDescent="0.3">
      <c r="A142" t="s">
        <v>96</v>
      </c>
      <c r="B142" t="s">
        <v>3</v>
      </c>
      <c r="C142">
        <v>0</v>
      </c>
      <c r="E142">
        <f t="shared" si="2"/>
        <v>0</v>
      </c>
    </row>
    <row r="143" spans="1:5" hidden="1" x14ac:dyDescent="0.3">
      <c r="A143" t="s">
        <v>56</v>
      </c>
      <c r="B143" t="s">
        <v>3</v>
      </c>
      <c r="C143">
        <v>12</v>
      </c>
      <c r="D143">
        <v>14000</v>
      </c>
      <c r="E143">
        <f t="shared" si="2"/>
        <v>168000</v>
      </c>
    </row>
    <row r="144" spans="1:5" hidden="1" x14ac:dyDescent="0.3">
      <c r="A144" t="s">
        <v>57</v>
      </c>
      <c r="B144" t="s">
        <v>3</v>
      </c>
      <c r="C144">
        <v>18</v>
      </c>
      <c r="D144">
        <v>7000</v>
      </c>
      <c r="E144">
        <f t="shared" si="2"/>
        <v>126000</v>
      </c>
    </row>
    <row r="145" spans="1:5" hidden="1" x14ac:dyDescent="0.3">
      <c r="A145" t="s">
        <v>9</v>
      </c>
      <c r="B145" t="s">
        <v>3</v>
      </c>
      <c r="C145">
        <v>3</v>
      </c>
      <c r="D145">
        <v>10000</v>
      </c>
      <c r="E145">
        <f t="shared" si="2"/>
        <v>30000</v>
      </c>
    </row>
    <row r="146" spans="1:5" hidden="1" x14ac:dyDescent="0.3">
      <c r="A146" t="s">
        <v>10</v>
      </c>
      <c r="B146" t="s">
        <v>3</v>
      </c>
      <c r="C146">
        <v>10</v>
      </c>
      <c r="D146">
        <v>14000</v>
      </c>
      <c r="E146">
        <f t="shared" si="2"/>
        <v>140000</v>
      </c>
    </row>
    <row r="147" spans="1:5" hidden="1" x14ac:dyDescent="0.3">
      <c r="A147" t="s">
        <v>14</v>
      </c>
      <c r="B147" t="s">
        <v>3</v>
      </c>
      <c r="C147">
        <v>60</v>
      </c>
      <c r="D147">
        <v>17000</v>
      </c>
      <c r="E147">
        <f t="shared" si="2"/>
        <v>1020000</v>
      </c>
    </row>
    <row r="148" spans="1:5" hidden="1" x14ac:dyDescent="0.3">
      <c r="A148" t="s">
        <v>109</v>
      </c>
      <c r="B148" t="s">
        <v>3</v>
      </c>
      <c r="C148">
        <v>0</v>
      </c>
      <c r="E148">
        <f t="shared" si="2"/>
        <v>0</v>
      </c>
    </row>
    <row r="149" spans="1:5" hidden="1" x14ac:dyDescent="0.3">
      <c r="A149" t="s">
        <v>15</v>
      </c>
      <c r="B149" t="s">
        <v>3</v>
      </c>
      <c r="C149">
        <v>35</v>
      </c>
      <c r="D149">
        <v>17000</v>
      </c>
      <c r="E149">
        <f t="shared" si="2"/>
        <v>595000</v>
      </c>
    </row>
    <row r="150" spans="1:5" hidden="1" x14ac:dyDescent="0.3">
      <c r="A150" t="s">
        <v>59</v>
      </c>
      <c r="B150" t="s">
        <v>3</v>
      </c>
      <c r="C150">
        <v>10</v>
      </c>
      <c r="D150">
        <v>13000</v>
      </c>
      <c r="E150">
        <f t="shared" si="2"/>
        <v>130000</v>
      </c>
    </row>
    <row r="151" spans="1:5" hidden="1" x14ac:dyDescent="0.3">
      <c r="A151" t="s">
        <v>60</v>
      </c>
      <c r="B151" t="s">
        <v>4</v>
      </c>
      <c r="C151">
        <v>0</v>
      </c>
      <c r="E151">
        <f t="shared" si="2"/>
        <v>0</v>
      </c>
    </row>
    <row r="152" spans="1:5" hidden="1" x14ac:dyDescent="0.3">
      <c r="A152" t="s">
        <v>61</v>
      </c>
      <c r="B152" t="s">
        <v>4</v>
      </c>
      <c r="C152">
        <v>10</v>
      </c>
      <c r="D152">
        <v>14500</v>
      </c>
      <c r="E152">
        <f t="shared" si="2"/>
        <v>145000</v>
      </c>
    </row>
    <row r="153" spans="1:5" hidden="1" x14ac:dyDescent="0.3">
      <c r="A153" t="s">
        <v>32</v>
      </c>
      <c r="B153" t="s">
        <v>3</v>
      </c>
      <c r="C153">
        <v>150</v>
      </c>
      <c r="D153">
        <v>9500</v>
      </c>
      <c r="E153">
        <f t="shared" si="2"/>
        <v>1425000</v>
      </c>
    </row>
    <row r="154" spans="1:5" hidden="1" x14ac:dyDescent="0.3">
      <c r="A154" t="s">
        <v>32</v>
      </c>
      <c r="B154" t="s">
        <v>6</v>
      </c>
      <c r="C154">
        <v>189</v>
      </c>
      <c r="D154">
        <v>7000</v>
      </c>
      <c r="E154">
        <f t="shared" si="2"/>
        <v>1323000</v>
      </c>
    </row>
    <row r="155" spans="1:5" hidden="1" x14ac:dyDescent="0.3">
      <c r="A155" t="s">
        <v>66</v>
      </c>
      <c r="B155" t="s">
        <v>3</v>
      </c>
      <c r="C155">
        <v>10</v>
      </c>
      <c r="D155">
        <v>17000</v>
      </c>
      <c r="E155">
        <f t="shared" si="2"/>
        <v>170000</v>
      </c>
    </row>
    <row r="156" spans="1:5" x14ac:dyDescent="0.3">
      <c r="A156" t="s">
        <v>43</v>
      </c>
      <c r="B156" t="s">
        <v>3</v>
      </c>
      <c r="C156">
        <v>0</v>
      </c>
      <c r="E156">
        <f t="shared" si="2"/>
        <v>0</v>
      </c>
    </row>
    <row r="157" spans="1:5" hidden="1" x14ac:dyDescent="0.3">
      <c r="A157" t="s">
        <v>67</v>
      </c>
      <c r="B157" t="s">
        <v>3</v>
      </c>
      <c r="C157">
        <v>0</v>
      </c>
      <c r="E157">
        <f t="shared" si="2"/>
        <v>0</v>
      </c>
    </row>
    <row r="158" spans="1:5" hidden="1" x14ac:dyDescent="0.3">
      <c r="A158" t="s">
        <v>34</v>
      </c>
      <c r="B158" t="s">
        <v>3</v>
      </c>
      <c r="C158">
        <v>3</v>
      </c>
      <c r="D158">
        <v>32000</v>
      </c>
      <c r="E158">
        <f t="shared" si="2"/>
        <v>96000</v>
      </c>
    </row>
    <row r="159" spans="1:5" hidden="1" x14ac:dyDescent="0.3">
      <c r="A159" t="s">
        <v>35</v>
      </c>
      <c r="B159" t="s">
        <v>3</v>
      </c>
      <c r="C159">
        <v>0</v>
      </c>
      <c r="E159">
        <f t="shared" si="2"/>
        <v>0</v>
      </c>
    </row>
    <row r="160" spans="1:5" hidden="1" x14ac:dyDescent="0.3">
      <c r="A160" t="s">
        <v>36</v>
      </c>
      <c r="B160" t="s">
        <v>3</v>
      </c>
      <c r="C160">
        <v>2</v>
      </c>
      <c r="D160">
        <v>30000</v>
      </c>
      <c r="E160">
        <f t="shared" si="2"/>
        <v>60000</v>
      </c>
    </row>
    <row r="161" spans="1:5" hidden="1" x14ac:dyDescent="0.3">
      <c r="A161" t="s">
        <v>116</v>
      </c>
      <c r="B161" t="s">
        <v>26</v>
      </c>
      <c r="C161">
        <v>400</v>
      </c>
      <c r="D161">
        <v>10000</v>
      </c>
      <c r="E161">
        <f t="shared" si="2"/>
        <v>4000000</v>
      </c>
    </row>
    <row r="162" spans="1:5" hidden="1" x14ac:dyDescent="0.3">
      <c r="A162" t="s">
        <v>88</v>
      </c>
      <c r="B162" t="s">
        <v>3</v>
      </c>
      <c r="C162">
        <v>300</v>
      </c>
      <c r="D162">
        <v>28000</v>
      </c>
      <c r="E162">
        <f t="shared" si="2"/>
        <v>8400000</v>
      </c>
    </row>
    <row r="163" spans="1:5" hidden="1" x14ac:dyDescent="0.3">
      <c r="A163" t="s">
        <v>72</v>
      </c>
      <c r="B163" t="s">
        <v>3</v>
      </c>
      <c r="C163">
        <v>15</v>
      </c>
      <c r="D163">
        <v>16000</v>
      </c>
      <c r="E163">
        <f t="shared" si="2"/>
        <v>240000</v>
      </c>
    </row>
    <row r="164" spans="1:5" hidden="1" x14ac:dyDescent="0.3">
      <c r="A164" t="s">
        <v>23</v>
      </c>
      <c r="B164" t="s">
        <v>22</v>
      </c>
      <c r="C164">
        <v>0</v>
      </c>
      <c r="E164">
        <f t="shared" si="2"/>
        <v>0</v>
      </c>
    </row>
    <row r="165" spans="1:5" hidden="1" x14ac:dyDescent="0.3">
      <c r="A165" t="s">
        <v>84</v>
      </c>
      <c r="B165" t="s">
        <v>22</v>
      </c>
      <c r="C165">
        <v>0</v>
      </c>
      <c r="E165">
        <f t="shared" si="2"/>
        <v>0</v>
      </c>
    </row>
    <row r="166" spans="1:5" hidden="1" x14ac:dyDescent="0.3">
      <c r="A166" t="s">
        <v>86</v>
      </c>
      <c r="B166" t="s">
        <v>22</v>
      </c>
      <c r="C166">
        <v>0</v>
      </c>
      <c r="E166">
        <f t="shared" si="2"/>
        <v>0</v>
      </c>
    </row>
    <row r="167" spans="1:5" hidden="1" x14ac:dyDescent="0.3">
      <c r="A167" t="s">
        <v>85</v>
      </c>
      <c r="B167" t="s">
        <v>22</v>
      </c>
      <c r="C167">
        <v>0</v>
      </c>
      <c r="E167">
        <f t="shared" si="2"/>
        <v>0</v>
      </c>
    </row>
    <row r="168" spans="1:5" hidden="1" x14ac:dyDescent="0.3">
      <c r="E168">
        <f>SUM(E125:E163)</f>
        <v>25682500</v>
      </c>
    </row>
    <row r="169" spans="1:5" hidden="1" x14ac:dyDescent="0.3">
      <c r="E169" s="2">
        <f>E168+E122</f>
        <v>274270100</v>
      </c>
    </row>
  </sheetData>
  <autoFilter ref="A2:E169" xr:uid="{00000000-0009-0000-0000-00001A000000}">
    <filterColumn colId="0">
      <filters>
        <filter val="Hạt Dẻ Ngố"/>
      </filters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E158"/>
  <sheetViews>
    <sheetView topLeftCell="A124" workbookViewId="0">
      <selection activeCell="E158" sqref="E158"/>
    </sheetView>
  </sheetViews>
  <sheetFormatPr defaultRowHeight="14.4" x14ac:dyDescent="0.3"/>
  <cols>
    <col min="1" max="1" width="24.44140625" customWidth="1"/>
    <col min="3" max="3" width="9" customWidth="1"/>
    <col min="4" max="4" width="11.88671875" customWidth="1"/>
    <col min="5" max="5" width="16.6640625" customWidth="1"/>
  </cols>
  <sheetData>
    <row r="1" spans="1:5" x14ac:dyDescent="0.3">
      <c r="A1" t="s">
        <v>178</v>
      </c>
    </row>
    <row r="2" spans="1:5" x14ac:dyDescent="0.3">
      <c r="A2" t="s">
        <v>0</v>
      </c>
      <c r="B2" t="s">
        <v>1</v>
      </c>
      <c r="C2" s="1" t="s">
        <v>102</v>
      </c>
      <c r="D2" t="s">
        <v>100</v>
      </c>
      <c r="E2" t="s">
        <v>101</v>
      </c>
    </row>
    <row r="3" spans="1:5" x14ac:dyDescent="0.3">
      <c r="A3" t="s">
        <v>2</v>
      </c>
      <c r="B3" t="s">
        <v>3</v>
      </c>
      <c r="C3">
        <v>65</v>
      </c>
      <c r="D3">
        <v>14000</v>
      </c>
      <c r="E3">
        <f>C3*D3</f>
        <v>910000</v>
      </c>
    </row>
    <row r="4" spans="1:5" hidden="1" x14ac:dyDescent="0.3">
      <c r="A4" t="s">
        <v>2</v>
      </c>
      <c r="B4" t="s">
        <v>4</v>
      </c>
      <c r="C4">
        <v>0</v>
      </c>
      <c r="E4">
        <f t="shared" ref="E4:E67" si="0">C4*D4</f>
        <v>0</v>
      </c>
    </row>
    <row r="5" spans="1:5" hidden="1" x14ac:dyDescent="0.3">
      <c r="A5" t="s">
        <v>5</v>
      </c>
      <c r="B5" t="s">
        <v>6</v>
      </c>
      <c r="C5">
        <v>0</v>
      </c>
      <c r="E5">
        <f t="shared" si="0"/>
        <v>0</v>
      </c>
    </row>
    <row r="6" spans="1:5" x14ac:dyDescent="0.3">
      <c r="A6" t="s">
        <v>7</v>
      </c>
      <c r="B6" t="s">
        <v>8</v>
      </c>
      <c r="C6">
        <v>8</v>
      </c>
      <c r="D6">
        <v>11500</v>
      </c>
      <c r="E6">
        <f t="shared" si="0"/>
        <v>92000</v>
      </c>
    </row>
    <row r="7" spans="1:5" x14ac:dyDescent="0.3">
      <c r="A7" t="s">
        <v>9</v>
      </c>
      <c r="B7" t="s">
        <v>3</v>
      </c>
      <c r="C7">
        <v>106</v>
      </c>
      <c r="D7">
        <v>10000</v>
      </c>
      <c r="E7">
        <f t="shared" si="0"/>
        <v>1060000</v>
      </c>
    </row>
    <row r="8" spans="1:5" hidden="1" x14ac:dyDescent="0.3">
      <c r="A8" t="s">
        <v>9</v>
      </c>
      <c r="B8" t="s">
        <v>4</v>
      </c>
      <c r="C8">
        <v>0</v>
      </c>
      <c r="E8">
        <f t="shared" si="0"/>
        <v>0</v>
      </c>
    </row>
    <row r="9" spans="1:5" x14ac:dyDescent="0.3">
      <c r="A9" t="s">
        <v>10</v>
      </c>
      <c r="B9" t="s">
        <v>3</v>
      </c>
      <c r="C9">
        <v>258</v>
      </c>
      <c r="D9">
        <v>14500</v>
      </c>
      <c r="E9">
        <f t="shared" si="0"/>
        <v>3741000</v>
      </c>
    </row>
    <row r="10" spans="1:5" hidden="1" x14ac:dyDescent="0.3">
      <c r="A10" t="s">
        <v>10</v>
      </c>
      <c r="B10" t="s">
        <v>11</v>
      </c>
      <c r="C10">
        <v>0</v>
      </c>
      <c r="E10">
        <f t="shared" si="0"/>
        <v>0</v>
      </c>
    </row>
    <row r="11" spans="1:5" x14ac:dyDescent="0.3">
      <c r="A11" t="s">
        <v>12</v>
      </c>
      <c r="B11" t="s">
        <v>4</v>
      </c>
      <c r="C11">
        <v>100</v>
      </c>
      <c r="D11">
        <v>3600</v>
      </c>
      <c r="E11">
        <f t="shared" si="0"/>
        <v>360000</v>
      </c>
    </row>
    <row r="12" spans="1:5" x14ac:dyDescent="0.3">
      <c r="A12" t="s">
        <v>13</v>
      </c>
      <c r="B12" t="s">
        <v>3</v>
      </c>
      <c r="C12">
        <v>390</v>
      </c>
      <c r="D12">
        <v>30000</v>
      </c>
      <c r="E12">
        <f t="shared" si="0"/>
        <v>11700000</v>
      </c>
    </row>
    <row r="13" spans="1:5" hidden="1" x14ac:dyDescent="0.3">
      <c r="A13" t="s">
        <v>13</v>
      </c>
      <c r="B13" t="s">
        <v>4</v>
      </c>
      <c r="C13">
        <v>0</v>
      </c>
      <c r="E13">
        <f t="shared" si="0"/>
        <v>0</v>
      </c>
    </row>
    <row r="14" spans="1:5" x14ac:dyDescent="0.3">
      <c r="A14" t="s">
        <v>14</v>
      </c>
      <c r="B14" t="s">
        <v>3</v>
      </c>
      <c r="C14">
        <v>110</v>
      </c>
      <c r="D14">
        <v>17000</v>
      </c>
      <c r="E14">
        <f t="shared" si="0"/>
        <v>1870000</v>
      </c>
    </row>
    <row r="15" spans="1:5" x14ac:dyDescent="0.3">
      <c r="A15" t="s">
        <v>15</v>
      </c>
      <c r="B15" t="s">
        <v>3</v>
      </c>
      <c r="C15">
        <v>350</v>
      </c>
      <c r="D15">
        <v>17000</v>
      </c>
      <c r="E15">
        <f t="shared" si="0"/>
        <v>5950000</v>
      </c>
    </row>
    <row r="16" spans="1:5" hidden="1" x14ac:dyDescent="0.3">
      <c r="A16" t="s">
        <v>15</v>
      </c>
      <c r="B16" t="s">
        <v>4</v>
      </c>
      <c r="C16">
        <v>0</v>
      </c>
      <c r="E16">
        <f t="shared" si="0"/>
        <v>0</v>
      </c>
    </row>
    <row r="17" spans="1:5" hidden="1" x14ac:dyDescent="0.3">
      <c r="A17" t="s">
        <v>16</v>
      </c>
      <c r="B17" t="s">
        <v>6</v>
      </c>
      <c r="C17">
        <v>0</v>
      </c>
      <c r="E17">
        <f t="shared" si="0"/>
        <v>0</v>
      </c>
    </row>
    <row r="18" spans="1:5" x14ac:dyDescent="0.3">
      <c r="A18" t="s">
        <v>17</v>
      </c>
      <c r="B18" t="s">
        <v>3</v>
      </c>
      <c r="C18">
        <v>266</v>
      </c>
      <c r="D18">
        <v>5000</v>
      </c>
      <c r="E18">
        <f t="shared" si="0"/>
        <v>1330000</v>
      </c>
    </row>
    <row r="19" spans="1:5" hidden="1" x14ac:dyDescent="0.3">
      <c r="A19" t="s">
        <v>18</v>
      </c>
      <c r="B19" t="s">
        <v>3</v>
      </c>
      <c r="C19">
        <v>0</v>
      </c>
      <c r="E19">
        <f t="shared" si="0"/>
        <v>0</v>
      </c>
    </row>
    <row r="20" spans="1:5" hidden="1" x14ac:dyDescent="0.3">
      <c r="A20" t="s">
        <v>18</v>
      </c>
      <c r="B20" t="s">
        <v>4</v>
      </c>
      <c r="C20">
        <v>0</v>
      </c>
      <c r="E20">
        <f t="shared" si="0"/>
        <v>0</v>
      </c>
    </row>
    <row r="21" spans="1:5" hidden="1" x14ac:dyDescent="0.3">
      <c r="A21" t="s">
        <v>19</v>
      </c>
      <c r="B21" t="s">
        <v>4</v>
      </c>
      <c r="C21">
        <v>0</v>
      </c>
      <c r="E21">
        <f t="shared" si="0"/>
        <v>0</v>
      </c>
    </row>
    <row r="22" spans="1:5" x14ac:dyDescent="0.3">
      <c r="A22" t="s">
        <v>20</v>
      </c>
      <c r="B22" t="s">
        <v>3</v>
      </c>
      <c r="C22">
        <v>750</v>
      </c>
      <c r="D22">
        <v>7000</v>
      </c>
      <c r="E22">
        <f t="shared" si="0"/>
        <v>5250000</v>
      </c>
    </row>
    <row r="23" spans="1:5" hidden="1" x14ac:dyDescent="0.3">
      <c r="A23" t="s">
        <v>21</v>
      </c>
      <c r="B23" t="s">
        <v>22</v>
      </c>
      <c r="C23">
        <v>0</v>
      </c>
      <c r="E23">
        <f t="shared" si="0"/>
        <v>0</v>
      </c>
    </row>
    <row r="24" spans="1:5" hidden="1" x14ac:dyDescent="0.3">
      <c r="A24" t="s">
        <v>21</v>
      </c>
      <c r="B24" t="s">
        <v>3</v>
      </c>
      <c r="C24">
        <v>0</v>
      </c>
      <c r="E24">
        <f t="shared" si="0"/>
        <v>0</v>
      </c>
    </row>
    <row r="25" spans="1:5" x14ac:dyDescent="0.3">
      <c r="A25" t="s">
        <v>23</v>
      </c>
      <c r="B25" t="s">
        <v>3</v>
      </c>
      <c r="C25">
        <v>15</v>
      </c>
      <c r="D25">
        <v>28000</v>
      </c>
      <c r="E25">
        <f t="shared" si="0"/>
        <v>420000</v>
      </c>
    </row>
    <row r="26" spans="1:5" x14ac:dyDescent="0.3">
      <c r="A26" t="s">
        <v>24</v>
      </c>
      <c r="B26" t="s">
        <v>3</v>
      </c>
      <c r="C26">
        <v>440</v>
      </c>
      <c r="D26">
        <v>11500</v>
      </c>
      <c r="E26">
        <f t="shared" si="0"/>
        <v>5060000</v>
      </c>
    </row>
    <row r="27" spans="1:5" x14ac:dyDescent="0.3">
      <c r="A27" t="s">
        <v>25</v>
      </c>
      <c r="B27" t="s">
        <v>3</v>
      </c>
      <c r="C27">
        <v>285</v>
      </c>
      <c r="D27">
        <v>21000</v>
      </c>
      <c r="E27">
        <f t="shared" si="0"/>
        <v>5985000</v>
      </c>
    </row>
    <row r="28" spans="1:5" hidden="1" x14ac:dyDescent="0.3">
      <c r="A28" t="s">
        <v>25</v>
      </c>
      <c r="B28" t="s">
        <v>26</v>
      </c>
      <c r="C28">
        <v>0</v>
      </c>
      <c r="E28">
        <f t="shared" si="0"/>
        <v>0</v>
      </c>
    </row>
    <row r="29" spans="1:5" x14ac:dyDescent="0.3">
      <c r="A29" t="s">
        <v>27</v>
      </c>
      <c r="B29" t="s">
        <v>3</v>
      </c>
      <c r="C29">
        <v>5</v>
      </c>
      <c r="D29">
        <v>22000</v>
      </c>
      <c r="E29">
        <f t="shared" si="0"/>
        <v>110000</v>
      </c>
    </row>
    <row r="30" spans="1:5" hidden="1" x14ac:dyDescent="0.3">
      <c r="A30" t="s">
        <v>27</v>
      </c>
      <c r="B30" t="s">
        <v>26</v>
      </c>
      <c r="C30">
        <v>0</v>
      </c>
      <c r="E30">
        <f t="shared" si="0"/>
        <v>0</v>
      </c>
    </row>
    <row r="31" spans="1:5" x14ac:dyDescent="0.3">
      <c r="A31" t="s">
        <v>28</v>
      </c>
      <c r="B31" t="s">
        <v>3</v>
      </c>
      <c r="C31">
        <v>375</v>
      </c>
      <c r="D31">
        <v>15000</v>
      </c>
      <c r="E31">
        <f t="shared" si="0"/>
        <v>5625000</v>
      </c>
    </row>
    <row r="32" spans="1:5" hidden="1" x14ac:dyDescent="0.3">
      <c r="A32" t="s">
        <v>28</v>
      </c>
      <c r="B32" t="s">
        <v>6</v>
      </c>
      <c r="C32">
        <v>0</v>
      </c>
      <c r="E32">
        <f t="shared" si="0"/>
        <v>0</v>
      </c>
    </row>
    <row r="33" spans="1:5" hidden="1" x14ac:dyDescent="0.3">
      <c r="A33" t="s">
        <v>28</v>
      </c>
      <c r="B33" t="s">
        <v>29</v>
      </c>
      <c r="C33">
        <v>0</v>
      </c>
      <c r="E33">
        <f t="shared" si="0"/>
        <v>0</v>
      </c>
    </row>
    <row r="34" spans="1:5" x14ac:dyDescent="0.3">
      <c r="A34" t="s">
        <v>30</v>
      </c>
      <c r="B34" t="s">
        <v>3</v>
      </c>
      <c r="C34">
        <v>400</v>
      </c>
      <c r="D34">
        <v>16000</v>
      </c>
      <c r="E34">
        <f t="shared" si="0"/>
        <v>6400000</v>
      </c>
    </row>
    <row r="35" spans="1:5" hidden="1" x14ac:dyDescent="0.3">
      <c r="A35" t="s">
        <v>30</v>
      </c>
      <c r="B35" t="s">
        <v>6</v>
      </c>
      <c r="C35">
        <v>0</v>
      </c>
      <c r="E35">
        <f t="shared" si="0"/>
        <v>0</v>
      </c>
    </row>
    <row r="36" spans="1:5" x14ac:dyDescent="0.3">
      <c r="A36" t="s">
        <v>31</v>
      </c>
      <c r="B36" t="s">
        <v>4</v>
      </c>
      <c r="C36">
        <v>90</v>
      </c>
      <c r="D36">
        <v>7000</v>
      </c>
      <c r="E36">
        <f t="shared" si="0"/>
        <v>630000</v>
      </c>
    </row>
    <row r="37" spans="1:5" hidden="1" x14ac:dyDescent="0.3">
      <c r="A37" t="s">
        <v>32</v>
      </c>
      <c r="B37" t="s">
        <v>3</v>
      </c>
      <c r="C37">
        <v>0</v>
      </c>
      <c r="E37">
        <f t="shared" si="0"/>
        <v>0</v>
      </c>
    </row>
    <row r="38" spans="1:5" x14ac:dyDescent="0.3">
      <c r="A38" t="s">
        <v>32</v>
      </c>
      <c r="B38" t="s">
        <v>6</v>
      </c>
      <c r="C38">
        <v>200</v>
      </c>
      <c r="D38">
        <v>7000</v>
      </c>
      <c r="E38">
        <f t="shared" si="0"/>
        <v>1400000</v>
      </c>
    </row>
    <row r="39" spans="1:5" x14ac:dyDescent="0.3">
      <c r="A39" t="s">
        <v>33</v>
      </c>
      <c r="B39" t="s">
        <v>3</v>
      </c>
      <c r="C39">
        <v>12</v>
      </c>
      <c r="D39">
        <v>12000</v>
      </c>
      <c r="E39">
        <f t="shared" si="0"/>
        <v>144000</v>
      </c>
    </row>
    <row r="40" spans="1:5" x14ac:dyDescent="0.3">
      <c r="A40" t="s">
        <v>34</v>
      </c>
      <c r="B40" t="s">
        <v>3</v>
      </c>
      <c r="C40">
        <v>153</v>
      </c>
      <c r="D40">
        <v>32000</v>
      </c>
      <c r="E40">
        <f t="shared" si="0"/>
        <v>4896000</v>
      </c>
    </row>
    <row r="41" spans="1:5" hidden="1" x14ac:dyDescent="0.3">
      <c r="A41" t="s">
        <v>34</v>
      </c>
      <c r="B41" t="s">
        <v>26</v>
      </c>
      <c r="C41">
        <v>0</v>
      </c>
      <c r="E41">
        <f t="shared" si="0"/>
        <v>0</v>
      </c>
    </row>
    <row r="42" spans="1:5" x14ac:dyDescent="0.3">
      <c r="A42" t="s">
        <v>35</v>
      </c>
      <c r="B42" t="s">
        <v>3</v>
      </c>
      <c r="C42">
        <v>33</v>
      </c>
      <c r="D42">
        <v>38000</v>
      </c>
      <c r="E42">
        <f t="shared" si="0"/>
        <v>1254000</v>
      </c>
    </row>
    <row r="43" spans="1:5" hidden="1" x14ac:dyDescent="0.3">
      <c r="A43" t="s">
        <v>35</v>
      </c>
      <c r="B43" t="s">
        <v>26</v>
      </c>
      <c r="C43">
        <v>0</v>
      </c>
      <c r="E43">
        <f t="shared" si="0"/>
        <v>0</v>
      </c>
    </row>
    <row r="44" spans="1:5" x14ac:dyDescent="0.3">
      <c r="A44" t="s">
        <v>36</v>
      </c>
      <c r="B44" t="s">
        <v>3</v>
      </c>
      <c r="C44">
        <v>50</v>
      </c>
      <c r="D44">
        <v>27000</v>
      </c>
      <c r="E44">
        <f t="shared" si="0"/>
        <v>1350000</v>
      </c>
    </row>
    <row r="45" spans="1:5" hidden="1" x14ac:dyDescent="0.3">
      <c r="A45" t="s">
        <v>36</v>
      </c>
      <c r="B45" t="s">
        <v>26</v>
      </c>
      <c r="C45">
        <v>0</v>
      </c>
      <c r="E45">
        <f t="shared" si="0"/>
        <v>0</v>
      </c>
    </row>
    <row r="46" spans="1:5" hidden="1" x14ac:dyDescent="0.3">
      <c r="A46" t="s">
        <v>37</v>
      </c>
      <c r="B46" t="s">
        <v>3</v>
      </c>
      <c r="C46">
        <v>0</v>
      </c>
      <c r="E46">
        <f t="shared" si="0"/>
        <v>0</v>
      </c>
    </row>
    <row r="47" spans="1:5" hidden="1" x14ac:dyDescent="0.3">
      <c r="A47" t="s">
        <v>38</v>
      </c>
      <c r="B47" t="s">
        <v>6</v>
      </c>
      <c r="C47">
        <v>0</v>
      </c>
      <c r="E47">
        <f t="shared" si="0"/>
        <v>0</v>
      </c>
    </row>
    <row r="48" spans="1:5" hidden="1" x14ac:dyDescent="0.3">
      <c r="A48" t="s">
        <v>39</v>
      </c>
      <c r="B48" t="s">
        <v>3</v>
      </c>
      <c r="C48">
        <v>0</v>
      </c>
      <c r="E48">
        <f t="shared" si="0"/>
        <v>0</v>
      </c>
    </row>
    <row r="49" spans="1:5" x14ac:dyDescent="0.3">
      <c r="A49" t="s">
        <v>40</v>
      </c>
      <c r="B49" t="s">
        <v>3</v>
      </c>
      <c r="C49">
        <v>5</v>
      </c>
      <c r="D49">
        <v>28000</v>
      </c>
      <c r="E49">
        <f t="shared" si="0"/>
        <v>140000</v>
      </c>
    </row>
    <row r="50" spans="1:5" x14ac:dyDescent="0.3">
      <c r="A50" t="s">
        <v>40</v>
      </c>
      <c r="B50" t="s">
        <v>41</v>
      </c>
      <c r="C50">
        <v>56</v>
      </c>
      <c r="D50">
        <v>8400</v>
      </c>
      <c r="E50">
        <f t="shared" si="0"/>
        <v>470400</v>
      </c>
    </row>
    <row r="51" spans="1:5" hidden="1" x14ac:dyDescent="0.3">
      <c r="A51" t="s">
        <v>42</v>
      </c>
      <c r="B51" t="s">
        <v>3</v>
      </c>
      <c r="C51">
        <v>0</v>
      </c>
      <c r="E51">
        <f t="shared" si="0"/>
        <v>0</v>
      </c>
    </row>
    <row r="52" spans="1:5" x14ac:dyDescent="0.3">
      <c r="A52" t="s">
        <v>43</v>
      </c>
      <c r="B52" t="s">
        <v>3</v>
      </c>
      <c r="C52">
        <v>260</v>
      </c>
      <c r="D52">
        <v>27600</v>
      </c>
      <c r="E52">
        <f t="shared" si="0"/>
        <v>7176000</v>
      </c>
    </row>
    <row r="53" spans="1:5" x14ac:dyDescent="0.3">
      <c r="A53" t="s">
        <v>44</v>
      </c>
      <c r="B53" t="s">
        <v>3</v>
      </c>
      <c r="C53">
        <v>51</v>
      </c>
      <c r="D53">
        <v>24000</v>
      </c>
      <c r="E53">
        <f t="shared" si="0"/>
        <v>1224000</v>
      </c>
    </row>
    <row r="54" spans="1:5" x14ac:dyDescent="0.3">
      <c r="A54" t="s">
        <v>45</v>
      </c>
      <c r="B54" t="s">
        <v>3</v>
      </c>
      <c r="C54">
        <v>80</v>
      </c>
      <c r="D54">
        <v>7500</v>
      </c>
      <c r="E54">
        <f t="shared" si="0"/>
        <v>600000</v>
      </c>
    </row>
    <row r="55" spans="1:5" hidden="1" x14ac:dyDescent="0.3">
      <c r="A55" t="s">
        <v>46</v>
      </c>
      <c r="B55" t="s">
        <v>3</v>
      </c>
      <c r="C55">
        <v>0</v>
      </c>
      <c r="E55">
        <f t="shared" si="0"/>
        <v>0</v>
      </c>
    </row>
    <row r="56" spans="1:5" x14ac:dyDescent="0.3">
      <c r="A56" t="s">
        <v>47</v>
      </c>
      <c r="B56" t="s">
        <v>3</v>
      </c>
      <c r="C56">
        <v>10</v>
      </c>
      <c r="D56">
        <v>25000</v>
      </c>
      <c r="E56">
        <f t="shared" si="0"/>
        <v>250000</v>
      </c>
    </row>
    <row r="57" spans="1:5" x14ac:dyDescent="0.3">
      <c r="A57" t="s">
        <v>48</v>
      </c>
      <c r="B57" t="s">
        <v>3</v>
      </c>
      <c r="C57">
        <v>43</v>
      </c>
      <c r="D57">
        <v>14000</v>
      </c>
      <c r="E57">
        <f t="shared" si="0"/>
        <v>602000</v>
      </c>
    </row>
    <row r="58" spans="1:5" hidden="1" x14ac:dyDescent="0.3">
      <c r="A58" t="s">
        <v>48</v>
      </c>
      <c r="B58" t="s">
        <v>49</v>
      </c>
      <c r="C58">
        <v>0</v>
      </c>
      <c r="E58">
        <f t="shared" si="0"/>
        <v>0</v>
      </c>
    </row>
    <row r="59" spans="1:5" x14ac:dyDescent="0.3">
      <c r="A59" t="s">
        <v>50</v>
      </c>
      <c r="B59" t="s">
        <v>8</v>
      </c>
      <c r="C59">
        <v>6</v>
      </c>
      <c r="D59">
        <v>12000</v>
      </c>
      <c r="E59">
        <f t="shared" si="0"/>
        <v>72000</v>
      </c>
    </row>
    <row r="60" spans="1:5" x14ac:dyDescent="0.3">
      <c r="A60" t="s">
        <v>51</v>
      </c>
      <c r="B60" t="s">
        <v>3</v>
      </c>
      <c r="C60">
        <v>8</v>
      </c>
      <c r="D60">
        <v>31000</v>
      </c>
      <c r="E60">
        <f t="shared" si="0"/>
        <v>248000</v>
      </c>
    </row>
    <row r="61" spans="1:5" hidden="1" x14ac:dyDescent="0.3">
      <c r="A61" t="s">
        <v>51</v>
      </c>
      <c r="B61" t="s">
        <v>52</v>
      </c>
      <c r="C61">
        <v>0</v>
      </c>
      <c r="E61">
        <f t="shared" si="0"/>
        <v>0</v>
      </c>
    </row>
    <row r="62" spans="1:5" x14ac:dyDescent="0.3">
      <c r="A62" t="s">
        <v>53</v>
      </c>
      <c r="B62" t="s">
        <v>3</v>
      </c>
      <c r="C62">
        <v>51</v>
      </c>
      <c r="D62">
        <v>16000</v>
      </c>
      <c r="E62">
        <f t="shared" si="0"/>
        <v>816000</v>
      </c>
    </row>
    <row r="63" spans="1:5" hidden="1" x14ac:dyDescent="0.3">
      <c r="A63" t="s">
        <v>53</v>
      </c>
      <c r="B63" t="s">
        <v>54</v>
      </c>
      <c r="C63">
        <v>0</v>
      </c>
      <c r="E63">
        <f t="shared" si="0"/>
        <v>0</v>
      </c>
    </row>
    <row r="64" spans="1:5" x14ac:dyDescent="0.3">
      <c r="A64" t="s">
        <v>55</v>
      </c>
      <c r="B64" t="s">
        <v>4</v>
      </c>
      <c r="C64">
        <v>10</v>
      </c>
      <c r="D64">
        <v>3900</v>
      </c>
      <c r="E64">
        <f t="shared" si="0"/>
        <v>39000</v>
      </c>
    </row>
    <row r="65" spans="1:5" hidden="1" x14ac:dyDescent="0.3">
      <c r="A65" t="s">
        <v>56</v>
      </c>
      <c r="B65" t="s">
        <v>3</v>
      </c>
      <c r="C65">
        <v>0</v>
      </c>
      <c r="E65">
        <f t="shared" si="0"/>
        <v>0</v>
      </c>
    </row>
    <row r="66" spans="1:5" x14ac:dyDescent="0.3">
      <c r="A66" t="s">
        <v>57</v>
      </c>
      <c r="B66" t="s">
        <v>3</v>
      </c>
      <c r="C66">
        <v>128</v>
      </c>
      <c r="D66">
        <v>7000</v>
      </c>
      <c r="E66">
        <f t="shared" si="0"/>
        <v>896000</v>
      </c>
    </row>
    <row r="67" spans="1:5" x14ac:dyDescent="0.3">
      <c r="A67" t="s">
        <v>58</v>
      </c>
      <c r="B67" t="s">
        <v>3</v>
      </c>
      <c r="C67">
        <v>8</v>
      </c>
      <c r="D67">
        <v>17000</v>
      </c>
      <c r="E67">
        <f t="shared" si="0"/>
        <v>136000</v>
      </c>
    </row>
    <row r="68" spans="1:5" x14ac:dyDescent="0.3">
      <c r="A68" t="s">
        <v>59</v>
      </c>
      <c r="B68" t="s">
        <v>3</v>
      </c>
      <c r="C68">
        <v>40</v>
      </c>
      <c r="D68">
        <v>13000</v>
      </c>
      <c r="E68">
        <f t="shared" ref="E68:E133" si="1">C68*D68</f>
        <v>520000</v>
      </c>
    </row>
    <row r="69" spans="1:5" hidden="1" x14ac:dyDescent="0.3">
      <c r="A69" t="s">
        <v>60</v>
      </c>
      <c r="B69" t="s">
        <v>4</v>
      </c>
      <c r="C69">
        <v>0</v>
      </c>
      <c r="E69">
        <f t="shared" si="1"/>
        <v>0</v>
      </c>
    </row>
    <row r="70" spans="1:5" hidden="1" x14ac:dyDescent="0.3">
      <c r="A70" t="s">
        <v>61</v>
      </c>
      <c r="B70" t="s">
        <v>3</v>
      </c>
      <c r="C70">
        <v>0</v>
      </c>
      <c r="E70">
        <f t="shared" si="1"/>
        <v>0</v>
      </c>
    </row>
    <row r="71" spans="1:5" x14ac:dyDescent="0.3">
      <c r="A71" t="s">
        <v>61</v>
      </c>
      <c r="B71" t="s">
        <v>62</v>
      </c>
      <c r="C71">
        <v>194</v>
      </c>
      <c r="D71">
        <v>14500</v>
      </c>
      <c r="E71">
        <f t="shared" si="1"/>
        <v>2813000</v>
      </c>
    </row>
    <row r="72" spans="1:5" hidden="1" x14ac:dyDescent="0.3">
      <c r="A72" t="s">
        <v>63</v>
      </c>
      <c r="B72" t="s">
        <v>3</v>
      </c>
      <c r="C72">
        <v>0</v>
      </c>
      <c r="E72">
        <f t="shared" si="1"/>
        <v>0</v>
      </c>
    </row>
    <row r="73" spans="1:5" x14ac:dyDescent="0.3">
      <c r="A73" t="s">
        <v>64</v>
      </c>
      <c r="B73" t="s">
        <v>3</v>
      </c>
      <c r="C73">
        <v>0.5</v>
      </c>
      <c r="D73">
        <v>70000</v>
      </c>
      <c r="E73">
        <f t="shared" si="1"/>
        <v>35000</v>
      </c>
    </row>
    <row r="74" spans="1:5" hidden="1" x14ac:dyDescent="0.3">
      <c r="A74" t="s">
        <v>65</v>
      </c>
      <c r="B74" t="s">
        <v>3</v>
      </c>
      <c r="C74">
        <v>0</v>
      </c>
      <c r="E74">
        <f t="shared" si="1"/>
        <v>0</v>
      </c>
    </row>
    <row r="75" spans="1:5" hidden="1" x14ac:dyDescent="0.3">
      <c r="A75" t="s">
        <v>66</v>
      </c>
      <c r="B75" t="s">
        <v>22</v>
      </c>
      <c r="C75">
        <v>0</v>
      </c>
      <c r="E75">
        <f t="shared" si="1"/>
        <v>0</v>
      </c>
    </row>
    <row r="76" spans="1:5" x14ac:dyDescent="0.3">
      <c r="A76" t="s">
        <v>66</v>
      </c>
      <c r="B76" t="s">
        <v>3</v>
      </c>
      <c r="C76">
        <v>23</v>
      </c>
      <c r="D76">
        <v>17000</v>
      </c>
      <c r="E76">
        <f t="shared" si="1"/>
        <v>391000</v>
      </c>
    </row>
    <row r="77" spans="1:5" hidden="1" x14ac:dyDescent="0.3">
      <c r="A77" t="s">
        <v>67</v>
      </c>
      <c r="B77" t="s">
        <v>3</v>
      </c>
      <c r="C77">
        <v>0</v>
      </c>
      <c r="E77">
        <f t="shared" si="1"/>
        <v>0</v>
      </c>
    </row>
    <row r="78" spans="1:5" hidden="1" x14ac:dyDescent="0.3">
      <c r="A78" t="s">
        <v>68</v>
      </c>
      <c r="B78" t="s">
        <v>4</v>
      </c>
      <c r="C78">
        <v>0</v>
      </c>
      <c r="E78">
        <f t="shared" si="1"/>
        <v>0</v>
      </c>
    </row>
    <row r="79" spans="1:5" x14ac:dyDescent="0.3">
      <c r="A79" t="s">
        <v>69</v>
      </c>
      <c r="B79" t="s">
        <v>3</v>
      </c>
      <c r="C79">
        <v>27</v>
      </c>
      <c r="D79">
        <v>14000</v>
      </c>
      <c r="E79">
        <f t="shared" si="1"/>
        <v>378000</v>
      </c>
    </row>
    <row r="80" spans="1:5" hidden="1" x14ac:dyDescent="0.3">
      <c r="A80" t="s">
        <v>70</v>
      </c>
      <c r="B80" t="s">
        <v>8</v>
      </c>
      <c r="C80">
        <v>0</v>
      </c>
      <c r="E80">
        <f t="shared" si="1"/>
        <v>0</v>
      </c>
    </row>
    <row r="81" spans="1:5" x14ac:dyDescent="0.3">
      <c r="A81" t="s">
        <v>70</v>
      </c>
      <c r="B81" t="s">
        <v>3</v>
      </c>
      <c r="C81">
        <v>3</v>
      </c>
      <c r="D81">
        <v>45000</v>
      </c>
      <c r="E81">
        <f t="shared" si="1"/>
        <v>135000</v>
      </c>
    </row>
    <row r="82" spans="1:5" x14ac:dyDescent="0.3">
      <c r="A82" t="s">
        <v>71</v>
      </c>
      <c r="B82" t="s">
        <v>4</v>
      </c>
      <c r="C82">
        <v>93</v>
      </c>
      <c r="D82">
        <v>22000</v>
      </c>
      <c r="E82">
        <f t="shared" si="1"/>
        <v>2046000</v>
      </c>
    </row>
    <row r="83" spans="1:5" x14ac:dyDescent="0.3">
      <c r="A83" t="s">
        <v>72</v>
      </c>
      <c r="B83" t="s">
        <v>3</v>
      </c>
      <c r="C83">
        <v>65</v>
      </c>
      <c r="D83">
        <v>16000</v>
      </c>
      <c r="E83">
        <f t="shared" si="1"/>
        <v>1040000</v>
      </c>
    </row>
    <row r="84" spans="1:5" x14ac:dyDescent="0.3">
      <c r="A84" t="s">
        <v>73</v>
      </c>
      <c r="B84" t="s">
        <v>3</v>
      </c>
      <c r="C84">
        <v>15</v>
      </c>
      <c r="D84">
        <v>30000</v>
      </c>
      <c r="E84">
        <f t="shared" si="1"/>
        <v>450000</v>
      </c>
    </row>
    <row r="85" spans="1:5" hidden="1" x14ac:dyDescent="0.3">
      <c r="A85" t="s">
        <v>74</v>
      </c>
      <c r="B85" t="s">
        <v>3</v>
      </c>
      <c r="C85">
        <v>0</v>
      </c>
      <c r="E85">
        <f t="shared" si="1"/>
        <v>0</v>
      </c>
    </row>
    <row r="86" spans="1:5" hidden="1" x14ac:dyDescent="0.3">
      <c r="A86" t="s">
        <v>75</v>
      </c>
      <c r="B86" t="s">
        <v>3</v>
      </c>
      <c r="C86">
        <v>0</v>
      </c>
      <c r="E86">
        <f t="shared" si="1"/>
        <v>0</v>
      </c>
    </row>
    <row r="87" spans="1:5" hidden="1" x14ac:dyDescent="0.3">
      <c r="A87" t="s">
        <v>76</v>
      </c>
      <c r="B87" t="s">
        <v>3</v>
      </c>
      <c r="C87">
        <v>0</v>
      </c>
      <c r="E87">
        <f t="shared" si="1"/>
        <v>0</v>
      </c>
    </row>
    <row r="88" spans="1:5" x14ac:dyDescent="0.3">
      <c r="A88" t="s">
        <v>82</v>
      </c>
      <c r="B88" t="s">
        <v>3</v>
      </c>
      <c r="C88">
        <v>35</v>
      </c>
      <c r="D88">
        <v>35000</v>
      </c>
      <c r="E88">
        <f t="shared" si="1"/>
        <v>1225000</v>
      </c>
    </row>
    <row r="89" spans="1:5" hidden="1" x14ac:dyDescent="0.3">
      <c r="A89" t="s">
        <v>83</v>
      </c>
      <c r="B89" t="s">
        <v>4</v>
      </c>
      <c r="C89">
        <v>0</v>
      </c>
      <c r="E89">
        <f t="shared" si="1"/>
        <v>0</v>
      </c>
    </row>
    <row r="90" spans="1:5" hidden="1" x14ac:dyDescent="0.3">
      <c r="A90" t="s">
        <v>84</v>
      </c>
      <c r="B90" t="s">
        <v>22</v>
      </c>
      <c r="C90">
        <v>0</v>
      </c>
      <c r="E90">
        <f t="shared" si="1"/>
        <v>0</v>
      </c>
    </row>
    <row r="91" spans="1:5" x14ac:dyDescent="0.3">
      <c r="A91" t="s">
        <v>87</v>
      </c>
      <c r="B91" t="s">
        <v>4</v>
      </c>
      <c r="C91">
        <v>80</v>
      </c>
      <c r="D91">
        <v>7500</v>
      </c>
      <c r="E91">
        <f t="shared" si="1"/>
        <v>600000</v>
      </c>
    </row>
    <row r="92" spans="1:5" hidden="1" x14ac:dyDescent="0.3">
      <c r="A92" t="s">
        <v>85</v>
      </c>
      <c r="B92" t="s">
        <v>22</v>
      </c>
      <c r="C92">
        <v>0</v>
      </c>
      <c r="E92">
        <f t="shared" si="1"/>
        <v>0</v>
      </c>
    </row>
    <row r="93" spans="1:5" hidden="1" x14ac:dyDescent="0.3">
      <c r="A93" t="s">
        <v>117</v>
      </c>
      <c r="B93" t="s">
        <v>8</v>
      </c>
      <c r="C93">
        <v>0</v>
      </c>
      <c r="E93">
        <f t="shared" si="1"/>
        <v>0</v>
      </c>
    </row>
    <row r="94" spans="1:5" hidden="1" x14ac:dyDescent="0.3">
      <c r="A94" t="s">
        <v>92</v>
      </c>
      <c r="B94" t="s">
        <v>3</v>
      </c>
      <c r="C94">
        <v>0</v>
      </c>
      <c r="E94">
        <f t="shared" si="1"/>
        <v>0</v>
      </c>
    </row>
    <row r="95" spans="1:5" hidden="1" x14ac:dyDescent="0.3">
      <c r="A95" t="s">
        <v>86</v>
      </c>
      <c r="B95" t="s">
        <v>22</v>
      </c>
      <c r="C95">
        <v>0</v>
      </c>
      <c r="E95">
        <f t="shared" si="1"/>
        <v>0</v>
      </c>
    </row>
    <row r="96" spans="1:5" x14ac:dyDescent="0.3">
      <c r="A96" t="s">
        <v>88</v>
      </c>
      <c r="B96" t="s">
        <v>3</v>
      </c>
      <c r="C96">
        <v>536</v>
      </c>
      <c r="D96">
        <v>28000</v>
      </c>
      <c r="E96">
        <f t="shared" si="1"/>
        <v>15008000</v>
      </c>
    </row>
    <row r="97" spans="1:5" hidden="1" x14ac:dyDescent="0.3">
      <c r="A97" t="s">
        <v>136</v>
      </c>
      <c r="B97" t="s">
        <v>3</v>
      </c>
      <c r="C97">
        <v>0</v>
      </c>
      <c r="E97">
        <f t="shared" si="1"/>
        <v>0</v>
      </c>
    </row>
    <row r="98" spans="1:5" hidden="1" x14ac:dyDescent="0.3">
      <c r="A98" t="s">
        <v>91</v>
      </c>
      <c r="B98" t="s">
        <v>3</v>
      </c>
      <c r="C98">
        <v>0</v>
      </c>
      <c r="E98">
        <f t="shared" si="1"/>
        <v>0</v>
      </c>
    </row>
    <row r="99" spans="1:5" hidden="1" x14ac:dyDescent="0.3">
      <c r="A99" t="s">
        <v>89</v>
      </c>
      <c r="B99" t="s">
        <v>4</v>
      </c>
      <c r="C99">
        <v>0</v>
      </c>
      <c r="E99">
        <f t="shared" si="1"/>
        <v>0</v>
      </c>
    </row>
    <row r="100" spans="1:5" hidden="1" x14ac:dyDescent="0.3">
      <c r="A100" t="s">
        <v>90</v>
      </c>
      <c r="B100" t="s">
        <v>4</v>
      </c>
      <c r="C100">
        <v>0</v>
      </c>
      <c r="E100">
        <f t="shared" si="1"/>
        <v>0</v>
      </c>
    </row>
    <row r="101" spans="1:5" hidden="1" x14ac:dyDescent="0.3">
      <c r="A101" t="s">
        <v>123</v>
      </c>
      <c r="B101" t="s">
        <v>3</v>
      </c>
      <c r="C101">
        <v>0</v>
      </c>
      <c r="E101">
        <f t="shared" si="1"/>
        <v>0</v>
      </c>
    </row>
    <row r="102" spans="1:5" x14ac:dyDescent="0.3">
      <c r="A102" t="s">
        <v>97</v>
      </c>
      <c r="B102" t="s">
        <v>3</v>
      </c>
      <c r="C102">
        <v>10</v>
      </c>
      <c r="D102">
        <v>16000</v>
      </c>
      <c r="E102">
        <f t="shared" si="1"/>
        <v>160000</v>
      </c>
    </row>
    <row r="103" spans="1:5" x14ac:dyDescent="0.3">
      <c r="A103" t="s">
        <v>81</v>
      </c>
      <c r="B103" t="s">
        <v>3</v>
      </c>
      <c r="C103">
        <v>4</v>
      </c>
      <c r="D103">
        <v>17000</v>
      </c>
      <c r="E103">
        <f t="shared" si="1"/>
        <v>68000</v>
      </c>
    </row>
    <row r="104" spans="1:5" x14ac:dyDescent="0.3">
      <c r="A104" t="s">
        <v>95</v>
      </c>
      <c r="B104" t="s">
        <v>3</v>
      </c>
      <c r="C104">
        <v>8</v>
      </c>
      <c r="D104">
        <v>10000</v>
      </c>
      <c r="E104">
        <f t="shared" si="1"/>
        <v>80000</v>
      </c>
    </row>
    <row r="105" spans="1:5" x14ac:dyDescent="0.3">
      <c r="A105" t="s">
        <v>107</v>
      </c>
      <c r="B105" t="s">
        <v>3</v>
      </c>
      <c r="C105">
        <v>8</v>
      </c>
      <c r="D105">
        <v>16000</v>
      </c>
      <c r="E105">
        <f t="shared" si="1"/>
        <v>128000</v>
      </c>
    </row>
    <row r="106" spans="1:5" x14ac:dyDescent="0.3">
      <c r="A106" t="s">
        <v>106</v>
      </c>
      <c r="B106" t="s">
        <v>3</v>
      </c>
      <c r="C106">
        <v>10</v>
      </c>
      <c r="D106">
        <v>20000</v>
      </c>
      <c r="E106">
        <f t="shared" si="1"/>
        <v>200000</v>
      </c>
    </row>
    <row r="107" spans="1:5" x14ac:dyDescent="0.3">
      <c r="A107" t="s">
        <v>133</v>
      </c>
      <c r="B107" t="s">
        <v>3</v>
      </c>
      <c r="C107">
        <v>280</v>
      </c>
      <c r="D107">
        <v>17000</v>
      </c>
      <c r="E107">
        <f t="shared" si="1"/>
        <v>4760000</v>
      </c>
    </row>
    <row r="108" spans="1:5" x14ac:dyDescent="0.3">
      <c r="A108" t="s">
        <v>93</v>
      </c>
      <c r="B108" t="s">
        <v>3</v>
      </c>
      <c r="C108">
        <v>10</v>
      </c>
      <c r="D108">
        <v>25000</v>
      </c>
      <c r="E108">
        <f t="shared" si="1"/>
        <v>250000</v>
      </c>
    </row>
    <row r="109" spans="1:5" x14ac:dyDescent="0.3">
      <c r="A109" t="s">
        <v>119</v>
      </c>
      <c r="B109" t="s">
        <v>3</v>
      </c>
      <c r="C109">
        <v>5</v>
      </c>
      <c r="D109">
        <v>25000</v>
      </c>
      <c r="E109">
        <f t="shared" si="1"/>
        <v>125000</v>
      </c>
    </row>
    <row r="110" spans="1:5" x14ac:dyDescent="0.3">
      <c r="A110" t="s">
        <v>116</v>
      </c>
      <c r="B110" t="s">
        <v>26</v>
      </c>
      <c r="C110">
        <v>2685</v>
      </c>
      <c r="D110">
        <v>10000</v>
      </c>
      <c r="E110">
        <f t="shared" si="1"/>
        <v>26850000</v>
      </c>
    </row>
    <row r="111" spans="1:5" x14ac:dyDescent="0.3">
      <c r="A111" t="s">
        <v>150</v>
      </c>
      <c r="B111" t="s">
        <v>26</v>
      </c>
      <c r="C111">
        <v>761</v>
      </c>
      <c r="D111">
        <v>17000</v>
      </c>
      <c r="E111">
        <f t="shared" si="1"/>
        <v>12937000</v>
      </c>
    </row>
    <row r="112" spans="1:5" x14ac:dyDescent="0.3">
      <c r="E112">
        <f>SUM(E3:E111)</f>
        <v>148405400</v>
      </c>
    </row>
    <row r="113" spans="1:5" x14ac:dyDescent="0.3">
      <c r="A113" t="s">
        <v>103</v>
      </c>
    </row>
    <row r="114" spans="1:5" x14ac:dyDescent="0.3">
      <c r="A114" t="s">
        <v>0</v>
      </c>
      <c r="B114" t="s">
        <v>1</v>
      </c>
      <c r="C114" t="s">
        <v>102</v>
      </c>
      <c r="D114" t="s">
        <v>100</v>
      </c>
      <c r="E114" t="s">
        <v>101</v>
      </c>
    </row>
    <row r="115" spans="1:5" x14ac:dyDescent="0.3">
      <c r="A115" t="s">
        <v>44</v>
      </c>
      <c r="B115" t="s">
        <v>3</v>
      </c>
      <c r="C115">
        <v>4</v>
      </c>
      <c r="D115">
        <v>24000</v>
      </c>
      <c r="E115">
        <f t="shared" si="1"/>
        <v>96000</v>
      </c>
    </row>
    <row r="116" spans="1:5" x14ac:dyDescent="0.3">
      <c r="A116" t="s">
        <v>45</v>
      </c>
      <c r="B116" t="s">
        <v>3</v>
      </c>
      <c r="C116">
        <v>30</v>
      </c>
      <c r="D116">
        <v>7500</v>
      </c>
      <c r="E116">
        <f t="shared" si="1"/>
        <v>225000</v>
      </c>
    </row>
    <row r="117" spans="1:5" x14ac:dyDescent="0.3">
      <c r="A117" t="s">
        <v>17</v>
      </c>
      <c r="B117" t="s">
        <v>3</v>
      </c>
      <c r="C117">
        <v>110</v>
      </c>
      <c r="D117">
        <v>6500</v>
      </c>
      <c r="E117">
        <f t="shared" si="1"/>
        <v>715000</v>
      </c>
    </row>
    <row r="118" spans="1:5" hidden="1" x14ac:dyDescent="0.3">
      <c r="A118" t="s">
        <v>95</v>
      </c>
      <c r="B118" t="s">
        <v>3</v>
      </c>
      <c r="C118">
        <v>0</v>
      </c>
      <c r="E118">
        <f t="shared" si="1"/>
        <v>0</v>
      </c>
    </row>
    <row r="119" spans="1:5" hidden="1" x14ac:dyDescent="0.3">
      <c r="A119" t="s">
        <v>24</v>
      </c>
      <c r="B119" t="s">
        <v>3</v>
      </c>
      <c r="C119">
        <v>0</v>
      </c>
      <c r="E119">
        <f t="shared" si="1"/>
        <v>0</v>
      </c>
    </row>
    <row r="120" spans="1:5" x14ac:dyDescent="0.3">
      <c r="A120" t="s">
        <v>25</v>
      </c>
      <c r="B120" t="s">
        <v>3</v>
      </c>
      <c r="C120">
        <v>20</v>
      </c>
      <c r="D120">
        <v>21000</v>
      </c>
      <c r="E120">
        <f t="shared" si="1"/>
        <v>420000</v>
      </c>
    </row>
    <row r="121" spans="1:5" hidden="1" x14ac:dyDescent="0.3">
      <c r="A121" t="s">
        <v>37</v>
      </c>
      <c r="B121" t="s">
        <v>3</v>
      </c>
      <c r="C121">
        <v>0</v>
      </c>
      <c r="E121">
        <f t="shared" si="1"/>
        <v>0</v>
      </c>
    </row>
    <row r="122" spans="1:5" hidden="1" x14ac:dyDescent="0.3">
      <c r="A122" t="s">
        <v>46</v>
      </c>
      <c r="B122" t="s">
        <v>3</v>
      </c>
      <c r="C122">
        <v>0</v>
      </c>
      <c r="E122">
        <f t="shared" si="1"/>
        <v>0</v>
      </c>
    </row>
    <row r="123" spans="1:5" hidden="1" x14ac:dyDescent="0.3">
      <c r="A123" t="s">
        <v>94</v>
      </c>
      <c r="B123" t="s">
        <v>3</v>
      </c>
      <c r="C123">
        <v>0</v>
      </c>
      <c r="E123">
        <f t="shared" si="1"/>
        <v>0</v>
      </c>
    </row>
    <row r="124" spans="1:5" x14ac:dyDescent="0.3">
      <c r="A124" t="s">
        <v>28</v>
      </c>
      <c r="B124" t="s">
        <v>3</v>
      </c>
      <c r="C124">
        <v>40</v>
      </c>
      <c r="D124">
        <v>15000</v>
      </c>
      <c r="E124">
        <f t="shared" si="1"/>
        <v>600000</v>
      </c>
    </row>
    <row r="125" spans="1:5" x14ac:dyDescent="0.3">
      <c r="A125" t="s">
        <v>30</v>
      </c>
      <c r="B125" t="s">
        <v>3</v>
      </c>
      <c r="C125">
        <v>120</v>
      </c>
      <c r="D125">
        <v>16000</v>
      </c>
      <c r="E125">
        <f t="shared" si="1"/>
        <v>1920000</v>
      </c>
    </row>
    <row r="126" spans="1:5" x14ac:dyDescent="0.3">
      <c r="A126" t="s">
        <v>2</v>
      </c>
      <c r="B126" t="s">
        <v>3</v>
      </c>
      <c r="C126">
        <v>150</v>
      </c>
      <c r="D126">
        <v>14000</v>
      </c>
      <c r="E126">
        <f t="shared" si="1"/>
        <v>2100000</v>
      </c>
    </row>
    <row r="127" spans="1:5" x14ac:dyDescent="0.3">
      <c r="A127" t="s">
        <v>53</v>
      </c>
      <c r="B127" t="s">
        <v>3</v>
      </c>
      <c r="C127">
        <v>32</v>
      </c>
      <c r="D127">
        <v>8000</v>
      </c>
      <c r="E127">
        <f t="shared" si="1"/>
        <v>256000</v>
      </c>
    </row>
    <row r="128" spans="1:5" x14ac:dyDescent="0.3">
      <c r="A128" t="s">
        <v>20</v>
      </c>
      <c r="B128" t="s">
        <v>3</v>
      </c>
      <c r="C128">
        <v>410</v>
      </c>
      <c r="D128">
        <v>5500</v>
      </c>
      <c r="E128">
        <f t="shared" si="1"/>
        <v>2255000</v>
      </c>
    </row>
    <row r="129" spans="1:5" x14ac:dyDescent="0.3">
      <c r="A129" t="s">
        <v>97</v>
      </c>
      <c r="B129" t="s">
        <v>3</v>
      </c>
      <c r="C129">
        <v>4</v>
      </c>
      <c r="D129">
        <v>16000</v>
      </c>
      <c r="E129">
        <f t="shared" si="1"/>
        <v>64000</v>
      </c>
    </row>
    <row r="130" spans="1:5" x14ac:dyDescent="0.3">
      <c r="A130" t="s">
        <v>98</v>
      </c>
      <c r="B130" t="s">
        <v>3</v>
      </c>
      <c r="C130">
        <v>200</v>
      </c>
      <c r="D130">
        <v>3500</v>
      </c>
      <c r="E130">
        <f t="shared" si="1"/>
        <v>700000</v>
      </c>
    </row>
    <row r="131" spans="1:5" hidden="1" x14ac:dyDescent="0.3">
      <c r="A131" t="s">
        <v>21</v>
      </c>
      <c r="B131" t="s">
        <v>3</v>
      </c>
      <c r="C131">
        <v>0</v>
      </c>
      <c r="E131">
        <f t="shared" si="1"/>
        <v>0</v>
      </c>
    </row>
    <row r="132" spans="1:5" x14ac:dyDescent="0.3">
      <c r="A132" t="s">
        <v>96</v>
      </c>
      <c r="B132" t="s">
        <v>3</v>
      </c>
      <c r="C132">
        <v>10</v>
      </c>
      <c r="D132">
        <v>27000</v>
      </c>
      <c r="E132">
        <f t="shared" si="1"/>
        <v>270000</v>
      </c>
    </row>
    <row r="133" spans="1:5" hidden="1" x14ac:dyDescent="0.3">
      <c r="A133" t="s">
        <v>56</v>
      </c>
      <c r="B133" t="s">
        <v>3</v>
      </c>
      <c r="C133">
        <v>0</v>
      </c>
      <c r="E133">
        <f t="shared" si="1"/>
        <v>0</v>
      </c>
    </row>
    <row r="134" spans="1:5" x14ac:dyDescent="0.3">
      <c r="A134" t="s">
        <v>57</v>
      </c>
      <c r="B134" t="s">
        <v>3</v>
      </c>
      <c r="C134">
        <v>22</v>
      </c>
      <c r="D134">
        <v>7000</v>
      </c>
      <c r="E134">
        <f t="shared" ref="E134:E156" si="2">C134*D134</f>
        <v>154000</v>
      </c>
    </row>
    <row r="135" spans="1:5" x14ac:dyDescent="0.3">
      <c r="A135" t="s">
        <v>9</v>
      </c>
      <c r="B135" t="s">
        <v>3</v>
      </c>
      <c r="C135">
        <v>3</v>
      </c>
      <c r="D135">
        <v>10000</v>
      </c>
      <c r="E135">
        <f t="shared" si="2"/>
        <v>30000</v>
      </c>
    </row>
    <row r="136" spans="1:5" x14ac:dyDescent="0.3">
      <c r="A136" t="s">
        <v>10</v>
      </c>
      <c r="B136" t="s">
        <v>3</v>
      </c>
      <c r="C136">
        <v>10</v>
      </c>
      <c r="D136">
        <v>14500</v>
      </c>
      <c r="E136">
        <f t="shared" si="2"/>
        <v>145000</v>
      </c>
    </row>
    <row r="137" spans="1:5" x14ac:dyDescent="0.3">
      <c r="A137" t="s">
        <v>14</v>
      </c>
      <c r="B137" t="s">
        <v>3</v>
      </c>
      <c r="C137">
        <v>40</v>
      </c>
      <c r="D137">
        <v>17000</v>
      </c>
      <c r="E137">
        <f t="shared" si="2"/>
        <v>680000</v>
      </c>
    </row>
    <row r="138" spans="1:5" hidden="1" x14ac:dyDescent="0.3">
      <c r="A138" t="s">
        <v>109</v>
      </c>
      <c r="B138" t="s">
        <v>3</v>
      </c>
      <c r="C138">
        <v>0</v>
      </c>
      <c r="E138">
        <f t="shared" si="2"/>
        <v>0</v>
      </c>
    </row>
    <row r="139" spans="1:5" x14ac:dyDescent="0.3">
      <c r="A139" t="s">
        <v>15</v>
      </c>
      <c r="B139" t="s">
        <v>3</v>
      </c>
      <c r="C139">
        <v>30</v>
      </c>
      <c r="D139">
        <v>17000</v>
      </c>
      <c r="E139">
        <f t="shared" si="2"/>
        <v>510000</v>
      </c>
    </row>
    <row r="140" spans="1:5" x14ac:dyDescent="0.3">
      <c r="A140" t="s">
        <v>59</v>
      </c>
      <c r="B140" t="s">
        <v>3</v>
      </c>
      <c r="C140">
        <v>3</v>
      </c>
      <c r="D140">
        <v>13000</v>
      </c>
      <c r="E140">
        <f t="shared" si="2"/>
        <v>39000</v>
      </c>
    </row>
    <row r="141" spans="1:5" hidden="1" x14ac:dyDescent="0.3">
      <c r="A141" t="s">
        <v>60</v>
      </c>
      <c r="B141" t="s">
        <v>4</v>
      </c>
      <c r="C141">
        <v>0</v>
      </c>
      <c r="E141">
        <f t="shared" si="2"/>
        <v>0</v>
      </c>
    </row>
    <row r="142" spans="1:5" x14ac:dyDescent="0.3">
      <c r="A142" t="s">
        <v>61</v>
      </c>
      <c r="B142" t="s">
        <v>4</v>
      </c>
      <c r="C142">
        <v>10</v>
      </c>
      <c r="D142">
        <v>14500</v>
      </c>
      <c r="E142">
        <f t="shared" si="2"/>
        <v>145000</v>
      </c>
    </row>
    <row r="143" spans="1:5" x14ac:dyDescent="0.3">
      <c r="A143" t="s">
        <v>32</v>
      </c>
      <c r="B143" t="s">
        <v>3</v>
      </c>
      <c r="C143">
        <v>855</v>
      </c>
      <c r="D143">
        <v>14000</v>
      </c>
      <c r="E143">
        <f t="shared" si="2"/>
        <v>11970000</v>
      </c>
    </row>
    <row r="144" spans="1:5" x14ac:dyDescent="0.3">
      <c r="A144" t="s">
        <v>32</v>
      </c>
      <c r="B144" t="s">
        <v>6</v>
      </c>
      <c r="C144">
        <v>75</v>
      </c>
      <c r="D144">
        <v>7000</v>
      </c>
      <c r="E144">
        <f t="shared" si="2"/>
        <v>525000</v>
      </c>
    </row>
    <row r="145" spans="1:5" x14ac:dyDescent="0.3">
      <c r="A145" t="s">
        <v>66</v>
      </c>
      <c r="B145" t="s">
        <v>3</v>
      </c>
      <c r="C145">
        <v>15</v>
      </c>
      <c r="D145">
        <v>17000</v>
      </c>
      <c r="E145">
        <f t="shared" si="2"/>
        <v>255000</v>
      </c>
    </row>
    <row r="146" spans="1:5" hidden="1" x14ac:dyDescent="0.3">
      <c r="A146" t="s">
        <v>43</v>
      </c>
      <c r="B146" t="s">
        <v>3</v>
      </c>
      <c r="C146">
        <v>0</v>
      </c>
      <c r="E146">
        <f t="shared" si="2"/>
        <v>0</v>
      </c>
    </row>
    <row r="147" spans="1:5" hidden="1" x14ac:dyDescent="0.3">
      <c r="A147" t="s">
        <v>67</v>
      </c>
      <c r="B147" t="s">
        <v>3</v>
      </c>
      <c r="C147">
        <v>0</v>
      </c>
      <c r="E147">
        <f t="shared" si="2"/>
        <v>0</v>
      </c>
    </row>
    <row r="148" spans="1:5" x14ac:dyDescent="0.3">
      <c r="A148" t="s">
        <v>34</v>
      </c>
      <c r="B148" t="s">
        <v>3</v>
      </c>
      <c r="C148">
        <v>3</v>
      </c>
      <c r="D148">
        <v>32000</v>
      </c>
      <c r="E148">
        <f t="shared" si="2"/>
        <v>96000</v>
      </c>
    </row>
    <row r="149" spans="1:5" x14ac:dyDescent="0.3">
      <c r="A149" t="s">
        <v>35</v>
      </c>
      <c r="B149" t="s">
        <v>3</v>
      </c>
      <c r="C149">
        <v>3</v>
      </c>
      <c r="D149">
        <v>38000</v>
      </c>
      <c r="E149">
        <f t="shared" si="2"/>
        <v>114000</v>
      </c>
    </row>
    <row r="150" spans="1:5" x14ac:dyDescent="0.3">
      <c r="A150" t="s">
        <v>36</v>
      </c>
      <c r="B150" t="s">
        <v>3</v>
      </c>
      <c r="C150">
        <v>3</v>
      </c>
      <c r="D150">
        <v>27000</v>
      </c>
      <c r="E150">
        <f t="shared" si="2"/>
        <v>81000</v>
      </c>
    </row>
    <row r="151" spans="1:5" x14ac:dyDescent="0.3">
      <c r="A151" t="s">
        <v>116</v>
      </c>
      <c r="B151" t="s">
        <v>26</v>
      </c>
      <c r="C151">
        <v>300</v>
      </c>
      <c r="D151">
        <v>10000</v>
      </c>
      <c r="E151">
        <f t="shared" si="2"/>
        <v>3000000</v>
      </c>
    </row>
    <row r="152" spans="1:5" x14ac:dyDescent="0.3">
      <c r="A152" t="s">
        <v>72</v>
      </c>
      <c r="B152" t="s">
        <v>3</v>
      </c>
      <c r="C152">
        <v>30</v>
      </c>
      <c r="D152">
        <v>16000</v>
      </c>
      <c r="E152">
        <f t="shared" si="2"/>
        <v>480000</v>
      </c>
    </row>
    <row r="153" spans="1:5" hidden="1" x14ac:dyDescent="0.3">
      <c r="A153" t="s">
        <v>23</v>
      </c>
      <c r="B153" t="s">
        <v>22</v>
      </c>
      <c r="C153">
        <v>0</v>
      </c>
      <c r="E153">
        <f t="shared" si="2"/>
        <v>0</v>
      </c>
    </row>
    <row r="154" spans="1:5" hidden="1" x14ac:dyDescent="0.3">
      <c r="A154" t="s">
        <v>84</v>
      </c>
      <c r="B154" t="s">
        <v>22</v>
      </c>
      <c r="C154">
        <v>0</v>
      </c>
      <c r="E154">
        <f t="shared" si="2"/>
        <v>0</v>
      </c>
    </row>
    <row r="155" spans="1:5" hidden="1" x14ac:dyDescent="0.3">
      <c r="A155" t="s">
        <v>86</v>
      </c>
      <c r="B155" t="s">
        <v>22</v>
      </c>
      <c r="C155">
        <v>0</v>
      </c>
      <c r="E155">
        <f t="shared" si="2"/>
        <v>0</v>
      </c>
    </row>
    <row r="156" spans="1:5" hidden="1" x14ac:dyDescent="0.3">
      <c r="A156" t="s">
        <v>85</v>
      </c>
      <c r="B156" t="s">
        <v>22</v>
      </c>
      <c r="C156">
        <v>0</v>
      </c>
      <c r="E156">
        <f t="shared" si="2"/>
        <v>0</v>
      </c>
    </row>
    <row r="157" spans="1:5" x14ac:dyDescent="0.3">
      <c r="E157">
        <f>SUM(E115:E152)</f>
        <v>27845000</v>
      </c>
    </row>
    <row r="158" spans="1:5" x14ac:dyDescent="0.3">
      <c r="E158">
        <f>E157+E112</f>
        <v>176250400</v>
      </c>
    </row>
  </sheetData>
  <autoFilter ref="A2:E156" xr:uid="{00000000-0009-0000-0000-00001B000000}">
    <filterColumn colId="2">
      <filters>
        <filter val="0.5"/>
        <filter val="10"/>
        <filter val="100"/>
        <filter val="106"/>
        <filter val="110"/>
        <filter val="12"/>
        <filter val="120"/>
        <filter val="128"/>
        <filter val="15"/>
        <filter val="150"/>
        <filter val="153"/>
        <filter val="194"/>
        <filter val="20"/>
        <filter val="200"/>
        <filter val="22"/>
        <filter val="23"/>
        <filter val="258"/>
        <filter val="260"/>
        <filter val="266"/>
        <filter val="2685"/>
        <filter val="27"/>
        <filter val="280"/>
        <filter val="285"/>
        <filter val="3"/>
        <filter val="30"/>
        <filter val="300"/>
        <filter val="32"/>
        <filter val="33"/>
        <filter val="35"/>
        <filter val="350"/>
        <filter val="375"/>
        <filter val="390"/>
        <filter val="4"/>
        <filter val="40"/>
        <filter val="400"/>
        <filter val="410"/>
        <filter val="43"/>
        <filter val="440"/>
        <filter val="5"/>
        <filter val="50"/>
        <filter val="51"/>
        <filter val="536"/>
        <filter val="56"/>
        <filter val="6"/>
        <filter val="65"/>
        <filter val="75"/>
        <filter val="750"/>
        <filter val="761"/>
        <filter val="8"/>
        <filter val="80"/>
        <filter val="855"/>
        <filter val="90"/>
        <filter val="93"/>
        <filter val="Tồn_x000a_ĐL_x000a__x000a_現在庫"/>
      </filters>
    </filterColumn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E142"/>
  <sheetViews>
    <sheetView topLeftCell="A105" workbookViewId="0">
      <selection activeCell="E142" sqref="E142"/>
    </sheetView>
  </sheetViews>
  <sheetFormatPr defaultRowHeight="14.4" x14ac:dyDescent="0.3"/>
  <cols>
    <col min="1" max="1" width="28.33203125" customWidth="1"/>
    <col min="4" max="4" width="12.109375" customWidth="1"/>
    <col min="5" max="5" width="13.77734375" customWidth="1"/>
    <col min="6" max="6" width="12.88671875" customWidth="1"/>
  </cols>
  <sheetData>
    <row r="1" spans="1:5" x14ac:dyDescent="0.3">
      <c r="A1" t="s">
        <v>179</v>
      </c>
    </row>
    <row r="2" spans="1:5" x14ac:dyDescent="0.3">
      <c r="A2" t="s">
        <v>0</v>
      </c>
      <c r="B2" t="s">
        <v>1</v>
      </c>
      <c r="C2" t="s">
        <v>102</v>
      </c>
      <c r="D2" t="s">
        <v>100</v>
      </c>
      <c r="E2" t="s">
        <v>101</v>
      </c>
    </row>
    <row r="3" spans="1:5" x14ac:dyDescent="0.3">
      <c r="A3" t="s">
        <v>2</v>
      </c>
      <c r="B3" t="s">
        <v>3</v>
      </c>
      <c r="C3">
        <v>194</v>
      </c>
      <c r="D3">
        <v>14000</v>
      </c>
      <c r="E3">
        <f>C3*D3</f>
        <v>2716000</v>
      </c>
    </row>
    <row r="4" spans="1:5" hidden="1" x14ac:dyDescent="0.3">
      <c r="A4" t="s">
        <v>2</v>
      </c>
      <c r="B4" t="s">
        <v>4</v>
      </c>
      <c r="C4">
        <v>0</v>
      </c>
      <c r="E4">
        <f t="shared" ref="E4:E67" si="0">C4*D4</f>
        <v>0</v>
      </c>
    </row>
    <row r="5" spans="1:5" hidden="1" x14ac:dyDescent="0.3">
      <c r="A5" t="s">
        <v>5</v>
      </c>
      <c r="B5" t="s">
        <v>6</v>
      </c>
      <c r="C5">
        <v>0</v>
      </c>
      <c r="E5">
        <f t="shared" si="0"/>
        <v>0</v>
      </c>
    </row>
    <row r="6" spans="1:5" x14ac:dyDescent="0.3">
      <c r="A6" t="s">
        <v>9</v>
      </c>
      <c r="B6" t="s">
        <v>3</v>
      </c>
      <c r="C6">
        <v>92</v>
      </c>
      <c r="D6">
        <v>10000</v>
      </c>
      <c r="E6">
        <f t="shared" si="0"/>
        <v>920000</v>
      </c>
    </row>
    <row r="7" spans="1:5" hidden="1" x14ac:dyDescent="0.3">
      <c r="A7" t="s">
        <v>9</v>
      </c>
      <c r="B7" t="s">
        <v>4</v>
      </c>
      <c r="C7">
        <v>0</v>
      </c>
      <c r="E7">
        <f t="shared" si="0"/>
        <v>0</v>
      </c>
    </row>
    <row r="8" spans="1:5" x14ac:dyDescent="0.3">
      <c r="A8" t="s">
        <v>10</v>
      </c>
      <c r="B8" t="s">
        <v>3</v>
      </c>
      <c r="C8">
        <v>240</v>
      </c>
      <c r="D8">
        <v>14500</v>
      </c>
      <c r="E8">
        <f t="shared" si="0"/>
        <v>3480000</v>
      </c>
    </row>
    <row r="9" spans="1:5" hidden="1" x14ac:dyDescent="0.3">
      <c r="A9" t="s">
        <v>10</v>
      </c>
      <c r="B9" t="s">
        <v>11</v>
      </c>
      <c r="C9">
        <v>0</v>
      </c>
      <c r="E9">
        <f t="shared" si="0"/>
        <v>0</v>
      </c>
    </row>
    <row r="10" spans="1:5" x14ac:dyDescent="0.3">
      <c r="A10" t="s">
        <v>12</v>
      </c>
      <c r="B10" t="s">
        <v>4</v>
      </c>
      <c r="C10">
        <v>133</v>
      </c>
      <c r="D10">
        <v>3600</v>
      </c>
      <c r="E10">
        <f t="shared" si="0"/>
        <v>478800</v>
      </c>
    </row>
    <row r="11" spans="1:5" x14ac:dyDescent="0.3">
      <c r="A11" t="s">
        <v>13</v>
      </c>
      <c r="B11" t="s">
        <v>3</v>
      </c>
      <c r="C11">
        <v>150</v>
      </c>
      <c r="D11">
        <v>30000</v>
      </c>
      <c r="E11">
        <f t="shared" si="0"/>
        <v>4500000</v>
      </c>
    </row>
    <row r="12" spans="1:5" hidden="1" x14ac:dyDescent="0.3">
      <c r="A12" t="s">
        <v>13</v>
      </c>
      <c r="B12" t="s">
        <v>4</v>
      </c>
      <c r="C12">
        <v>0</v>
      </c>
      <c r="E12">
        <f t="shared" si="0"/>
        <v>0</v>
      </c>
    </row>
    <row r="13" spans="1:5" x14ac:dyDescent="0.3">
      <c r="A13" t="s">
        <v>14</v>
      </c>
      <c r="B13" t="s">
        <v>3</v>
      </c>
      <c r="C13">
        <v>250</v>
      </c>
      <c r="D13">
        <v>17000</v>
      </c>
      <c r="E13">
        <f t="shared" si="0"/>
        <v>4250000</v>
      </c>
    </row>
    <row r="14" spans="1:5" x14ac:dyDescent="0.3">
      <c r="A14" t="s">
        <v>15</v>
      </c>
      <c r="B14" t="s">
        <v>3</v>
      </c>
      <c r="C14">
        <v>210</v>
      </c>
      <c r="D14">
        <v>17000</v>
      </c>
      <c r="E14">
        <f t="shared" si="0"/>
        <v>3570000</v>
      </c>
    </row>
    <row r="15" spans="1:5" hidden="1" x14ac:dyDescent="0.3">
      <c r="A15" t="s">
        <v>15</v>
      </c>
      <c r="B15" t="s">
        <v>4</v>
      </c>
      <c r="C15">
        <v>0</v>
      </c>
      <c r="E15">
        <f t="shared" si="0"/>
        <v>0</v>
      </c>
    </row>
    <row r="16" spans="1:5" hidden="1" x14ac:dyDescent="0.3">
      <c r="A16" t="s">
        <v>16</v>
      </c>
      <c r="B16" t="s">
        <v>6</v>
      </c>
      <c r="C16">
        <v>0</v>
      </c>
      <c r="E16">
        <f t="shared" si="0"/>
        <v>0</v>
      </c>
    </row>
    <row r="17" spans="1:5" x14ac:dyDescent="0.3">
      <c r="A17" t="s">
        <v>17</v>
      </c>
      <c r="B17" t="s">
        <v>3</v>
      </c>
      <c r="C17">
        <v>210</v>
      </c>
      <c r="D17">
        <v>5000</v>
      </c>
      <c r="E17">
        <f t="shared" si="0"/>
        <v>1050000</v>
      </c>
    </row>
    <row r="18" spans="1:5" x14ac:dyDescent="0.3">
      <c r="A18" t="s">
        <v>18</v>
      </c>
      <c r="B18" t="s">
        <v>3</v>
      </c>
      <c r="C18">
        <v>3</v>
      </c>
      <c r="D18">
        <v>34000</v>
      </c>
      <c r="E18">
        <f t="shared" si="0"/>
        <v>102000</v>
      </c>
    </row>
    <row r="19" spans="1:5" hidden="1" x14ac:dyDescent="0.3">
      <c r="A19" t="s">
        <v>18</v>
      </c>
      <c r="B19" t="s">
        <v>4</v>
      </c>
      <c r="C19">
        <v>0</v>
      </c>
      <c r="E19">
        <f t="shared" si="0"/>
        <v>0</v>
      </c>
    </row>
    <row r="20" spans="1:5" x14ac:dyDescent="0.3">
      <c r="A20" t="s">
        <v>19</v>
      </c>
      <c r="B20" t="s">
        <v>4</v>
      </c>
      <c r="C20">
        <v>17</v>
      </c>
      <c r="D20">
        <v>3900</v>
      </c>
      <c r="E20">
        <f t="shared" si="0"/>
        <v>66300</v>
      </c>
    </row>
    <row r="21" spans="1:5" x14ac:dyDescent="0.3">
      <c r="A21" t="s">
        <v>20</v>
      </c>
      <c r="B21" t="s">
        <v>3</v>
      </c>
      <c r="C21">
        <v>620</v>
      </c>
      <c r="D21">
        <v>7000</v>
      </c>
      <c r="E21">
        <f t="shared" si="0"/>
        <v>4340000</v>
      </c>
    </row>
    <row r="22" spans="1:5" hidden="1" x14ac:dyDescent="0.3">
      <c r="A22" t="s">
        <v>21</v>
      </c>
      <c r="B22" t="s">
        <v>22</v>
      </c>
      <c r="C22">
        <v>0</v>
      </c>
      <c r="E22">
        <f t="shared" si="0"/>
        <v>0</v>
      </c>
    </row>
    <row r="23" spans="1:5" x14ac:dyDescent="0.3">
      <c r="A23" t="s">
        <v>21</v>
      </c>
      <c r="B23" t="s">
        <v>3</v>
      </c>
      <c r="C23">
        <v>72</v>
      </c>
      <c r="D23">
        <v>10000</v>
      </c>
      <c r="E23">
        <f t="shared" si="0"/>
        <v>720000</v>
      </c>
    </row>
    <row r="24" spans="1:5" hidden="1" x14ac:dyDescent="0.3">
      <c r="A24" t="s">
        <v>23</v>
      </c>
      <c r="B24" t="s">
        <v>3</v>
      </c>
      <c r="C24">
        <v>0</v>
      </c>
      <c r="E24">
        <f t="shared" si="0"/>
        <v>0</v>
      </c>
    </row>
    <row r="25" spans="1:5" x14ac:dyDescent="0.3">
      <c r="A25" t="s">
        <v>24</v>
      </c>
      <c r="B25" t="s">
        <v>3</v>
      </c>
      <c r="C25">
        <v>260</v>
      </c>
      <c r="D25">
        <v>11500</v>
      </c>
      <c r="E25">
        <f t="shared" si="0"/>
        <v>2990000</v>
      </c>
    </row>
    <row r="26" spans="1:5" x14ac:dyDescent="0.3">
      <c r="A26" t="s">
        <v>25</v>
      </c>
      <c r="B26" t="s">
        <v>3</v>
      </c>
      <c r="C26">
        <v>217</v>
      </c>
      <c r="D26">
        <v>21000</v>
      </c>
      <c r="E26">
        <f t="shared" si="0"/>
        <v>4557000</v>
      </c>
    </row>
    <row r="27" spans="1:5" hidden="1" x14ac:dyDescent="0.3">
      <c r="A27" t="s">
        <v>25</v>
      </c>
      <c r="B27" t="s">
        <v>26</v>
      </c>
      <c r="C27">
        <v>0</v>
      </c>
      <c r="E27">
        <f t="shared" si="0"/>
        <v>0</v>
      </c>
    </row>
    <row r="28" spans="1:5" hidden="1" x14ac:dyDescent="0.3">
      <c r="A28" t="s">
        <v>27</v>
      </c>
      <c r="B28" t="s">
        <v>3</v>
      </c>
      <c r="C28">
        <v>0</v>
      </c>
      <c r="E28">
        <f t="shared" si="0"/>
        <v>0</v>
      </c>
    </row>
    <row r="29" spans="1:5" hidden="1" x14ac:dyDescent="0.3">
      <c r="A29" t="s">
        <v>27</v>
      </c>
      <c r="B29" t="s">
        <v>26</v>
      </c>
      <c r="C29">
        <v>0</v>
      </c>
      <c r="E29">
        <f t="shared" si="0"/>
        <v>0</v>
      </c>
    </row>
    <row r="30" spans="1:5" x14ac:dyDescent="0.3">
      <c r="A30" t="s">
        <v>28</v>
      </c>
      <c r="B30" t="s">
        <v>3</v>
      </c>
      <c r="C30">
        <v>115</v>
      </c>
      <c r="D30">
        <v>15000</v>
      </c>
      <c r="E30">
        <f t="shared" si="0"/>
        <v>1725000</v>
      </c>
    </row>
    <row r="31" spans="1:5" hidden="1" x14ac:dyDescent="0.3">
      <c r="A31" t="s">
        <v>28</v>
      </c>
      <c r="B31" t="s">
        <v>29</v>
      </c>
      <c r="C31">
        <v>0</v>
      </c>
      <c r="E31">
        <f t="shared" si="0"/>
        <v>0</v>
      </c>
    </row>
    <row r="32" spans="1:5" hidden="1" x14ac:dyDescent="0.3">
      <c r="A32" t="s">
        <v>30</v>
      </c>
      <c r="B32" t="s">
        <v>6</v>
      </c>
      <c r="C32">
        <v>0</v>
      </c>
      <c r="E32">
        <f t="shared" si="0"/>
        <v>0</v>
      </c>
    </row>
    <row r="33" spans="1:5" x14ac:dyDescent="0.3">
      <c r="A33" t="s">
        <v>31</v>
      </c>
      <c r="B33" t="s">
        <v>4</v>
      </c>
      <c r="C33">
        <v>245</v>
      </c>
      <c r="D33">
        <v>13000</v>
      </c>
      <c r="E33">
        <f t="shared" si="0"/>
        <v>3185000</v>
      </c>
    </row>
    <row r="34" spans="1:5" hidden="1" x14ac:dyDescent="0.3">
      <c r="A34" t="s">
        <v>32</v>
      </c>
      <c r="B34" t="s">
        <v>3</v>
      </c>
      <c r="C34">
        <v>0</v>
      </c>
      <c r="E34">
        <f t="shared" si="0"/>
        <v>0</v>
      </c>
    </row>
    <row r="35" spans="1:5" x14ac:dyDescent="0.3">
      <c r="A35" t="s">
        <v>32</v>
      </c>
      <c r="B35" t="s">
        <v>6</v>
      </c>
      <c r="C35">
        <v>2535</v>
      </c>
      <c r="D35">
        <v>5500</v>
      </c>
      <c r="E35">
        <f t="shared" si="0"/>
        <v>13942500</v>
      </c>
    </row>
    <row r="36" spans="1:5" x14ac:dyDescent="0.3">
      <c r="A36" t="s">
        <v>33</v>
      </c>
      <c r="B36" t="s">
        <v>3</v>
      </c>
      <c r="C36">
        <v>10</v>
      </c>
      <c r="D36">
        <v>12000</v>
      </c>
      <c r="E36">
        <f t="shared" si="0"/>
        <v>120000</v>
      </c>
    </row>
    <row r="37" spans="1:5" x14ac:dyDescent="0.3">
      <c r="A37" t="s">
        <v>34</v>
      </c>
      <c r="B37" t="s">
        <v>3</v>
      </c>
      <c r="C37">
        <v>111</v>
      </c>
      <c r="D37">
        <v>38000</v>
      </c>
      <c r="E37">
        <f t="shared" si="0"/>
        <v>4218000</v>
      </c>
    </row>
    <row r="38" spans="1:5" hidden="1" x14ac:dyDescent="0.3">
      <c r="A38" t="s">
        <v>34</v>
      </c>
      <c r="B38" t="s">
        <v>26</v>
      </c>
      <c r="C38">
        <v>0</v>
      </c>
      <c r="E38">
        <f t="shared" si="0"/>
        <v>0</v>
      </c>
    </row>
    <row r="39" spans="1:5" x14ac:dyDescent="0.3">
      <c r="A39" t="s">
        <v>35</v>
      </c>
      <c r="B39" t="s">
        <v>3</v>
      </c>
      <c r="C39">
        <v>188</v>
      </c>
      <c r="D39">
        <v>42000</v>
      </c>
      <c r="E39">
        <f t="shared" si="0"/>
        <v>7896000</v>
      </c>
    </row>
    <row r="40" spans="1:5" hidden="1" x14ac:dyDescent="0.3">
      <c r="A40" t="s">
        <v>35</v>
      </c>
      <c r="B40" t="s">
        <v>26</v>
      </c>
      <c r="C40">
        <v>0</v>
      </c>
      <c r="E40">
        <f t="shared" si="0"/>
        <v>0</v>
      </c>
    </row>
    <row r="41" spans="1:5" hidden="1" x14ac:dyDescent="0.3">
      <c r="A41" t="s">
        <v>36</v>
      </c>
      <c r="B41" t="s">
        <v>3</v>
      </c>
      <c r="C41">
        <v>0</v>
      </c>
      <c r="E41">
        <f t="shared" si="0"/>
        <v>0</v>
      </c>
    </row>
    <row r="42" spans="1:5" hidden="1" x14ac:dyDescent="0.3">
      <c r="A42" t="s">
        <v>36</v>
      </c>
      <c r="B42" t="s">
        <v>26</v>
      </c>
      <c r="C42">
        <v>0</v>
      </c>
      <c r="E42">
        <f t="shared" si="0"/>
        <v>0</v>
      </c>
    </row>
    <row r="43" spans="1:5" hidden="1" x14ac:dyDescent="0.3">
      <c r="A43" t="s">
        <v>38</v>
      </c>
      <c r="B43" t="s">
        <v>6</v>
      </c>
      <c r="C43">
        <v>0</v>
      </c>
      <c r="E43">
        <f t="shared" si="0"/>
        <v>0</v>
      </c>
    </row>
    <row r="44" spans="1:5" x14ac:dyDescent="0.3">
      <c r="A44" t="s">
        <v>39</v>
      </c>
      <c r="B44" t="s">
        <v>3</v>
      </c>
      <c r="C44">
        <v>20</v>
      </c>
      <c r="D44">
        <v>30000</v>
      </c>
      <c r="E44">
        <f t="shared" si="0"/>
        <v>600000</v>
      </c>
    </row>
    <row r="45" spans="1:5" x14ac:dyDescent="0.3">
      <c r="A45" t="s">
        <v>40</v>
      </c>
      <c r="B45" t="s">
        <v>3</v>
      </c>
      <c r="C45">
        <v>5</v>
      </c>
      <c r="D45">
        <v>28000</v>
      </c>
      <c r="E45">
        <f t="shared" si="0"/>
        <v>140000</v>
      </c>
    </row>
    <row r="46" spans="1:5" x14ac:dyDescent="0.3">
      <c r="A46" t="s">
        <v>40</v>
      </c>
      <c r="B46" t="s">
        <v>41</v>
      </c>
      <c r="C46">
        <v>78</v>
      </c>
      <c r="D46">
        <v>8400</v>
      </c>
      <c r="E46">
        <f t="shared" si="0"/>
        <v>655200</v>
      </c>
    </row>
    <row r="47" spans="1:5" x14ac:dyDescent="0.3">
      <c r="A47" t="s">
        <v>43</v>
      </c>
      <c r="B47" t="s">
        <v>3</v>
      </c>
      <c r="C47">
        <v>1390</v>
      </c>
      <c r="D47">
        <v>27600</v>
      </c>
      <c r="E47">
        <f t="shared" si="0"/>
        <v>38364000</v>
      </c>
    </row>
    <row r="48" spans="1:5" x14ac:dyDescent="0.3">
      <c r="A48" t="s">
        <v>44</v>
      </c>
      <c r="B48" t="s">
        <v>3</v>
      </c>
      <c r="C48">
        <v>20</v>
      </c>
      <c r="D48">
        <v>20000</v>
      </c>
      <c r="E48">
        <f t="shared" si="0"/>
        <v>400000</v>
      </c>
    </row>
    <row r="49" spans="1:5" x14ac:dyDescent="0.3">
      <c r="A49" t="s">
        <v>45</v>
      </c>
      <c r="B49" t="s">
        <v>3</v>
      </c>
      <c r="C49">
        <v>610</v>
      </c>
      <c r="D49">
        <v>7500</v>
      </c>
      <c r="E49">
        <f t="shared" si="0"/>
        <v>4575000</v>
      </c>
    </row>
    <row r="50" spans="1:5" x14ac:dyDescent="0.3">
      <c r="A50" t="s">
        <v>46</v>
      </c>
      <c r="B50" t="s">
        <v>3</v>
      </c>
      <c r="C50">
        <v>43</v>
      </c>
      <c r="D50">
        <v>16000</v>
      </c>
      <c r="E50">
        <f t="shared" si="0"/>
        <v>688000</v>
      </c>
    </row>
    <row r="51" spans="1:5" x14ac:dyDescent="0.3">
      <c r="A51" t="s">
        <v>48</v>
      </c>
      <c r="B51" t="s">
        <v>3</v>
      </c>
      <c r="C51">
        <v>145</v>
      </c>
      <c r="D51">
        <v>8000</v>
      </c>
      <c r="E51">
        <f t="shared" si="0"/>
        <v>1160000</v>
      </c>
    </row>
    <row r="52" spans="1:5" hidden="1" x14ac:dyDescent="0.3">
      <c r="A52" t="s">
        <v>48</v>
      </c>
      <c r="B52" t="s">
        <v>49</v>
      </c>
      <c r="C52">
        <v>0</v>
      </c>
      <c r="E52">
        <f t="shared" si="0"/>
        <v>0</v>
      </c>
    </row>
    <row r="53" spans="1:5" x14ac:dyDescent="0.3">
      <c r="A53" t="s">
        <v>50</v>
      </c>
      <c r="B53" t="s">
        <v>8</v>
      </c>
      <c r="C53">
        <v>4</v>
      </c>
      <c r="D53">
        <v>12000</v>
      </c>
      <c r="E53">
        <f t="shared" si="0"/>
        <v>48000</v>
      </c>
    </row>
    <row r="54" spans="1:5" hidden="1" x14ac:dyDescent="0.3">
      <c r="A54" t="s">
        <v>51</v>
      </c>
      <c r="B54" t="s">
        <v>3</v>
      </c>
      <c r="C54">
        <v>0</v>
      </c>
      <c r="E54">
        <f t="shared" si="0"/>
        <v>0</v>
      </c>
    </row>
    <row r="55" spans="1:5" hidden="1" x14ac:dyDescent="0.3">
      <c r="A55" t="s">
        <v>51</v>
      </c>
      <c r="B55" t="s">
        <v>52</v>
      </c>
      <c r="C55">
        <v>0</v>
      </c>
      <c r="E55">
        <f t="shared" si="0"/>
        <v>0</v>
      </c>
    </row>
    <row r="56" spans="1:5" x14ac:dyDescent="0.3">
      <c r="A56" t="s">
        <v>53</v>
      </c>
      <c r="B56" t="s">
        <v>3</v>
      </c>
      <c r="C56">
        <v>66</v>
      </c>
      <c r="D56">
        <v>16000</v>
      </c>
      <c r="E56">
        <f t="shared" si="0"/>
        <v>1056000</v>
      </c>
    </row>
    <row r="57" spans="1:5" hidden="1" x14ac:dyDescent="0.3">
      <c r="A57" t="s">
        <v>53</v>
      </c>
      <c r="B57" t="s">
        <v>54</v>
      </c>
      <c r="C57">
        <v>0</v>
      </c>
      <c r="E57">
        <f t="shared" si="0"/>
        <v>0</v>
      </c>
    </row>
    <row r="58" spans="1:5" hidden="1" x14ac:dyDescent="0.3">
      <c r="A58" t="s">
        <v>55</v>
      </c>
      <c r="B58" t="s">
        <v>4</v>
      </c>
      <c r="C58">
        <v>0</v>
      </c>
      <c r="E58">
        <f t="shared" si="0"/>
        <v>0</v>
      </c>
    </row>
    <row r="59" spans="1:5" x14ac:dyDescent="0.3">
      <c r="A59" t="s">
        <v>56</v>
      </c>
      <c r="B59" t="s">
        <v>3</v>
      </c>
      <c r="C59">
        <v>20</v>
      </c>
      <c r="D59">
        <v>14000</v>
      </c>
      <c r="E59">
        <f t="shared" si="0"/>
        <v>280000</v>
      </c>
    </row>
    <row r="60" spans="1:5" x14ac:dyDescent="0.3">
      <c r="A60" t="s">
        <v>57</v>
      </c>
      <c r="B60" t="s">
        <v>3</v>
      </c>
      <c r="C60">
        <v>95</v>
      </c>
      <c r="D60">
        <v>7000</v>
      </c>
      <c r="E60">
        <f t="shared" si="0"/>
        <v>665000</v>
      </c>
    </row>
    <row r="61" spans="1:5" x14ac:dyDescent="0.3">
      <c r="A61" t="s">
        <v>58</v>
      </c>
      <c r="B61" t="s">
        <v>3</v>
      </c>
      <c r="C61">
        <v>10</v>
      </c>
      <c r="D61">
        <v>17000</v>
      </c>
      <c r="E61">
        <f t="shared" si="0"/>
        <v>170000</v>
      </c>
    </row>
    <row r="62" spans="1:5" x14ac:dyDescent="0.3">
      <c r="A62" t="s">
        <v>59</v>
      </c>
      <c r="B62" t="s">
        <v>3</v>
      </c>
      <c r="C62">
        <v>62</v>
      </c>
      <c r="D62">
        <v>13000</v>
      </c>
      <c r="E62">
        <f t="shared" si="0"/>
        <v>806000</v>
      </c>
    </row>
    <row r="63" spans="1:5" x14ac:dyDescent="0.3">
      <c r="A63" t="s">
        <v>60</v>
      </c>
      <c r="B63" t="s">
        <v>4</v>
      </c>
      <c r="C63">
        <v>12</v>
      </c>
      <c r="D63">
        <v>11000</v>
      </c>
      <c r="E63">
        <f t="shared" si="0"/>
        <v>132000</v>
      </c>
    </row>
    <row r="64" spans="1:5" hidden="1" x14ac:dyDescent="0.3">
      <c r="A64" t="s">
        <v>61</v>
      </c>
      <c r="B64" t="s">
        <v>3</v>
      </c>
      <c r="C64">
        <v>0</v>
      </c>
      <c r="E64">
        <f t="shared" si="0"/>
        <v>0</v>
      </c>
    </row>
    <row r="65" spans="1:5" x14ac:dyDescent="0.3">
      <c r="A65" t="s">
        <v>61</v>
      </c>
      <c r="B65" t="s">
        <v>62</v>
      </c>
      <c r="C65">
        <v>45</v>
      </c>
      <c r="D65">
        <v>14500</v>
      </c>
      <c r="E65">
        <f t="shared" si="0"/>
        <v>652500</v>
      </c>
    </row>
    <row r="66" spans="1:5" hidden="1" x14ac:dyDescent="0.3">
      <c r="A66" t="s">
        <v>63</v>
      </c>
      <c r="B66" t="s">
        <v>3</v>
      </c>
      <c r="C66">
        <v>0</v>
      </c>
      <c r="E66">
        <f t="shared" si="0"/>
        <v>0</v>
      </c>
    </row>
    <row r="67" spans="1:5" x14ac:dyDescent="0.3">
      <c r="A67" t="s">
        <v>64</v>
      </c>
      <c r="B67" t="s">
        <v>3</v>
      </c>
      <c r="C67">
        <v>1</v>
      </c>
      <c r="D67">
        <v>70000</v>
      </c>
      <c r="E67">
        <f t="shared" si="0"/>
        <v>70000</v>
      </c>
    </row>
    <row r="68" spans="1:5" hidden="1" x14ac:dyDescent="0.3">
      <c r="A68" t="s">
        <v>65</v>
      </c>
      <c r="B68" t="s">
        <v>3</v>
      </c>
      <c r="C68">
        <v>0</v>
      </c>
      <c r="E68">
        <f t="shared" ref="E68:E133" si="1">C68*D68</f>
        <v>0</v>
      </c>
    </row>
    <row r="69" spans="1:5" hidden="1" x14ac:dyDescent="0.3">
      <c r="A69" t="s">
        <v>66</v>
      </c>
      <c r="B69" t="s">
        <v>22</v>
      </c>
      <c r="C69">
        <v>0</v>
      </c>
      <c r="E69">
        <f t="shared" si="1"/>
        <v>0</v>
      </c>
    </row>
    <row r="70" spans="1:5" hidden="1" x14ac:dyDescent="0.3">
      <c r="A70" t="s">
        <v>66</v>
      </c>
      <c r="B70" t="s">
        <v>3</v>
      </c>
      <c r="C70">
        <v>0</v>
      </c>
      <c r="E70">
        <f t="shared" si="1"/>
        <v>0</v>
      </c>
    </row>
    <row r="71" spans="1:5" hidden="1" x14ac:dyDescent="0.3">
      <c r="A71" t="s">
        <v>68</v>
      </c>
      <c r="B71" t="s">
        <v>4</v>
      </c>
      <c r="C71">
        <v>0</v>
      </c>
      <c r="E71">
        <f t="shared" si="1"/>
        <v>0</v>
      </c>
    </row>
    <row r="72" spans="1:5" x14ac:dyDescent="0.3">
      <c r="A72" t="s">
        <v>69</v>
      </c>
      <c r="B72" t="s">
        <v>3</v>
      </c>
      <c r="C72">
        <v>17</v>
      </c>
      <c r="D72">
        <v>14000</v>
      </c>
      <c r="E72">
        <f t="shared" si="1"/>
        <v>238000</v>
      </c>
    </row>
    <row r="73" spans="1:5" hidden="1" x14ac:dyDescent="0.3">
      <c r="A73" t="s">
        <v>70</v>
      </c>
      <c r="B73" t="s">
        <v>8</v>
      </c>
      <c r="C73">
        <v>0</v>
      </c>
      <c r="E73">
        <f t="shared" si="1"/>
        <v>0</v>
      </c>
    </row>
    <row r="74" spans="1:5" x14ac:dyDescent="0.3">
      <c r="A74" t="s">
        <v>70</v>
      </c>
      <c r="B74" t="s">
        <v>3</v>
      </c>
      <c r="C74">
        <v>10</v>
      </c>
      <c r="D74">
        <v>45000</v>
      </c>
      <c r="E74">
        <f t="shared" si="1"/>
        <v>450000</v>
      </c>
    </row>
    <row r="75" spans="1:5" x14ac:dyDescent="0.3">
      <c r="A75" t="s">
        <v>71</v>
      </c>
      <c r="B75" t="s">
        <v>4</v>
      </c>
      <c r="C75">
        <v>64</v>
      </c>
      <c r="D75">
        <v>22000</v>
      </c>
      <c r="E75">
        <f t="shared" si="1"/>
        <v>1408000</v>
      </c>
    </row>
    <row r="76" spans="1:5" x14ac:dyDescent="0.3">
      <c r="A76" t="s">
        <v>72</v>
      </c>
      <c r="B76" t="s">
        <v>3</v>
      </c>
      <c r="C76">
        <v>116</v>
      </c>
      <c r="D76">
        <v>16000</v>
      </c>
      <c r="E76">
        <f t="shared" si="1"/>
        <v>1856000</v>
      </c>
    </row>
    <row r="77" spans="1:5" x14ac:dyDescent="0.3">
      <c r="A77" t="s">
        <v>73</v>
      </c>
      <c r="B77" t="s">
        <v>3</v>
      </c>
      <c r="C77">
        <v>10</v>
      </c>
      <c r="D77">
        <v>32000</v>
      </c>
      <c r="E77">
        <f t="shared" si="1"/>
        <v>320000</v>
      </c>
    </row>
    <row r="78" spans="1:5" x14ac:dyDescent="0.3">
      <c r="A78" t="s">
        <v>74</v>
      </c>
      <c r="B78" t="s">
        <v>3</v>
      </c>
      <c r="C78">
        <v>5</v>
      </c>
      <c r="D78">
        <v>28000</v>
      </c>
      <c r="E78">
        <f t="shared" si="1"/>
        <v>140000</v>
      </c>
    </row>
    <row r="79" spans="1:5" x14ac:dyDescent="0.3">
      <c r="A79" t="s">
        <v>76</v>
      </c>
      <c r="B79" t="s">
        <v>3</v>
      </c>
      <c r="C79">
        <v>17</v>
      </c>
      <c r="D79">
        <v>30000</v>
      </c>
      <c r="E79">
        <f t="shared" si="1"/>
        <v>510000</v>
      </c>
    </row>
    <row r="80" spans="1:5" x14ac:dyDescent="0.3">
      <c r="A80" t="s">
        <v>82</v>
      </c>
      <c r="B80" t="s">
        <v>3</v>
      </c>
      <c r="C80">
        <v>11</v>
      </c>
      <c r="D80">
        <v>35000</v>
      </c>
      <c r="E80">
        <f t="shared" si="1"/>
        <v>385000</v>
      </c>
    </row>
    <row r="81" spans="1:5" hidden="1" x14ac:dyDescent="0.3">
      <c r="A81" t="s">
        <v>83</v>
      </c>
      <c r="B81" t="s">
        <v>4</v>
      </c>
      <c r="C81">
        <v>0</v>
      </c>
      <c r="E81">
        <f t="shared" si="1"/>
        <v>0</v>
      </c>
    </row>
    <row r="82" spans="1:5" hidden="1" x14ac:dyDescent="0.3">
      <c r="A82" t="s">
        <v>84</v>
      </c>
      <c r="B82" t="s">
        <v>22</v>
      </c>
      <c r="C82">
        <v>0</v>
      </c>
      <c r="E82">
        <f t="shared" si="1"/>
        <v>0</v>
      </c>
    </row>
    <row r="83" spans="1:5" x14ac:dyDescent="0.3">
      <c r="A83" t="s">
        <v>87</v>
      </c>
      <c r="B83" t="s">
        <v>4</v>
      </c>
      <c r="C83">
        <v>60</v>
      </c>
      <c r="D83">
        <v>7500</v>
      </c>
      <c r="E83">
        <f t="shared" si="1"/>
        <v>450000</v>
      </c>
    </row>
    <row r="84" spans="1:5" hidden="1" x14ac:dyDescent="0.3">
      <c r="A84" t="s">
        <v>85</v>
      </c>
      <c r="B84" t="s">
        <v>22</v>
      </c>
      <c r="C84">
        <v>0</v>
      </c>
      <c r="E84">
        <f t="shared" si="1"/>
        <v>0</v>
      </c>
    </row>
    <row r="85" spans="1:5" hidden="1" x14ac:dyDescent="0.3">
      <c r="A85" t="s">
        <v>92</v>
      </c>
      <c r="B85" t="s">
        <v>3</v>
      </c>
      <c r="C85">
        <v>0</v>
      </c>
      <c r="E85">
        <f t="shared" si="1"/>
        <v>0</v>
      </c>
    </row>
    <row r="86" spans="1:5" hidden="1" x14ac:dyDescent="0.3">
      <c r="A86" t="s">
        <v>86</v>
      </c>
      <c r="B86" t="s">
        <v>22</v>
      </c>
      <c r="C86">
        <v>0</v>
      </c>
      <c r="E86">
        <f t="shared" si="1"/>
        <v>0</v>
      </c>
    </row>
    <row r="87" spans="1:5" x14ac:dyDescent="0.3">
      <c r="A87" t="s">
        <v>88</v>
      </c>
      <c r="B87" t="s">
        <v>3</v>
      </c>
      <c r="C87">
        <v>148</v>
      </c>
      <c r="D87">
        <v>28000</v>
      </c>
      <c r="E87">
        <f t="shared" si="1"/>
        <v>4144000</v>
      </c>
    </row>
    <row r="88" spans="1:5" hidden="1" x14ac:dyDescent="0.3">
      <c r="A88" t="s">
        <v>89</v>
      </c>
      <c r="B88" t="s">
        <v>4</v>
      </c>
      <c r="C88">
        <v>0</v>
      </c>
      <c r="E88">
        <f t="shared" si="1"/>
        <v>0</v>
      </c>
    </row>
    <row r="89" spans="1:5" hidden="1" x14ac:dyDescent="0.3">
      <c r="A89" t="s">
        <v>91</v>
      </c>
      <c r="B89" t="s">
        <v>3</v>
      </c>
      <c r="C89">
        <v>0</v>
      </c>
      <c r="E89">
        <f t="shared" si="1"/>
        <v>0</v>
      </c>
    </row>
    <row r="90" spans="1:5" hidden="1" x14ac:dyDescent="0.3">
      <c r="A90" t="s">
        <v>123</v>
      </c>
      <c r="B90" t="s">
        <v>3</v>
      </c>
      <c r="C90">
        <v>0</v>
      </c>
      <c r="E90">
        <f t="shared" si="1"/>
        <v>0</v>
      </c>
    </row>
    <row r="91" spans="1:5" hidden="1" x14ac:dyDescent="0.3">
      <c r="A91" t="s">
        <v>81</v>
      </c>
      <c r="B91" t="s">
        <v>3</v>
      </c>
      <c r="C91">
        <v>0</v>
      </c>
      <c r="E91">
        <f t="shared" si="1"/>
        <v>0</v>
      </c>
    </row>
    <row r="92" spans="1:5" x14ac:dyDescent="0.3">
      <c r="A92" t="s">
        <v>93</v>
      </c>
      <c r="B92" t="s">
        <v>3</v>
      </c>
      <c r="C92">
        <v>7</v>
      </c>
      <c r="D92">
        <v>25000</v>
      </c>
      <c r="E92">
        <f t="shared" si="1"/>
        <v>175000</v>
      </c>
    </row>
    <row r="93" spans="1:5" x14ac:dyDescent="0.3">
      <c r="A93" t="s">
        <v>97</v>
      </c>
      <c r="B93" t="s">
        <v>3</v>
      </c>
      <c r="C93">
        <v>14</v>
      </c>
      <c r="D93">
        <v>16000</v>
      </c>
      <c r="E93">
        <f t="shared" si="1"/>
        <v>224000</v>
      </c>
    </row>
    <row r="94" spans="1:5" x14ac:dyDescent="0.3">
      <c r="A94" t="s">
        <v>96</v>
      </c>
      <c r="B94" t="s">
        <v>3</v>
      </c>
      <c r="C94">
        <v>7</v>
      </c>
      <c r="D94">
        <v>27000</v>
      </c>
      <c r="E94">
        <f t="shared" si="1"/>
        <v>189000</v>
      </c>
    </row>
    <row r="95" spans="1:5" x14ac:dyDescent="0.3">
      <c r="A95" t="s">
        <v>107</v>
      </c>
      <c r="B95" t="s">
        <v>3</v>
      </c>
      <c r="C95">
        <v>8</v>
      </c>
      <c r="D95">
        <v>16000</v>
      </c>
      <c r="E95">
        <f t="shared" si="1"/>
        <v>128000</v>
      </c>
    </row>
    <row r="96" spans="1:5" x14ac:dyDescent="0.3">
      <c r="A96" t="s">
        <v>106</v>
      </c>
      <c r="B96" t="s">
        <v>3</v>
      </c>
      <c r="C96">
        <v>10</v>
      </c>
      <c r="D96">
        <v>20000</v>
      </c>
      <c r="E96">
        <f t="shared" si="1"/>
        <v>200000</v>
      </c>
    </row>
    <row r="97" spans="1:5" x14ac:dyDescent="0.3">
      <c r="A97" t="s">
        <v>133</v>
      </c>
      <c r="B97" t="s">
        <v>3</v>
      </c>
      <c r="C97">
        <v>280</v>
      </c>
      <c r="D97">
        <v>17000</v>
      </c>
      <c r="E97">
        <f t="shared" si="1"/>
        <v>4760000</v>
      </c>
    </row>
    <row r="98" spans="1:5" x14ac:dyDescent="0.3">
      <c r="A98" t="s">
        <v>118</v>
      </c>
      <c r="B98" t="s">
        <v>3</v>
      </c>
      <c r="C98">
        <v>10</v>
      </c>
      <c r="D98">
        <v>33000</v>
      </c>
      <c r="E98">
        <f t="shared" si="1"/>
        <v>330000</v>
      </c>
    </row>
    <row r="99" spans="1:5" x14ac:dyDescent="0.3">
      <c r="A99" t="s">
        <v>119</v>
      </c>
      <c r="B99" t="s">
        <v>3</v>
      </c>
      <c r="C99">
        <v>12</v>
      </c>
      <c r="D99">
        <v>22000</v>
      </c>
      <c r="E99">
        <f t="shared" si="1"/>
        <v>264000</v>
      </c>
    </row>
    <row r="100" spans="1:5" x14ac:dyDescent="0.3">
      <c r="A100" t="s">
        <v>116</v>
      </c>
      <c r="B100" t="s">
        <v>26</v>
      </c>
      <c r="C100">
        <v>1874</v>
      </c>
      <c r="D100">
        <v>10000</v>
      </c>
      <c r="E100">
        <f t="shared" si="1"/>
        <v>18740000</v>
      </c>
    </row>
    <row r="101" spans="1:5" x14ac:dyDescent="0.3">
      <c r="A101" t="s">
        <v>150</v>
      </c>
      <c r="B101" t="s">
        <v>26</v>
      </c>
      <c r="C101">
        <v>731</v>
      </c>
      <c r="D101">
        <v>17000</v>
      </c>
      <c r="E101">
        <f t="shared" si="1"/>
        <v>12427000</v>
      </c>
    </row>
    <row r="102" spans="1:5" x14ac:dyDescent="0.3">
      <c r="E102">
        <f>SUM(E3:E101)</f>
        <v>162626300</v>
      </c>
    </row>
    <row r="103" spans="1:5" x14ac:dyDescent="0.3">
      <c r="A103" t="s">
        <v>103</v>
      </c>
    </row>
    <row r="104" spans="1:5" x14ac:dyDescent="0.3">
      <c r="A104" t="s">
        <v>0</v>
      </c>
      <c r="B104" t="s">
        <v>1</v>
      </c>
      <c r="C104" t="s">
        <v>102</v>
      </c>
      <c r="D104" t="s">
        <v>100</v>
      </c>
      <c r="E104" t="s">
        <v>101</v>
      </c>
    </row>
    <row r="105" spans="1:5" x14ac:dyDescent="0.3">
      <c r="A105" t="s">
        <v>2</v>
      </c>
      <c r="B105" t="s">
        <v>3</v>
      </c>
      <c r="C105">
        <v>130</v>
      </c>
      <c r="D105">
        <v>14000</v>
      </c>
      <c r="E105">
        <f t="shared" si="1"/>
        <v>1820000</v>
      </c>
    </row>
    <row r="106" spans="1:5" x14ac:dyDescent="0.3">
      <c r="A106" t="s">
        <v>57</v>
      </c>
      <c r="B106" t="s">
        <v>3</v>
      </c>
      <c r="C106">
        <v>20</v>
      </c>
      <c r="D106">
        <v>7000</v>
      </c>
      <c r="E106">
        <f t="shared" si="1"/>
        <v>140000</v>
      </c>
    </row>
    <row r="107" spans="1:5" x14ac:dyDescent="0.3">
      <c r="A107" t="s">
        <v>9</v>
      </c>
      <c r="B107" t="s">
        <v>3</v>
      </c>
      <c r="C107">
        <v>3</v>
      </c>
      <c r="D107">
        <v>10000</v>
      </c>
      <c r="E107">
        <f t="shared" si="1"/>
        <v>30000</v>
      </c>
    </row>
    <row r="108" spans="1:5" x14ac:dyDescent="0.3">
      <c r="A108" t="s">
        <v>10</v>
      </c>
      <c r="B108" t="s">
        <v>3</v>
      </c>
      <c r="C108">
        <v>10</v>
      </c>
      <c r="D108">
        <v>14500</v>
      </c>
      <c r="E108">
        <f t="shared" si="1"/>
        <v>145000</v>
      </c>
    </row>
    <row r="109" spans="1:5" x14ac:dyDescent="0.3">
      <c r="A109" t="s">
        <v>14</v>
      </c>
      <c r="B109" t="s">
        <v>3</v>
      </c>
      <c r="C109">
        <v>40</v>
      </c>
      <c r="D109">
        <v>17000</v>
      </c>
      <c r="E109">
        <f t="shared" si="1"/>
        <v>680000</v>
      </c>
    </row>
    <row r="110" spans="1:5" x14ac:dyDescent="0.3">
      <c r="A110" t="s">
        <v>15</v>
      </c>
      <c r="B110" t="s">
        <v>3</v>
      </c>
      <c r="C110">
        <v>20</v>
      </c>
      <c r="D110">
        <v>17000</v>
      </c>
      <c r="E110">
        <f t="shared" si="1"/>
        <v>340000</v>
      </c>
    </row>
    <row r="111" spans="1:5" x14ac:dyDescent="0.3">
      <c r="A111" t="s">
        <v>59</v>
      </c>
      <c r="B111" t="s">
        <v>3</v>
      </c>
      <c r="C111">
        <v>3</v>
      </c>
      <c r="D111">
        <v>13000</v>
      </c>
      <c r="E111">
        <f t="shared" si="1"/>
        <v>39000</v>
      </c>
    </row>
    <row r="112" spans="1:5" hidden="1" x14ac:dyDescent="0.3">
      <c r="A112" t="s">
        <v>46</v>
      </c>
      <c r="B112" t="s">
        <v>3</v>
      </c>
      <c r="C112">
        <v>0</v>
      </c>
      <c r="E112">
        <f t="shared" si="1"/>
        <v>0</v>
      </c>
    </row>
    <row r="113" spans="1:5" x14ac:dyDescent="0.3">
      <c r="A113" t="s">
        <v>94</v>
      </c>
      <c r="B113" t="s">
        <v>3</v>
      </c>
      <c r="C113">
        <v>32</v>
      </c>
      <c r="D113">
        <v>25000</v>
      </c>
      <c r="E113">
        <f t="shared" si="1"/>
        <v>800000</v>
      </c>
    </row>
    <row r="114" spans="1:5" x14ac:dyDescent="0.3">
      <c r="A114" t="s">
        <v>44</v>
      </c>
      <c r="B114" t="s">
        <v>3</v>
      </c>
      <c r="C114">
        <v>4</v>
      </c>
      <c r="D114">
        <v>20000</v>
      </c>
      <c r="E114">
        <f t="shared" si="1"/>
        <v>80000</v>
      </c>
    </row>
    <row r="115" spans="1:5" hidden="1" x14ac:dyDescent="0.3">
      <c r="A115" t="s">
        <v>17</v>
      </c>
      <c r="B115" t="s">
        <v>3</v>
      </c>
      <c r="C115">
        <v>0</v>
      </c>
      <c r="E115">
        <f t="shared" si="1"/>
        <v>0</v>
      </c>
    </row>
    <row r="116" spans="1:5" x14ac:dyDescent="0.3">
      <c r="A116" t="s">
        <v>20</v>
      </c>
      <c r="B116" t="s">
        <v>3</v>
      </c>
      <c r="C116">
        <v>150</v>
      </c>
      <c r="D116">
        <v>7000</v>
      </c>
      <c r="E116">
        <f t="shared" si="1"/>
        <v>1050000</v>
      </c>
    </row>
    <row r="117" spans="1:5" x14ac:dyDescent="0.3">
      <c r="A117" t="s">
        <v>21</v>
      </c>
      <c r="B117" t="s">
        <v>3</v>
      </c>
      <c r="C117">
        <v>18</v>
      </c>
      <c r="D117">
        <v>10000</v>
      </c>
      <c r="E117">
        <f t="shared" si="1"/>
        <v>180000</v>
      </c>
    </row>
    <row r="118" spans="1:5" x14ac:dyDescent="0.3">
      <c r="A118" t="s">
        <v>66</v>
      </c>
      <c r="B118" t="s">
        <v>3</v>
      </c>
      <c r="C118">
        <v>10</v>
      </c>
      <c r="D118">
        <v>17000</v>
      </c>
      <c r="E118">
        <f t="shared" si="1"/>
        <v>170000</v>
      </c>
    </row>
    <row r="119" spans="1:5" x14ac:dyDescent="0.3">
      <c r="A119" t="s">
        <v>84</v>
      </c>
      <c r="B119" t="s">
        <v>22</v>
      </c>
      <c r="C119">
        <v>65</v>
      </c>
      <c r="D119">
        <v>6800</v>
      </c>
      <c r="E119">
        <f t="shared" si="1"/>
        <v>442000</v>
      </c>
    </row>
    <row r="120" spans="1:5" hidden="1" x14ac:dyDescent="0.3">
      <c r="A120" t="s">
        <v>86</v>
      </c>
      <c r="B120" t="s">
        <v>22</v>
      </c>
      <c r="C120">
        <v>0</v>
      </c>
      <c r="E120">
        <f t="shared" si="1"/>
        <v>0</v>
      </c>
    </row>
    <row r="121" spans="1:5" hidden="1" x14ac:dyDescent="0.3">
      <c r="A121" t="s">
        <v>85</v>
      </c>
      <c r="B121" t="s">
        <v>22</v>
      </c>
      <c r="C121">
        <v>0</v>
      </c>
      <c r="E121">
        <f t="shared" si="1"/>
        <v>0</v>
      </c>
    </row>
    <row r="122" spans="1:5" hidden="1" x14ac:dyDescent="0.3">
      <c r="A122" t="s">
        <v>95</v>
      </c>
      <c r="B122" t="s">
        <v>3</v>
      </c>
      <c r="C122">
        <v>0</v>
      </c>
      <c r="E122">
        <f t="shared" si="1"/>
        <v>0</v>
      </c>
    </row>
    <row r="123" spans="1:5" hidden="1" x14ac:dyDescent="0.3">
      <c r="A123" t="s">
        <v>24</v>
      </c>
      <c r="B123" t="s">
        <v>3</v>
      </c>
      <c r="C123">
        <v>0</v>
      </c>
      <c r="E123">
        <f t="shared" si="1"/>
        <v>0</v>
      </c>
    </row>
    <row r="124" spans="1:5" x14ac:dyDescent="0.3">
      <c r="A124" t="s">
        <v>25</v>
      </c>
      <c r="B124" t="s">
        <v>3</v>
      </c>
      <c r="C124">
        <v>8</v>
      </c>
      <c r="D124">
        <v>21000</v>
      </c>
      <c r="E124">
        <f t="shared" si="1"/>
        <v>168000</v>
      </c>
    </row>
    <row r="125" spans="1:5" x14ac:dyDescent="0.3">
      <c r="A125" t="s">
        <v>28</v>
      </c>
      <c r="B125" t="s">
        <v>3</v>
      </c>
      <c r="C125">
        <v>25</v>
      </c>
      <c r="D125">
        <v>15000</v>
      </c>
      <c r="E125">
        <f t="shared" si="1"/>
        <v>375000</v>
      </c>
    </row>
    <row r="126" spans="1:5" hidden="1" x14ac:dyDescent="0.3">
      <c r="A126" t="s">
        <v>30</v>
      </c>
      <c r="B126" t="s">
        <v>3</v>
      </c>
      <c r="C126">
        <v>0</v>
      </c>
      <c r="E126">
        <f t="shared" si="1"/>
        <v>0</v>
      </c>
    </row>
    <row r="127" spans="1:5" x14ac:dyDescent="0.3">
      <c r="A127" t="s">
        <v>53</v>
      </c>
      <c r="B127" t="s">
        <v>3</v>
      </c>
      <c r="C127">
        <v>4</v>
      </c>
      <c r="D127">
        <v>8000</v>
      </c>
      <c r="E127">
        <f t="shared" si="1"/>
        <v>32000</v>
      </c>
    </row>
    <row r="128" spans="1:5" x14ac:dyDescent="0.3">
      <c r="A128" t="s">
        <v>34</v>
      </c>
      <c r="B128" t="s">
        <v>3</v>
      </c>
      <c r="C128">
        <v>9</v>
      </c>
      <c r="D128">
        <v>38000</v>
      </c>
      <c r="E128">
        <f t="shared" si="1"/>
        <v>342000</v>
      </c>
    </row>
    <row r="129" spans="1:5" x14ac:dyDescent="0.3">
      <c r="A129" t="s">
        <v>35</v>
      </c>
      <c r="B129" t="s">
        <v>3</v>
      </c>
      <c r="C129">
        <v>2</v>
      </c>
      <c r="D129">
        <v>42000</v>
      </c>
      <c r="E129">
        <f t="shared" si="1"/>
        <v>84000</v>
      </c>
    </row>
    <row r="130" spans="1:5" hidden="1" x14ac:dyDescent="0.3">
      <c r="A130" t="s">
        <v>36</v>
      </c>
      <c r="B130" t="s">
        <v>3</v>
      </c>
      <c r="C130">
        <v>0</v>
      </c>
      <c r="E130">
        <f t="shared" si="1"/>
        <v>0</v>
      </c>
    </row>
    <row r="131" spans="1:5" x14ac:dyDescent="0.3">
      <c r="A131" t="s">
        <v>72</v>
      </c>
      <c r="B131" t="s">
        <v>3</v>
      </c>
      <c r="C131">
        <v>24</v>
      </c>
      <c r="D131">
        <v>16000</v>
      </c>
      <c r="E131">
        <f t="shared" si="1"/>
        <v>384000</v>
      </c>
    </row>
    <row r="132" spans="1:5" x14ac:dyDescent="0.3">
      <c r="A132" t="s">
        <v>96</v>
      </c>
      <c r="B132" t="s">
        <v>3</v>
      </c>
      <c r="C132">
        <v>13</v>
      </c>
      <c r="D132">
        <v>27000</v>
      </c>
      <c r="E132">
        <f t="shared" si="1"/>
        <v>351000</v>
      </c>
    </row>
    <row r="133" spans="1:5" x14ac:dyDescent="0.3">
      <c r="A133" t="s">
        <v>97</v>
      </c>
      <c r="B133" t="s">
        <v>3</v>
      </c>
      <c r="C133">
        <v>4</v>
      </c>
      <c r="D133">
        <v>16000</v>
      </c>
      <c r="E133">
        <f t="shared" si="1"/>
        <v>64000</v>
      </c>
    </row>
    <row r="134" spans="1:5" hidden="1" x14ac:dyDescent="0.3">
      <c r="A134" t="s">
        <v>109</v>
      </c>
      <c r="B134" t="s">
        <v>3</v>
      </c>
      <c r="C134">
        <v>0</v>
      </c>
      <c r="E134">
        <f t="shared" ref="E134:E140" si="2">C134*D134</f>
        <v>0</v>
      </c>
    </row>
    <row r="135" spans="1:5" x14ac:dyDescent="0.3">
      <c r="A135" t="s">
        <v>32</v>
      </c>
      <c r="B135" t="s">
        <v>6</v>
      </c>
      <c r="C135">
        <v>45</v>
      </c>
      <c r="D135">
        <v>5500</v>
      </c>
      <c r="E135">
        <f t="shared" si="2"/>
        <v>247500</v>
      </c>
    </row>
    <row r="136" spans="1:5" hidden="1" x14ac:dyDescent="0.3">
      <c r="A136" t="s">
        <v>60</v>
      </c>
      <c r="B136" t="s">
        <v>4</v>
      </c>
      <c r="C136">
        <v>0</v>
      </c>
      <c r="E136">
        <f t="shared" si="2"/>
        <v>0</v>
      </c>
    </row>
    <row r="137" spans="1:5" x14ac:dyDescent="0.3">
      <c r="A137" t="s">
        <v>61</v>
      </c>
      <c r="B137" t="s">
        <v>4</v>
      </c>
      <c r="C137">
        <v>125</v>
      </c>
      <c r="D137">
        <v>145000</v>
      </c>
      <c r="E137">
        <f t="shared" si="2"/>
        <v>18125000</v>
      </c>
    </row>
    <row r="138" spans="1:5" hidden="1" x14ac:dyDescent="0.3">
      <c r="A138" t="s">
        <v>37</v>
      </c>
      <c r="B138" t="s">
        <v>3</v>
      </c>
      <c r="C138">
        <v>0</v>
      </c>
      <c r="E138">
        <f t="shared" si="2"/>
        <v>0</v>
      </c>
    </row>
    <row r="139" spans="1:5" hidden="1" x14ac:dyDescent="0.3">
      <c r="A139" t="s">
        <v>98</v>
      </c>
      <c r="B139" t="s">
        <v>3</v>
      </c>
      <c r="C139">
        <v>0</v>
      </c>
      <c r="E139">
        <f t="shared" si="2"/>
        <v>0</v>
      </c>
    </row>
    <row r="140" spans="1:5" hidden="1" x14ac:dyDescent="0.3">
      <c r="A140" t="s">
        <v>137</v>
      </c>
      <c r="B140" t="s">
        <v>8</v>
      </c>
      <c r="C140">
        <v>0</v>
      </c>
      <c r="E140">
        <f t="shared" si="2"/>
        <v>0</v>
      </c>
    </row>
    <row r="141" spans="1:5" x14ac:dyDescent="0.3">
      <c r="E141">
        <f>SUM(E105:E137)</f>
        <v>26088500</v>
      </c>
    </row>
    <row r="142" spans="1:5" x14ac:dyDescent="0.3">
      <c r="E142">
        <f>E141+E102</f>
        <v>188714800</v>
      </c>
    </row>
  </sheetData>
  <autoFilter ref="A2:F140" xr:uid="{00000000-0009-0000-0000-00001C000000}">
    <filterColumn colId="2">
      <filters>
        <filter val="1"/>
        <filter val="10"/>
        <filter val="11"/>
        <filter val="111"/>
        <filter val="115"/>
        <filter val="116"/>
        <filter val="12"/>
        <filter val="125"/>
        <filter val="13"/>
        <filter val="130"/>
        <filter val="133"/>
        <filter val="1390"/>
        <filter val="14"/>
        <filter val="145"/>
        <filter val="148"/>
        <filter val="150"/>
        <filter val="17"/>
        <filter val="18"/>
        <filter val="1874"/>
        <filter val="188"/>
        <filter val="194"/>
        <filter val="2"/>
        <filter val="20"/>
        <filter val="210"/>
        <filter val="217"/>
        <filter val="24"/>
        <filter val="240"/>
        <filter val="245"/>
        <filter val="25"/>
        <filter val="250"/>
        <filter val="2535"/>
        <filter val="260"/>
        <filter val="280"/>
        <filter val="3"/>
        <filter val="32"/>
        <filter val="4"/>
        <filter val="40"/>
        <filter val="43"/>
        <filter val="45"/>
        <filter val="5"/>
        <filter val="60"/>
        <filter val="610"/>
        <filter val="62"/>
        <filter val="620"/>
        <filter val="64"/>
        <filter val="65"/>
        <filter val="66"/>
        <filter val="7"/>
        <filter val="72"/>
        <filter val="731"/>
        <filter val="78"/>
        <filter val="8"/>
        <filter val="9"/>
        <filter val="92"/>
        <filter val="95"/>
        <filter val="Tồn_x000a_ĐL_x000a__x000a_現在庫"/>
      </filters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E152"/>
  <sheetViews>
    <sheetView topLeftCell="A118" workbookViewId="0">
      <selection activeCell="E152" sqref="E152"/>
    </sheetView>
  </sheetViews>
  <sheetFormatPr defaultRowHeight="14.4" x14ac:dyDescent="0.3"/>
  <cols>
    <col min="1" max="1" width="25.44140625" customWidth="1"/>
    <col min="4" max="4" width="12.44140625" customWidth="1"/>
    <col min="5" max="5" width="17.21875" customWidth="1"/>
  </cols>
  <sheetData>
    <row r="1" spans="1:5" x14ac:dyDescent="0.3">
      <c r="A1" t="s">
        <v>181</v>
      </c>
    </row>
    <row r="2" spans="1:5" x14ac:dyDescent="0.3">
      <c r="A2" t="s">
        <v>180</v>
      </c>
      <c r="B2" t="s">
        <v>1</v>
      </c>
      <c r="C2" t="s">
        <v>102</v>
      </c>
      <c r="D2" t="s">
        <v>100</v>
      </c>
      <c r="E2" t="s">
        <v>101</v>
      </c>
    </row>
    <row r="3" spans="1:5" x14ac:dyDescent="0.3">
      <c r="A3" t="s">
        <v>44</v>
      </c>
      <c r="B3" t="s">
        <v>3</v>
      </c>
      <c r="C3">
        <v>11</v>
      </c>
      <c r="D3">
        <v>20000</v>
      </c>
      <c r="E3">
        <f>C3*D3</f>
        <v>220000</v>
      </c>
    </row>
    <row r="4" spans="1:5" x14ac:dyDescent="0.3">
      <c r="A4" t="s">
        <v>17</v>
      </c>
      <c r="B4" t="s">
        <v>3</v>
      </c>
      <c r="C4">
        <v>510</v>
      </c>
      <c r="D4">
        <v>5000</v>
      </c>
      <c r="E4">
        <f t="shared" ref="E4:E67" si="0">C4*D4</f>
        <v>2550000</v>
      </c>
    </row>
    <row r="5" spans="1:5" hidden="1" x14ac:dyDescent="0.3">
      <c r="A5" t="s">
        <v>95</v>
      </c>
      <c r="B5" t="s">
        <v>3</v>
      </c>
      <c r="C5">
        <v>0</v>
      </c>
      <c r="E5">
        <f t="shared" si="0"/>
        <v>0</v>
      </c>
    </row>
    <row r="6" spans="1:5" hidden="1" x14ac:dyDescent="0.3">
      <c r="A6" t="s">
        <v>92</v>
      </c>
      <c r="B6" t="s">
        <v>3</v>
      </c>
      <c r="C6">
        <v>0</v>
      </c>
      <c r="E6">
        <f t="shared" si="0"/>
        <v>0</v>
      </c>
    </row>
    <row r="7" spans="1:5" x14ac:dyDescent="0.3">
      <c r="A7" t="s">
        <v>24</v>
      </c>
      <c r="B7" t="s">
        <v>3</v>
      </c>
      <c r="C7">
        <v>40</v>
      </c>
      <c r="D7">
        <v>10000</v>
      </c>
      <c r="E7">
        <f t="shared" si="0"/>
        <v>400000</v>
      </c>
    </row>
    <row r="8" spans="1:5" hidden="1" x14ac:dyDescent="0.3">
      <c r="A8" t="s">
        <v>78</v>
      </c>
      <c r="B8" t="s">
        <v>3</v>
      </c>
      <c r="C8">
        <v>0</v>
      </c>
      <c r="E8">
        <f t="shared" si="0"/>
        <v>0</v>
      </c>
    </row>
    <row r="9" spans="1:5" x14ac:dyDescent="0.3">
      <c r="A9" t="s">
        <v>25</v>
      </c>
      <c r="B9" t="s">
        <v>3</v>
      </c>
      <c r="C9">
        <v>292</v>
      </c>
      <c r="D9">
        <v>16000</v>
      </c>
      <c r="E9">
        <f t="shared" si="0"/>
        <v>4672000</v>
      </c>
    </row>
    <row r="10" spans="1:5" hidden="1" x14ac:dyDescent="0.3">
      <c r="A10" t="s">
        <v>25</v>
      </c>
      <c r="B10" t="s">
        <v>26</v>
      </c>
      <c r="C10">
        <v>0</v>
      </c>
      <c r="E10">
        <f t="shared" si="0"/>
        <v>0</v>
      </c>
    </row>
    <row r="11" spans="1:5" hidden="1" x14ac:dyDescent="0.3">
      <c r="A11" t="s">
        <v>27</v>
      </c>
      <c r="B11" t="s">
        <v>3</v>
      </c>
      <c r="C11">
        <v>0</v>
      </c>
      <c r="E11">
        <f t="shared" si="0"/>
        <v>0</v>
      </c>
    </row>
    <row r="12" spans="1:5" hidden="1" x14ac:dyDescent="0.3">
      <c r="A12" t="s">
        <v>27</v>
      </c>
      <c r="B12" t="s">
        <v>26</v>
      </c>
      <c r="C12">
        <v>0</v>
      </c>
      <c r="E12">
        <f t="shared" si="0"/>
        <v>0</v>
      </c>
    </row>
    <row r="13" spans="1:5" hidden="1" x14ac:dyDescent="0.3">
      <c r="A13" t="s">
        <v>37</v>
      </c>
      <c r="B13" t="s">
        <v>3</v>
      </c>
      <c r="C13">
        <v>0</v>
      </c>
      <c r="E13">
        <f t="shared" si="0"/>
        <v>0</v>
      </c>
    </row>
    <row r="14" spans="1:5" x14ac:dyDescent="0.3">
      <c r="A14" t="s">
        <v>46</v>
      </c>
      <c r="B14" t="s">
        <v>3</v>
      </c>
      <c r="C14">
        <v>8</v>
      </c>
      <c r="D14">
        <v>16000</v>
      </c>
      <c r="E14">
        <f t="shared" si="0"/>
        <v>128000</v>
      </c>
    </row>
    <row r="15" spans="1:5" x14ac:dyDescent="0.3">
      <c r="A15" t="s">
        <v>123</v>
      </c>
      <c r="B15" t="s">
        <v>3</v>
      </c>
      <c r="C15">
        <v>70</v>
      </c>
      <c r="D15">
        <v>25000</v>
      </c>
      <c r="E15">
        <f t="shared" si="0"/>
        <v>1750000</v>
      </c>
    </row>
    <row r="16" spans="1:5" hidden="1" x14ac:dyDescent="0.3">
      <c r="A16" t="s">
        <v>82</v>
      </c>
      <c r="B16" t="s">
        <v>3</v>
      </c>
      <c r="C16">
        <v>0</v>
      </c>
      <c r="E16">
        <f t="shared" si="0"/>
        <v>0</v>
      </c>
    </row>
    <row r="17" spans="1:5" hidden="1" x14ac:dyDescent="0.3">
      <c r="A17" t="s">
        <v>16</v>
      </c>
      <c r="B17" t="s">
        <v>6</v>
      </c>
      <c r="C17">
        <v>0</v>
      </c>
      <c r="E17">
        <f t="shared" si="0"/>
        <v>0</v>
      </c>
    </row>
    <row r="18" spans="1:5" x14ac:dyDescent="0.3">
      <c r="A18" t="s">
        <v>28</v>
      </c>
      <c r="B18" t="s">
        <v>3</v>
      </c>
      <c r="C18">
        <v>240</v>
      </c>
      <c r="D18">
        <v>15000</v>
      </c>
      <c r="E18">
        <f t="shared" si="0"/>
        <v>3600000</v>
      </c>
    </row>
    <row r="19" spans="1:5" hidden="1" x14ac:dyDescent="0.3">
      <c r="A19" t="s">
        <v>28</v>
      </c>
      <c r="B19" t="s">
        <v>6</v>
      </c>
      <c r="C19">
        <v>0</v>
      </c>
      <c r="E19">
        <f t="shared" si="0"/>
        <v>0</v>
      </c>
    </row>
    <row r="20" spans="1:5" hidden="1" x14ac:dyDescent="0.3">
      <c r="A20" t="s">
        <v>28</v>
      </c>
      <c r="B20" t="s">
        <v>29</v>
      </c>
      <c r="C20">
        <v>0</v>
      </c>
      <c r="E20">
        <f t="shared" si="0"/>
        <v>0</v>
      </c>
    </row>
    <row r="21" spans="1:5" hidden="1" x14ac:dyDescent="0.3">
      <c r="A21" t="s">
        <v>48</v>
      </c>
      <c r="B21" t="s">
        <v>3</v>
      </c>
      <c r="C21">
        <v>0</v>
      </c>
      <c r="E21">
        <f t="shared" si="0"/>
        <v>0</v>
      </c>
    </row>
    <row r="22" spans="1:5" hidden="1" x14ac:dyDescent="0.3">
      <c r="A22" t="s">
        <v>48</v>
      </c>
      <c r="B22" t="s">
        <v>49</v>
      </c>
      <c r="C22">
        <v>0</v>
      </c>
      <c r="E22">
        <f t="shared" si="0"/>
        <v>0</v>
      </c>
    </row>
    <row r="23" spans="1:5" hidden="1" x14ac:dyDescent="0.3">
      <c r="A23" t="s">
        <v>40</v>
      </c>
      <c r="B23" t="s">
        <v>3</v>
      </c>
      <c r="C23">
        <v>0</v>
      </c>
      <c r="E23">
        <f t="shared" si="0"/>
        <v>0</v>
      </c>
    </row>
    <row r="24" spans="1:5" x14ac:dyDescent="0.3">
      <c r="A24" t="s">
        <v>40</v>
      </c>
      <c r="B24" t="s">
        <v>41</v>
      </c>
      <c r="C24">
        <v>40</v>
      </c>
      <c r="D24">
        <v>8400</v>
      </c>
      <c r="E24">
        <f t="shared" si="0"/>
        <v>336000</v>
      </c>
    </row>
    <row r="25" spans="1:5" x14ac:dyDescent="0.3">
      <c r="A25" t="s">
        <v>50</v>
      </c>
      <c r="B25" t="s">
        <v>8</v>
      </c>
      <c r="C25">
        <v>21</v>
      </c>
      <c r="D25">
        <v>12000</v>
      </c>
      <c r="E25">
        <f t="shared" si="0"/>
        <v>252000</v>
      </c>
    </row>
    <row r="26" spans="1:5" hidden="1" x14ac:dyDescent="0.3">
      <c r="A26" t="s">
        <v>51</v>
      </c>
      <c r="B26" t="s">
        <v>3</v>
      </c>
      <c r="C26">
        <v>0</v>
      </c>
      <c r="E26">
        <f t="shared" si="0"/>
        <v>0</v>
      </c>
    </row>
    <row r="27" spans="1:5" x14ac:dyDescent="0.3">
      <c r="A27" t="s">
        <v>51</v>
      </c>
      <c r="B27" t="s">
        <v>52</v>
      </c>
      <c r="C27">
        <v>55</v>
      </c>
      <c r="D27">
        <v>9000</v>
      </c>
      <c r="E27">
        <f t="shared" si="0"/>
        <v>495000</v>
      </c>
    </row>
    <row r="28" spans="1:5" x14ac:dyDescent="0.3">
      <c r="A28" t="s">
        <v>30</v>
      </c>
      <c r="B28" t="s">
        <v>3</v>
      </c>
      <c r="C28">
        <v>140</v>
      </c>
      <c r="D28">
        <v>15000</v>
      </c>
      <c r="E28">
        <f t="shared" si="0"/>
        <v>2100000</v>
      </c>
    </row>
    <row r="29" spans="1:5" hidden="1" x14ac:dyDescent="0.3">
      <c r="A29" t="s">
        <v>30</v>
      </c>
      <c r="B29" t="s">
        <v>6</v>
      </c>
      <c r="C29">
        <v>0</v>
      </c>
      <c r="E29">
        <f t="shared" si="0"/>
        <v>0</v>
      </c>
    </row>
    <row r="30" spans="1:5" x14ac:dyDescent="0.3">
      <c r="A30" t="s">
        <v>31</v>
      </c>
      <c r="B30" t="s">
        <v>4</v>
      </c>
      <c r="C30">
        <v>80</v>
      </c>
      <c r="D30">
        <v>13000</v>
      </c>
      <c r="E30">
        <f t="shared" si="0"/>
        <v>1040000</v>
      </c>
    </row>
    <row r="31" spans="1:5" x14ac:dyDescent="0.3">
      <c r="A31" t="s">
        <v>2</v>
      </c>
      <c r="B31" t="s">
        <v>3</v>
      </c>
      <c r="C31">
        <v>163</v>
      </c>
      <c r="D31">
        <v>11000</v>
      </c>
      <c r="E31">
        <f t="shared" si="0"/>
        <v>1793000</v>
      </c>
    </row>
    <row r="32" spans="1:5" hidden="1" x14ac:dyDescent="0.3">
      <c r="A32" t="s">
        <v>2</v>
      </c>
      <c r="B32" t="s">
        <v>4</v>
      </c>
      <c r="C32">
        <v>0</v>
      </c>
      <c r="E32">
        <f t="shared" si="0"/>
        <v>0</v>
      </c>
    </row>
    <row r="33" spans="1:5" hidden="1" x14ac:dyDescent="0.3">
      <c r="A33" t="s">
        <v>5</v>
      </c>
      <c r="B33" t="s">
        <v>3</v>
      </c>
      <c r="C33">
        <v>0</v>
      </c>
      <c r="E33">
        <f t="shared" si="0"/>
        <v>0</v>
      </c>
    </row>
    <row r="34" spans="1:5" hidden="1" x14ac:dyDescent="0.3">
      <c r="A34" t="s">
        <v>5</v>
      </c>
      <c r="B34" t="s">
        <v>6</v>
      </c>
      <c r="C34">
        <v>0</v>
      </c>
      <c r="E34">
        <f t="shared" si="0"/>
        <v>0</v>
      </c>
    </row>
    <row r="35" spans="1:5" x14ac:dyDescent="0.3">
      <c r="A35" t="s">
        <v>53</v>
      </c>
      <c r="B35" t="s">
        <v>3</v>
      </c>
      <c r="C35">
        <v>61</v>
      </c>
      <c r="D35">
        <v>15000</v>
      </c>
      <c r="E35">
        <f t="shared" si="0"/>
        <v>915000</v>
      </c>
    </row>
    <row r="36" spans="1:5" hidden="1" x14ac:dyDescent="0.3">
      <c r="A36" t="s">
        <v>53</v>
      </c>
      <c r="B36" t="s">
        <v>54</v>
      </c>
      <c r="C36">
        <v>0</v>
      </c>
      <c r="E36">
        <f t="shared" si="0"/>
        <v>0</v>
      </c>
    </row>
    <row r="37" spans="1:5" x14ac:dyDescent="0.3">
      <c r="A37" t="s">
        <v>18</v>
      </c>
      <c r="B37" t="s">
        <v>3</v>
      </c>
      <c r="C37">
        <v>4</v>
      </c>
      <c r="D37">
        <v>30000</v>
      </c>
      <c r="E37">
        <f t="shared" si="0"/>
        <v>120000</v>
      </c>
    </row>
    <row r="38" spans="1:5" hidden="1" x14ac:dyDescent="0.3">
      <c r="A38" t="s">
        <v>18</v>
      </c>
      <c r="B38" t="s">
        <v>4</v>
      </c>
      <c r="C38">
        <v>0</v>
      </c>
      <c r="E38">
        <f t="shared" si="0"/>
        <v>0</v>
      </c>
    </row>
    <row r="39" spans="1:5" hidden="1" x14ac:dyDescent="0.3">
      <c r="A39" t="s">
        <v>55</v>
      </c>
      <c r="B39" t="s">
        <v>3</v>
      </c>
      <c r="C39">
        <v>0</v>
      </c>
      <c r="E39">
        <f t="shared" si="0"/>
        <v>0</v>
      </c>
    </row>
    <row r="40" spans="1:5" x14ac:dyDescent="0.3">
      <c r="A40" t="s">
        <v>55</v>
      </c>
      <c r="B40" t="s">
        <v>4</v>
      </c>
      <c r="C40">
        <v>3</v>
      </c>
      <c r="D40">
        <v>3900</v>
      </c>
      <c r="E40">
        <f t="shared" si="0"/>
        <v>11700</v>
      </c>
    </row>
    <row r="41" spans="1:5" x14ac:dyDescent="0.3">
      <c r="A41" t="s">
        <v>19</v>
      </c>
      <c r="B41" t="s">
        <v>4</v>
      </c>
      <c r="C41">
        <v>6</v>
      </c>
      <c r="D41">
        <v>3900</v>
      </c>
      <c r="E41">
        <f t="shared" si="0"/>
        <v>23400</v>
      </c>
    </row>
    <row r="42" spans="1:5" x14ac:dyDescent="0.3">
      <c r="A42" t="s">
        <v>20</v>
      </c>
      <c r="B42" t="s">
        <v>3</v>
      </c>
      <c r="C42">
        <v>290</v>
      </c>
      <c r="D42">
        <v>7000</v>
      </c>
      <c r="E42">
        <f t="shared" si="0"/>
        <v>2030000</v>
      </c>
    </row>
    <row r="43" spans="1:5" hidden="1" x14ac:dyDescent="0.3">
      <c r="A43" t="s">
        <v>21</v>
      </c>
      <c r="B43" t="s">
        <v>22</v>
      </c>
      <c r="C43">
        <v>0</v>
      </c>
      <c r="E43">
        <f t="shared" si="0"/>
        <v>0</v>
      </c>
    </row>
    <row r="44" spans="1:5" x14ac:dyDescent="0.3">
      <c r="A44" t="s">
        <v>21</v>
      </c>
      <c r="B44" t="s">
        <v>3</v>
      </c>
      <c r="C44">
        <v>30</v>
      </c>
      <c r="D44">
        <v>9000</v>
      </c>
      <c r="E44">
        <f t="shared" si="0"/>
        <v>270000</v>
      </c>
    </row>
    <row r="45" spans="1:5" x14ac:dyDescent="0.3">
      <c r="A45" t="s">
        <v>56</v>
      </c>
      <c r="B45" t="s">
        <v>3</v>
      </c>
      <c r="C45">
        <v>18</v>
      </c>
      <c r="D45">
        <v>14000</v>
      </c>
      <c r="E45">
        <f t="shared" si="0"/>
        <v>252000</v>
      </c>
    </row>
    <row r="46" spans="1:5" x14ac:dyDescent="0.3">
      <c r="A46" t="s">
        <v>57</v>
      </c>
      <c r="B46" t="s">
        <v>3</v>
      </c>
      <c r="C46">
        <v>122</v>
      </c>
      <c r="D46">
        <v>7000</v>
      </c>
      <c r="E46">
        <f t="shared" si="0"/>
        <v>854000</v>
      </c>
    </row>
    <row r="47" spans="1:5" x14ac:dyDescent="0.3">
      <c r="A47" t="s">
        <v>9</v>
      </c>
      <c r="B47" t="s">
        <v>3</v>
      </c>
      <c r="C47">
        <v>67</v>
      </c>
      <c r="D47">
        <v>10000</v>
      </c>
      <c r="E47">
        <f t="shared" si="0"/>
        <v>670000</v>
      </c>
    </row>
    <row r="48" spans="1:5" hidden="1" x14ac:dyDescent="0.3">
      <c r="A48" t="s">
        <v>9</v>
      </c>
      <c r="B48" t="s">
        <v>4</v>
      </c>
      <c r="C48">
        <v>0</v>
      </c>
      <c r="E48">
        <f t="shared" si="0"/>
        <v>0</v>
      </c>
    </row>
    <row r="49" spans="1:5" x14ac:dyDescent="0.3">
      <c r="A49" t="s">
        <v>58</v>
      </c>
      <c r="B49" t="s">
        <v>3</v>
      </c>
      <c r="C49">
        <v>18</v>
      </c>
      <c r="D49">
        <v>17000</v>
      </c>
      <c r="E49">
        <f t="shared" si="0"/>
        <v>306000</v>
      </c>
    </row>
    <row r="50" spans="1:5" x14ac:dyDescent="0.3">
      <c r="A50" t="s">
        <v>10</v>
      </c>
      <c r="B50" t="s">
        <v>3</v>
      </c>
      <c r="C50">
        <v>308</v>
      </c>
      <c r="D50">
        <v>14500</v>
      </c>
      <c r="E50">
        <f t="shared" si="0"/>
        <v>4466000</v>
      </c>
    </row>
    <row r="51" spans="1:5" hidden="1" x14ac:dyDescent="0.3">
      <c r="A51" t="s">
        <v>10</v>
      </c>
      <c r="B51" t="s">
        <v>11</v>
      </c>
      <c r="C51">
        <v>0</v>
      </c>
      <c r="E51">
        <f t="shared" si="0"/>
        <v>0</v>
      </c>
    </row>
    <row r="52" spans="1:5" x14ac:dyDescent="0.3">
      <c r="A52" t="s">
        <v>12</v>
      </c>
      <c r="B52" t="s">
        <v>4</v>
      </c>
      <c r="C52">
        <v>100</v>
      </c>
      <c r="D52">
        <v>3600</v>
      </c>
      <c r="E52">
        <f t="shared" si="0"/>
        <v>360000</v>
      </c>
    </row>
    <row r="53" spans="1:5" x14ac:dyDescent="0.3">
      <c r="A53" t="s">
        <v>39</v>
      </c>
      <c r="B53" t="s">
        <v>3</v>
      </c>
      <c r="C53">
        <v>890</v>
      </c>
      <c r="D53">
        <v>28000</v>
      </c>
      <c r="E53">
        <f t="shared" si="0"/>
        <v>24920000</v>
      </c>
    </row>
    <row r="54" spans="1:5" x14ac:dyDescent="0.3">
      <c r="A54" t="s">
        <v>13</v>
      </c>
      <c r="B54" t="s">
        <v>3</v>
      </c>
      <c r="C54">
        <v>275</v>
      </c>
      <c r="D54">
        <v>28000</v>
      </c>
      <c r="E54">
        <f t="shared" si="0"/>
        <v>7700000</v>
      </c>
    </row>
    <row r="55" spans="1:5" hidden="1" x14ac:dyDescent="0.3">
      <c r="A55" t="s">
        <v>13</v>
      </c>
      <c r="B55" t="s">
        <v>4</v>
      </c>
      <c r="C55">
        <v>0</v>
      </c>
      <c r="E55">
        <f t="shared" si="0"/>
        <v>0</v>
      </c>
    </row>
    <row r="56" spans="1:5" x14ac:dyDescent="0.3">
      <c r="A56" t="s">
        <v>14</v>
      </c>
      <c r="B56" t="s">
        <v>3</v>
      </c>
      <c r="C56">
        <v>290</v>
      </c>
      <c r="D56">
        <v>17000</v>
      </c>
      <c r="E56">
        <f t="shared" si="0"/>
        <v>4930000</v>
      </c>
    </row>
    <row r="57" spans="1:5" hidden="1" x14ac:dyDescent="0.3">
      <c r="A57" t="s">
        <v>93</v>
      </c>
      <c r="B57" t="s">
        <v>3</v>
      </c>
      <c r="C57">
        <v>0</v>
      </c>
      <c r="E57">
        <f t="shared" si="0"/>
        <v>0</v>
      </c>
    </row>
    <row r="58" spans="1:5" x14ac:dyDescent="0.3">
      <c r="A58" t="s">
        <v>15</v>
      </c>
      <c r="B58" t="s">
        <v>3</v>
      </c>
      <c r="C58">
        <v>390</v>
      </c>
      <c r="D58">
        <v>17000</v>
      </c>
      <c r="E58">
        <f t="shared" si="0"/>
        <v>6630000</v>
      </c>
    </row>
    <row r="59" spans="1:5" hidden="1" x14ac:dyDescent="0.3">
      <c r="A59" t="s">
        <v>15</v>
      </c>
      <c r="B59" t="s">
        <v>4</v>
      </c>
      <c r="C59">
        <v>0</v>
      </c>
      <c r="E59">
        <f t="shared" si="0"/>
        <v>0</v>
      </c>
    </row>
    <row r="60" spans="1:5" x14ac:dyDescent="0.3">
      <c r="A60" t="s">
        <v>87</v>
      </c>
      <c r="B60" t="s">
        <v>4</v>
      </c>
      <c r="C60">
        <v>80</v>
      </c>
      <c r="D60">
        <v>7500</v>
      </c>
      <c r="E60">
        <f t="shared" si="0"/>
        <v>600000</v>
      </c>
    </row>
    <row r="61" spans="1:5" x14ac:dyDescent="0.3">
      <c r="A61" t="s">
        <v>59</v>
      </c>
      <c r="B61" t="s">
        <v>3</v>
      </c>
      <c r="C61">
        <v>98</v>
      </c>
      <c r="D61">
        <v>13000</v>
      </c>
      <c r="E61">
        <f t="shared" si="0"/>
        <v>1274000</v>
      </c>
    </row>
    <row r="62" spans="1:5" x14ac:dyDescent="0.3">
      <c r="A62" t="s">
        <v>60</v>
      </c>
      <c r="B62" t="s">
        <v>4</v>
      </c>
      <c r="C62">
        <v>20</v>
      </c>
      <c r="D62">
        <v>9000</v>
      </c>
      <c r="E62">
        <f t="shared" si="0"/>
        <v>180000</v>
      </c>
    </row>
    <row r="63" spans="1:5" hidden="1" x14ac:dyDescent="0.3">
      <c r="A63" t="s">
        <v>61</v>
      </c>
      <c r="B63" t="s">
        <v>3</v>
      </c>
      <c r="C63">
        <v>0</v>
      </c>
      <c r="E63">
        <f t="shared" si="0"/>
        <v>0</v>
      </c>
    </row>
    <row r="64" spans="1:5" x14ac:dyDescent="0.3">
      <c r="A64" t="s">
        <v>61</v>
      </c>
      <c r="B64" t="s">
        <v>62</v>
      </c>
      <c r="C64">
        <v>80</v>
      </c>
      <c r="D64">
        <v>10500</v>
      </c>
      <c r="E64">
        <f t="shared" si="0"/>
        <v>840000</v>
      </c>
    </row>
    <row r="65" spans="1:5" x14ac:dyDescent="0.3">
      <c r="A65" t="s">
        <v>63</v>
      </c>
      <c r="B65" t="s">
        <v>3</v>
      </c>
      <c r="C65">
        <v>0.5</v>
      </c>
      <c r="D65">
        <v>80000</v>
      </c>
      <c r="E65">
        <f t="shared" si="0"/>
        <v>40000</v>
      </c>
    </row>
    <row r="66" spans="1:5" hidden="1" x14ac:dyDescent="0.3">
      <c r="A66" t="s">
        <v>79</v>
      </c>
      <c r="B66" t="s">
        <v>3</v>
      </c>
      <c r="C66">
        <v>0</v>
      </c>
      <c r="E66">
        <f t="shared" si="0"/>
        <v>0</v>
      </c>
    </row>
    <row r="67" spans="1:5" x14ac:dyDescent="0.3">
      <c r="A67" t="s">
        <v>64</v>
      </c>
      <c r="B67" t="s">
        <v>3</v>
      </c>
      <c r="C67">
        <v>0.5</v>
      </c>
      <c r="D67">
        <v>70000</v>
      </c>
      <c r="E67">
        <f t="shared" si="0"/>
        <v>35000</v>
      </c>
    </row>
    <row r="68" spans="1:5" x14ac:dyDescent="0.3">
      <c r="A68" t="s">
        <v>65</v>
      </c>
      <c r="B68" t="s">
        <v>3</v>
      </c>
      <c r="C68">
        <v>0.5</v>
      </c>
      <c r="D68">
        <v>70000</v>
      </c>
      <c r="E68">
        <f t="shared" ref="E68:E133" si="1">C68*D68</f>
        <v>35000</v>
      </c>
    </row>
    <row r="69" spans="1:5" hidden="1" x14ac:dyDescent="0.3">
      <c r="A69" t="s">
        <v>32</v>
      </c>
      <c r="B69" t="s">
        <v>3</v>
      </c>
      <c r="C69">
        <v>0</v>
      </c>
      <c r="E69">
        <f t="shared" si="1"/>
        <v>0</v>
      </c>
    </row>
    <row r="70" spans="1:5" x14ac:dyDescent="0.3">
      <c r="A70" t="s">
        <v>32</v>
      </c>
      <c r="B70" t="s">
        <v>6</v>
      </c>
      <c r="C70">
        <v>406</v>
      </c>
      <c r="D70">
        <v>5000</v>
      </c>
      <c r="E70">
        <f t="shared" si="1"/>
        <v>2030000</v>
      </c>
    </row>
    <row r="71" spans="1:5" hidden="1" x14ac:dyDescent="0.3">
      <c r="A71" t="s">
        <v>81</v>
      </c>
      <c r="B71" t="s">
        <v>3</v>
      </c>
      <c r="C71">
        <v>0</v>
      </c>
      <c r="E71">
        <f t="shared" si="1"/>
        <v>0</v>
      </c>
    </row>
    <row r="72" spans="1:5" x14ac:dyDescent="0.3">
      <c r="A72" t="s">
        <v>33</v>
      </c>
      <c r="B72" t="s">
        <v>3</v>
      </c>
      <c r="C72">
        <v>20</v>
      </c>
      <c r="D72">
        <v>12000</v>
      </c>
      <c r="E72">
        <f t="shared" si="1"/>
        <v>240000</v>
      </c>
    </row>
    <row r="73" spans="1:5" hidden="1" x14ac:dyDescent="0.3">
      <c r="A73" t="s">
        <v>66</v>
      </c>
      <c r="B73" t="s">
        <v>22</v>
      </c>
      <c r="C73">
        <v>0</v>
      </c>
      <c r="E73">
        <f t="shared" si="1"/>
        <v>0</v>
      </c>
    </row>
    <row r="74" spans="1:5" hidden="1" x14ac:dyDescent="0.3">
      <c r="A74" t="s">
        <v>66</v>
      </c>
      <c r="B74" t="s">
        <v>3</v>
      </c>
      <c r="C74">
        <v>0</v>
      </c>
      <c r="E74">
        <f t="shared" si="1"/>
        <v>0</v>
      </c>
    </row>
    <row r="75" spans="1:5" x14ac:dyDescent="0.3">
      <c r="A75" t="s">
        <v>43</v>
      </c>
      <c r="B75" t="s">
        <v>3</v>
      </c>
      <c r="C75">
        <v>1030</v>
      </c>
      <c r="D75">
        <v>27600</v>
      </c>
      <c r="E75">
        <f t="shared" si="1"/>
        <v>28428000</v>
      </c>
    </row>
    <row r="76" spans="1:5" hidden="1" x14ac:dyDescent="0.3">
      <c r="A76" t="s">
        <v>67</v>
      </c>
      <c r="B76" t="s">
        <v>3</v>
      </c>
      <c r="C76">
        <v>0</v>
      </c>
      <c r="E76">
        <f t="shared" si="1"/>
        <v>0</v>
      </c>
    </row>
    <row r="77" spans="1:5" hidden="1" x14ac:dyDescent="0.3">
      <c r="A77" t="s">
        <v>137</v>
      </c>
      <c r="B77" t="s">
        <v>8</v>
      </c>
      <c r="C77">
        <v>0</v>
      </c>
      <c r="E77">
        <f t="shared" si="1"/>
        <v>0</v>
      </c>
    </row>
    <row r="78" spans="1:5" hidden="1" x14ac:dyDescent="0.3">
      <c r="A78" t="s">
        <v>68</v>
      </c>
      <c r="B78" t="s">
        <v>4</v>
      </c>
      <c r="C78">
        <v>0</v>
      </c>
      <c r="E78">
        <f t="shared" si="1"/>
        <v>0</v>
      </c>
    </row>
    <row r="79" spans="1:5" x14ac:dyDescent="0.3">
      <c r="A79" t="s">
        <v>69</v>
      </c>
      <c r="B79" t="s">
        <v>3</v>
      </c>
      <c r="C79">
        <v>27</v>
      </c>
      <c r="D79">
        <v>14000</v>
      </c>
      <c r="E79">
        <f t="shared" si="1"/>
        <v>378000</v>
      </c>
    </row>
    <row r="80" spans="1:5" hidden="1" x14ac:dyDescent="0.3">
      <c r="A80" t="s">
        <v>38</v>
      </c>
      <c r="B80" t="s">
        <v>6</v>
      </c>
      <c r="C80">
        <v>0</v>
      </c>
      <c r="E80">
        <f t="shared" si="1"/>
        <v>0</v>
      </c>
    </row>
    <row r="81" spans="1:5" hidden="1" x14ac:dyDescent="0.3">
      <c r="A81" t="s">
        <v>70</v>
      </c>
      <c r="B81" t="s">
        <v>8</v>
      </c>
      <c r="C81">
        <v>0</v>
      </c>
      <c r="E81">
        <f t="shared" si="1"/>
        <v>0</v>
      </c>
    </row>
    <row r="82" spans="1:5" x14ac:dyDescent="0.3">
      <c r="A82" t="s">
        <v>70</v>
      </c>
      <c r="B82" t="s">
        <v>3</v>
      </c>
      <c r="C82">
        <v>3</v>
      </c>
      <c r="D82">
        <v>45000</v>
      </c>
      <c r="E82">
        <f t="shared" si="1"/>
        <v>135000</v>
      </c>
    </row>
    <row r="83" spans="1:5" x14ac:dyDescent="0.3">
      <c r="A83" t="s">
        <v>34</v>
      </c>
      <c r="B83" t="s">
        <v>3</v>
      </c>
      <c r="C83">
        <v>48</v>
      </c>
      <c r="D83">
        <v>38000</v>
      </c>
      <c r="E83">
        <f t="shared" si="1"/>
        <v>1824000</v>
      </c>
    </row>
    <row r="84" spans="1:5" hidden="1" x14ac:dyDescent="0.3">
      <c r="A84" t="s">
        <v>34</v>
      </c>
      <c r="B84" t="s">
        <v>26</v>
      </c>
      <c r="C84">
        <v>0</v>
      </c>
      <c r="E84">
        <f t="shared" si="1"/>
        <v>0</v>
      </c>
    </row>
    <row r="85" spans="1:5" x14ac:dyDescent="0.3">
      <c r="A85" t="s">
        <v>35</v>
      </c>
      <c r="B85" t="s">
        <v>3</v>
      </c>
      <c r="C85">
        <v>163</v>
      </c>
      <c r="D85">
        <v>42000</v>
      </c>
      <c r="E85">
        <f t="shared" si="1"/>
        <v>6846000</v>
      </c>
    </row>
    <row r="86" spans="1:5" hidden="1" x14ac:dyDescent="0.3">
      <c r="A86" t="s">
        <v>35</v>
      </c>
      <c r="B86" t="s">
        <v>26</v>
      </c>
      <c r="C86">
        <v>0</v>
      </c>
      <c r="E86">
        <f t="shared" si="1"/>
        <v>0</v>
      </c>
    </row>
    <row r="87" spans="1:5" x14ac:dyDescent="0.3">
      <c r="A87" t="s">
        <v>134</v>
      </c>
      <c r="B87" t="s">
        <v>3</v>
      </c>
      <c r="C87">
        <v>28</v>
      </c>
      <c r="D87">
        <v>37000</v>
      </c>
      <c r="E87">
        <f t="shared" si="1"/>
        <v>1036000</v>
      </c>
    </row>
    <row r="88" spans="1:5" x14ac:dyDescent="0.3">
      <c r="A88" t="s">
        <v>36</v>
      </c>
      <c r="B88" t="s">
        <v>3</v>
      </c>
      <c r="C88">
        <v>78</v>
      </c>
      <c r="D88">
        <v>32000</v>
      </c>
      <c r="E88">
        <f t="shared" si="1"/>
        <v>2496000</v>
      </c>
    </row>
    <row r="89" spans="1:5" hidden="1" x14ac:dyDescent="0.3">
      <c r="A89" t="s">
        <v>36</v>
      </c>
      <c r="B89" t="s">
        <v>26</v>
      </c>
      <c r="C89">
        <v>0</v>
      </c>
      <c r="E89">
        <f t="shared" si="1"/>
        <v>0</v>
      </c>
    </row>
    <row r="90" spans="1:5" hidden="1" x14ac:dyDescent="0.3">
      <c r="A90" t="s">
        <v>71</v>
      </c>
      <c r="B90" t="s">
        <v>4</v>
      </c>
      <c r="C90">
        <v>0</v>
      </c>
      <c r="E90">
        <f t="shared" si="1"/>
        <v>0</v>
      </c>
    </row>
    <row r="91" spans="1:5" hidden="1" x14ac:dyDescent="0.3">
      <c r="A91" t="s">
        <v>83</v>
      </c>
      <c r="B91" t="s">
        <v>4</v>
      </c>
      <c r="C91">
        <v>0</v>
      </c>
      <c r="E91">
        <f t="shared" si="1"/>
        <v>0</v>
      </c>
    </row>
    <row r="92" spans="1:5" hidden="1" x14ac:dyDescent="0.3">
      <c r="A92" t="s">
        <v>105</v>
      </c>
      <c r="B92" t="s">
        <v>3</v>
      </c>
      <c r="C92">
        <v>0</v>
      </c>
      <c r="E92">
        <f t="shared" si="1"/>
        <v>0</v>
      </c>
    </row>
    <row r="93" spans="1:5" x14ac:dyDescent="0.3">
      <c r="A93" t="s">
        <v>116</v>
      </c>
      <c r="B93" t="s">
        <v>26</v>
      </c>
      <c r="C93">
        <v>1644</v>
      </c>
      <c r="D93">
        <v>10000</v>
      </c>
      <c r="E93">
        <f t="shared" si="1"/>
        <v>16440000</v>
      </c>
    </row>
    <row r="94" spans="1:5" x14ac:dyDescent="0.3">
      <c r="A94" t="s">
        <v>150</v>
      </c>
      <c r="B94" t="s">
        <v>26</v>
      </c>
      <c r="C94">
        <v>716</v>
      </c>
      <c r="D94">
        <v>17000</v>
      </c>
      <c r="E94">
        <f t="shared" si="1"/>
        <v>12172000</v>
      </c>
    </row>
    <row r="95" spans="1:5" x14ac:dyDescent="0.3">
      <c r="A95" t="s">
        <v>88</v>
      </c>
      <c r="B95" t="s">
        <v>3</v>
      </c>
      <c r="C95">
        <v>90</v>
      </c>
      <c r="D95">
        <v>28000</v>
      </c>
      <c r="E95">
        <f t="shared" si="1"/>
        <v>2520000</v>
      </c>
    </row>
    <row r="96" spans="1:5" hidden="1" x14ac:dyDescent="0.3">
      <c r="A96" t="s">
        <v>91</v>
      </c>
      <c r="B96" t="s">
        <v>3</v>
      </c>
      <c r="C96">
        <v>0</v>
      </c>
      <c r="E96">
        <f t="shared" si="1"/>
        <v>0</v>
      </c>
    </row>
    <row r="97" spans="1:5" x14ac:dyDescent="0.3">
      <c r="A97" t="s">
        <v>72</v>
      </c>
      <c r="B97" t="s">
        <v>3</v>
      </c>
      <c r="C97">
        <v>48</v>
      </c>
      <c r="D97">
        <v>16000</v>
      </c>
      <c r="E97">
        <f t="shared" si="1"/>
        <v>768000</v>
      </c>
    </row>
    <row r="98" spans="1:5" hidden="1" x14ac:dyDescent="0.3">
      <c r="A98" t="s">
        <v>80</v>
      </c>
      <c r="B98" t="s">
        <v>3</v>
      </c>
      <c r="C98">
        <v>0</v>
      </c>
      <c r="E98">
        <f t="shared" si="1"/>
        <v>0</v>
      </c>
    </row>
    <row r="99" spans="1:5" hidden="1" x14ac:dyDescent="0.3">
      <c r="A99" t="s">
        <v>73</v>
      </c>
      <c r="B99" t="s">
        <v>3</v>
      </c>
      <c r="C99">
        <v>0</v>
      </c>
      <c r="E99">
        <f t="shared" si="1"/>
        <v>0</v>
      </c>
    </row>
    <row r="100" spans="1:5" hidden="1" x14ac:dyDescent="0.3">
      <c r="A100" t="s">
        <v>23</v>
      </c>
      <c r="B100" t="s">
        <v>3</v>
      </c>
      <c r="C100">
        <v>0</v>
      </c>
      <c r="E100">
        <f t="shared" si="1"/>
        <v>0</v>
      </c>
    </row>
    <row r="101" spans="1:5" hidden="1" x14ac:dyDescent="0.3">
      <c r="A101" t="s">
        <v>84</v>
      </c>
      <c r="B101" t="s">
        <v>22</v>
      </c>
      <c r="C101">
        <v>0</v>
      </c>
      <c r="E101">
        <f t="shared" si="1"/>
        <v>0</v>
      </c>
    </row>
    <row r="102" spans="1:5" x14ac:dyDescent="0.3">
      <c r="A102" t="s">
        <v>74</v>
      </c>
      <c r="B102" t="s">
        <v>3</v>
      </c>
      <c r="C102">
        <v>3</v>
      </c>
      <c r="D102">
        <v>28000</v>
      </c>
      <c r="E102">
        <f t="shared" si="1"/>
        <v>84000</v>
      </c>
    </row>
    <row r="103" spans="1:5" hidden="1" x14ac:dyDescent="0.3">
      <c r="A103" t="s">
        <v>86</v>
      </c>
      <c r="B103" t="s">
        <v>22</v>
      </c>
      <c r="C103">
        <v>0</v>
      </c>
      <c r="E103">
        <f t="shared" si="1"/>
        <v>0</v>
      </c>
    </row>
    <row r="104" spans="1:5" hidden="1" x14ac:dyDescent="0.3">
      <c r="A104" t="s">
        <v>75</v>
      </c>
      <c r="B104" t="s">
        <v>3</v>
      </c>
      <c r="C104">
        <v>0</v>
      </c>
      <c r="E104">
        <f t="shared" si="1"/>
        <v>0</v>
      </c>
    </row>
    <row r="105" spans="1:5" x14ac:dyDescent="0.3">
      <c r="A105" t="s">
        <v>76</v>
      </c>
      <c r="B105" t="s">
        <v>3</v>
      </c>
      <c r="C105">
        <v>3</v>
      </c>
      <c r="D105">
        <v>30000</v>
      </c>
      <c r="E105">
        <f t="shared" si="1"/>
        <v>90000</v>
      </c>
    </row>
    <row r="106" spans="1:5" hidden="1" x14ac:dyDescent="0.3">
      <c r="A106" t="s">
        <v>85</v>
      </c>
      <c r="B106" t="s">
        <v>22</v>
      </c>
      <c r="C106">
        <v>0</v>
      </c>
      <c r="E106">
        <f t="shared" si="1"/>
        <v>0</v>
      </c>
    </row>
    <row r="107" spans="1:5" x14ac:dyDescent="0.3">
      <c r="E107">
        <f>SUM(E3:E105)</f>
        <v>152285100</v>
      </c>
    </row>
    <row r="108" spans="1:5" x14ac:dyDescent="0.3">
      <c r="A108" t="s">
        <v>103</v>
      </c>
    </row>
    <row r="109" spans="1:5" x14ac:dyDescent="0.3">
      <c r="A109" s="1" t="s">
        <v>0</v>
      </c>
      <c r="B109" t="s">
        <v>1</v>
      </c>
      <c r="C109" t="s">
        <v>102</v>
      </c>
      <c r="D109" t="s">
        <v>100</v>
      </c>
      <c r="E109" t="s">
        <v>101</v>
      </c>
    </row>
    <row r="110" spans="1:5" x14ac:dyDescent="0.3">
      <c r="A110" t="s">
        <v>44</v>
      </c>
      <c r="B110" t="s">
        <v>3</v>
      </c>
      <c r="C110">
        <v>4</v>
      </c>
      <c r="D110">
        <v>20000</v>
      </c>
      <c r="E110">
        <f t="shared" si="1"/>
        <v>80000</v>
      </c>
    </row>
    <row r="111" spans="1:5" x14ac:dyDescent="0.3">
      <c r="A111" t="s">
        <v>45</v>
      </c>
      <c r="B111" t="s">
        <v>3</v>
      </c>
      <c r="C111">
        <v>145</v>
      </c>
      <c r="D111">
        <v>7500</v>
      </c>
      <c r="E111">
        <f t="shared" si="1"/>
        <v>1087500</v>
      </c>
    </row>
    <row r="112" spans="1:5" x14ac:dyDescent="0.3">
      <c r="A112" t="s">
        <v>17</v>
      </c>
      <c r="B112" t="s">
        <v>3</v>
      </c>
      <c r="C112">
        <v>180</v>
      </c>
      <c r="D112">
        <v>6500</v>
      </c>
      <c r="E112">
        <f t="shared" si="1"/>
        <v>1170000</v>
      </c>
    </row>
    <row r="113" spans="1:5" hidden="1" x14ac:dyDescent="0.3">
      <c r="A113" t="s">
        <v>95</v>
      </c>
      <c r="B113" t="s">
        <v>3</v>
      </c>
      <c r="C113">
        <v>0</v>
      </c>
      <c r="E113">
        <f t="shared" si="1"/>
        <v>0</v>
      </c>
    </row>
    <row r="114" spans="1:5" hidden="1" x14ac:dyDescent="0.3">
      <c r="A114" t="s">
        <v>24</v>
      </c>
      <c r="B114" t="s">
        <v>3</v>
      </c>
      <c r="C114">
        <v>0</v>
      </c>
      <c r="E114">
        <f t="shared" si="1"/>
        <v>0</v>
      </c>
    </row>
    <row r="115" spans="1:5" x14ac:dyDescent="0.3">
      <c r="A115" t="s">
        <v>25</v>
      </c>
      <c r="B115" t="s">
        <v>3</v>
      </c>
      <c r="C115">
        <v>28</v>
      </c>
      <c r="D115">
        <v>17000</v>
      </c>
      <c r="E115">
        <f t="shared" si="1"/>
        <v>476000</v>
      </c>
    </row>
    <row r="116" spans="1:5" hidden="1" x14ac:dyDescent="0.3">
      <c r="A116" t="s">
        <v>37</v>
      </c>
      <c r="B116" t="s">
        <v>3</v>
      </c>
      <c r="C116">
        <v>0</v>
      </c>
      <c r="E116">
        <f t="shared" si="1"/>
        <v>0</v>
      </c>
    </row>
    <row r="117" spans="1:5" hidden="1" x14ac:dyDescent="0.3">
      <c r="A117" t="s">
        <v>46</v>
      </c>
      <c r="B117" t="s">
        <v>3</v>
      </c>
      <c r="C117">
        <v>0</v>
      </c>
      <c r="E117">
        <f t="shared" si="1"/>
        <v>0</v>
      </c>
    </row>
    <row r="118" spans="1:5" x14ac:dyDescent="0.3">
      <c r="A118" t="s">
        <v>94</v>
      </c>
      <c r="B118" t="s">
        <v>3</v>
      </c>
      <c r="C118">
        <v>20</v>
      </c>
      <c r="D118">
        <v>25000</v>
      </c>
      <c r="E118">
        <f t="shared" si="1"/>
        <v>500000</v>
      </c>
    </row>
    <row r="119" spans="1:5" x14ac:dyDescent="0.3">
      <c r="A119" t="s">
        <v>28</v>
      </c>
      <c r="B119" t="s">
        <v>3</v>
      </c>
      <c r="C119">
        <v>30</v>
      </c>
      <c r="D119">
        <v>15000</v>
      </c>
      <c r="E119">
        <f t="shared" si="1"/>
        <v>450000</v>
      </c>
    </row>
    <row r="120" spans="1:5" hidden="1" x14ac:dyDescent="0.3">
      <c r="A120" t="s">
        <v>30</v>
      </c>
      <c r="B120" t="s">
        <v>3</v>
      </c>
      <c r="C120">
        <v>0</v>
      </c>
      <c r="E120">
        <f t="shared" si="1"/>
        <v>0</v>
      </c>
    </row>
    <row r="121" spans="1:5" x14ac:dyDescent="0.3">
      <c r="A121" t="s">
        <v>2</v>
      </c>
      <c r="B121" t="s">
        <v>3</v>
      </c>
      <c r="C121">
        <v>115</v>
      </c>
      <c r="D121">
        <v>11000</v>
      </c>
      <c r="E121">
        <f t="shared" si="1"/>
        <v>1265000</v>
      </c>
    </row>
    <row r="122" spans="1:5" x14ac:dyDescent="0.3">
      <c r="A122" t="s">
        <v>53</v>
      </c>
      <c r="B122" t="s">
        <v>3</v>
      </c>
      <c r="C122">
        <v>4</v>
      </c>
      <c r="D122">
        <v>8000</v>
      </c>
      <c r="E122">
        <f t="shared" si="1"/>
        <v>32000</v>
      </c>
    </row>
    <row r="123" spans="1:5" x14ac:dyDescent="0.3">
      <c r="A123" t="s">
        <v>20</v>
      </c>
      <c r="B123" t="s">
        <v>3</v>
      </c>
      <c r="C123">
        <v>140</v>
      </c>
      <c r="D123">
        <v>7000</v>
      </c>
      <c r="E123">
        <f t="shared" si="1"/>
        <v>980000</v>
      </c>
    </row>
    <row r="124" spans="1:5" x14ac:dyDescent="0.3">
      <c r="A124" t="s">
        <v>97</v>
      </c>
      <c r="B124" t="s">
        <v>3</v>
      </c>
      <c r="C124">
        <v>10</v>
      </c>
      <c r="D124">
        <v>16000</v>
      </c>
      <c r="E124">
        <f t="shared" si="1"/>
        <v>160000</v>
      </c>
    </row>
    <row r="125" spans="1:5" x14ac:dyDescent="0.3">
      <c r="A125" t="s">
        <v>21</v>
      </c>
      <c r="B125" t="s">
        <v>3</v>
      </c>
      <c r="C125">
        <v>20</v>
      </c>
      <c r="D125">
        <v>12000</v>
      </c>
      <c r="E125">
        <f t="shared" si="1"/>
        <v>240000</v>
      </c>
    </row>
    <row r="126" spans="1:5" x14ac:dyDescent="0.3">
      <c r="A126" t="s">
        <v>96</v>
      </c>
      <c r="B126" t="s">
        <v>3</v>
      </c>
      <c r="C126">
        <v>26</v>
      </c>
      <c r="D126">
        <v>27000</v>
      </c>
      <c r="E126">
        <f t="shared" si="1"/>
        <v>702000</v>
      </c>
    </row>
    <row r="127" spans="1:5" x14ac:dyDescent="0.3">
      <c r="A127" t="s">
        <v>56</v>
      </c>
      <c r="B127" t="s">
        <v>3</v>
      </c>
      <c r="C127">
        <v>12</v>
      </c>
      <c r="D127">
        <v>14000</v>
      </c>
      <c r="E127">
        <f t="shared" si="1"/>
        <v>168000</v>
      </c>
    </row>
    <row r="128" spans="1:5" x14ac:dyDescent="0.3">
      <c r="A128" t="s">
        <v>57</v>
      </c>
      <c r="B128" t="s">
        <v>3</v>
      </c>
      <c r="C128">
        <v>18</v>
      </c>
      <c r="D128">
        <v>7000</v>
      </c>
      <c r="E128">
        <f t="shared" si="1"/>
        <v>126000</v>
      </c>
    </row>
    <row r="129" spans="1:5" x14ac:dyDescent="0.3">
      <c r="A129" t="s">
        <v>9</v>
      </c>
      <c r="B129" t="s">
        <v>3</v>
      </c>
      <c r="C129">
        <v>8</v>
      </c>
      <c r="D129">
        <v>10000</v>
      </c>
      <c r="E129">
        <f t="shared" si="1"/>
        <v>80000</v>
      </c>
    </row>
    <row r="130" spans="1:5" x14ac:dyDescent="0.3">
      <c r="A130" t="s">
        <v>10</v>
      </c>
      <c r="B130" t="s">
        <v>3</v>
      </c>
      <c r="C130">
        <v>8</v>
      </c>
      <c r="D130">
        <v>14500</v>
      </c>
      <c r="E130">
        <f t="shared" si="1"/>
        <v>116000</v>
      </c>
    </row>
    <row r="131" spans="1:5" x14ac:dyDescent="0.3">
      <c r="A131" t="s">
        <v>14</v>
      </c>
      <c r="B131" t="s">
        <v>3</v>
      </c>
      <c r="C131">
        <v>40</v>
      </c>
      <c r="D131">
        <v>17000</v>
      </c>
      <c r="E131">
        <f t="shared" si="1"/>
        <v>680000</v>
      </c>
    </row>
    <row r="132" spans="1:5" hidden="1" x14ac:dyDescent="0.3">
      <c r="A132" t="s">
        <v>109</v>
      </c>
      <c r="B132" t="s">
        <v>3</v>
      </c>
      <c r="C132">
        <v>0</v>
      </c>
      <c r="E132">
        <f t="shared" si="1"/>
        <v>0</v>
      </c>
    </row>
    <row r="133" spans="1:5" x14ac:dyDescent="0.3">
      <c r="A133" t="s">
        <v>15</v>
      </c>
      <c r="B133" t="s">
        <v>3</v>
      </c>
      <c r="C133">
        <v>30</v>
      </c>
      <c r="D133">
        <v>17000</v>
      </c>
      <c r="E133">
        <f t="shared" si="1"/>
        <v>510000</v>
      </c>
    </row>
    <row r="134" spans="1:5" x14ac:dyDescent="0.3">
      <c r="A134" t="s">
        <v>59</v>
      </c>
      <c r="B134" t="s">
        <v>3</v>
      </c>
      <c r="C134">
        <v>4</v>
      </c>
      <c r="D134">
        <v>13000</v>
      </c>
      <c r="E134">
        <f t="shared" ref="E134:E150" si="2">C134*D134</f>
        <v>52000</v>
      </c>
    </row>
    <row r="135" spans="1:5" hidden="1" x14ac:dyDescent="0.3">
      <c r="A135" t="s">
        <v>60</v>
      </c>
      <c r="B135" t="s">
        <v>4</v>
      </c>
      <c r="C135">
        <v>0</v>
      </c>
      <c r="E135">
        <f t="shared" si="2"/>
        <v>0</v>
      </c>
    </row>
    <row r="136" spans="1:5" x14ac:dyDescent="0.3">
      <c r="A136" t="s">
        <v>61</v>
      </c>
      <c r="B136" t="s">
        <v>4</v>
      </c>
      <c r="C136">
        <v>10</v>
      </c>
      <c r="D136">
        <v>10500</v>
      </c>
      <c r="E136">
        <f t="shared" si="2"/>
        <v>105000</v>
      </c>
    </row>
    <row r="137" spans="1:5" hidden="1" x14ac:dyDescent="0.3">
      <c r="A137" t="s">
        <v>32</v>
      </c>
      <c r="B137" t="s">
        <v>3</v>
      </c>
      <c r="C137">
        <v>0</v>
      </c>
      <c r="E137">
        <f t="shared" si="2"/>
        <v>0</v>
      </c>
    </row>
    <row r="138" spans="1:5" x14ac:dyDescent="0.3">
      <c r="A138" t="s">
        <v>32</v>
      </c>
      <c r="B138" t="s">
        <v>6</v>
      </c>
      <c r="C138">
        <v>50</v>
      </c>
      <c r="D138">
        <v>5000</v>
      </c>
      <c r="E138">
        <f t="shared" si="2"/>
        <v>250000</v>
      </c>
    </row>
    <row r="139" spans="1:5" hidden="1" x14ac:dyDescent="0.3">
      <c r="A139" t="s">
        <v>66</v>
      </c>
      <c r="B139" t="s">
        <v>3</v>
      </c>
      <c r="C139">
        <v>0</v>
      </c>
      <c r="E139">
        <f t="shared" si="2"/>
        <v>0</v>
      </c>
    </row>
    <row r="140" spans="1:5" hidden="1" x14ac:dyDescent="0.3">
      <c r="A140" t="s">
        <v>43</v>
      </c>
      <c r="B140" t="s">
        <v>3</v>
      </c>
      <c r="C140">
        <v>0</v>
      </c>
      <c r="E140">
        <f t="shared" si="2"/>
        <v>0</v>
      </c>
    </row>
    <row r="141" spans="1:5" hidden="1" x14ac:dyDescent="0.3">
      <c r="A141" t="s">
        <v>67</v>
      </c>
      <c r="B141" t="s">
        <v>3</v>
      </c>
      <c r="C141">
        <v>0</v>
      </c>
      <c r="E141">
        <f t="shared" si="2"/>
        <v>0</v>
      </c>
    </row>
    <row r="142" spans="1:5" x14ac:dyDescent="0.3">
      <c r="A142" t="s">
        <v>34</v>
      </c>
      <c r="B142" t="s">
        <v>3</v>
      </c>
      <c r="C142">
        <v>2</v>
      </c>
      <c r="D142">
        <v>38000</v>
      </c>
      <c r="E142">
        <f t="shared" si="2"/>
        <v>76000</v>
      </c>
    </row>
    <row r="143" spans="1:5" x14ac:dyDescent="0.3">
      <c r="A143" t="s">
        <v>35</v>
      </c>
      <c r="B143" t="s">
        <v>3</v>
      </c>
      <c r="C143">
        <v>2</v>
      </c>
      <c r="D143">
        <v>42000</v>
      </c>
      <c r="E143">
        <f t="shared" si="2"/>
        <v>84000</v>
      </c>
    </row>
    <row r="144" spans="1:5" x14ac:dyDescent="0.3">
      <c r="A144" t="s">
        <v>36</v>
      </c>
      <c r="B144" t="s">
        <v>3</v>
      </c>
      <c r="C144">
        <v>2</v>
      </c>
      <c r="D144">
        <v>32000</v>
      </c>
      <c r="E144">
        <f t="shared" si="2"/>
        <v>64000</v>
      </c>
    </row>
    <row r="145" spans="1:5" x14ac:dyDescent="0.3">
      <c r="A145" t="s">
        <v>72</v>
      </c>
      <c r="B145" t="s">
        <v>3</v>
      </c>
      <c r="C145">
        <v>20</v>
      </c>
      <c r="D145">
        <v>16000</v>
      </c>
      <c r="E145">
        <f t="shared" si="2"/>
        <v>320000</v>
      </c>
    </row>
    <row r="146" spans="1:5" hidden="1" x14ac:dyDescent="0.3">
      <c r="A146" t="s">
        <v>23</v>
      </c>
      <c r="B146" t="s">
        <v>22</v>
      </c>
      <c r="C146">
        <v>0</v>
      </c>
      <c r="E146">
        <f t="shared" si="2"/>
        <v>0</v>
      </c>
    </row>
    <row r="147" spans="1:5" x14ac:dyDescent="0.3">
      <c r="A147" t="s">
        <v>84</v>
      </c>
      <c r="B147" t="s">
        <v>22</v>
      </c>
      <c r="C147">
        <v>18</v>
      </c>
      <c r="D147">
        <v>6800</v>
      </c>
      <c r="E147">
        <f t="shared" si="2"/>
        <v>122400</v>
      </c>
    </row>
    <row r="148" spans="1:5" hidden="1" x14ac:dyDescent="0.3">
      <c r="A148" t="s">
        <v>86</v>
      </c>
      <c r="B148" t="s">
        <v>22</v>
      </c>
      <c r="C148">
        <v>0</v>
      </c>
      <c r="E148">
        <f t="shared" si="2"/>
        <v>0</v>
      </c>
    </row>
    <row r="149" spans="1:5" hidden="1" x14ac:dyDescent="0.3">
      <c r="A149" t="s">
        <v>85</v>
      </c>
      <c r="B149" t="s">
        <v>22</v>
      </c>
      <c r="C149">
        <v>0</v>
      </c>
      <c r="E149">
        <f t="shared" si="2"/>
        <v>0</v>
      </c>
    </row>
    <row r="150" spans="1:5" hidden="1" x14ac:dyDescent="0.3">
      <c r="A150" t="s">
        <v>85</v>
      </c>
      <c r="B150" t="s">
        <v>22</v>
      </c>
      <c r="E150">
        <f t="shared" si="2"/>
        <v>0</v>
      </c>
    </row>
    <row r="151" spans="1:5" x14ac:dyDescent="0.3">
      <c r="E151">
        <f>SUM(E110:E147)</f>
        <v>9895900</v>
      </c>
    </row>
    <row r="152" spans="1:5" x14ac:dyDescent="0.3">
      <c r="E152">
        <f>E151+E107</f>
        <v>162181000</v>
      </c>
    </row>
  </sheetData>
  <autoFilter ref="A2:E150" xr:uid="{00000000-0009-0000-0000-00001D000000}">
    <filterColumn colId="2">
      <filters>
        <filter val="0.5"/>
        <filter val="10"/>
        <filter val="100"/>
        <filter val="1030"/>
        <filter val="11"/>
        <filter val="115"/>
        <filter val="12"/>
        <filter val="122"/>
        <filter val="140"/>
        <filter val="145"/>
        <filter val="163"/>
        <filter val="1644"/>
        <filter val="18"/>
        <filter val="180"/>
        <filter val="2"/>
        <filter val="20"/>
        <filter val="21"/>
        <filter val="240"/>
        <filter val="26"/>
        <filter val="27"/>
        <filter val="275"/>
        <filter val="28"/>
        <filter val="290"/>
        <filter val="292"/>
        <filter val="3"/>
        <filter val="30"/>
        <filter val="308"/>
        <filter val="390"/>
        <filter val="4"/>
        <filter val="40"/>
        <filter val="406"/>
        <filter val="48"/>
        <filter val="50"/>
        <filter val="510"/>
        <filter val="55"/>
        <filter val="6"/>
        <filter val="61"/>
        <filter val="67"/>
        <filter val="70"/>
        <filter val="716"/>
        <filter val="78"/>
        <filter val="8"/>
        <filter val="80"/>
        <filter val="890"/>
        <filter val="90"/>
        <filter val="98"/>
        <filter val="Tồn_x000a_ĐL_x000a__x000a_現在庫"/>
      </filters>
    </filterColumn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E139"/>
  <sheetViews>
    <sheetView topLeftCell="A108" workbookViewId="0">
      <selection activeCell="E139" sqref="E139"/>
    </sheetView>
  </sheetViews>
  <sheetFormatPr defaultRowHeight="14.4" x14ac:dyDescent="0.3"/>
  <cols>
    <col min="1" max="1" width="23.109375" customWidth="1"/>
    <col min="3" max="3" width="9.77734375" customWidth="1"/>
    <col min="4" max="4" width="11.21875" customWidth="1"/>
    <col min="5" max="5" width="18.109375" customWidth="1"/>
  </cols>
  <sheetData>
    <row r="1" spans="1:5" x14ac:dyDescent="0.3">
      <c r="A1" t="s">
        <v>182</v>
      </c>
    </row>
    <row r="2" spans="1:5" x14ac:dyDescent="0.3">
      <c r="A2" t="s">
        <v>0</v>
      </c>
      <c r="B2" t="s">
        <v>1</v>
      </c>
      <c r="C2" t="s">
        <v>102</v>
      </c>
      <c r="D2" t="s">
        <v>100</v>
      </c>
      <c r="E2" t="s">
        <v>101</v>
      </c>
    </row>
    <row r="3" spans="1:5" hidden="1" x14ac:dyDescent="0.3">
      <c r="A3" t="s">
        <v>2</v>
      </c>
      <c r="B3" t="s">
        <v>3</v>
      </c>
      <c r="C3">
        <v>0</v>
      </c>
      <c r="E3">
        <f>C3*D3</f>
        <v>0</v>
      </c>
    </row>
    <row r="4" spans="1:5" hidden="1" x14ac:dyDescent="0.3">
      <c r="A4" t="s">
        <v>2</v>
      </c>
      <c r="B4" t="s">
        <v>4</v>
      </c>
      <c r="C4">
        <v>0</v>
      </c>
      <c r="E4">
        <f t="shared" ref="E4:E67" si="0">C4*D4</f>
        <v>0</v>
      </c>
    </row>
    <row r="5" spans="1:5" x14ac:dyDescent="0.3">
      <c r="A5" t="s">
        <v>5</v>
      </c>
      <c r="B5" t="s">
        <v>6</v>
      </c>
      <c r="C5">
        <v>12</v>
      </c>
      <c r="D5">
        <v>9500</v>
      </c>
      <c r="E5">
        <f t="shared" si="0"/>
        <v>114000</v>
      </c>
    </row>
    <row r="6" spans="1:5" hidden="1" x14ac:dyDescent="0.3">
      <c r="A6" t="s">
        <v>7</v>
      </c>
      <c r="B6" t="s">
        <v>8</v>
      </c>
      <c r="C6">
        <v>0</v>
      </c>
      <c r="E6">
        <f t="shared" si="0"/>
        <v>0</v>
      </c>
    </row>
    <row r="7" spans="1:5" hidden="1" x14ac:dyDescent="0.3">
      <c r="A7" t="s">
        <v>7</v>
      </c>
      <c r="B7" t="s">
        <v>3</v>
      </c>
      <c r="C7">
        <v>0</v>
      </c>
      <c r="E7">
        <f t="shared" si="0"/>
        <v>0</v>
      </c>
    </row>
    <row r="8" spans="1:5" x14ac:dyDescent="0.3">
      <c r="A8" t="s">
        <v>9</v>
      </c>
      <c r="B8" t="s">
        <v>3</v>
      </c>
      <c r="C8">
        <v>31</v>
      </c>
      <c r="D8">
        <v>10000</v>
      </c>
      <c r="E8">
        <f t="shared" si="0"/>
        <v>310000</v>
      </c>
    </row>
    <row r="9" spans="1:5" hidden="1" x14ac:dyDescent="0.3">
      <c r="A9" t="s">
        <v>9</v>
      </c>
      <c r="B9" t="s">
        <v>4</v>
      </c>
      <c r="C9">
        <v>0</v>
      </c>
      <c r="E9">
        <f t="shared" si="0"/>
        <v>0</v>
      </c>
    </row>
    <row r="10" spans="1:5" x14ac:dyDescent="0.3">
      <c r="A10" t="s">
        <v>10</v>
      </c>
      <c r="B10" t="s">
        <v>3</v>
      </c>
      <c r="C10">
        <v>170</v>
      </c>
      <c r="D10">
        <v>14500</v>
      </c>
      <c r="E10">
        <f t="shared" si="0"/>
        <v>2465000</v>
      </c>
    </row>
    <row r="11" spans="1:5" hidden="1" x14ac:dyDescent="0.3">
      <c r="A11" t="s">
        <v>10</v>
      </c>
      <c r="B11" t="s">
        <v>11</v>
      </c>
      <c r="C11">
        <v>0</v>
      </c>
      <c r="E11">
        <f t="shared" si="0"/>
        <v>0</v>
      </c>
    </row>
    <row r="12" spans="1:5" x14ac:dyDescent="0.3">
      <c r="A12" t="s">
        <v>12</v>
      </c>
      <c r="B12" t="s">
        <v>4</v>
      </c>
      <c r="C12">
        <v>83</v>
      </c>
      <c r="D12">
        <v>3600</v>
      </c>
      <c r="E12">
        <f t="shared" si="0"/>
        <v>298800</v>
      </c>
    </row>
    <row r="13" spans="1:5" x14ac:dyDescent="0.3">
      <c r="A13" t="s">
        <v>13</v>
      </c>
      <c r="B13" t="s">
        <v>3</v>
      </c>
      <c r="C13">
        <v>532</v>
      </c>
      <c r="D13">
        <v>28000</v>
      </c>
      <c r="E13">
        <f t="shared" si="0"/>
        <v>14896000</v>
      </c>
    </row>
    <row r="14" spans="1:5" x14ac:dyDescent="0.3">
      <c r="A14" t="s">
        <v>14</v>
      </c>
      <c r="B14" t="s">
        <v>3</v>
      </c>
      <c r="C14">
        <v>305</v>
      </c>
      <c r="D14">
        <v>17000</v>
      </c>
      <c r="E14">
        <f t="shared" si="0"/>
        <v>5185000</v>
      </c>
    </row>
    <row r="15" spans="1:5" x14ac:dyDescent="0.3">
      <c r="A15" t="s">
        <v>15</v>
      </c>
      <c r="B15" t="s">
        <v>3</v>
      </c>
      <c r="C15">
        <v>130</v>
      </c>
      <c r="D15">
        <v>17000</v>
      </c>
      <c r="E15">
        <f t="shared" si="0"/>
        <v>2210000</v>
      </c>
    </row>
    <row r="16" spans="1:5" hidden="1" x14ac:dyDescent="0.3">
      <c r="A16" t="s">
        <v>15</v>
      </c>
      <c r="B16" t="s">
        <v>4</v>
      </c>
      <c r="C16">
        <v>0</v>
      </c>
      <c r="E16">
        <f t="shared" si="0"/>
        <v>0</v>
      </c>
    </row>
    <row r="17" spans="1:5" x14ac:dyDescent="0.3">
      <c r="A17" t="s">
        <v>16</v>
      </c>
      <c r="B17" t="s">
        <v>6</v>
      </c>
      <c r="C17">
        <v>6</v>
      </c>
      <c r="D17">
        <v>8000</v>
      </c>
      <c r="E17">
        <f t="shared" si="0"/>
        <v>48000</v>
      </c>
    </row>
    <row r="18" spans="1:5" x14ac:dyDescent="0.3">
      <c r="A18" t="s">
        <v>17</v>
      </c>
      <c r="B18" t="s">
        <v>3</v>
      </c>
      <c r="C18">
        <v>683</v>
      </c>
      <c r="D18">
        <v>5500</v>
      </c>
      <c r="E18">
        <f t="shared" si="0"/>
        <v>3756500</v>
      </c>
    </row>
    <row r="19" spans="1:5" x14ac:dyDescent="0.3">
      <c r="A19" t="s">
        <v>18</v>
      </c>
      <c r="B19" t="s">
        <v>3</v>
      </c>
      <c r="C19">
        <v>10</v>
      </c>
      <c r="D19">
        <v>30000</v>
      </c>
      <c r="E19">
        <f t="shared" si="0"/>
        <v>300000</v>
      </c>
    </row>
    <row r="20" spans="1:5" x14ac:dyDescent="0.3">
      <c r="A20" t="s">
        <v>18</v>
      </c>
      <c r="B20" t="s">
        <v>4</v>
      </c>
      <c r="C20">
        <v>20</v>
      </c>
      <c r="D20">
        <v>10200</v>
      </c>
      <c r="E20">
        <f t="shared" si="0"/>
        <v>204000</v>
      </c>
    </row>
    <row r="21" spans="1:5" x14ac:dyDescent="0.3">
      <c r="A21" t="s">
        <v>19</v>
      </c>
      <c r="B21" t="s">
        <v>4</v>
      </c>
      <c r="C21">
        <v>17</v>
      </c>
      <c r="D21">
        <v>3900</v>
      </c>
      <c r="E21">
        <f t="shared" si="0"/>
        <v>66300</v>
      </c>
    </row>
    <row r="22" spans="1:5" x14ac:dyDescent="0.3">
      <c r="A22" t="s">
        <v>20</v>
      </c>
      <c r="B22" t="s">
        <v>3</v>
      </c>
      <c r="C22">
        <v>405</v>
      </c>
      <c r="D22">
        <v>7000</v>
      </c>
      <c r="E22">
        <f t="shared" si="0"/>
        <v>2835000</v>
      </c>
    </row>
    <row r="23" spans="1:5" hidden="1" x14ac:dyDescent="0.3">
      <c r="A23" t="s">
        <v>21</v>
      </c>
      <c r="B23" t="s">
        <v>22</v>
      </c>
      <c r="C23">
        <v>0</v>
      </c>
      <c r="E23">
        <f t="shared" si="0"/>
        <v>0</v>
      </c>
    </row>
    <row r="24" spans="1:5" x14ac:dyDescent="0.3">
      <c r="A24" t="s">
        <v>21</v>
      </c>
      <c r="B24" t="s">
        <v>3</v>
      </c>
      <c r="C24">
        <v>20</v>
      </c>
      <c r="D24">
        <v>9000</v>
      </c>
      <c r="E24">
        <f t="shared" si="0"/>
        <v>180000</v>
      </c>
    </row>
    <row r="25" spans="1:5" hidden="1" x14ac:dyDescent="0.3">
      <c r="A25" t="s">
        <v>23</v>
      </c>
      <c r="B25" t="s">
        <v>3</v>
      </c>
      <c r="C25">
        <v>0</v>
      </c>
      <c r="E25">
        <f t="shared" si="0"/>
        <v>0</v>
      </c>
    </row>
    <row r="26" spans="1:5" x14ac:dyDescent="0.3">
      <c r="A26" t="s">
        <v>24</v>
      </c>
      <c r="B26" t="s">
        <v>3</v>
      </c>
      <c r="C26">
        <v>50</v>
      </c>
      <c r="D26">
        <v>10000</v>
      </c>
      <c r="E26">
        <f t="shared" si="0"/>
        <v>500000</v>
      </c>
    </row>
    <row r="27" spans="1:5" x14ac:dyDescent="0.3">
      <c r="A27" t="s">
        <v>25</v>
      </c>
      <c r="B27" t="s">
        <v>3</v>
      </c>
      <c r="C27">
        <v>344</v>
      </c>
      <c r="D27">
        <v>14000</v>
      </c>
      <c r="E27">
        <f t="shared" si="0"/>
        <v>4816000</v>
      </c>
    </row>
    <row r="28" spans="1:5" hidden="1" x14ac:dyDescent="0.3">
      <c r="A28" t="s">
        <v>25</v>
      </c>
      <c r="B28" t="s">
        <v>26</v>
      </c>
      <c r="C28">
        <v>0</v>
      </c>
      <c r="E28">
        <f t="shared" si="0"/>
        <v>0</v>
      </c>
    </row>
    <row r="29" spans="1:5" x14ac:dyDescent="0.3">
      <c r="A29" t="s">
        <v>27</v>
      </c>
      <c r="B29" t="s">
        <v>3</v>
      </c>
      <c r="C29">
        <v>16</v>
      </c>
      <c r="D29">
        <v>18000</v>
      </c>
      <c r="E29">
        <f t="shared" si="0"/>
        <v>288000</v>
      </c>
    </row>
    <row r="30" spans="1:5" hidden="1" x14ac:dyDescent="0.3">
      <c r="A30" t="s">
        <v>27</v>
      </c>
      <c r="B30" t="s">
        <v>26</v>
      </c>
      <c r="C30">
        <v>0</v>
      </c>
      <c r="E30">
        <f t="shared" si="0"/>
        <v>0</v>
      </c>
    </row>
    <row r="31" spans="1:5" x14ac:dyDescent="0.3">
      <c r="A31" t="s">
        <v>28</v>
      </c>
      <c r="B31" t="s">
        <v>3</v>
      </c>
      <c r="C31">
        <v>157</v>
      </c>
      <c r="D31">
        <v>15000</v>
      </c>
      <c r="E31">
        <f t="shared" si="0"/>
        <v>2355000</v>
      </c>
    </row>
    <row r="32" spans="1:5" hidden="1" x14ac:dyDescent="0.3">
      <c r="A32" t="s">
        <v>28</v>
      </c>
      <c r="B32" t="s">
        <v>29</v>
      </c>
      <c r="C32">
        <v>0</v>
      </c>
      <c r="E32">
        <f t="shared" si="0"/>
        <v>0</v>
      </c>
    </row>
    <row r="33" spans="1:5" x14ac:dyDescent="0.3">
      <c r="A33" t="s">
        <v>30</v>
      </c>
      <c r="B33" t="s">
        <v>3</v>
      </c>
      <c r="C33">
        <v>90</v>
      </c>
      <c r="D33">
        <v>16000</v>
      </c>
      <c r="E33">
        <f t="shared" si="0"/>
        <v>1440000</v>
      </c>
    </row>
    <row r="34" spans="1:5" hidden="1" x14ac:dyDescent="0.3">
      <c r="A34" t="s">
        <v>30</v>
      </c>
      <c r="B34" t="s">
        <v>6</v>
      </c>
      <c r="C34">
        <v>0</v>
      </c>
      <c r="E34">
        <f t="shared" si="0"/>
        <v>0</v>
      </c>
    </row>
    <row r="35" spans="1:5" x14ac:dyDescent="0.3">
      <c r="A35" t="s">
        <v>31</v>
      </c>
      <c r="B35" t="s">
        <v>4</v>
      </c>
      <c r="C35">
        <v>480</v>
      </c>
      <c r="D35">
        <v>14000</v>
      </c>
      <c r="E35">
        <f t="shared" si="0"/>
        <v>6720000</v>
      </c>
    </row>
    <row r="36" spans="1:5" hidden="1" x14ac:dyDescent="0.3">
      <c r="A36" t="s">
        <v>32</v>
      </c>
      <c r="B36" t="s">
        <v>3</v>
      </c>
      <c r="C36">
        <v>0</v>
      </c>
      <c r="E36">
        <f t="shared" si="0"/>
        <v>0</v>
      </c>
    </row>
    <row r="37" spans="1:5" x14ac:dyDescent="0.3">
      <c r="A37" t="s">
        <v>32</v>
      </c>
      <c r="B37" t="s">
        <v>6</v>
      </c>
      <c r="C37">
        <v>412</v>
      </c>
      <c r="D37">
        <v>5000</v>
      </c>
      <c r="E37">
        <f t="shared" si="0"/>
        <v>2060000</v>
      </c>
    </row>
    <row r="38" spans="1:5" x14ac:dyDescent="0.3">
      <c r="A38" t="s">
        <v>33</v>
      </c>
      <c r="B38" t="s">
        <v>3</v>
      </c>
      <c r="C38">
        <v>12</v>
      </c>
      <c r="D38">
        <v>12000</v>
      </c>
      <c r="E38">
        <f t="shared" si="0"/>
        <v>144000</v>
      </c>
    </row>
    <row r="39" spans="1:5" x14ac:dyDescent="0.3">
      <c r="A39" t="s">
        <v>34</v>
      </c>
      <c r="B39" t="s">
        <v>3</v>
      </c>
      <c r="C39">
        <v>155</v>
      </c>
      <c r="D39">
        <v>38000</v>
      </c>
      <c r="E39">
        <f t="shared" si="0"/>
        <v>5890000</v>
      </c>
    </row>
    <row r="40" spans="1:5" hidden="1" x14ac:dyDescent="0.3">
      <c r="A40" t="s">
        <v>34</v>
      </c>
      <c r="B40" t="s">
        <v>26</v>
      </c>
      <c r="C40">
        <v>0</v>
      </c>
      <c r="E40">
        <f t="shared" si="0"/>
        <v>0</v>
      </c>
    </row>
    <row r="41" spans="1:5" x14ac:dyDescent="0.3">
      <c r="A41" t="s">
        <v>35</v>
      </c>
      <c r="B41" t="s">
        <v>3</v>
      </c>
      <c r="C41">
        <v>160</v>
      </c>
      <c r="D41">
        <v>42000</v>
      </c>
      <c r="E41">
        <f t="shared" si="0"/>
        <v>6720000</v>
      </c>
    </row>
    <row r="42" spans="1:5" hidden="1" x14ac:dyDescent="0.3">
      <c r="A42" t="s">
        <v>35</v>
      </c>
      <c r="B42" t="s">
        <v>26</v>
      </c>
      <c r="C42">
        <v>0</v>
      </c>
      <c r="E42">
        <f t="shared" si="0"/>
        <v>0</v>
      </c>
    </row>
    <row r="43" spans="1:5" x14ac:dyDescent="0.3">
      <c r="A43" t="s">
        <v>36</v>
      </c>
      <c r="B43" t="s">
        <v>3</v>
      </c>
      <c r="C43">
        <v>61</v>
      </c>
      <c r="D43">
        <v>32000</v>
      </c>
      <c r="E43">
        <f t="shared" si="0"/>
        <v>1952000</v>
      </c>
    </row>
    <row r="44" spans="1:5" hidden="1" x14ac:dyDescent="0.3">
      <c r="A44" t="s">
        <v>36</v>
      </c>
      <c r="B44" t="s">
        <v>26</v>
      </c>
      <c r="C44">
        <v>0</v>
      </c>
      <c r="E44">
        <f t="shared" si="0"/>
        <v>0</v>
      </c>
    </row>
    <row r="45" spans="1:5" hidden="1" x14ac:dyDescent="0.3">
      <c r="A45" t="s">
        <v>37</v>
      </c>
      <c r="B45" t="s">
        <v>3</v>
      </c>
      <c r="C45">
        <v>0</v>
      </c>
      <c r="E45">
        <f t="shared" si="0"/>
        <v>0</v>
      </c>
    </row>
    <row r="46" spans="1:5" hidden="1" x14ac:dyDescent="0.3">
      <c r="A46" t="s">
        <v>38</v>
      </c>
      <c r="B46" t="s">
        <v>6</v>
      </c>
      <c r="C46">
        <v>0</v>
      </c>
      <c r="E46">
        <f t="shared" si="0"/>
        <v>0</v>
      </c>
    </row>
    <row r="47" spans="1:5" x14ac:dyDescent="0.3">
      <c r="A47" t="s">
        <v>39</v>
      </c>
      <c r="B47" t="s">
        <v>3</v>
      </c>
      <c r="C47">
        <v>630</v>
      </c>
      <c r="D47">
        <v>28000</v>
      </c>
      <c r="E47">
        <f t="shared" si="0"/>
        <v>17640000</v>
      </c>
    </row>
    <row r="48" spans="1:5" x14ac:dyDescent="0.3">
      <c r="A48" t="s">
        <v>40</v>
      </c>
      <c r="B48" t="s">
        <v>3</v>
      </c>
      <c r="C48">
        <v>4</v>
      </c>
      <c r="D48">
        <v>24000</v>
      </c>
      <c r="E48">
        <f t="shared" si="0"/>
        <v>96000</v>
      </c>
    </row>
    <row r="49" spans="1:5" x14ac:dyDescent="0.3">
      <c r="A49" t="s">
        <v>40</v>
      </c>
      <c r="B49" t="s">
        <v>41</v>
      </c>
      <c r="C49">
        <v>95</v>
      </c>
      <c r="D49">
        <v>7200</v>
      </c>
      <c r="E49">
        <f t="shared" si="0"/>
        <v>684000</v>
      </c>
    </row>
    <row r="50" spans="1:5" x14ac:dyDescent="0.3">
      <c r="A50" t="s">
        <v>43</v>
      </c>
      <c r="B50" t="s">
        <v>3</v>
      </c>
      <c r="C50">
        <v>710</v>
      </c>
      <c r="D50">
        <v>27600</v>
      </c>
      <c r="E50">
        <f t="shared" si="0"/>
        <v>19596000</v>
      </c>
    </row>
    <row r="51" spans="1:5" x14ac:dyDescent="0.3">
      <c r="A51" t="s">
        <v>44</v>
      </c>
      <c r="B51" t="s">
        <v>3</v>
      </c>
      <c r="C51">
        <v>65</v>
      </c>
      <c r="D51">
        <v>20000</v>
      </c>
      <c r="E51">
        <f t="shared" si="0"/>
        <v>1300000</v>
      </c>
    </row>
    <row r="52" spans="1:5" x14ac:dyDescent="0.3">
      <c r="A52" t="s">
        <v>45</v>
      </c>
      <c r="B52" t="s">
        <v>3</v>
      </c>
      <c r="C52">
        <v>759</v>
      </c>
      <c r="D52">
        <v>7500</v>
      </c>
      <c r="E52">
        <f t="shared" si="0"/>
        <v>5692500</v>
      </c>
    </row>
    <row r="53" spans="1:5" x14ac:dyDescent="0.3">
      <c r="A53" t="s">
        <v>46</v>
      </c>
      <c r="B53" t="s">
        <v>3</v>
      </c>
      <c r="C53">
        <v>4</v>
      </c>
      <c r="D53">
        <v>16000</v>
      </c>
      <c r="E53">
        <f t="shared" si="0"/>
        <v>64000</v>
      </c>
    </row>
    <row r="54" spans="1:5" x14ac:dyDescent="0.3">
      <c r="A54" t="s">
        <v>48</v>
      </c>
      <c r="B54" t="s">
        <v>3</v>
      </c>
      <c r="C54">
        <v>28</v>
      </c>
      <c r="D54">
        <v>14000</v>
      </c>
      <c r="E54">
        <f t="shared" si="0"/>
        <v>392000</v>
      </c>
    </row>
    <row r="55" spans="1:5" hidden="1" x14ac:dyDescent="0.3">
      <c r="A55" t="s">
        <v>48</v>
      </c>
      <c r="B55" t="s">
        <v>49</v>
      </c>
      <c r="C55">
        <v>0</v>
      </c>
      <c r="E55">
        <f t="shared" si="0"/>
        <v>0</v>
      </c>
    </row>
    <row r="56" spans="1:5" hidden="1" x14ac:dyDescent="0.3">
      <c r="A56" t="s">
        <v>51</v>
      </c>
      <c r="B56" t="s">
        <v>3</v>
      </c>
      <c r="C56">
        <v>0</v>
      </c>
      <c r="E56">
        <f t="shared" si="0"/>
        <v>0</v>
      </c>
    </row>
    <row r="57" spans="1:5" x14ac:dyDescent="0.3">
      <c r="A57" t="s">
        <v>51</v>
      </c>
      <c r="B57" t="s">
        <v>52</v>
      </c>
      <c r="C57">
        <v>280</v>
      </c>
      <c r="D57">
        <v>9000</v>
      </c>
      <c r="E57">
        <f t="shared" si="0"/>
        <v>2520000</v>
      </c>
    </row>
    <row r="58" spans="1:5" x14ac:dyDescent="0.3">
      <c r="A58" t="s">
        <v>53</v>
      </c>
      <c r="B58" t="s">
        <v>3</v>
      </c>
      <c r="C58">
        <v>70</v>
      </c>
      <c r="D58">
        <v>8000</v>
      </c>
      <c r="E58">
        <f t="shared" si="0"/>
        <v>560000</v>
      </c>
    </row>
    <row r="59" spans="1:5" hidden="1" x14ac:dyDescent="0.3">
      <c r="A59" t="s">
        <v>53</v>
      </c>
      <c r="B59" t="s">
        <v>54</v>
      </c>
      <c r="C59">
        <v>0</v>
      </c>
      <c r="E59">
        <f t="shared" si="0"/>
        <v>0</v>
      </c>
    </row>
    <row r="60" spans="1:5" x14ac:dyDescent="0.3">
      <c r="A60" t="s">
        <v>55</v>
      </c>
      <c r="B60" t="s">
        <v>4</v>
      </c>
      <c r="C60">
        <v>10</v>
      </c>
      <c r="D60">
        <v>3900</v>
      </c>
      <c r="E60">
        <f t="shared" si="0"/>
        <v>39000</v>
      </c>
    </row>
    <row r="61" spans="1:5" hidden="1" x14ac:dyDescent="0.3">
      <c r="A61" t="s">
        <v>56</v>
      </c>
      <c r="B61" t="s">
        <v>3</v>
      </c>
      <c r="C61">
        <v>0</v>
      </c>
      <c r="E61">
        <f t="shared" si="0"/>
        <v>0</v>
      </c>
    </row>
    <row r="62" spans="1:5" x14ac:dyDescent="0.3">
      <c r="A62" t="s">
        <v>57</v>
      </c>
      <c r="B62" t="s">
        <v>3</v>
      </c>
      <c r="C62">
        <v>25</v>
      </c>
      <c r="D62">
        <v>7000</v>
      </c>
      <c r="E62">
        <f t="shared" si="0"/>
        <v>175000</v>
      </c>
    </row>
    <row r="63" spans="1:5" x14ac:dyDescent="0.3">
      <c r="A63" t="s">
        <v>58</v>
      </c>
      <c r="B63" t="s">
        <v>3</v>
      </c>
      <c r="C63">
        <v>5</v>
      </c>
      <c r="D63">
        <v>17000</v>
      </c>
      <c r="E63">
        <f t="shared" si="0"/>
        <v>85000</v>
      </c>
    </row>
    <row r="64" spans="1:5" x14ac:dyDescent="0.3">
      <c r="A64" t="s">
        <v>59</v>
      </c>
      <c r="B64" t="s">
        <v>3</v>
      </c>
      <c r="C64">
        <v>50</v>
      </c>
      <c r="D64">
        <v>13000</v>
      </c>
      <c r="E64">
        <f t="shared" si="0"/>
        <v>650000</v>
      </c>
    </row>
    <row r="65" spans="1:5" x14ac:dyDescent="0.3">
      <c r="A65" t="s">
        <v>60</v>
      </c>
      <c r="B65" t="s">
        <v>4</v>
      </c>
      <c r="C65">
        <v>32</v>
      </c>
      <c r="D65">
        <v>8000</v>
      </c>
      <c r="E65">
        <f t="shared" si="0"/>
        <v>256000</v>
      </c>
    </row>
    <row r="66" spans="1:5" hidden="1" x14ac:dyDescent="0.3">
      <c r="A66" t="s">
        <v>61</v>
      </c>
      <c r="B66" t="s">
        <v>3</v>
      </c>
      <c r="C66">
        <v>0</v>
      </c>
      <c r="E66">
        <f t="shared" si="0"/>
        <v>0</v>
      </c>
    </row>
    <row r="67" spans="1:5" x14ac:dyDescent="0.3">
      <c r="A67" t="s">
        <v>61</v>
      </c>
      <c r="B67" t="s">
        <v>62</v>
      </c>
      <c r="C67">
        <v>76</v>
      </c>
      <c r="D67">
        <v>9000</v>
      </c>
      <c r="E67">
        <f t="shared" si="0"/>
        <v>684000</v>
      </c>
    </row>
    <row r="68" spans="1:5" hidden="1" x14ac:dyDescent="0.3">
      <c r="A68" t="s">
        <v>63</v>
      </c>
      <c r="B68" t="s">
        <v>3</v>
      </c>
      <c r="C68">
        <v>0</v>
      </c>
      <c r="E68">
        <f t="shared" ref="E68:E133" si="1">C68*D68</f>
        <v>0</v>
      </c>
    </row>
    <row r="69" spans="1:5" hidden="1" x14ac:dyDescent="0.3">
      <c r="A69" t="s">
        <v>64</v>
      </c>
      <c r="B69" t="s">
        <v>3</v>
      </c>
      <c r="C69">
        <v>0</v>
      </c>
      <c r="E69">
        <f t="shared" si="1"/>
        <v>0</v>
      </c>
    </row>
    <row r="70" spans="1:5" hidden="1" x14ac:dyDescent="0.3">
      <c r="A70" t="s">
        <v>65</v>
      </c>
      <c r="B70" t="s">
        <v>3</v>
      </c>
      <c r="C70">
        <v>0</v>
      </c>
      <c r="E70">
        <f t="shared" si="1"/>
        <v>0</v>
      </c>
    </row>
    <row r="71" spans="1:5" hidden="1" x14ac:dyDescent="0.3">
      <c r="A71" t="s">
        <v>66</v>
      </c>
      <c r="B71" t="s">
        <v>22</v>
      </c>
      <c r="C71">
        <v>0</v>
      </c>
      <c r="E71">
        <f t="shared" si="1"/>
        <v>0</v>
      </c>
    </row>
    <row r="72" spans="1:5" hidden="1" x14ac:dyDescent="0.3">
      <c r="A72" t="s">
        <v>66</v>
      </c>
      <c r="B72" t="s">
        <v>3</v>
      </c>
      <c r="C72">
        <v>0</v>
      </c>
      <c r="E72">
        <f t="shared" si="1"/>
        <v>0</v>
      </c>
    </row>
    <row r="73" spans="1:5" hidden="1" x14ac:dyDescent="0.3">
      <c r="A73" t="s">
        <v>68</v>
      </c>
      <c r="B73" t="s">
        <v>4</v>
      </c>
      <c r="C73">
        <v>0</v>
      </c>
      <c r="E73">
        <f t="shared" si="1"/>
        <v>0</v>
      </c>
    </row>
    <row r="74" spans="1:5" hidden="1" x14ac:dyDescent="0.3">
      <c r="A74" t="s">
        <v>69</v>
      </c>
      <c r="B74" t="s">
        <v>3</v>
      </c>
      <c r="C74">
        <v>0</v>
      </c>
      <c r="E74">
        <f t="shared" si="1"/>
        <v>0</v>
      </c>
    </row>
    <row r="75" spans="1:5" hidden="1" x14ac:dyDescent="0.3">
      <c r="A75" t="s">
        <v>70</v>
      </c>
      <c r="B75" t="s">
        <v>8</v>
      </c>
      <c r="C75">
        <v>0</v>
      </c>
      <c r="E75">
        <f t="shared" si="1"/>
        <v>0</v>
      </c>
    </row>
    <row r="76" spans="1:5" x14ac:dyDescent="0.3">
      <c r="A76" t="s">
        <v>70</v>
      </c>
      <c r="B76" t="s">
        <v>3</v>
      </c>
      <c r="C76">
        <v>5</v>
      </c>
      <c r="D76">
        <v>45000</v>
      </c>
      <c r="E76">
        <f t="shared" si="1"/>
        <v>225000</v>
      </c>
    </row>
    <row r="77" spans="1:5" hidden="1" x14ac:dyDescent="0.3">
      <c r="A77" t="s">
        <v>71</v>
      </c>
      <c r="B77" t="s">
        <v>3</v>
      </c>
      <c r="C77">
        <v>0</v>
      </c>
      <c r="E77">
        <f t="shared" si="1"/>
        <v>0</v>
      </c>
    </row>
    <row r="78" spans="1:5" x14ac:dyDescent="0.3">
      <c r="A78" t="s">
        <v>71</v>
      </c>
      <c r="B78" t="s">
        <v>4</v>
      </c>
      <c r="C78">
        <v>3</v>
      </c>
      <c r="D78">
        <v>22000</v>
      </c>
      <c r="E78">
        <f t="shared" si="1"/>
        <v>66000</v>
      </c>
    </row>
    <row r="79" spans="1:5" x14ac:dyDescent="0.3">
      <c r="A79" t="s">
        <v>72</v>
      </c>
      <c r="B79" t="s">
        <v>3</v>
      </c>
      <c r="C79">
        <v>150</v>
      </c>
      <c r="D79">
        <v>16000</v>
      </c>
      <c r="E79">
        <f t="shared" si="1"/>
        <v>2400000</v>
      </c>
    </row>
    <row r="80" spans="1:5" x14ac:dyDescent="0.3">
      <c r="A80" t="s">
        <v>73</v>
      </c>
      <c r="B80" t="s">
        <v>3</v>
      </c>
      <c r="C80">
        <v>20</v>
      </c>
      <c r="D80">
        <v>30000</v>
      </c>
      <c r="E80">
        <f t="shared" si="1"/>
        <v>600000</v>
      </c>
    </row>
    <row r="81" spans="1:5" hidden="1" x14ac:dyDescent="0.3">
      <c r="A81" t="s">
        <v>74</v>
      </c>
      <c r="B81" t="s">
        <v>3</v>
      </c>
      <c r="C81">
        <v>0</v>
      </c>
      <c r="E81">
        <f t="shared" si="1"/>
        <v>0</v>
      </c>
    </row>
    <row r="82" spans="1:5" hidden="1" x14ac:dyDescent="0.3">
      <c r="A82" t="s">
        <v>76</v>
      </c>
      <c r="B82" t="s">
        <v>3</v>
      </c>
      <c r="C82">
        <v>0</v>
      </c>
      <c r="E82">
        <f t="shared" si="1"/>
        <v>0</v>
      </c>
    </row>
    <row r="83" spans="1:5" hidden="1" x14ac:dyDescent="0.3">
      <c r="A83" t="s">
        <v>83</v>
      </c>
      <c r="B83" t="s">
        <v>4</v>
      </c>
      <c r="C83">
        <v>0</v>
      </c>
      <c r="E83">
        <f t="shared" si="1"/>
        <v>0</v>
      </c>
    </row>
    <row r="84" spans="1:5" hidden="1" x14ac:dyDescent="0.3">
      <c r="A84" t="s">
        <v>84</v>
      </c>
      <c r="B84" t="s">
        <v>22</v>
      </c>
      <c r="C84">
        <v>0</v>
      </c>
      <c r="E84">
        <f t="shared" si="1"/>
        <v>0</v>
      </c>
    </row>
    <row r="85" spans="1:5" hidden="1" x14ac:dyDescent="0.3">
      <c r="A85" t="s">
        <v>85</v>
      </c>
      <c r="B85" t="s">
        <v>22</v>
      </c>
      <c r="C85">
        <v>0</v>
      </c>
      <c r="E85">
        <f t="shared" si="1"/>
        <v>0</v>
      </c>
    </row>
    <row r="86" spans="1:5" hidden="1" x14ac:dyDescent="0.3">
      <c r="A86" t="s">
        <v>117</v>
      </c>
      <c r="B86" t="s">
        <v>8</v>
      </c>
      <c r="C86">
        <v>0</v>
      </c>
      <c r="E86">
        <f t="shared" si="1"/>
        <v>0</v>
      </c>
    </row>
    <row r="87" spans="1:5" x14ac:dyDescent="0.3">
      <c r="A87" t="s">
        <v>82</v>
      </c>
      <c r="B87" t="s">
        <v>3</v>
      </c>
      <c r="C87">
        <v>20</v>
      </c>
      <c r="D87">
        <v>33000</v>
      </c>
      <c r="E87">
        <f t="shared" si="1"/>
        <v>660000</v>
      </c>
    </row>
    <row r="88" spans="1:5" x14ac:dyDescent="0.3">
      <c r="A88" t="s">
        <v>92</v>
      </c>
      <c r="B88" t="s">
        <v>3</v>
      </c>
      <c r="C88">
        <v>13</v>
      </c>
      <c r="D88">
        <v>11500</v>
      </c>
      <c r="E88">
        <f t="shared" si="1"/>
        <v>149500</v>
      </c>
    </row>
    <row r="89" spans="1:5" hidden="1" x14ac:dyDescent="0.3">
      <c r="A89" t="s">
        <v>86</v>
      </c>
      <c r="B89" t="s">
        <v>22</v>
      </c>
      <c r="C89">
        <v>0</v>
      </c>
      <c r="E89">
        <f t="shared" si="1"/>
        <v>0</v>
      </c>
    </row>
    <row r="90" spans="1:5" x14ac:dyDescent="0.3">
      <c r="A90" t="s">
        <v>87</v>
      </c>
      <c r="B90" t="s">
        <v>4</v>
      </c>
      <c r="C90">
        <v>80</v>
      </c>
      <c r="D90">
        <v>7500</v>
      </c>
      <c r="E90">
        <f t="shared" si="1"/>
        <v>600000</v>
      </c>
    </row>
    <row r="91" spans="1:5" hidden="1" x14ac:dyDescent="0.3">
      <c r="A91" t="s">
        <v>88</v>
      </c>
      <c r="B91" t="s">
        <v>3</v>
      </c>
      <c r="C91">
        <v>0</v>
      </c>
      <c r="E91">
        <f t="shared" si="1"/>
        <v>0</v>
      </c>
    </row>
    <row r="92" spans="1:5" hidden="1" x14ac:dyDescent="0.3">
      <c r="A92" t="s">
        <v>91</v>
      </c>
      <c r="B92" t="s">
        <v>3</v>
      </c>
      <c r="C92">
        <v>0</v>
      </c>
      <c r="E92">
        <f t="shared" si="1"/>
        <v>0</v>
      </c>
    </row>
    <row r="93" spans="1:5" x14ac:dyDescent="0.3">
      <c r="A93" t="s">
        <v>81</v>
      </c>
      <c r="B93" t="s">
        <v>3</v>
      </c>
      <c r="C93">
        <v>4</v>
      </c>
      <c r="D93">
        <v>13000</v>
      </c>
      <c r="E93">
        <f t="shared" si="1"/>
        <v>52000</v>
      </c>
    </row>
    <row r="94" spans="1:5" x14ac:dyDescent="0.3">
      <c r="A94" t="s">
        <v>106</v>
      </c>
      <c r="B94" t="s">
        <v>3</v>
      </c>
      <c r="C94">
        <v>8</v>
      </c>
      <c r="D94">
        <v>20000</v>
      </c>
      <c r="E94">
        <f t="shared" si="1"/>
        <v>160000</v>
      </c>
    </row>
    <row r="95" spans="1:5" x14ac:dyDescent="0.3">
      <c r="A95" t="s">
        <v>133</v>
      </c>
      <c r="B95" t="s">
        <v>3</v>
      </c>
      <c r="C95">
        <v>280</v>
      </c>
      <c r="D95">
        <v>17000</v>
      </c>
      <c r="E95">
        <f t="shared" si="1"/>
        <v>4760000</v>
      </c>
    </row>
    <row r="96" spans="1:5" x14ac:dyDescent="0.3">
      <c r="A96" t="s">
        <v>109</v>
      </c>
      <c r="B96" t="s">
        <v>3</v>
      </c>
      <c r="C96">
        <v>26</v>
      </c>
      <c r="D96">
        <v>30000</v>
      </c>
      <c r="E96">
        <f t="shared" si="1"/>
        <v>780000</v>
      </c>
    </row>
    <row r="97" spans="1:5" x14ac:dyDescent="0.3">
      <c r="A97" t="s">
        <v>116</v>
      </c>
      <c r="B97" t="s">
        <v>26</v>
      </c>
      <c r="C97">
        <v>1584</v>
      </c>
      <c r="D97">
        <v>10000</v>
      </c>
      <c r="E97">
        <f t="shared" si="1"/>
        <v>15840000</v>
      </c>
    </row>
    <row r="98" spans="1:5" x14ac:dyDescent="0.3">
      <c r="A98" t="s">
        <v>150</v>
      </c>
      <c r="B98" t="s">
        <v>26</v>
      </c>
      <c r="C98">
        <v>686</v>
      </c>
      <c r="D98">
        <v>17000</v>
      </c>
      <c r="E98">
        <f t="shared" si="1"/>
        <v>11662000</v>
      </c>
    </row>
    <row r="99" spans="1:5" x14ac:dyDescent="0.3">
      <c r="E99">
        <f>SUM(E5:E98)</f>
        <v>154141600</v>
      </c>
    </row>
    <row r="100" spans="1:5" x14ac:dyDescent="0.3">
      <c r="A100" t="s">
        <v>103</v>
      </c>
    </row>
    <row r="101" spans="1:5" x14ac:dyDescent="0.3">
      <c r="A101" t="s">
        <v>0</v>
      </c>
      <c r="B101" t="s">
        <v>1</v>
      </c>
      <c r="C101" t="s">
        <v>102</v>
      </c>
      <c r="D101" t="s">
        <v>100</v>
      </c>
      <c r="E101" t="s">
        <v>101</v>
      </c>
    </row>
    <row r="102" spans="1:5" x14ac:dyDescent="0.3">
      <c r="A102" t="s">
        <v>2</v>
      </c>
      <c r="B102" t="s">
        <v>3</v>
      </c>
      <c r="C102">
        <v>210</v>
      </c>
      <c r="D102">
        <v>11500</v>
      </c>
      <c r="E102">
        <f t="shared" si="1"/>
        <v>2415000</v>
      </c>
    </row>
    <row r="103" spans="1:5" x14ac:dyDescent="0.3">
      <c r="A103" t="s">
        <v>57</v>
      </c>
      <c r="B103" t="s">
        <v>3</v>
      </c>
      <c r="C103">
        <v>35</v>
      </c>
      <c r="D103">
        <v>6500</v>
      </c>
      <c r="E103">
        <f t="shared" si="1"/>
        <v>227500</v>
      </c>
    </row>
    <row r="104" spans="1:5" x14ac:dyDescent="0.3">
      <c r="A104" t="s">
        <v>9</v>
      </c>
      <c r="B104" t="s">
        <v>3</v>
      </c>
      <c r="C104">
        <v>6</v>
      </c>
      <c r="D104">
        <v>10000</v>
      </c>
      <c r="E104">
        <f t="shared" si="1"/>
        <v>60000</v>
      </c>
    </row>
    <row r="105" spans="1:5" x14ac:dyDescent="0.3">
      <c r="A105" t="s">
        <v>10</v>
      </c>
      <c r="B105" t="s">
        <v>3</v>
      </c>
      <c r="C105">
        <v>20</v>
      </c>
      <c r="D105">
        <v>14500</v>
      </c>
      <c r="E105">
        <f t="shared" si="1"/>
        <v>290000</v>
      </c>
    </row>
    <row r="106" spans="1:5" x14ac:dyDescent="0.3">
      <c r="A106" t="s">
        <v>14</v>
      </c>
      <c r="B106" t="s">
        <v>3</v>
      </c>
      <c r="C106">
        <v>50</v>
      </c>
      <c r="D106">
        <v>17000</v>
      </c>
      <c r="E106">
        <f t="shared" si="1"/>
        <v>850000</v>
      </c>
    </row>
    <row r="107" spans="1:5" x14ac:dyDescent="0.3">
      <c r="A107" t="s">
        <v>15</v>
      </c>
      <c r="B107" t="s">
        <v>3</v>
      </c>
      <c r="C107">
        <v>40</v>
      </c>
      <c r="D107">
        <v>17000</v>
      </c>
      <c r="E107">
        <f t="shared" si="1"/>
        <v>680000</v>
      </c>
    </row>
    <row r="108" spans="1:5" x14ac:dyDescent="0.3">
      <c r="A108" t="s">
        <v>59</v>
      </c>
      <c r="B108" t="s">
        <v>3</v>
      </c>
      <c r="C108">
        <v>10</v>
      </c>
      <c r="D108">
        <v>13000</v>
      </c>
      <c r="E108">
        <f t="shared" si="1"/>
        <v>130000</v>
      </c>
    </row>
    <row r="109" spans="1:5" x14ac:dyDescent="0.3">
      <c r="A109" t="s">
        <v>46</v>
      </c>
      <c r="B109" t="s">
        <v>3</v>
      </c>
      <c r="C109">
        <v>2</v>
      </c>
      <c r="D109">
        <v>16000</v>
      </c>
      <c r="E109">
        <f t="shared" si="1"/>
        <v>32000</v>
      </c>
    </row>
    <row r="110" spans="1:5" x14ac:dyDescent="0.3">
      <c r="A110" t="s">
        <v>94</v>
      </c>
      <c r="B110" t="s">
        <v>3</v>
      </c>
      <c r="C110">
        <v>10</v>
      </c>
      <c r="D110">
        <v>23000</v>
      </c>
      <c r="E110">
        <f t="shared" si="1"/>
        <v>230000</v>
      </c>
    </row>
    <row r="111" spans="1:5" x14ac:dyDescent="0.3">
      <c r="A111" t="s">
        <v>44</v>
      </c>
      <c r="B111" t="s">
        <v>3</v>
      </c>
      <c r="C111">
        <v>9</v>
      </c>
      <c r="D111">
        <v>20000</v>
      </c>
      <c r="E111">
        <f t="shared" si="1"/>
        <v>180000</v>
      </c>
    </row>
    <row r="112" spans="1:5" x14ac:dyDescent="0.3">
      <c r="A112" t="s">
        <v>45</v>
      </c>
      <c r="B112" t="s">
        <v>3</v>
      </c>
      <c r="C112">
        <v>35</v>
      </c>
      <c r="D112">
        <v>7500</v>
      </c>
      <c r="E112">
        <f t="shared" si="1"/>
        <v>262500</v>
      </c>
    </row>
    <row r="113" spans="1:5" x14ac:dyDescent="0.3">
      <c r="A113" t="s">
        <v>17</v>
      </c>
      <c r="B113" t="s">
        <v>3</v>
      </c>
      <c r="C113">
        <v>193</v>
      </c>
      <c r="D113">
        <v>6500</v>
      </c>
      <c r="E113">
        <f t="shared" si="1"/>
        <v>1254500</v>
      </c>
    </row>
    <row r="114" spans="1:5" x14ac:dyDescent="0.3">
      <c r="A114" t="s">
        <v>20</v>
      </c>
      <c r="B114" t="s">
        <v>3</v>
      </c>
      <c r="C114">
        <v>205</v>
      </c>
      <c r="D114">
        <v>7000</v>
      </c>
      <c r="E114">
        <f t="shared" si="1"/>
        <v>1435000</v>
      </c>
    </row>
    <row r="115" spans="1:5" x14ac:dyDescent="0.3">
      <c r="A115" t="s">
        <v>21</v>
      </c>
      <c r="B115" t="s">
        <v>3</v>
      </c>
      <c r="C115">
        <v>40</v>
      </c>
      <c r="D115">
        <v>12000</v>
      </c>
      <c r="E115">
        <f t="shared" si="1"/>
        <v>480000</v>
      </c>
    </row>
    <row r="116" spans="1:5" hidden="1" x14ac:dyDescent="0.3">
      <c r="A116" t="s">
        <v>66</v>
      </c>
      <c r="B116" t="s">
        <v>3</v>
      </c>
      <c r="C116">
        <v>0</v>
      </c>
      <c r="E116">
        <f t="shared" si="1"/>
        <v>0</v>
      </c>
    </row>
    <row r="117" spans="1:5" hidden="1" x14ac:dyDescent="0.3">
      <c r="A117" t="s">
        <v>84</v>
      </c>
      <c r="B117" t="s">
        <v>22</v>
      </c>
      <c r="C117">
        <v>0</v>
      </c>
      <c r="E117">
        <f t="shared" si="1"/>
        <v>0</v>
      </c>
    </row>
    <row r="118" spans="1:5" hidden="1" x14ac:dyDescent="0.3">
      <c r="A118" t="s">
        <v>86</v>
      </c>
      <c r="B118" t="s">
        <v>22</v>
      </c>
      <c r="C118">
        <v>0</v>
      </c>
      <c r="E118">
        <f t="shared" si="1"/>
        <v>0</v>
      </c>
    </row>
    <row r="119" spans="1:5" hidden="1" x14ac:dyDescent="0.3">
      <c r="A119" t="s">
        <v>85</v>
      </c>
      <c r="B119" t="s">
        <v>22</v>
      </c>
      <c r="C119">
        <v>0</v>
      </c>
      <c r="E119">
        <f t="shared" si="1"/>
        <v>0</v>
      </c>
    </row>
    <row r="120" spans="1:5" hidden="1" x14ac:dyDescent="0.3">
      <c r="A120" t="s">
        <v>85</v>
      </c>
      <c r="B120" t="s">
        <v>183</v>
      </c>
      <c r="C120">
        <v>0</v>
      </c>
      <c r="E120">
        <f t="shared" si="1"/>
        <v>0</v>
      </c>
    </row>
    <row r="121" spans="1:5" x14ac:dyDescent="0.3">
      <c r="A121" t="s">
        <v>25</v>
      </c>
      <c r="B121" t="s">
        <v>3</v>
      </c>
      <c r="C121">
        <v>11</v>
      </c>
      <c r="D121">
        <v>14000</v>
      </c>
      <c r="E121">
        <f t="shared" si="1"/>
        <v>154000</v>
      </c>
    </row>
    <row r="122" spans="1:5" x14ac:dyDescent="0.3">
      <c r="A122" t="s">
        <v>28</v>
      </c>
      <c r="B122" t="s">
        <v>3</v>
      </c>
      <c r="C122">
        <v>43</v>
      </c>
      <c r="D122">
        <v>15000</v>
      </c>
      <c r="E122">
        <f t="shared" si="1"/>
        <v>645000</v>
      </c>
    </row>
    <row r="123" spans="1:5" x14ac:dyDescent="0.3">
      <c r="A123" t="s">
        <v>30</v>
      </c>
      <c r="B123" t="s">
        <v>3</v>
      </c>
      <c r="C123">
        <v>200</v>
      </c>
      <c r="D123">
        <v>16000</v>
      </c>
      <c r="E123">
        <f t="shared" si="1"/>
        <v>3200000</v>
      </c>
    </row>
    <row r="124" spans="1:5" x14ac:dyDescent="0.3">
      <c r="A124" t="s">
        <v>53</v>
      </c>
      <c r="B124" t="s">
        <v>3</v>
      </c>
      <c r="C124">
        <v>5</v>
      </c>
      <c r="D124">
        <v>8000</v>
      </c>
      <c r="E124">
        <f t="shared" si="1"/>
        <v>40000</v>
      </c>
    </row>
    <row r="125" spans="1:5" x14ac:dyDescent="0.3">
      <c r="A125" t="s">
        <v>34</v>
      </c>
      <c r="B125" t="s">
        <v>3</v>
      </c>
      <c r="C125">
        <v>5</v>
      </c>
      <c r="D125">
        <v>38000</v>
      </c>
      <c r="E125">
        <f t="shared" si="1"/>
        <v>190000</v>
      </c>
    </row>
    <row r="126" spans="1:5" x14ac:dyDescent="0.3">
      <c r="A126" t="s">
        <v>35</v>
      </c>
      <c r="B126" t="s">
        <v>3</v>
      </c>
      <c r="C126">
        <v>5</v>
      </c>
      <c r="D126">
        <v>42000</v>
      </c>
      <c r="E126">
        <f t="shared" si="1"/>
        <v>210000</v>
      </c>
    </row>
    <row r="127" spans="1:5" x14ac:dyDescent="0.3">
      <c r="A127" t="s">
        <v>36</v>
      </c>
      <c r="B127" t="s">
        <v>3</v>
      </c>
      <c r="C127">
        <v>4</v>
      </c>
      <c r="D127">
        <v>32000</v>
      </c>
      <c r="E127">
        <f t="shared" si="1"/>
        <v>128000</v>
      </c>
    </row>
    <row r="128" spans="1:5" x14ac:dyDescent="0.3">
      <c r="A128" t="s">
        <v>72</v>
      </c>
      <c r="B128" t="s">
        <v>3</v>
      </c>
      <c r="C128">
        <v>30</v>
      </c>
      <c r="D128">
        <v>16000</v>
      </c>
      <c r="E128">
        <f t="shared" si="1"/>
        <v>480000</v>
      </c>
    </row>
    <row r="129" spans="1:5" x14ac:dyDescent="0.3">
      <c r="A129" t="s">
        <v>56</v>
      </c>
      <c r="B129" t="s">
        <v>3</v>
      </c>
      <c r="C129">
        <v>10</v>
      </c>
      <c r="D129">
        <v>14000</v>
      </c>
      <c r="E129">
        <f t="shared" si="1"/>
        <v>140000</v>
      </c>
    </row>
    <row r="130" spans="1:5" x14ac:dyDescent="0.3">
      <c r="A130" t="s">
        <v>96</v>
      </c>
      <c r="B130" t="s">
        <v>3</v>
      </c>
      <c r="C130">
        <v>29</v>
      </c>
      <c r="D130">
        <v>27000</v>
      </c>
      <c r="E130">
        <f t="shared" si="1"/>
        <v>783000</v>
      </c>
    </row>
    <row r="131" spans="1:5" x14ac:dyDescent="0.3">
      <c r="A131" t="s">
        <v>97</v>
      </c>
      <c r="B131" t="s">
        <v>3</v>
      </c>
      <c r="C131">
        <v>20</v>
      </c>
      <c r="D131">
        <v>16000</v>
      </c>
      <c r="E131">
        <f t="shared" si="1"/>
        <v>320000</v>
      </c>
    </row>
    <row r="132" spans="1:5" hidden="1" x14ac:dyDescent="0.3">
      <c r="A132" t="s">
        <v>32</v>
      </c>
      <c r="B132" t="s">
        <v>3</v>
      </c>
      <c r="C132">
        <v>0</v>
      </c>
      <c r="E132">
        <f t="shared" si="1"/>
        <v>0</v>
      </c>
    </row>
    <row r="133" spans="1:5" x14ac:dyDescent="0.3">
      <c r="A133" t="s">
        <v>32</v>
      </c>
      <c r="B133" t="s">
        <v>183</v>
      </c>
      <c r="C133">
        <v>80</v>
      </c>
      <c r="D133">
        <v>5000</v>
      </c>
      <c r="E133">
        <f t="shared" si="1"/>
        <v>400000</v>
      </c>
    </row>
    <row r="134" spans="1:5" x14ac:dyDescent="0.3">
      <c r="A134" t="s">
        <v>61</v>
      </c>
      <c r="B134" t="s">
        <v>4</v>
      </c>
      <c r="C134">
        <v>15</v>
      </c>
      <c r="D134">
        <v>9000</v>
      </c>
      <c r="E134">
        <f t="shared" ref="E134:E137" si="2">C134*D134</f>
        <v>135000</v>
      </c>
    </row>
    <row r="135" spans="1:5" hidden="1" x14ac:dyDescent="0.3">
      <c r="A135" t="s">
        <v>37</v>
      </c>
      <c r="B135" t="s">
        <v>3</v>
      </c>
      <c r="C135">
        <v>0</v>
      </c>
      <c r="E135">
        <f t="shared" si="2"/>
        <v>0</v>
      </c>
    </row>
    <row r="136" spans="1:5" x14ac:dyDescent="0.3">
      <c r="A136" t="s">
        <v>88</v>
      </c>
      <c r="B136" t="s">
        <v>3</v>
      </c>
      <c r="C136">
        <v>140</v>
      </c>
      <c r="D136">
        <v>28000</v>
      </c>
      <c r="E136">
        <f t="shared" si="2"/>
        <v>3920000</v>
      </c>
    </row>
    <row r="137" spans="1:5" x14ac:dyDescent="0.3">
      <c r="A137" t="s">
        <v>98</v>
      </c>
      <c r="B137" t="s">
        <v>3</v>
      </c>
      <c r="C137">
        <v>50</v>
      </c>
      <c r="D137">
        <v>5000</v>
      </c>
      <c r="E137">
        <f t="shared" si="2"/>
        <v>250000</v>
      </c>
    </row>
    <row r="138" spans="1:5" x14ac:dyDescent="0.3">
      <c r="E138">
        <f>SUM(E102:E137)</f>
        <v>19521500</v>
      </c>
    </row>
    <row r="139" spans="1:5" x14ac:dyDescent="0.3">
      <c r="E139">
        <f>E138+E99</f>
        <v>173663100</v>
      </c>
    </row>
  </sheetData>
  <autoFilter ref="A2:E137" xr:uid="{00000000-0009-0000-0000-00001E000000}">
    <filterColumn colId="2">
      <filters>
        <filter val="10"/>
        <filter val="11"/>
        <filter val="12"/>
        <filter val="13"/>
        <filter val="130"/>
        <filter val="140"/>
        <filter val="15"/>
        <filter val="150"/>
        <filter val="155"/>
        <filter val="157"/>
        <filter val="1584"/>
        <filter val="16"/>
        <filter val="160"/>
        <filter val="17"/>
        <filter val="170"/>
        <filter val="193"/>
        <filter val="2"/>
        <filter val="20"/>
        <filter val="200"/>
        <filter val="205"/>
        <filter val="210"/>
        <filter val="25"/>
        <filter val="26"/>
        <filter val="28"/>
        <filter val="280"/>
        <filter val="29"/>
        <filter val="3"/>
        <filter val="30"/>
        <filter val="305"/>
        <filter val="31"/>
        <filter val="32"/>
        <filter val="344"/>
        <filter val="35"/>
        <filter val="4"/>
        <filter val="40"/>
        <filter val="405"/>
        <filter val="412"/>
        <filter val="43"/>
        <filter val="480"/>
        <filter val="5"/>
        <filter val="50"/>
        <filter val="532"/>
        <filter val="6"/>
        <filter val="61"/>
        <filter val="630"/>
        <filter val="65"/>
        <filter val="683"/>
        <filter val="686"/>
        <filter val="70"/>
        <filter val="710"/>
        <filter val="759"/>
        <filter val="76"/>
        <filter val="8"/>
        <filter val="80"/>
        <filter val="83"/>
        <filter val="9"/>
        <filter val="90"/>
        <filter val="95"/>
        <filter val="Tồn_x000a_ĐL_x000a__x000a_現在庫"/>
      </filters>
    </filterColumn>
  </autoFilter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/>
  <dimension ref="A1:E154"/>
  <sheetViews>
    <sheetView topLeftCell="A122" workbookViewId="0">
      <selection activeCell="E154" sqref="E154"/>
    </sheetView>
  </sheetViews>
  <sheetFormatPr defaultRowHeight="14.4" x14ac:dyDescent="0.3"/>
  <cols>
    <col min="1" max="1" width="26.88671875" customWidth="1"/>
    <col min="2" max="2" width="7.77734375" customWidth="1"/>
    <col min="3" max="3" width="11" customWidth="1"/>
    <col min="4" max="4" width="12.109375" customWidth="1"/>
    <col min="5" max="5" width="18" customWidth="1"/>
  </cols>
  <sheetData>
    <row r="1" spans="1:5" x14ac:dyDescent="0.3">
      <c r="A1" t="s">
        <v>185</v>
      </c>
    </row>
    <row r="2" spans="1:5" x14ac:dyDescent="0.3">
      <c r="A2" t="s">
        <v>0</v>
      </c>
      <c r="B2" t="s">
        <v>1</v>
      </c>
      <c r="C2" t="s">
        <v>102</v>
      </c>
      <c r="D2" t="s">
        <v>100</v>
      </c>
      <c r="E2" t="s">
        <v>101</v>
      </c>
    </row>
    <row r="3" spans="1:5" x14ac:dyDescent="0.3">
      <c r="A3" t="s">
        <v>44</v>
      </c>
      <c r="B3" t="s">
        <v>3</v>
      </c>
      <c r="C3">
        <v>29</v>
      </c>
      <c r="D3">
        <v>17000</v>
      </c>
      <c r="E3">
        <f>C3*D3</f>
        <v>493000</v>
      </c>
    </row>
    <row r="4" spans="1:5" x14ac:dyDescent="0.3">
      <c r="A4" t="s">
        <v>45</v>
      </c>
      <c r="B4" t="s">
        <v>3</v>
      </c>
      <c r="C4">
        <v>478</v>
      </c>
      <c r="D4">
        <v>7500</v>
      </c>
      <c r="E4">
        <f t="shared" ref="E4:E67" si="0">C4*D4</f>
        <v>3585000</v>
      </c>
    </row>
    <row r="5" spans="1:5" x14ac:dyDescent="0.3">
      <c r="A5" t="s">
        <v>17</v>
      </c>
      <c r="B5" t="s">
        <v>3</v>
      </c>
      <c r="C5">
        <v>764</v>
      </c>
      <c r="D5">
        <v>5500</v>
      </c>
      <c r="E5">
        <f t="shared" si="0"/>
        <v>4202000</v>
      </c>
    </row>
    <row r="6" spans="1:5" x14ac:dyDescent="0.3">
      <c r="A6" t="s">
        <v>95</v>
      </c>
      <c r="B6" t="s">
        <v>3</v>
      </c>
      <c r="C6">
        <v>20</v>
      </c>
      <c r="D6">
        <v>10000</v>
      </c>
      <c r="E6">
        <f t="shared" si="0"/>
        <v>200000</v>
      </c>
    </row>
    <row r="7" spans="1:5" x14ac:dyDescent="0.3">
      <c r="A7" t="s">
        <v>92</v>
      </c>
      <c r="B7" t="s">
        <v>3</v>
      </c>
      <c r="C7">
        <v>15</v>
      </c>
      <c r="D7">
        <v>11500</v>
      </c>
      <c r="E7">
        <f t="shared" si="0"/>
        <v>172500</v>
      </c>
    </row>
    <row r="8" spans="1:5" x14ac:dyDescent="0.3">
      <c r="A8" t="s">
        <v>24</v>
      </c>
      <c r="B8" t="s">
        <v>3</v>
      </c>
      <c r="C8">
        <v>205</v>
      </c>
      <c r="D8">
        <v>10000</v>
      </c>
      <c r="E8">
        <f t="shared" si="0"/>
        <v>2050000</v>
      </c>
    </row>
    <row r="9" spans="1:5" hidden="1" x14ac:dyDescent="0.3">
      <c r="A9" t="s">
        <v>78</v>
      </c>
      <c r="B9" t="s">
        <v>3</v>
      </c>
      <c r="C9">
        <v>0</v>
      </c>
      <c r="E9">
        <f t="shared" si="0"/>
        <v>0</v>
      </c>
    </row>
    <row r="10" spans="1:5" x14ac:dyDescent="0.3">
      <c r="A10" t="s">
        <v>25</v>
      </c>
      <c r="B10" t="s">
        <v>3</v>
      </c>
      <c r="C10">
        <v>310</v>
      </c>
      <c r="D10">
        <v>12000</v>
      </c>
      <c r="E10">
        <f t="shared" si="0"/>
        <v>3720000</v>
      </c>
    </row>
    <row r="11" spans="1:5" hidden="1" x14ac:dyDescent="0.3">
      <c r="A11" t="s">
        <v>25</v>
      </c>
      <c r="B11" t="s">
        <v>26</v>
      </c>
      <c r="C11">
        <v>0</v>
      </c>
      <c r="E11">
        <f t="shared" si="0"/>
        <v>0</v>
      </c>
    </row>
    <row r="12" spans="1:5" x14ac:dyDescent="0.3">
      <c r="A12" t="s">
        <v>27</v>
      </c>
      <c r="B12" t="s">
        <v>3</v>
      </c>
      <c r="C12">
        <v>23</v>
      </c>
      <c r="D12">
        <v>18000</v>
      </c>
      <c r="E12">
        <f t="shared" si="0"/>
        <v>414000</v>
      </c>
    </row>
    <row r="13" spans="1:5" hidden="1" x14ac:dyDescent="0.3">
      <c r="A13" t="s">
        <v>27</v>
      </c>
      <c r="B13" t="s">
        <v>26</v>
      </c>
      <c r="C13">
        <v>0</v>
      </c>
      <c r="E13">
        <f t="shared" si="0"/>
        <v>0</v>
      </c>
    </row>
    <row r="14" spans="1:5" hidden="1" x14ac:dyDescent="0.3">
      <c r="A14" t="s">
        <v>136</v>
      </c>
      <c r="B14" t="s">
        <v>3</v>
      </c>
      <c r="C14">
        <v>0</v>
      </c>
      <c r="E14">
        <f t="shared" si="0"/>
        <v>0</v>
      </c>
    </row>
    <row r="15" spans="1:5" hidden="1" x14ac:dyDescent="0.3">
      <c r="A15" t="s">
        <v>37</v>
      </c>
      <c r="B15" t="s">
        <v>3</v>
      </c>
      <c r="C15">
        <v>0</v>
      </c>
      <c r="E15">
        <f t="shared" si="0"/>
        <v>0</v>
      </c>
    </row>
    <row r="16" spans="1:5" x14ac:dyDescent="0.3">
      <c r="A16" t="s">
        <v>46</v>
      </c>
      <c r="B16" t="s">
        <v>3</v>
      </c>
      <c r="C16">
        <v>3</v>
      </c>
      <c r="D16">
        <v>15000</v>
      </c>
      <c r="E16">
        <f t="shared" si="0"/>
        <v>45000</v>
      </c>
    </row>
    <row r="17" spans="1:5" x14ac:dyDescent="0.3">
      <c r="A17" t="s">
        <v>47</v>
      </c>
      <c r="B17" t="s">
        <v>3</v>
      </c>
      <c r="C17">
        <v>20</v>
      </c>
      <c r="D17">
        <v>20000</v>
      </c>
      <c r="E17">
        <f t="shared" si="0"/>
        <v>400000</v>
      </c>
    </row>
    <row r="18" spans="1:5" hidden="1" x14ac:dyDescent="0.3">
      <c r="A18" t="s">
        <v>123</v>
      </c>
      <c r="B18" t="s">
        <v>3</v>
      </c>
      <c r="C18">
        <v>0</v>
      </c>
      <c r="E18">
        <f t="shared" si="0"/>
        <v>0</v>
      </c>
    </row>
    <row r="19" spans="1:5" hidden="1" x14ac:dyDescent="0.3">
      <c r="A19" t="s">
        <v>82</v>
      </c>
      <c r="B19" t="s">
        <v>3</v>
      </c>
      <c r="C19">
        <v>0</v>
      </c>
      <c r="E19">
        <f t="shared" si="0"/>
        <v>0</v>
      </c>
    </row>
    <row r="20" spans="1:5" hidden="1" x14ac:dyDescent="0.3">
      <c r="A20" t="s">
        <v>16</v>
      </c>
      <c r="B20" t="s">
        <v>6</v>
      </c>
      <c r="C20">
        <v>0</v>
      </c>
      <c r="E20">
        <f t="shared" si="0"/>
        <v>0</v>
      </c>
    </row>
    <row r="21" spans="1:5" x14ac:dyDescent="0.3">
      <c r="A21" t="s">
        <v>28</v>
      </c>
      <c r="B21" t="s">
        <v>3</v>
      </c>
      <c r="C21">
        <v>147</v>
      </c>
      <c r="D21">
        <v>15000</v>
      </c>
      <c r="E21">
        <f t="shared" si="0"/>
        <v>2205000</v>
      </c>
    </row>
    <row r="22" spans="1:5" hidden="1" x14ac:dyDescent="0.3">
      <c r="A22" t="s">
        <v>28</v>
      </c>
      <c r="B22" t="s">
        <v>6</v>
      </c>
      <c r="C22">
        <v>0</v>
      </c>
      <c r="E22">
        <f t="shared" si="0"/>
        <v>0</v>
      </c>
    </row>
    <row r="23" spans="1:5" hidden="1" x14ac:dyDescent="0.3">
      <c r="A23" t="s">
        <v>28</v>
      </c>
      <c r="B23" t="s">
        <v>29</v>
      </c>
      <c r="C23">
        <v>0</v>
      </c>
      <c r="E23">
        <f t="shared" si="0"/>
        <v>0</v>
      </c>
    </row>
    <row r="24" spans="1:5" x14ac:dyDescent="0.3">
      <c r="A24" t="s">
        <v>48</v>
      </c>
      <c r="B24" t="s">
        <v>3</v>
      </c>
      <c r="C24">
        <v>36</v>
      </c>
      <c r="D24">
        <v>14000</v>
      </c>
      <c r="E24">
        <f t="shared" si="0"/>
        <v>504000</v>
      </c>
    </row>
    <row r="25" spans="1:5" hidden="1" x14ac:dyDescent="0.3">
      <c r="A25" t="s">
        <v>48</v>
      </c>
      <c r="B25" t="s">
        <v>49</v>
      </c>
      <c r="C25">
        <v>0</v>
      </c>
      <c r="E25">
        <f t="shared" si="0"/>
        <v>0</v>
      </c>
    </row>
    <row r="26" spans="1:5" hidden="1" x14ac:dyDescent="0.3">
      <c r="A26" t="s">
        <v>40</v>
      </c>
      <c r="B26" t="s">
        <v>3</v>
      </c>
      <c r="C26">
        <v>0</v>
      </c>
      <c r="E26">
        <f t="shared" si="0"/>
        <v>0</v>
      </c>
    </row>
    <row r="27" spans="1:5" x14ac:dyDescent="0.3">
      <c r="A27" t="s">
        <v>40</v>
      </c>
      <c r="B27" t="s">
        <v>41</v>
      </c>
      <c r="C27">
        <v>81</v>
      </c>
      <c r="D27">
        <v>7200</v>
      </c>
      <c r="E27">
        <f t="shared" si="0"/>
        <v>583200</v>
      </c>
    </row>
    <row r="28" spans="1:5" x14ac:dyDescent="0.3">
      <c r="A28" t="s">
        <v>50</v>
      </c>
      <c r="B28" t="s">
        <v>8</v>
      </c>
      <c r="C28">
        <v>7</v>
      </c>
      <c r="D28">
        <v>12000</v>
      </c>
      <c r="E28">
        <f t="shared" si="0"/>
        <v>84000</v>
      </c>
    </row>
    <row r="29" spans="1:5" hidden="1" x14ac:dyDescent="0.3">
      <c r="A29" t="s">
        <v>51</v>
      </c>
      <c r="B29" t="s">
        <v>3</v>
      </c>
      <c r="C29">
        <v>0</v>
      </c>
      <c r="E29">
        <f t="shared" si="0"/>
        <v>0</v>
      </c>
    </row>
    <row r="30" spans="1:5" x14ac:dyDescent="0.3">
      <c r="A30" t="s">
        <v>51</v>
      </c>
      <c r="B30" t="s">
        <v>52</v>
      </c>
      <c r="C30">
        <v>177</v>
      </c>
      <c r="D30">
        <v>9000</v>
      </c>
      <c r="E30">
        <f t="shared" si="0"/>
        <v>1593000</v>
      </c>
    </row>
    <row r="31" spans="1:5" x14ac:dyDescent="0.3">
      <c r="A31" t="s">
        <v>30</v>
      </c>
      <c r="B31" t="s">
        <v>3</v>
      </c>
      <c r="C31">
        <v>236</v>
      </c>
      <c r="D31">
        <v>16000</v>
      </c>
      <c r="E31">
        <f t="shared" si="0"/>
        <v>3776000</v>
      </c>
    </row>
    <row r="32" spans="1:5" hidden="1" x14ac:dyDescent="0.3">
      <c r="A32" t="s">
        <v>30</v>
      </c>
      <c r="B32" t="s">
        <v>6</v>
      </c>
      <c r="C32">
        <v>0</v>
      </c>
      <c r="E32">
        <f t="shared" si="0"/>
        <v>0</v>
      </c>
    </row>
    <row r="33" spans="1:5" x14ac:dyDescent="0.3">
      <c r="A33" t="s">
        <v>31</v>
      </c>
      <c r="B33" t="s">
        <v>4</v>
      </c>
      <c r="C33">
        <v>240</v>
      </c>
      <c r="D33">
        <v>14000</v>
      </c>
      <c r="E33">
        <f t="shared" si="0"/>
        <v>3360000</v>
      </c>
    </row>
    <row r="34" spans="1:5" x14ac:dyDescent="0.3">
      <c r="A34" t="s">
        <v>2</v>
      </c>
      <c r="B34" t="s">
        <v>3</v>
      </c>
      <c r="C34">
        <v>39</v>
      </c>
      <c r="D34">
        <v>11500</v>
      </c>
      <c r="E34">
        <f t="shared" si="0"/>
        <v>448500</v>
      </c>
    </row>
    <row r="35" spans="1:5" hidden="1" x14ac:dyDescent="0.3">
      <c r="A35" t="s">
        <v>2</v>
      </c>
      <c r="B35" t="s">
        <v>4</v>
      </c>
      <c r="C35">
        <v>0</v>
      </c>
      <c r="E35">
        <f t="shared" si="0"/>
        <v>0</v>
      </c>
    </row>
    <row r="36" spans="1:5" hidden="1" x14ac:dyDescent="0.3">
      <c r="A36" t="s">
        <v>5</v>
      </c>
      <c r="B36" t="s">
        <v>6</v>
      </c>
      <c r="C36">
        <v>0</v>
      </c>
      <c r="E36">
        <f t="shared" si="0"/>
        <v>0</v>
      </c>
    </row>
    <row r="37" spans="1:5" x14ac:dyDescent="0.3">
      <c r="A37" t="s">
        <v>53</v>
      </c>
      <c r="B37" t="s">
        <v>3</v>
      </c>
      <c r="C37">
        <v>32</v>
      </c>
      <c r="D37">
        <v>8000</v>
      </c>
      <c r="E37">
        <f t="shared" si="0"/>
        <v>256000</v>
      </c>
    </row>
    <row r="38" spans="1:5" hidden="1" x14ac:dyDescent="0.3">
      <c r="A38" t="s">
        <v>53</v>
      </c>
      <c r="B38" t="s">
        <v>54</v>
      </c>
      <c r="C38">
        <v>0</v>
      </c>
      <c r="E38">
        <f t="shared" si="0"/>
        <v>0</v>
      </c>
    </row>
    <row r="39" spans="1:5" x14ac:dyDescent="0.3">
      <c r="A39" t="s">
        <v>18</v>
      </c>
      <c r="B39" t="s">
        <v>3</v>
      </c>
      <c r="C39">
        <v>4</v>
      </c>
      <c r="D39">
        <v>30000</v>
      </c>
      <c r="E39">
        <f t="shared" si="0"/>
        <v>120000</v>
      </c>
    </row>
    <row r="40" spans="1:5" hidden="1" x14ac:dyDescent="0.3">
      <c r="A40" t="s">
        <v>18</v>
      </c>
      <c r="B40" t="s">
        <v>4</v>
      </c>
      <c r="C40">
        <v>0</v>
      </c>
      <c r="E40">
        <f t="shared" si="0"/>
        <v>0</v>
      </c>
    </row>
    <row r="41" spans="1:5" hidden="1" x14ac:dyDescent="0.3">
      <c r="A41" t="s">
        <v>55</v>
      </c>
      <c r="B41" t="s">
        <v>3</v>
      </c>
      <c r="C41">
        <v>0</v>
      </c>
      <c r="E41">
        <f t="shared" si="0"/>
        <v>0</v>
      </c>
    </row>
    <row r="42" spans="1:5" x14ac:dyDescent="0.3">
      <c r="A42" t="s">
        <v>55</v>
      </c>
      <c r="B42" t="s">
        <v>4</v>
      </c>
      <c r="C42">
        <v>18</v>
      </c>
      <c r="D42">
        <v>28000</v>
      </c>
      <c r="E42">
        <f t="shared" si="0"/>
        <v>504000</v>
      </c>
    </row>
    <row r="43" spans="1:5" hidden="1" x14ac:dyDescent="0.3">
      <c r="A43" t="s">
        <v>19</v>
      </c>
      <c r="B43" t="s">
        <v>3</v>
      </c>
      <c r="C43">
        <v>0</v>
      </c>
      <c r="E43">
        <f t="shared" si="0"/>
        <v>0</v>
      </c>
    </row>
    <row r="44" spans="1:5" x14ac:dyDescent="0.3">
      <c r="A44" t="s">
        <v>19</v>
      </c>
      <c r="B44" t="s">
        <v>4</v>
      </c>
      <c r="C44">
        <v>11</v>
      </c>
      <c r="D44">
        <v>4000</v>
      </c>
      <c r="E44">
        <f t="shared" si="0"/>
        <v>44000</v>
      </c>
    </row>
    <row r="45" spans="1:5" x14ac:dyDescent="0.3">
      <c r="A45" t="s">
        <v>20</v>
      </c>
      <c r="B45" t="s">
        <v>3</v>
      </c>
      <c r="C45">
        <v>385</v>
      </c>
      <c r="D45">
        <v>7000</v>
      </c>
      <c r="E45">
        <f t="shared" si="0"/>
        <v>2695000</v>
      </c>
    </row>
    <row r="46" spans="1:5" hidden="1" x14ac:dyDescent="0.3">
      <c r="A46" t="s">
        <v>21</v>
      </c>
      <c r="B46" t="s">
        <v>22</v>
      </c>
      <c r="C46">
        <v>0</v>
      </c>
      <c r="E46">
        <f t="shared" si="0"/>
        <v>0</v>
      </c>
    </row>
    <row r="47" spans="1:5" x14ac:dyDescent="0.3">
      <c r="A47" t="s">
        <v>21</v>
      </c>
      <c r="B47" t="s">
        <v>3</v>
      </c>
      <c r="C47">
        <v>28</v>
      </c>
      <c r="D47">
        <v>12000</v>
      </c>
      <c r="E47">
        <f t="shared" si="0"/>
        <v>336000</v>
      </c>
    </row>
    <row r="48" spans="1:5" x14ac:dyDescent="0.3">
      <c r="A48" t="s">
        <v>56</v>
      </c>
      <c r="B48" t="s">
        <v>3</v>
      </c>
      <c r="C48">
        <v>19</v>
      </c>
      <c r="D48">
        <v>14000</v>
      </c>
      <c r="E48">
        <f t="shared" si="0"/>
        <v>266000</v>
      </c>
    </row>
    <row r="49" spans="1:5" hidden="1" x14ac:dyDescent="0.3">
      <c r="A49" t="s">
        <v>7</v>
      </c>
      <c r="B49" t="s">
        <v>8</v>
      </c>
      <c r="C49">
        <v>0</v>
      </c>
      <c r="E49">
        <f t="shared" si="0"/>
        <v>0</v>
      </c>
    </row>
    <row r="50" spans="1:5" hidden="1" x14ac:dyDescent="0.3">
      <c r="A50" t="s">
        <v>7</v>
      </c>
      <c r="B50" t="s">
        <v>3</v>
      </c>
      <c r="C50">
        <v>0</v>
      </c>
      <c r="E50">
        <f t="shared" si="0"/>
        <v>0</v>
      </c>
    </row>
    <row r="51" spans="1:5" x14ac:dyDescent="0.3">
      <c r="A51" t="s">
        <v>57</v>
      </c>
      <c r="B51" t="s">
        <v>3</v>
      </c>
      <c r="C51">
        <v>89</v>
      </c>
      <c r="D51">
        <v>6500</v>
      </c>
      <c r="E51">
        <f t="shared" si="0"/>
        <v>578500</v>
      </c>
    </row>
    <row r="52" spans="1:5" hidden="1" x14ac:dyDescent="0.3">
      <c r="A52" t="s">
        <v>9</v>
      </c>
      <c r="B52" t="s">
        <v>3</v>
      </c>
      <c r="C52">
        <v>0</v>
      </c>
      <c r="E52">
        <f t="shared" si="0"/>
        <v>0</v>
      </c>
    </row>
    <row r="53" spans="1:5" hidden="1" x14ac:dyDescent="0.3">
      <c r="A53" t="s">
        <v>9</v>
      </c>
      <c r="B53" t="s">
        <v>4</v>
      </c>
      <c r="C53">
        <v>0</v>
      </c>
      <c r="E53">
        <f t="shared" si="0"/>
        <v>0</v>
      </c>
    </row>
    <row r="54" spans="1:5" x14ac:dyDescent="0.3">
      <c r="A54" t="s">
        <v>58</v>
      </c>
      <c r="B54" t="s">
        <v>3</v>
      </c>
      <c r="C54">
        <v>3</v>
      </c>
      <c r="D54">
        <v>17000</v>
      </c>
      <c r="E54">
        <f t="shared" si="0"/>
        <v>51000</v>
      </c>
    </row>
    <row r="55" spans="1:5" x14ac:dyDescent="0.3">
      <c r="A55" t="s">
        <v>10</v>
      </c>
      <c r="B55" t="s">
        <v>3</v>
      </c>
      <c r="C55">
        <v>741</v>
      </c>
      <c r="D55">
        <v>15000</v>
      </c>
      <c r="E55">
        <f t="shared" si="0"/>
        <v>11115000</v>
      </c>
    </row>
    <row r="56" spans="1:5" hidden="1" x14ac:dyDescent="0.3">
      <c r="A56" t="s">
        <v>10</v>
      </c>
      <c r="B56" t="s">
        <v>11</v>
      </c>
      <c r="C56">
        <v>0</v>
      </c>
      <c r="E56">
        <f t="shared" si="0"/>
        <v>0</v>
      </c>
    </row>
    <row r="57" spans="1:5" x14ac:dyDescent="0.3">
      <c r="A57" t="s">
        <v>106</v>
      </c>
      <c r="B57" t="s">
        <v>3</v>
      </c>
      <c r="C57">
        <v>9</v>
      </c>
      <c r="D57">
        <v>20000</v>
      </c>
      <c r="E57">
        <f t="shared" si="0"/>
        <v>180000</v>
      </c>
    </row>
    <row r="58" spans="1:5" x14ac:dyDescent="0.3">
      <c r="A58" t="s">
        <v>12</v>
      </c>
      <c r="B58" t="s">
        <v>4</v>
      </c>
      <c r="C58">
        <v>156</v>
      </c>
      <c r="D58">
        <v>3600</v>
      </c>
      <c r="E58">
        <f t="shared" si="0"/>
        <v>561600</v>
      </c>
    </row>
    <row r="59" spans="1:5" x14ac:dyDescent="0.3">
      <c r="A59" t="s">
        <v>39</v>
      </c>
      <c r="B59" t="s">
        <v>3</v>
      </c>
      <c r="C59">
        <v>222</v>
      </c>
      <c r="D59">
        <v>28000</v>
      </c>
      <c r="E59">
        <f t="shared" si="0"/>
        <v>6216000</v>
      </c>
    </row>
    <row r="60" spans="1:5" x14ac:dyDescent="0.3">
      <c r="A60" t="s">
        <v>13</v>
      </c>
      <c r="B60" t="s">
        <v>3</v>
      </c>
      <c r="C60">
        <v>280</v>
      </c>
      <c r="D60">
        <v>28000</v>
      </c>
      <c r="E60">
        <f t="shared" si="0"/>
        <v>7840000</v>
      </c>
    </row>
    <row r="61" spans="1:5" hidden="1" x14ac:dyDescent="0.3">
      <c r="A61" t="s">
        <v>13</v>
      </c>
      <c r="B61" t="s">
        <v>4</v>
      </c>
      <c r="C61">
        <v>0</v>
      </c>
      <c r="E61">
        <f t="shared" si="0"/>
        <v>0</v>
      </c>
    </row>
    <row r="62" spans="1:5" x14ac:dyDescent="0.3">
      <c r="A62" t="s">
        <v>133</v>
      </c>
      <c r="B62" t="s">
        <v>3</v>
      </c>
      <c r="C62">
        <v>80</v>
      </c>
      <c r="D62">
        <v>17000</v>
      </c>
      <c r="E62">
        <f t="shared" si="0"/>
        <v>1360000</v>
      </c>
    </row>
    <row r="63" spans="1:5" x14ac:dyDescent="0.3">
      <c r="A63" t="s">
        <v>14</v>
      </c>
      <c r="B63" t="s">
        <v>3</v>
      </c>
      <c r="C63">
        <v>196</v>
      </c>
      <c r="D63">
        <v>17000</v>
      </c>
      <c r="E63">
        <f t="shared" si="0"/>
        <v>3332000</v>
      </c>
    </row>
    <row r="64" spans="1:5" x14ac:dyDescent="0.3">
      <c r="A64" t="s">
        <v>93</v>
      </c>
      <c r="B64" t="s">
        <v>3</v>
      </c>
      <c r="C64">
        <v>5</v>
      </c>
      <c r="D64">
        <v>25000</v>
      </c>
      <c r="E64">
        <f t="shared" si="0"/>
        <v>125000</v>
      </c>
    </row>
    <row r="65" spans="1:5" hidden="1" x14ac:dyDescent="0.3">
      <c r="A65" t="s">
        <v>42</v>
      </c>
      <c r="B65" t="s">
        <v>3</v>
      </c>
      <c r="C65">
        <v>0</v>
      </c>
      <c r="E65">
        <f t="shared" si="0"/>
        <v>0</v>
      </c>
    </row>
    <row r="66" spans="1:5" hidden="1" x14ac:dyDescent="0.3">
      <c r="A66" t="s">
        <v>89</v>
      </c>
      <c r="B66" t="s">
        <v>3</v>
      </c>
      <c r="C66">
        <v>0</v>
      </c>
      <c r="E66">
        <f t="shared" si="0"/>
        <v>0</v>
      </c>
    </row>
    <row r="67" spans="1:5" hidden="1" x14ac:dyDescent="0.3">
      <c r="A67" t="s">
        <v>89</v>
      </c>
      <c r="B67" t="s">
        <v>4</v>
      </c>
      <c r="C67">
        <v>0</v>
      </c>
      <c r="E67">
        <f t="shared" si="0"/>
        <v>0</v>
      </c>
    </row>
    <row r="68" spans="1:5" x14ac:dyDescent="0.3">
      <c r="A68" t="s">
        <v>109</v>
      </c>
      <c r="B68" t="s">
        <v>3</v>
      </c>
      <c r="C68">
        <v>40</v>
      </c>
      <c r="D68">
        <v>30000</v>
      </c>
      <c r="E68">
        <f t="shared" ref="E68:E133" si="1">C68*D68</f>
        <v>1200000</v>
      </c>
    </row>
    <row r="69" spans="1:5" x14ac:dyDescent="0.3">
      <c r="A69" t="s">
        <v>15</v>
      </c>
      <c r="B69" t="s">
        <v>3</v>
      </c>
      <c r="C69">
        <v>67</v>
      </c>
      <c r="D69">
        <v>17000</v>
      </c>
      <c r="E69">
        <f t="shared" si="1"/>
        <v>1139000</v>
      </c>
    </row>
    <row r="70" spans="1:5" hidden="1" x14ac:dyDescent="0.3">
      <c r="A70" t="s">
        <v>15</v>
      </c>
      <c r="B70" t="s">
        <v>4</v>
      </c>
      <c r="C70">
        <v>0</v>
      </c>
      <c r="E70">
        <f t="shared" si="1"/>
        <v>0</v>
      </c>
    </row>
    <row r="71" spans="1:5" x14ac:dyDescent="0.3">
      <c r="A71" t="s">
        <v>87</v>
      </c>
      <c r="B71" t="s">
        <v>4</v>
      </c>
      <c r="C71">
        <v>54</v>
      </c>
      <c r="D71">
        <v>7500</v>
      </c>
      <c r="E71">
        <f t="shared" si="1"/>
        <v>405000</v>
      </c>
    </row>
    <row r="72" spans="1:5" x14ac:dyDescent="0.3">
      <c r="A72" t="s">
        <v>59</v>
      </c>
      <c r="B72" t="s">
        <v>3</v>
      </c>
      <c r="C72">
        <v>23</v>
      </c>
      <c r="D72">
        <v>13000</v>
      </c>
      <c r="E72">
        <f t="shared" si="1"/>
        <v>299000</v>
      </c>
    </row>
    <row r="73" spans="1:5" x14ac:dyDescent="0.3">
      <c r="A73" t="s">
        <v>60</v>
      </c>
      <c r="B73" t="s">
        <v>4</v>
      </c>
      <c r="C73">
        <v>19</v>
      </c>
      <c r="D73">
        <v>6000</v>
      </c>
      <c r="E73">
        <f t="shared" si="1"/>
        <v>114000</v>
      </c>
    </row>
    <row r="74" spans="1:5" hidden="1" x14ac:dyDescent="0.3">
      <c r="A74" t="s">
        <v>61</v>
      </c>
      <c r="B74" t="s">
        <v>3</v>
      </c>
      <c r="C74">
        <v>0</v>
      </c>
      <c r="E74">
        <f t="shared" si="1"/>
        <v>0</v>
      </c>
    </row>
    <row r="75" spans="1:5" x14ac:dyDescent="0.3">
      <c r="A75" t="s">
        <v>61</v>
      </c>
      <c r="B75" t="s">
        <v>62</v>
      </c>
      <c r="C75">
        <v>34</v>
      </c>
      <c r="D75">
        <v>9000</v>
      </c>
      <c r="E75">
        <f t="shared" si="1"/>
        <v>306000</v>
      </c>
    </row>
    <row r="76" spans="1:5" hidden="1" x14ac:dyDescent="0.3">
      <c r="A76" t="s">
        <v>63</v>
      </c>
      <c r="B76" t="s">
        <v>3</v>
      </c>
      <c r="C76">
        <v>0</v>
      </c>
      <c r="E76">
        <f t="shared" si="1"/>
        <v>0</v>
      </c>
    </row>
    <row r="77" spans="1:5" hidden="1" x14ac:dyDescent="0.3">
      <c r="A77" t="s">
        <v>79</v>
      </c>
      <c r="B77" t="s">
        <v>3</v>
      </c>
      <c r="C77">
        <v>0</v>
      </c>
      <c r="E77">
        <f t="shared" si="1"/>
        <v>0</v>
      </c>
    </row>
    <row r="78" spans="1:5" hidden="1" x14ac:dyDescent="0.3">
      <c r="A78" t="s">
        <v>64</v>
      </c>
      <c r="B78" t="s">
        <v>3</v>
      </c>
      <c r="C78">
        <v>0</v>
      </c>
      <c r="E78">
        <f t="shared" si="1"/>
        <v>0</v>
      </c>
    </row>
    <row r="79" spans="1:5" hidden="1" x14ac:dyDescent="0.3">
      <c r="A79" t="s">
        <v>65</v>
      </c>
      <c r="B79" t="s">
        <v>3</v>
      </c>
      <c r="C79">
        <v>0</v>
      </c>
      <c r="E79">
        <f t="shared" si="1"/>
        <v>0</v>
      </c>
    </row>
    <row r="80" spans="1:5" hidden="1" x14ac:dyDescent="0.3">
      <c r="A80" t="s">
        <v>32</v>
      </c>
      <c r="B80" t="s">
        <v>3</v>
      </c>
      <c r="C80">
        <v>0</v>
      </c>
      <c r="E80">
        <f t="shared" si="1"/>
        <v>0</v>
      </c>
    </row>
    <row r="81" spans="1:5" hidden="1" x14ac:dyDescent="0.3">
      <c r="A81" t="s">
        <v>32</v>
      </c>
      <c r="B81" t="s">
        <v>6</v>
      </c>
      <c r="C81">
        <v>0</v>
      </c>
      <c r="E81">
        <f t="shared" si="1"/>
        <v>0</v>
      </c>
    </row>
    <row r="82" spans="1:5" x14ac:dyDescent="0.3">
      <c r="A82" t="s">
        <v>81</v>
      </c>
      <c r="B82" t="s">
        <v>3</v>
      </c>
      <c r="C82">
        <v>5</v>
      </c>
      <c r="D82">
        <v>13000</v>
      </c>
      <c r="E82">
        <f t="shared" si="1"/>
        <v>65000</v>
      </c>
    </row>
    <row r="83" spans="1:5" hidden="1" x14ac:dyDescent="0.3">
      <c r="A83" t="s">
        <v>33</v>
      </c>
      <c r="B83" t="s">
        <v>3</v>
      </c>
      <c r="C83">
        <v>0</v>
      </c>
      <c r="E83">
        <f t="shared" si="1"/>
        <v>0</v>
      </c>
    </row>
    <row r="84" spans="1:5" hidden="1" x14ac:dyDescent="0.3">
      <c r="A84" t="s">
        <v>66</v>
      </c>
      <c r="B84" t="s">
        <v>22</v>
      </c>
      <c r="C84">
        <v>0</v>
      </c>
      <c r="E84">
        <f t="shared" si="1"/>
        <v>0</v>
      </c>
    </row>
    <row r="85" spans="1:5" hidden="1" x14ac:dyDescent="0.3">
      <c r="A85" t="s">
        <v>66</v>
      </c>
      <c r="B85" t="s">
        <v>3</v>
      </c>
      <c r="C85">
        <v>0</v>
      </c>
      <c r="E85">
        <f t="shared" si="1"/>
        <v>0</v>
      </c>
    </row>
    <row r="86" spans="1:5" hidden="1" x14ac:dyDescent="0.3">
      <c r="A86" t="s">
        <v>43</v>
      </c>
      <c r="B86" t="s">
        <v>3</v>
      </c>
      <c r="C86">
        <v>0</v>
      </c>
      <c r="E86">
        <f t="shared" si="1"/>
        <v>0</v>
      </c>
    </row>
    <row r="87" spans="1:5" hidden="1" x14ac:dyDescent="0.3">
      <c r="A87" t="s">
        <v>67</v>
      </c>
      <c r="B87" t="s">
        <v>3</v>
      </c>
      <c r="C87">
        <v>0</v>
      </c>
      <c r="E87">
        <f t="shared" si="1"/>
        <v>0</v>
      </c>
    </row>
    <row r="88" spans="1:5" x14ac:dyDescent="0.3">
      <c r="A88" t="s">
        <v>137</v>
      </c>
      <c r="B88" t="s">
        <v>8</v>
      </c>
      <c r="C88">
        <v>14</v>
      </c>
      <c r="D88">
        <v>100000</v>
      </c>
      <c r="E88">
        <f t="shared" si="1"/>
        <v>1400000</v>
      </c>
    </row>
    <row r="89" spans="1:5" hidden="1" x14ac:dyDescent="0.3">
      <c r="A89" t="s">
        <v>68</v>
      </c>
      <c r="B89" t="s">
        <v>4</v>
      </c>
      <c r="C89">
        <v>0</v>
      </c>
      <c r="E89">
        <f t="shared" si="1"/>
        <v>0</v>
      </c>
    </row>
    <row r="90" spans="1:5" x14ac:dyDescent="0.3">
      <c r="A90" t="s">
        <v>69</v>
      </c>
      <c r="B90" t="s">
        <v>3</v>
      </c>
      <c r="C90">
        <v>5</v>
      </c>
      <c r="D90">
        <v>14000</v>
      </c>
      <c r="E90">
        <f t="shared" si="1"/>
        <v>70000</v>
      </c>
    </row>
    <row r="91" spans="1:5" hidden="1" x14ac:dyDescent="0.3">
      <c r="A91" t="s">
        <v>38</v>
      </c>
      <c r="B91" t="s">
        <v>6</v>
      </c>
      <c r="C91">
        <v>0</v>
      </c>
      <c r="E91">
        <f t="shared" si="1"/>
        <v>0</v>
      </c>
    </row>
    <row r="92" spans="1:5" hidden="1" x14ac:dyDescent="0.3">
      <c r="A92" t="s">
        <v>70</v>
      </c>
      <c r="B92" t="s">
        <v>8</v>
      </c>
      <c r="C92">
        <v>0</v>
      </c>
      <c r="E92">
        <f t="shared" si="1"/>
        <v>0</v>
      </c>
    </row>
    <row r="93" spans="1:5" hidden="1" x14ac:dyDescent="0.3">
      <c r="A93" t="s">
        <v>70</v>
      </c>
      <c r="B93" t="s">
        <v>3</v>
      </c>
      <c r="C93">
        <v>0</v>
      </c>
      <c r="E93">
        <f t="shared" si="1"/>
        <v>0</v>
      </c>
    </row>
    <row r="94" spans="1:5" x14ac:dyDescent="0.3">
      <c r="A94" t="s">
        <v>34</v>
      </c>
      <c r="B94" t="s">
        <v>3</v>
      </c>
      <c r="C94">
        <v>62</v>
      </c>
      <c r="D94">
        <v>34000</v>
      </c>
      <c r="E94">
        <f t="shared" si="1"/>
        <v>2108000</v>
      </c>
    </row>
    <row r="95" spans="1:5" hidden="1" x14ac:dyDescent="0.3">
      <c r="A95" t="s">
        <v>34</v>
      </c>
      <c r="B95" t="s">
        <v>26</v>
      </c>
      <c r="C95">
        <v>0</v>
      </c>
      <c r="E95">
        <f t="shared" si="1"/>
        <v>0</v>
      </c>
    </row>
    <row r="96" spans="1:5" x14ac:dyDescent="0.3">
      <c r="A96" t="s">
        <v>35</v>
      </c>
      <c r="B96" t="s">
        <v>3</v>
      </c>
      <c r="C96">
        <v>237</v>
      </c>
      <c r="D96">
        <v>36000</v>
      </c>
      <c r="E96">
        <f t="shared" si="1"/>
        <v>8532000</v>
      </c>
    </row>
    <row r="97" spans="1:5" hidden="1" x14ac:dyDescent="0.3">
      <c r="A97" t="s">
        <v>35</v>
      </c>
      <c r="B97" t="s">
        <v>26</v>
      </c>
      <c r="C97">
        <v>0</v>
      </c>
      <c r="E97">
        <f t="shared" si="1"/>
        <v>0</v>
      </c>
    </row>
    <row r="98" spans="1:5" x14ac:dyDescent="0.3">
      <c r="A98" t="s">
        <v>36</v>
      </c>
      <c r="B98" t="s">
        <v>3</v>
      </c>
      <c r="C98">
        <v>67</v>
      </c>
      <c r="D98">
        <v>31000</v>
      </c>
      <c r="E98">
        <f t="shared" si="1"/>
        <v>2077000</v>
      </c>
    </row>
    <row r="99" spans="1:5" hidden="1" x14ac:dyDescent="0.3">
      <c r="A99" t="s">
        <v>36</v>
      </c>
      <c r="B99" t="s">
        <v>26</v>
      </c>
      <c r="C99">
        <v>0</v>
      </c>
      <c r="E99">
        <f t="shared" si="1"/>
        <v>0</v>
      </c>
    </row>
    <row r="100" spans="1:5" x14ac:dyDescent="0.3">
      <c r="A100" t="s">
        <v>119</v>
      </c>
      <c r="B100" t="s">
        <v>3</v>
      </c>
      <c r="C100">
        <v>20</v>
      </c>
      <c r="D100">
        <v>26000</v>
      </c>
      <c r="E100">
        <f t="shared" si="1"/>
        <v>520000</v>
      </c>
    </row>
    <row r="101" spans="1:5" hidden="1" x14ac:dyDescent="0.3">
      <c r="A101" t="s">
        <v>71</v>
      </c>
      <c r="B101" t="s">
        <v>4</v>
      </c>
      <c r="C101">
        <v>0</v>
      </c>
      <c r="E101">
        <f t="shared" si="1"/>
        <v>0</v>
      </c>
    </row>
    <row r="102" spans="1:5" hidden="1" x14ac:dyDescent="0.3">
      <c r="A102" t="s">
        <v>83</v>
      </c>
      <c r="B102" t="s">
        <v>4</v>
      </c>
      <c r="C102">
        <v>0</v>
      </c>
      <c r="E102">
        <f t="shared" si="1"/>
        <v>0</v>
      </c>
    </row>
    <row r="103" spans="1:5" x14ac:dyDescent="0.3">
      <c r="A103" t="s">
        <v>184</v>
      </c>
      <c r="B103" t="s">
        <v>26</v>
      </c>
      <c r="C103">
        <v>994</v>
      </c>
      <c r="D103">
        <v>10000</v>
      </c>
      <c r="E103">
        <f t="shared" si="1"/>
        <v>9940000</v>
      </c>
    </row>
    <row r="104" spans="1:5" x14ac:dyDescent="0.3">
      <c r="A104" t="s">
        <v>150</v>
      </c>
      <c r="B104" t="s">
        <v>26</v>
      </c>
      <c r="C104">
        <v>660</v>
      </c>
      <c r="D104">
        <v>17000</v>
      </c>
      <c r="E104">
        <f t="shared" si="1"/>
        <v>11220000</v>
      </c>
    </row>
    <row r="105" spans="1:5" hidden="1" x14ac:dyDescent="0.3">
      <c r="A105" t="s">
        <v>88</v>
      </c>
      <c r="B105" t="s">
        <v>3</v>
      </c>
      <c r="C105">
        <v>0</v>
      </c>
      <c r="E105">
        <f t="shared" si="1"/>
        <v>0</v>
      </c>
    </row>
    <row r="106" spans="1:5" hidden="1" x14ac:dyDescent="0.3">
      <c r="A106" t="s">
        <v>91</v>
      </c>
      <c r="B106" t="s">
        <v>3</v>
      </c>
      <c r="C106">
        <v>0</v>
      </c>
      <c r="E106">
        <f t="shared" si="1"/>
        <v>0</v>
      </c>
    </row>
    <row r="107" spans="1:5" hidden="1" x14ac:dyDescent="0.3">
      <c r="A107" t="s">
        <v>72</v>
      </c>
      <c r="B107" t="s">
        <v>3</v>
      </c>
      <c r="C107">
        <v>0</v>
      </c>
      <c r="E107">
        <f t="shared" si="1"/>
        <v>0</v>
      </c>
    </row>
    <row r="108" spans="1:5" hidden="1" x14ac:dyDescent="0.3">
      <c r="A108" t="s">
        <v>73</v>
      </c>
      <c r="B108" t="s">
        <v>3</v>
      </c>
      <c r="C108">
        <v>0</v>
      </c>
      <c r="E108">
        <f t="shared" si="1"/>
        <v>0</v>
      </c>
    </row>
    <row r="109" spans="1:5" hidden="1" x14ac:dyDescent="0.3">
      <c r="A109" t="s">
        <v>23</v>
      </c>
      <c r="B109" t="s">
        <v>3</v>
      </c>
      <c r="C109">
        <v>0</v>
      </c>
      <c r="E109">
        <f t="shared" si="1"/>
        <v>0</v>
      </c>
    </row>
    <row r="110" spans="1:5" hidden="1" x14ac:dyDescent="0.3">
      <c r="A110" t="s">
        <v>84</v>
      </c>
      <c r="B110" t="s">
        <v>22</v>
      </c>
      <c r="C110">
        <v>0</v>
      </c>
      <c r="E110">
        <f t="shared" si="1"/>
        <v>0</v>
      </c>
    </row>
    <row r="111" spans="1:5" hidden="1" x14ac:dyDescent="0.3">
      <c r="A111" t="s">
        <v>74</v>
      </c>
      <c r="B111" t="s">
        <v>3</v>
      </c>
      <c r="C111">
        <v>0</v>
      </c>
      <c r="E111">
        <f t="shared" si="1"/>
        <v>0</v>
      </c>
    </row>
    <row r="112" spans="1:5" hidden="1" x14ac:dyDescent="0.3">
      <c r="A112" t="s">
        <v>86</v>
      </c>
      <c r="B112" t="s">
        <v>22</v>
      </c>
      <c r="C112">
        <v>0</v>
      </c>
      <c r="E112">
        <f t="shared" si="1"/>
        <v>0</v>
      </c>
    </row>
    <row r="113" spans="1:5" hidden="1" x14ac:dyDescent="0.3">
      <c r="A113" t="s">
        <v>75</v>
      </c>
      <c r="B113" t="s">
        <v>3</v>
      </c>
      <c r="C113">
        <v>0</v>
      </c>
      <c r="E113">
        <f t="shared" si="1"/>
        <v>0</v>
      </c>
    </row>
    <row r="114" spans="1:5" hidden="1" x14ac:dyDescent="0.3">
      <c r="A114" t="s">
        <v>76</v>
      </c>
      <c r="B114" t="s">
        <v>3</v>
      </c>
      <c r="C114">
        <v>0</v>
      </c>
      <c r="E114">
        <f t="shared" si="1"/>
        <v>0</v>
      </c>
    </row>
    <row r="115" spans="1:5" hidden="1" x14ac:dyDescent="0.3">
      <c r="A115" t="s">
        <v>85</v>
      </c>
      <c r="B115" t="s">
        <v>22</v>
      </c>
      <c r="C115">
        <v>0</v>
      </c>
      <c r="E115">
        <f t="shared" si="1"/>
        <v>0</v>
      </c>
    </row>
    <row r="116" spans="1:5" x14ac:dyDescent="0.3">
      <c r="E116">
        <f>SUM(E3:E104)</f>
        <v>102810300</v>
      </c>
    </row>
    <row r="117" spans="1:5" x14ac:dyDescent="0.3">
      <c r="A117" t="s">
        <v>103</v>
      </c>
    </row>
    <row r="118" spans="1:5" x14ac:dyDescent="0.3">
      <c r="A118" t="s">
        <v>186</v>
      </c>
      <c r="B118" t="s">
        <v>1</v>
      </c>
      <c r="C118" t="s">
        <v>102</v>
      </c>
      <c r="D118" t="s">
        <v>100</v>
      </c>
      <c r="E118" t="s">
        <v>101</v>
      </c>
    </row>
    <row r="119" spans="1:5" x14ac:dyDescent="0.3">
      <c r="A119" t="s">
        <v>44</v>
      </c>
      <c r="B119" t="s">
        <v>3</v>
      </c>
      <c r="C119">
        <v>6</v>
      </c>
      <c r="D119">
        <v>17000</v>
      </c>
      <c r="E119">
        <f t="shared" si="1"/>
        <v>102000</v>
      </c>
    </row>
    <row r="120" spans="1:5" x14ac:dyDescent="0.3">
      <c r="A120" t="s">
        <v>45</v>
      </c>
      <c r="B120" t="s">
        <v>3</v>
      </c>
      <c r="C120">
        <v>22</v>
      </c>
      <c r="D120">
        <v>7500</v>
      </c>
      <c r="E120">
        <f t="shared" si="1"/>
        <v>165000</v>
      </c>
    </row>
    <row r="121" spans="1:5" x14ac:dyDescent="0.3">
      <c r="A121" t="s">
        <v>17</v>
      </c>
      <c r="B121" t="s">
        <v>3</v>
      </c>
      <c r="C121">
        <v>198.00000000000003</v>
      </c>
      <c r="D121">
        <v>6500</v>
      </c>
      <c r="E121">
        <f t="shared" si="1"/>
        <v>1287000.0000000002</v>
      </c>
    </row>
    <row r="122" spans="1:5" x14ac:dyDescent="0.3">
      <c r="A122" t="s">
        <v>25</v>
      </c>
      <c r="B122" t="s">
        <v>3</v>
      </c>
      <c r="C122">
        <v>8.8000000000000007</v>
      </c>
      <c r="D122">
        <v>12000</v>
      </c>
      <c r="E122">
        <f t="shared" si="1"/>
        <v>105600.00000000001</v>
      </c>
    </row>
    <row r="123" spans="1:5" x14ac:dyDescent="0.3">
      <c r="A123" t="s">
        <v>46</v>
      </c>
      <c r="B123" t="s">
        <v>3</v>
      </c>
      <c r="C123">
        <v>3</v>
      </c>
      <c r="D123">
        <v>16000</v>
      </c>
      <c r="E123">
        <f t="shared" si="1"/>
        <v>48000</v>
      </c>
    </row>
    <row r="124" spans="1:5" x14ac:dyDescent="0.3">
      <c r="A124" t="s">
        <v>94</v>
      </c>
      <c r="B124" t="s">
        <v>3</v>
      </c>
      <c r="C124">
        <v>16</v>
      </c>
      <c r="D124">
        <v>23000</v>
      </c>
      <c r="E124">
        <f t="shared" si="1"/>
        <v>368000</v>
      </c>
    </row>
    <row r="125" spans="1:5" x14ac:dyDescent="0.3">
      <c r="A125" t="s">
        <v>28</v>
      </c>
      <c r="B125" t="s">
        <v>3</v>
      </c>
      <c r="C125">
        <v>28</v>
      </c>
      <c r="D125">
        <v>15000</v>
      </c>
      <c r="E125">
        <f t="shared" si="1"/>
        <v>420000</v>
      </c>
    </row>
    <row r="126" spans="1:5" x14ac:dyDescent="0.3">
      <c r="A126" t="s">
        <v>30</v>
      </c>
      <c r="B126" t="s">
        <v>3</v>
      </c>
      <c r="C126">
        <v>154</v>
      </c>
      <c r="D126">
        <v>16000</v>
      </c>
      <c r="E126">
        <f t="shared" si="1"/>
        <v>2464000</v>
      </c>
    </row>
    <row r="127" spans="1:5" x14ac:dyDescent="0.3">
      <c r="A127" t="s">
        <v>2</v>
      </c>
      <c r="B127" t="s">
        <v>3</v>
      </c>
      <c r="C127">
        <v>121.00000000000001</v>
      </c>
      <c r="D127">
        <v>11500</v>
      </c>
      <c r="E127">
        <f t="shared" si="1"/>
        <v>1391500.0000000002</v>
      </c>
    </row>
    <row r="128" spans="1:5" x14ac:dyDescent="0.3">
      <c r="A128" t="s">
        <v>53</v>
      </c>
      <c r="B128" t="s">
        <v>3</v>
      </c>
      <c r="C128">
        <v>5</v>
      </c>
      <c r="D128">
        <v>8000</v>
      </c>
      <c r="E128">
        <f t="shared" si="1"/>
        <v>40000</v>
      </c>
    </row>
    <row r="129" spans="1:5" x14ac:dyDescent="0.3">
      <c r="A129" t="s">
        <v>20</v>
      </c>
      <c r="B129" t="s">
        <v>3</v>
      </c>
      <c r="C129">
        <v>165</v>
      </c>
      <c r="D129">
        <v>7000</v>
      </c>
      <c r="E129">
        <f t="shared" si="1"/>
        <v>1155000</v>
      </c>
    </row>
    <row r="130" spans="1:5" x14ac:dyDescent="0.3">
      <c r="A130" t="s">
        <v>97</v>
      </c>
      <c r="B130" t="s">
        <v>3</v>
      </c>
      <c r="C130">
        <v>15</v>
      </c>
      <c r="D130">
        <v>16000</v>
      </c>
      <c r="E130">
        <f t="shared" si="1"/>
        <v>240000</v>
      </c>
    </row>
    <row r="131" spans="1:5" x14ac:dyDescent="0.3">
      <c r="A131" t="s">
        <v>98</v>
      </c>
      <c r="B131" t="s">
        <v>3</v>
      </c>
      <c r="C131">
        <v>40</v>
      </c>
      <c r="D131">
        <v>5000</v>
      </c>
      <c r="E131">
        <f t="shared" si="1"/>
        <v>200000</v>
      </c>
    </row>
    <row r="132" spans="1:5" x14ac:dyDescent="0.3">
      <c r="A132" t="s">
        <v>21</v>
      </c>
      <c r="B132" t="s">
        <v>3</v>
      </c>
      <c r="C132">
        <v>22</v>
      </c>
      <c r="D132">
        <v>12000</v>
      </c>
      <c r="E132">
        <f t="shared" si="1"/>
        <v>264000</v>
      </c>
    </row>
    <row r="133" spans="1:5" x14ac:dyDescent="0.3">
      <c r="A133" t="s">
        <v>96</v>
      </c>
      <c r="B133" t="s">
        <v>3</v>
      </c>
      <c r="C133">
        <v>8</v>
      </c>
      <c r="D133">
        <v>27000</v>
      </c>
      <c r="E133">
        <f t="shared" si="1"/>
        <v>216000</v>
      </c>
    </row>
    <row r="134" spans="1:5" x14ac:dyDescent="0.3">
      <c r="A134" t="s">
        <v>57</v>
      </c>
      <c r="B134" t="s">
        <v>3</v>
      </c>
      <c r="C134">
        <v>20</v>
      </c>
      <c r="D134">
        <v>6500</v>
      </c>
      <c r="E134">
        <f t="shared" ref="E134:E152" si="2">C134*D134</f>
        <v>130000</v>
      </c>
    </row>
    <row r="135" spans="1:5" hidden="1" x14ac:dyDescent="0.3">
      <c r="A135" t="s">
        <v>9</v>
      </c>
      <c r="B135" t="s">
        <v>3</v>
      </c>
      <c r="C135">
        <v>0</v>
      </c>
      <c r="E135">
        <f t="shared" si="2"/>
        <v>0</v>
      </c>
    </row>
    <row r="136" spans="1:5" x14ac:dyDescent="0.3">
      <c r="A136" t="s">
        <v>10</v>
      </c>
      <c r="B136" t="s">
        <v>3</v>
      </c>
      <c r="C136">
        <v>49</v>
      </c>
      <c r="D136">
        <v>15000</v>
      </c>
      <c r="E136">
        <f t="shared" si="2"/>
        <v>735000</v>
      </c>
    </row>
    <row r="137" spans="1:5" x14ac:dyDescent="0.3">
      <c r="A137" t="s">
        <v>14</v>
      </c>
      <c r="B137" t="s">
        <v>3</v>
      </c>
      <c r="C137">
        <v>44</v>
      </c>
      <c r="D137">
        <v>17000</v>
      </c>
      <c r="E137">
        <f t="shared" si="2"/>
        <v>748000</v>
      </c>
    </row>
    <row r="138" spans="1:5" x14ac:dyDescent="0.3">
      <c r="A138" t="s">
        <v>15</v>
      </c>
      <c r="B138" t="s">
        <v>3</v>
      </c>
      <c r="C138">
        <v>33</v>
      </c>
      <c r="D138">
        <v>17000</v>
      </c>
      <c r="E138">
        <f t="shared" si="2"/>
        <v>561000</v>
      </c>
    </row>
    <row r="139" spans="1:5" x14ac:dyDescent="0.3">
      <c r="A139" t="s">
        <v>59</v>
      </c>
      <c r="B139" t="s">
        <v>3</v>
      </c>
      <c r="C139">
        <v>5</v>
      </c>
      <c r="D139">
        <v>13000</v>
      </c>
      <c r="E139">
        <f t="shared" si="2"/>
        <v>65000</v>
      </c>
    </row>
    <row r="140" spans="1:5" x14ac:dyDescent="0.3">
      <c r="A140" t="s">
        <v>61</v>
      </c>
      <c r="B140" t="s">
        <v>4</v>
      </c>
      <c r="C140">
        <v>20</v>
      </c>
      <c r="D140">
        <v>9000</v>
      </c>
      <c r="E140">
        <f t="shared" si="2"/>
        <v>180000</v>
      </c>
    </row>
    <row r="141" spans="1:5" hidden="1" x14ac:dyDescent="0.3">
      <c r="A141" t="s">
        <v>32</v>
      </c>
      <c r="B141" t="s">
        <v>3</v>
      </c>
      <c r="C141">
        <v>0</v>
      </c>
      <c r="E141">
        <f t="shared" si="2"/>
        <v>0</v>
      </c>
    </row>
    <row r="142" spans="1:5" x14ac:dyDescent="0.3">
      <c r="A142" t="s">
        <v>32</v>
      </c>
      <c r="B142" t="s">
        <v>6</v>
      </c>
      <c r="C142">
        <v>40</v>
      </c>
      <c r="D142">
        <v>5000</v>
      </c>
      <c r="E142">
        <f t="shared" si="2"/>
        <v>200000</v>
      </c>
    </row>
    <row r="143" spans="1:5" hidden="1" x14ac:dyDescent="0.3">
      <c r="A143" t="s">
        <v>66</v>
      </c>
      <c r="B143" t="s">
        <v>3</v>
      </c>
      <c r="C143">
        <v>0</v>
      </c>
      <c r="E143">
        <f t="shared" si="2"/>
        <v>0</v>
      </c>
    </row>
    <row r="144" spans="1:5" x14ac:dyDescent="0.3">
      <c r="A144" t="s">
        <v>34</v>
      </c>
      <c r="B144" t="s">
        <v>3</v>
      </c>
      <c r="C144">
        <v>4</v>
      </c>
      <c r="D144">
        <v>32000</v>
      </c>
      <c r="E144">
        <f t="shared" si="2"/>
        <v>128000</v>
      </c>
    </row>
    <row r="145" spans="1:5" x14ac:dyDescent="0.3">
      <c r="A145" t="s">
        <v>35</v>
      </c>
      <c r="B145" t="s">
        <v>3</v>
      </c>
      <c r="C145">
        <v>3</v>
      </c>
      <c r="D145">
        <v>36000</v>
      </c>
      <c r="E145">
        <f t="shared" si="2"/>
        <v>108000</v>
      </c>
    </row>
    <row r="146" spans="1:5" x14ac:dyDescent="0.3">
      <c r="A146" t="s">
        <v>36</v>
      </c>
      <c r="B146" t="s">
        <v>3</v>
      </c>
      <c r="C146">
        <v>3</v>
      </c>
      <c r="D146">
        <v>31000</v>
      </c>
      <c r="E146">
        <f t="shared" si="2"/>
        <v>93000</v>
      </c>
    </row>
    <row r="147" spans="1:5" hidden="1" x14ac:dyDescent="0.3">
      <c r="A147" t="s">
        <v>116</v>
      </c>
      <c r="B147" t="s">
        <v>26</v>
      </c>
      <c r="C147">
        <v>0</v>
      </c>
      <c r="E147">
        <f t="shared" si="2"/>
        <v>0</v>
      </c>
    </row>
    <row r="148" spans="1:5" hidden="1" x14ac:dyDescent="0.3">
      <c r="A148" t="s">
        <v>88</v>
      </c>
      <c r="B148" t="s">
        <v>3</v>
      </c>
      <c r="C148">
        <v>0</v>
      </c>
      <c r="E148">
        <f t="shared" si="2"/>
        <v>0</v>
      </c>
    </row>
    <row r="149" spans="1:5" x14ac:dyDescent="0.3">
      <c r="A149" t="s">
        <v>72</v>
      </c>
      <c r="B149" t="s">
        <v>3</v>
      </c>
      <c r="C149">
        <v>135</v>
      </c>
      <c r="D149">
        <v>16000</v>
      </c>
      <c r="E149">
        <f t="shared" si="2"/>
        <v>2160000</v>
      </c>
    </row>
    <row r="150" spans="1:5" hidden="1" x14ac:dyDescent="0.3">
      <c r="A150" t="s">
        <v>84</v>
      </c>
      <c r="B150" t="s">
        <v>22</v>
      </c>
      <c r="C150">
        <v>0</v>
      </c>
      <c r="E150">
        <f t="shared" si="2"/>
        <v>0</v>
      </c>
    </row>
    <row r="151" spans="1:5" hidden="1" x14ac:dyDescent="0.3">
      <c r="A151" t="s">
        <v>86</v>
      </c>
      <c r="B151" t="s">
        <v>22</v>
      </c>
      <c r="C151">
        <v>0</v>
      </c>
      <c r="E151">
        <f t="shared" si="2"/>
        <v>0</v>
      </c>
    </row>
    <row r="152" spans="1:5" hidden="1" x14ac:dyDescent="0.3">
      <c r="A152" t="s">
        <v>85</v>
      </c>
      <c r="B152" t="s">
        <v>22</v>
      </c>
      <c r="C152">
        <v>0</v>
      </c>
      <c r="E152">
        <f t="shared" si="2"/>
        <v>0</v>
      </c>
    </row>
    <row r="153" spans="1:5" x14ac:dyDescent="0.3">
      <c r="E153">
        <f>SUM(E119:E149)</f>
        <v>13574100</v>
      </c>
    </row>
    <row r="154" spans="1:5" x14ac:dyDescent="0.3">
      <c r="E154">
        <f>E153+E116</f>
        <v>116384400</v>
      </c>
    </row>
  </sheetData>
  <autoFilter ref="A2:E152" xr:uid="{00000000-0009-0000-0000-00001F000000}">
    <filterColumn colId="2">
      <filters>
        <filter val="11"/>
        <filter val="121"/>
        <filter val="135"/>
        <filter val="14"/>
        <filter val="147"/>
        <filter val="15"/>
        <filter val="154"/>
        <filter val="156"/>
        <filter val="16"/>
        <filter val="165"/>
        <filter val="177"/>
        <filter val="18"/>
        <filter val="19"/>
        <filter val="196"/>
        <filter val="198"/>
        <filter val="20"/>
        <filter val="205"/>
        <filter val="22"/>
        <filter val="222"/>
        <filter val="23"/>
        <filter val="236"/>
        <filter val="237"/>
        <filter val="240"/>
        <filter val="28"/>
        <filter val="280"/>
        <filter val="29"/>
        <filter val="3"/>
        <filter val="310"/>
        <filter val="32"/>
        <filter val="33"/>
        <filter val="34"/>
        <filter val="36"/>
        <filter val="385"/>
        <filter val="39"/>
        <filter val="4"/>
        <filter val="40"/>
        <filter val="44"/>
        <filter val="478"/>
        <filter val="49"/>
        <filter val="5"/>
        <filter val="54"/>
        <filter val="6"/>
        <filter val="62"/>
        <filter val="660"/>
        <filter val="67"/>
        <filter val="7"/>
        <filter val="741"/>
        <filter val="764"/>
        <filter val="8"/>
        <filter val="8.8"/>
        <filter val="80"/>
        <filter val="81"/>
        <filter val="89"/>
        <filter val="9"/>
        <filter val="994"/>
        <filter val="Tồn_x000a_ĐL_x000a__x000a_現在庫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1.12</vt:lpstr>
      <vt:lpstr>2.12</vt:lpstr>
      <vt:lpstr>3.12</vt:lpstr>
      <vt:lpstr>4.12</vt:lpstr>
      <vt:lpstr>5.12</vt:lpstr>
      <vt:lpstr>6.12</vt:lpstr>
      <vt:lpstr>7.12</vt:lpstr>
      <vt:lpstr>8.12</vt:lpstr>
      <vt:lpstr>9.12</vt:lpstr>
      <vt:lpstr>10.12</vt:lpstr>
      <vt:lpstr>11.12</vt:lpstr>
      <vt:lpstr>12.12</vt:lpstr>
      <vt:lpstr>13.12</vt:lpstr>
      <vt:lpstr>14.12</vt:lpstr>
      <vt:lpstr>14.12.</vt:lpstr>
      <vt:lpstr>15.12</vt:lpstr>
      <vt:lpstr>16.12</vt:lpstr>
      <vt:lpstr>17.12</vt:lpstr>
      <vt:lpstr>18.12</vt:lpstr>
      <vt:lpstr>19.12</vt:lpstr>
      <vt:lpstr>20.12</vt:lpstr>
      <vt:lpstr>21.12</vt:lpstr>
      <vt:lpstr>22.12</vt:lpstr>
      <vt:lpstr>23.12</vt:lpstr>
      <vt:lpstr>24.12</vt:lpstr>
      <vt:lpstr>25.12</vt:lpstr>
      <vt:lpstr>26.12</vt:lpstr>
      <vt:lpstr>27.12</vt:lpstr>
      <vt:lpstr>28.12</vt:lpstr>
      <vt:lpstr>29.12</vt:lpstr>
      <vt:lpstr>30.12</vt:lpstr>
      <vt:lpstr>31.12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Nguyren Nhat Linh</cp:lastModifiedBy>
  <dcterms:created xsi:type="dcterms:W3CDTF">2024-12-03T02:39:01Z</dcterms:created>
  <dcterms:modified xsi:type="dcterms:W3CDTF">2025-01-03T09:11:53Z</dcterms:modified>
</cp:coreProperties>
</file>