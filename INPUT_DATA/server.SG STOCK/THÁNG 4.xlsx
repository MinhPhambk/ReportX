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5\"/>
    </mc:Choice>
  </mc:AlternateContent>
  <xr:revisionPtr revIDLastSave="0" documentId="13_ncr:1_{6BD8E02B-6AA2-4F5C-81B5-009D32DEB699}" xr6:coauthVersionLast="47" xr6:coauthVersionMax="47" xr10:uidLastSave="{00000000-0000-0000-0000-000000000000}"/>
  <bookViews>
    <workbookView xWindow="-98" yWindow="-98" windowWidth="21795" windowHeight="11625" firstSheet="8" activeTab="12" xr2:uid="{00000000-000D-0000-FFFF-FFFF00000000}"/>
  </bookViews>
  <sheets>
    <sheet name="01.04" sheetId="1" r:id="rId1"/>
    <sheet name="2.4" sheetId="2" r:id="rId2"/>
    <sheet name="3.4" sheetId="3" r:id="rId3"/>
    <sheet name="4.4" sheetId="4" r:id="rId4"/>
    <sheet name="5.4" sheetId="5" r:id="rId5"/>
    <sheet name="6.4" sheetId="6" r:id="rId6"/>
    <sheet name="7.4" sheetId="7" r:id="rId7"/>
    <sheet name="8.4" sheetId="8" r:id="rId8"/>
    <sheet name="9.4" sheetId="9" r:id="rId9"/>
    <sheet name="10.4" sheetId="10" r:id="rId10"/>
    <sheet name="11.4" sheetId="11" r:id="rId11"/>
    <sheet name="12.4" sheetId="12" r:id="rId12"/>
    <sheet name="13.4" sheetId="13" r:id="rId13"/>
    <sheet name="14.4" sheetId="14" r:id="rId14"/>
    <sheet name="15.4" sheetId="15" r:id="rId15"/>
    <sheet name="16.4" sheetId="16" r:id="rId16"/>
    <sheet name="17.4" sheetId="17" r:id="rId17"/>
    <sheet name="18.4" sheetId="18" r:id="rId18"/>
    <sheet name="19.4" sheetId="19" r:id="rId19"/>
    <sheet name="20.4" sheetId="20" r:id="rId20"/>
    <sheet name="21.4" sheetId="21" r:id="rId21"/>
    <sheet name="22.4" sheetId="22" r:id="rId22"/>
  </sheets>
  <definedNames>
    <definedName name="_xlnm._FilterDatabase" localSheetId="0" hidden="1">'01.04'!$A$2:$E$116</definedName>
    <definedName name="_xlnm._FilterDatabase" localSheetId="9" hidden="1">'10.4'!$A$2:$E$117</definedName>
    <definedName name="_xlnm._FilterDatabase" localSheetId="10" hidden="1">'11.4'!$A$2:$F$118</definedName>
    <definedName name="_xlnm._FilterDatabase" localSheetId="11" hidden="1">'12.4'!$A$2:$E$109</definedName>
    <definedName name="_xlnm._FilterDatabase" localSheetId="12" hidden="1">'13.4'!$A$2:$E$122</definedName>
    <definedName name="_xlnm._FilterDatabase" localSheetId="13" hidden="1">'14.4'!$A$1:$E$117</definedName>
    <definedName name="_xlnm._FilterDatabase" localSheetId="14" hidden="1">'15.4'!$A$1:$E$129</definedName>
    <definedName name="_xlnm._FilterDatabase" localSheetId="15" hidden="1">'16.4'!$A$1:$CU$114</definedName>
    <definedName name="_xlnm._FilterDatabase" localSheetId="16" hidden="1">'17.4'!$A$1:$E$124</definedName>
    <definedName name="_xlnm._FilterDatabase" localSheetId="17" hidden="1">'18.4'!$A$1:$E$119</definedName>
    <definedName name="_xlnm._FilterDatabase" localSheetId="18" hidden="1">'19.4'!$A$2:$E$107</definedName>
    <definedName name="_xlnm._FilterDatabase" localSheetId="1" hidden="1">'2.4'!$A$2:$F$110</definedName>
    <definedName name="_xlnm._FilterDatabase" localSheetId="19" hidden="1">'20.4'!$A$2:$E$127</definedName>
    <definedName name="_xlnm._FilterDatabase" localSheetId="20" hidden="1">'21.4'!$A$2:$E$104</definedName>
    <definedName name="_xlnm._FilterDatabase" localSheetId="21" hidden="1">'22.4'!$A$2:$E$121</definedName>
    <definedName name="_xlnm._FilterDatabase" localSheetId="2" hidden="1">'3.4'!$A$2:$E$119</definedName>
    <definedName name="_xlnm._FilterDatabase" localSheetId="3" hidden="1">'4.4'!$A$2:$E$108</definedName>
    <definedName name="_xlnm._FilterDatabase" localSheetId="4" hidden="1">'5.4'!$A$2:$E$112</definedName>
    <definedName name="_xlnm._FilterDatabase" localSheetId="5" hidden="1">'6.4'!$A$2:$F$116</definedName>
    <definedName name="_xlnm._FilterDatabase" localSheetId="6" hidden="1">'7.4'!$A$2:$E$109</definedName>
    <definedName name="_xlnm._FilterDatabase" localSheetId="7" hidden="1">'8.4'!$A$2:$E$115</definedName>
    <definedName name="_xlnm._FilterDatabase" localSheetId="8" hidden="1">'9.4'!$A$2:$E$112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2" l="1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3" i="22"/>
  <c r="E122" i="22" s="1"/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3" i="21"/>
  <c r="E105" i="21" s="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3" i="20"/>
  <c r="E128" i="20" s="1"/>
  <c r="E4" i="19" l="1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3" i="19"/>
  <c r="E108" i="19" l="1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2" i="18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2" i="17"/>
  <c r="E119" i="18" l="1"/>
  <c r="E124" i="17"/>
  <c r="E10" i="15"/>
  <c r="E18" i="15"/>
  <c r="E26" i="15"/>
  <c r="E34" i="15"/>
  <c r="E42" i="15"/>
  <c r="E50" i="15"/>
  <c r="E58" i="15"/>
  <c r="E66" i="15"/>
  <c r="E74" i="15"/>
  <c r="E82" i="15"/>
  <c r="E90" i="15"/>
  <c r="E93" i="15"/>
  <c r="E98" i="15"/>
  <c r="E101" i="15"/>
  <c r="E106" i="15"/>
  <c r="E109" i="15"/>
  <c r="E114" i="15"/>
  <c r="E117" i="15"/>
  <c r="E120" i="15"/>
  <c r="E122" i="15"/>
  <c r="E125" i="15"/>
  <c r="E128" i="15"/>
  <c r="E3" i="15"/>
  <c r="E4" i="15"/>
  <c r="E5" i="15"/>
  <c r="E6" i="15"/>
  <c r="E7" i="15"/>
  <c r="E8" i="15"/>
  <c r="E9" i="15"/>
  <c r="E11" i="15"/>
  <c r="E12" i="15"/>
  <c r="E13" i="15"/>
  <c r="E14" i="15"/>
  <c r="E15" i="15"/>
  <c r="E16" i="15"/>
  <c r="E17" i="15"/>
  <c r="E19" i="15"/>
  <c r="E20" i="15"/>
  <c r="E21" i="15"/>
  <c r="E22" i="15"/>
  <c r="E23" i="15"/>
  <c r="E24" i="15"/>
  <c r="E25" i="15"/>
  <c r="E27" i="15"/>
  <c r="E29" i="15"/>
  <c r="E28" i="15"/>
  <c r="E30" i="15"/>
  <c r="E31" i="15"/>
  <c r="E33" i="15"/>
  <c r="E32" i="15"/>
  <c r="E35" i="15"/>
  <c r="E36" i="15"/>
  <c r="E37" i="15"/>
  <c r="E38" i="15"/>
  <c r="E39" i="15"/>
  <c r="E40" i="15"/>
  <c r="E41" i="15"/>
  <c r="E43" i="15"/>
  <c r="E44" i="15"/>
  <c r="E45" i="15"/>
  <c r="E46" i="15"/>
  <c r="E47" i="15"/>
  <c r="E48" i="15"/>
  <c r="E49" i="15"/>
  <c r="E51" i="15"/>
  <c r="E52" i="15"/>
  <c r="E53" i="15"/>
  <c r="E54" i="15"/>
  <c r="E55" i="15"/>
  <c r="E56" i="15"/>
  <c r="E57" i="15"/>
  <c r="E59" i="15"/>
  <c r="E60" i="15"/>
  <c r="E61" i="15"/>
  <c r="E62" i="15"/>
  <c r="E63" i="15"/>
  <c r="E64" i="15"/>
  <c r="E65" i="15"/>
  <c r="E67" i="15"/>
  <c r="E68" i="15"/>
  <c r="E69" i="15"/>
  <c r="E70" i="15"/>
  <c r="E71" i="15"/>
  <c r="E72" i="15"/>
  <c r="E73" i="15"/>
  <c r="E75" i="15"/>
  <c r="E76" i="15"/>
  <c r="E77" i="15"/>
  <c r="E78" i="15"/>
  <c r="E79" i="15"/>
  <c r="E80" i="15"/>
  <c r="E81" i="15"/>
  <c r="E83" i="15"/>
  <c r="E84" i="15"/>
  <c r="E85" i="15"/>
  <c r="E86" i="15"/>
  <c r="E87" i="15"/>
  <c r="E88" i="15"/>
  <c r="E89" i="15"/>
  <c r="E91" i="15"/>
  <c r="E92" i="15"/>
  <c r="E94" i="15"/>
  <c r="E95" i="15"/>
  <c r="E96" i="15"/>
  <c r="E97" i="15"/>
  <c r="E99" i="15"/>
  <c r="E100" i="15"/>
  <c r="E102" i="15"/>
  <c r="E103" i="15"/>
  <c r="E104" i="15"/>
  <c r="E105" i="15"/>
  <c r="E107" i="15"/>
  <c r="E108" i="15"/>
  <c r="E110" i="15"/>
  <c r="E111" i="15"/>
  <c r="E112" i="15"/>
  <c r="E113" i="15"/>
  <c r="E115" i="15"/>
  <c r="E116" i="15"/>
  <c r="E118" i="15"/>
  <c r="E119" i="15"/>
  <c r="E121" i="15"/>
  <c r="E123" i="15"/>
  <c r="E124" i="15"/>
  <c r="E126" i="15"/>
  <c r="E127" i="15"/>
  <c r="E2" i="15"/>
  <c r="E129" i="15" l="1"/>
  <c r="E61" i="16" l="1"/>
  <c r="E7" i="16"/>
  <c r="E8" i="16"/>
  <c r="E9" i="16"/>
  <c r="E16" i="16"/>
  <c r="E18" i="16"/>
  <c r="E26" i="16"/>
  <c r="E27" i="16"/>
  <c r="E28" i="16"/>
  <c r="E33" i="16"/>
  <c r="E35" i="16"/>
  <c r="E36" i="16"/>
  <c r="E41" i="16"/>
  <c r="E42" i="16"/>
  <c r="E43" i="16"/>
  <c r="E44" i="16"/>
  <c r="E46" i="16"/>
  <c r="E49" i="16"/>
  <c r="E51" i="16"/>
  <c r="E52" i="16"/>
  <c r="E54" i="16"/>
  <c r="E57" i="16"/>
  <c r="E58" i="16"/>
  <c r="E59" i="16"/>
  <c r="E60" i="16"/>
  <c r="E65" i="16"/>
  <c r="E68" i="16"/>
  <c r="E71" i="16"/>
  <c r="E72" i="16"/>
  <c r="E73" i="16"/>
  <c r="E74" i="16"/>
  <c r="E75" i="16"/>
  <c r="E76" i="16"/>
  <c r="E81" i="16"/>
  <c r="E84" i="16"/>
  <c r="E87" i="16"/>
  <c r="E89" i="16"/>
  <c r="E90" i="16"/>
  <c r="E91" i="16"/>
  <c r="E92" i="16"/>
  <c r="E93" i="16"/>
  <c r="E97" i="16"/>
  <c r="E98" i="16"/>
  <c r="E99" i="16"/>
  <c r="E100" i="16"/>
  <c r="E101" i="16"/>
  <c r="E104" i="16"/>
  <c r="E105" i="16"/>
  <c r="E106" i="16"/>
  <c r="E108" i="16"/>
  <c r="E109" i="16"/>
  <c r="E111" i="16"/>
  <c r="E112" i="16"/>
  <c r="E113" i="16"/>
  <c r="E2" i="16"/>
  <c r="E3" i="16"/>
  <c r="E4" i="16"/>
  <c r="E5" i="16"/>
  <c r="E6" i="16"/>
  <c r="E10" i="16"/>
  <c r="E11" i="16"/>
  <c r="E12" i="16"/>
  <c r="E13" i="16"/>
  <c r="E14" i="16"/>
  <c r="E15" i="16"/>
  <c r="E17" i="16"/>
  <c r="E19" i="16"/>
  <c r="E20" i="16"/>
  <c r="E21" i="16"/>
  <c r="E22" i="16"/>
  <c r="E23" i="16"/>
  <c r="E24" i="16"/>
  <c r="E25" i="16"/>
  <c r="E29" i="16"/>
  <c r="E30" i="16"/>
  <c r="E31" i="16"/>
  <c r="E32" i="16"/>
  <c r="E34" i="16"/>
  <c r="E37" i="16"/>
  <c r="E38" i="16"/>
  <c r="E39" i="16"/>
  <c r="E40" i="16"/>
  <c r="E45" i="16"/>
  <c r="E47" i="16"/>
  <c r="E48" i="16"/>
  <c r="E50" i="16"/>
  <c r="E53" i="16"/>
  <c r="E55" i="16"/>
  <c r="E56" i="16"/>
  <c r="E62" i="16"/>
  <c r="E63" i="16"/>
  <c r="E64" i="16"/>
  <c r="E66" i="16"/>
  <c r="E67" i="16"/>
  <c r="E69" i="16"/>
  <c r="E70" i="16"/>
  <c r="E77" i="16"/>
  <c r="E78" i="16"/>
  <c r="E79" i="16"/>
  <c r="E80" i="16"/>
  <c r="E82" i="16"/>
  <c r="E83" i="16"/>
  <c r="E85" i="16"/>
  <c r="E86" i="16"/>
  <c r="E88" i="16"/>
  <c r="E94" i="16"/>
  <c r="E95" i="16"/>
  <c r="E96" i="16"/>
  <c r="E102" i="16"/>
  <c r="E103" i="16"/>
  <c r="E107" i="16"/>
  <c r="E110" i="16"/>
  <c r="E11" i="14"/>
  <c r="E12" i="14"/>
  <c r="E21" i="14"/>
  <c r="E22" i="14"/>
  <c r="E26" i="14"/>
  <c r="E28" i="14"/>
  <c r="E29" i="14"/>
  <c r="E30" i="14"/>
  <c r="E34" i="14"/>
  <c r="E36" i="14"/>
  <c r="E37" i="14"/>
  <c r="E38" i="14"/>
  <c r="E42" i="14"/>
  <c r="E45" i="14"/>
  <c r="E49" i="14"/>
  <c r="E50" i="14"/>
  <c r="E53" i="14"/>
  <c r="E54" i="14"/>
  <c r="E58" i="14"/>
  <c r="E61" i="14"/>
  <c r="E62" i="14"/>
  <c r="E64" i="14"/>
  <c r="E66" i="14"/>
  <c r="E69" i="14"/>
  <c r="E70" i="14"/>
  <c r="E72" i="14"/>
  <c r="E73" i="14"/>
  <c r="E74" i="14"/>
  <c r="E77" i="14"/>
  <c r="E78" i="14"/>
  <c r="E80" i="14"/>
  <c r="E81" i="14"/>
  <c r="E82" i="14"/>
  <c r="E85" i="14"/>
  <c r="E86" i="14"/>
  <c r="E88" i="14"/>
  <c r="E89" i="14"/>
  <c r="E90" i="14"/>
  <c r="E91" i="14"/>
  <c r="E92" i="14"/>
  <c r="E93" i="14"/>
  <c r="E94" i="14"/>
  <c r="E96" i="14"/>
  <c r="E97" i="14"/>
  <c r="E98" i="14"/>
  <c r="E99" i="14"/>
  <c r="E100" i="14"/>
  <c r="E101" i="14"/>
  <c r="E102" i="14"/>
  <c r="E105" i="14"/>
  <c r="E106" i="14"/>
  <c r="E107" i="14"/>
  <c r="E108" i="14"/>
  <c r="E109" i="14"/>
  <c r="E110" i="14"/>
  <c r="E111" i="14"/>
  <c r="E113" i="14"/>
  <c r="E114" i="14"/>
  <c r="E115" i="14"/>
  <c r="E116" i="14"/>
  <c r="E2" i="14"/>
  <c r="E3" i="14"/>
  <c r="E4" i="14"/>
  <c r="E5" i="14"/>
  <c r="E6" i="14"/>
  <c r="E7" i="14"/>
  <c r="E8" i="14"/>
  <c r="E9" i="14"/>
  <c r="E10" i="14"/>
  <c r="E13" i="14"/>
  <c r="E14" i="14"/>
  <c r="E15" i="14"/>
  <c r="E16" i="14"/>
  <c r="E17" i="14"/>
  <c r="E18" i="14"/>
  <c r="E19" i="14"/>
  <c r="E20" i="14"/>
  <c r="E23" i="14"/>
  <c r="E24" i="14"/>
  <c r="E25" i="14"/>
  <c r="E27" i="14"/>
  <c r="E31" i="14"/>
  <c r="E32" i="14"/>
  <c r="E33" i="14"/>
  <c r="E35" i="14"/>
  <c r="E39" i="14"/>
  <c r="E40" i="14"/>
  <c r="E41" i="14"/>
  <c r="E43" i="14"/>
  <c r="E44" i="14"/>
  <c r="E46" i="14"/>
  <c r="E47" i="14"/>
  <c r="E48" i="14"/>
  <c r="E51" i="14"/>
  <c r="E52" i="14"/>
  <c r="E55" i="14"/>
  <c r="E56" i="14"/>
  <c r="E57" i="14"/>
  <c r="E59" i="14"/>
  <c r="E60" i="14"/>
  <c r="E63" i="14"/>
  <c r="E65" i="14"/>
  <c r="E67" i="14"/>
  <c r="E68" i="14"/>
  <c r="E71" i="14"/>
  <c r="E75" i="14"/>
  <c r="E76" i="14"/>
  <c r="E79" i="14"/>
  <c r="E83" i="14"/>
  <c r="E84" i="14"/>
  <c r="E87" i="14"/>
  <c r="E95" i="14"/>
  <c r="E103" i="14"/>
  <c r="E104" i="14"/>
  <c r="E112" i="14"/>
  <c r="E4" i="13"/>
  <c r="E123" i="13" s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3" i="13"/>
  <c r="E114" i="16" l="1"/>
  <c r="E117" i="14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3" i="12"/>
  <c r="E110" i="12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3" i="11"/>
  <c r="E119" i="11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3" i="10"/>
  <c r="E118" i="10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3" i="9"/>
  <c r="E113" i="9" l="1"/>
  <c r="E115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3" i="8"/>
  <c r="E116" i="8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3" i="7"/>
  <c r="E110" i="7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3" i="6"/>
  <c r="E117" i="6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3" i="5"/>
  <c r="E113" i="5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3" i="4"/>
  <c r="E109" i="4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3" i="3"/>
  <c r="E120" i="3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3" i="2"/>
  <c r="E111" i="2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3" i="1"/>
  <c r="E117" i="1" l="1"/>
</calcChain>
</file>

<file path=xl/sharedStrings.xml><?xml version="1.0" encoding="utf-8"?>
<sst xmlns="http://schemas.openxmlformats.org/spreadsheetml/2006/main" count="5130" uniqueCount="164">
  <si>
    <t>Tên Sản phẩm</t>
  </si>
  <si>
    <t>ĐVT</t>
  </si>
  <si>
    <t>Bắp Cải Tím</t>
  </si>
  <si>
    <t>Kg</t>
  </si>
  <si>
    <t>Bắp Cải Trái Tim</t>
  </si>
  <si>
    <t>Bắp Cải Trắng</t>
  </si>
  <si>
    <t>Bí Đao Xanh</t>
  </si>
  <si>
    <t>Bí Đỏ Hồ Lô</t>
  </si>
  <si>
    <t>Bí Đỏ Tròn</t>
  </si>
  <si>
    <t>Bí Ngòi Vàng</t>
  </si>
  <si>
    <t>Bí Ngòi Xanh</t>
  </si>
  <si>
    <t>Trái</t>
  </si>
  <si>
    <t>Bí Non Nhật</t>
  </si>
  <si>
    <t>Bơ Sáp</t>
  </si>
  <si>
    <t>Bông Cải Trắng</t>
  </si>
  <si>
    <t>Bông Cải Xanh 12Cm</t>
  </si>
  <si>
    <t>Bông Cải Xanh 7Cm</t>
  </si>
  <si>
    <t>Bông Cải Xanh Baby</t>
  </si>
  <si>
    <t>Vỉ</t>
  </si>
  <si>
    <t>Bông Cải Xanh Cọng</t>
  </si>
  <si>
    <t>Cà Chua Beef</t>
  </si>
  <si>
    <t>Vỉ 650gr</t>
  </si>
  <si>
    <t>Cà Chua Beef Trung</t>
  </si>
  <si>
    <t>Vỉ 500gr</t>
  </si>
  <si>
    <t>Cà Chua Bi Đỏ</t>
  </si>
  <si>
    <t>Hộp 300gr</t>
  </si>
  <si>
    <t>Cà Chua Bi Mix</t>
  </si>
  <si>
    <t>Hộp</t>
  </si>
  <si>
    <t>Cà Chua Socola</t>
  </si>
  <si>
    <t>Hộp 250GR</t>
  </si>
  <si>
    <t>Cà Chua Thường</t>
  </si>
  <si>
    <t>Cà Chua Thường Trung</t>
  </si>
  <si>
    <t>Túi</t>
  </si>
  <si>
    <t>Cà Rốt</t>
  </si>
  <si>
    <t>Cà Rốt Baby</t>
  </si>
  <si>
    <t>Cà Tím</t>
  </si>
  <si>
    <t>Cặp</t>
  </si>
  <si>
    <t>Cải Bó Xôi</t>
  </si>
  <si>
    <t>Cải Cầu Vồng</t>
  </si>
  <si>
    <t>Cải Kale</t>
  </si>
  <si>
    <t>Cải Thảo</t>
  </si>
  <si>
    <t>Cải Thảo Hỏa Tiễn</t>
  </si>
  <si>
    <t>Cải Thảo Kim Chi</t>
  </si>
  <si>
    <t>Cần Tây</t>
  </si>
  <si>
    <t>Cây</t>
  </si>
  <si>
    <t>Chanh Dây Tím</t>
  </si>
  <si>
    <t>Chuối Laba</t>
  </si>
  <si>
    <t>Củ Cải Đỏ</t>
  </si>
  <si>
    <t>Củ Cải Trắng</t>
  </si>
  <si>
    <t>Củ Dền</t>
  </si>
  <si>
    <t>Củ Gừng</t>
  </si>
  <si>
    <t>Củ Hành Tây</t>
  </si>
  <si>
    <t>Túi 300gr</t>
  </si>
  <si>
    <t>Củ Hành Tây Tím</t>
  </si>
  <si>
    <t>Củ Hành Tây Trung</t>
  </si>
  <si>
    <t>Củ Khoai Lang Mật Size 23</t>
  </si>
  <si>
    <t>Củ Khoai Lang Mật Size 46</t>
  </si>
  <si>
    <t>Củ Khoai Lang Nhật</t>
  </si>
  <si>
    <t>Củ Khoai Mỡ</t>
  </si>
  <si>
    <t>Củ Khoai Tây Bi Vàng</t>
  </si>
  <si>
    <t>Củ Khoai Tây Hồng</t>
  </si>
  <si>
    <t>Củ Khoai Tây Vàng</t>
  </si>
  <si>
    <t>Củ Khoai Tây Vàng Trung</t>
  </si>
  <si>
    <t>Củ Su Hào</t>
  </si>
  <si>
    <t>Đậu Cove Nhật</t>
  </si>
  <si>
    <t>Đậu Cove Trắng</t>
  </si>
  <si>
    <t>Đậu Đỏ</t>
  </si>
  <si>
    <t>Đậu Hà Lan Trái</t>
  </si>
  <si>
    <t>Đậu Ngự</t>
  </si>
  <si>
    <t>Đậu Trắng</t>
  </si>
  <si>
    <t>Dưa Leo Baby</t>
  </si>
  <si>
    <t>Dưa Leo Nhật</t>
  </si>
  <si>
    <t>Dưa Leo Thường</t>
  </si>
  <si>
    <t>Hành Paro</t>
  </si>
  <si>
    <t>Lá Mè</t>
  </si>
  <si>
    <t>Lá Nha Đam</t>
  </si>
  <si>
    <t>Mận Hậu</t>
  </si>
  <si>
    <t>Hộp 500gr</t>
  </si>
  <si>
    <t>Ổi Găng</t>
  </si>
  <si>
    <t>Ớt Chuông Ba Màu</t>
  </si>
  <si>
    <t>Ớt Chuông Baby</t>
  </si>
  <si>
    <t>Ớt Chuông Đỏ</t>
  </si>
  <si>
    <t>Ớt Chuông Đỏ Trung</t>
  </si>
  <si>
    <t>Ớt Chuông Vàng</t>
  </si>
  <si>
    <t>Ớt Chuông Vàng Trung</t>
  </si>
  <si>
    <t>Ớt Chuông Xanh</t>
  </si>
  <si>
    <t>Ớt Sweet Palemo</t>
  </si>
  <si>
    <t>Rau Bầu Đất</t>
  </si>
  <si>
    <t>Trái Bầu</t>
  </si>
  <si>
    <t>Trái Bưởi Diễn</t>
  </si>
  <si>
    <t>Trái Bưởi Đường</t>
  </si>
  <si>
    <t>Trái Khổ Qua</t>
  </si>
  <si>
    <t>Trái Su Su</t>
  </si>
  <si>
    <t>Xà Lách Carol</t>
  </si>
  <si>
    <t>Xà Lách Lolo Xanh</t>
  </si>
  <si>
    <t>Xà Lách Lolo Xanh Sushi</t>
  </si>
  <si>
    <t>Xà Lách Lolo Xanh T.C</t>
  </si>
  <si>
    <t>Xà Lách Lolo Xanh T.C Cây</t>
  </si>
  <si>
    <t>Xà Lách Mỡ T.C</t>
  </si>
  <si>
    <t>Xà Lách Mỡ T.C Cây</t>
  </si>
  <si>
    <t>Xà Lách Thủy Tinh T.C</t>
  </si>
  <si>
    <t>Xà Lách Thủy Tinh T.C Cây</t>
  </si>
  <si>
    <t>hàng tồn cuối ngày 1/4</t>
  </si>
  <si>
    <t>tồn</t>
  </si>
  <si>
    <t>giá</t>
  </si>
  <si>
    <t>thành tiền</t>
  </si>
  <si>
    <t>HỘP 200GR</t>
  </si>
  <si>
    <t>Củ Cải Muối</t>
  </si>
  <si>
    <t>Hồng Giòn Đà Lạt</t>
  </si>
  <si>
    <t>Quả Mơ</t>
  </si>
  <si>
    <t>hàng tồn cuối ngày 2/4</t>
  </si>
  <si>
    <t>Đậu Tươi Hỗn Hợp Túi 100gr</t>
  </si>
  <si>
    <t>H ộp</t>
  </si>
  <si>
    <t>Ớt Chuông Xanh Trung</t>
  </si>
  <si>
    <t>Xà Lách Romaine T.C</t>
  </si>
  <si>
    <t>hàng tồn cuối ngày 3/4</t>
  </si>
  <si>
    <t>Bông Atiso</t>
  </si>
  <si>
    <t>hộp 200gr</t>
  </si>
  <si>
    <t>hộp 500gr</t>
  </si>
  <si>
    <t>hàng tồn cuối ngày 4/4</t>
  </si>
  <si>
    <t>Bông Cải Xanh Cây</t>
  </si>
  <si>
    <t>hàng tồn cuối ngày 5/4</t>
  </si>
  <si>
    <t>Trái Mâm Xôi</t>
  </si>
  <si>
    <t>hàng tồn cuối ngày 6/4</t>
  </si>
  <si>
    <t>Hộp 200gr</t>
  </si>
  <si>
    <t>Trái Đậu Bắp</t>
  </si>
  <si>
    <t>Xà Lách Rocket</t>
  </si>
  <si>
    <t>hàng tồn cuối ngày 8/4</t>
  </si>
  <si>
    <t xml:space="preserve">tồn </t>
  </si>
  <si>
    <t>Bơ Booth</t>
  </si>
  <si>
    <t>Cà Chua Beef Chùm</t>
  </si>
  <si>
    <t>Chanh Dây Vàng</t>
  </si>
  <si>
    <t>Dâu Tây Đà Lạt</t>
  </si>
  <si>
    <t>SÂM ĐƯƠNG QUY</t>
  </si>
  <si>
    <t>Trái Tầm Bóp</t>
  </si>
  <si>
    <t>Hộp 150g</t>
  </si>
  <si>
    <t>hàng tồn cuối ngày 9/4</t>
  </si>
  <si>
    <t>hàng tồn cuối ngày 10/4</t>
  </si>
  <si>
    <t>Củ Khoai Sâm</t>
  </si>
  <si>
    <t>Hạt Dẻ Ngố</t>
  </si>
  <si>
    <t>Bông Cải Xanh 10Cm</t>
  </si>
  <si>
    <t>Trái Cam Canh</t>
  </si>
  <si>
    <t>Hồng Treo Gió</t>
  </si>
  <si>
    <t>Mận Hậu THƯỜNG</t>
  </si>
  <si>
    <t>hàng tồn cuối ngày 11/4</t>
  </si>
  <si>
    <t>hàng tồn cuối ngày 12/4</t>
  </si>
  <si>
    <t>Ớt Sừng Đỏ</t>
  </si>
  <si>
    <t>Hộp 150gr</t>
  </si>
  <si>
    <t>hàng tồn cuối ngày 13/4</t>
  </si>
  <si>
    <t xml:space="preserve">giá </t>
  </si>
  <si>
    <t>Tồn
ĐL
現在個</t>
  </si>
  <si>
    <t>Gía nhập</t>
  </si>
  <si>
    <t>Thành tiền</t>
  </si>
  <si>
    <t>túi 150gr</t>
  </si>
  <si>
    <t>hàng tồn cuối ngày 19/4</t>
  </si>
  <si>
    <t>Măng Cụt L2</t>
  </si>
  <si>
    <t>hàng tồn cuối ngày 20/4</t>
  </si>
  <si>
    <t>thêm 68</t>
  </si>
  <si>
    <t>sáng báo lại chỉ có 19kg</t>
  </si>
  <si>
    <t>hàng tồn cuối ngày 21/4</t>
  </si>
  <si>
    <t>Củ Kiệu</t>
  </si>
  <si>
    <t>Xà Lách Mỡ</t>
  </si>
  <si>
    <t>hàng tồn cuối ngày 22/4</t>
  </si>
  <si>
    <t>túi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</si>
</sst>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2"/>
    </font>
    <font>
      <b/>
      <sz val="5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/>
    </xf>
    <xf numFmtId="164" fontId="4" fillId="5" borderId="1" xfId="1" applyNumberFormat="1" applyFont="1" applyFill="1" applyBorder="1" applyAlignment="1">
      <alignment vertical="center"/>
    </xf>
    <xf numFmtId="164" fontId="0" fillId="0" borderId="0" xfId="0" applyNumberFormat="1"/>
    <xf numFmtId="164" fontId="0" fillId="5" borderId="1" xfId="1" applyNumberFormat="1" applyFont="1" applyFill="1" applyBorder="1" applyAlignment="1">
      <alignment vertical="center"/>
    </xf>
    <xf numFmtId="164" fontId="3" fillId="3" borderId="0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0" fillId="6" borderId="0" xfId="0" applyFill="1"/>
    <xf numFmtId="0" fontId="2" fillId="7" borderId="1" xfId="0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164" fontId="4" fillId="6" borderId="1" xfId="1" applyNumberFormat="1" applyFont="1" applyFill="1" applyBorder="1" applyAlignment="1">
      <alignment vertical="center"/>
    </xf>
    <xf numFmtId="164" fontId="0" fillId="6" borderId="0" xfId="0" applyNumberFormat="1" applyFill="1"/>
    <xf numFmtId="0" fontId="3" fillId="7" borderId="1" xfId="0" applyFont="1" applyFill="1" applyBorder="1" applyAlignment="1">
      <alignment horizontal="center" vertical="center"/>
    </xf>
    <xf numFmtId="0" fontId="6" fillId="6" borderId="0" xfId="0" applyFont="1" applyFill="1"/>
    <xf numFmtId="0" fontId="3" fillId="7" borderId="1" xfId="0" applyFont="1" applyFill="1" applyBorder="1" applyAlignment="1">
      <alignment vertical="center"/>
    </xf>
    <xf numFmtId="164" fontId="6" fillId="6" borderId="1" xfId="1" applyNumberFormat="1" applyFont="1" applyFill="1" applyBorder="1"/>
    <xf numFmtId="164" fontId="6" fillId="6" borderId="0" xfId="1" applyNumberFormat="1" applyFont="1" applyFill="1"/>
    <xf numFmtId="164" fontId="3" fillId="6" borderId="1" xfId="1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/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164" fontId="6" fillId="6" borderId="1" xfId="1" applyNumberFormat="1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0" fontId="6" fillId="0" borderId="0" xfId="0" applyFont="1"/>
    <xf numFmtId="164" fontId="6" fillId="0" borderId="1" xfId="0" applyNumberFormat="1" applyFont="1" applyBorder="1"/>
    <xf numFmtId="164" fontId="6" fillId="0" borderId="1" xfId="1" applyNumberFormat="1" applyFont="1" applyBorder="1"/>
    <xf numFmtId="164" fontId="6" fillId="0" borderId="0" xfId="1" applyNumberFormat="1" applyFont="1"/>
    <xf numFmtId="164" fontId="3" fillId="0" borderId="1" xfId="0" applyNumberFormat="1" applyFont="1" applyBorder="1"/>
    <xf numFmtId="0" fontId="7" fillId="7" borderId="1" xfId="0" applyFont="1" applyFill="1" applyBorder="1" applyAlignment="1">
      <alignment vertical="center"/>
    </xf>
    <xf numFmtId="164" fontId="8" fillId="6" borderId="1" xfId="1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64" fontId="0" fillId="6" borderId="1" xfId="0" applyNumberFormat="1" applyFill="1" applyBorder="1"/>
    <xf numFmtId="164" fontId="3" fillId="8" borderId="1" xfId="1" applyNumberFormat="1" applyFont="1" applyFill="1" applyBorder="1" applyAlignment="1">
      <alignment horizontal="center" vertical="center" wrapText="1"/>
    </xf>
    <xf numFmtId="164" fontId="4" fillId="4" borderId="2" xfId="1" applyNumberFormat="1" applyFont="1" applyFill="1" applyBorder="1" applyAlignment="1">
      <alignment vertical="center"/>
    </xf>
    <xf numFmtId="164" fontId="6" fillId="8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7"/>
  <sheetViews>
    <sheetView workbookViewId="0">
      <selection activeCell="J17" sqref="J17"/>
    </sheetView>
  </sheetViews>
  <sheetFormatPr defaultRowHeight="14.25" x14ac:dyDescent="0.45"/>
  <cols>
    <col min="1" max="1" width="29.86328125" customWidth="1"/>
    <col min="4" max="4" width="11.06640625" customWidth="1"/>
    <col min="5" max="5" width="16.46484375" customWidth="1"/>
  </cols>
  <sheetData>
    <row r="1" spans="1:5" x14ac:dyDescent="0.45">
      <c r="A1" t="s">
        <v>102</v>
      </c>
    </row>
    <row r="2" spans="1:5" ht="45.6" customHeight="1" x14ac:dyDescent="0.45">
      <c r="A2" s="1" t="s">
        <v>0</v>
      </c>
      <c r="B2" s="1" t="s">
        <v>1</v>
      </c>
      <c r="C2" s="2" t="s">
        <v>103</v>
      </c>
      <c r="D2" s="3" t="s">
        <v>104</v>
      </c>
      <c r="E2" s="4" t="s">
        <v>105</v>
      </c>
    </row>
    <row r="3" spans="1:5" ht="15" hidden="1" x14ac:dyDescent="0.45">
      <c r="A3" s="5" t="s">
        <v>2</v>
      </c>
      <c r="B3" s="5" t="s">
        <v>3</v>
      </c>
      <c r="C3" s="2">
        <v>0</v>
      </c>
      <c r="D3" s="6"/>
      <c r="E3" s="7">
        <f>C3*D3</f>
        <v>0</v>
      </c>
    </row>
    <row r="4" spans="1:5" ht="15" x14ac:dyDescent="0.45">
      <c r="A4" s="5" t="s">
        <v>4</v>
      </c>
      <c r="B4" s="5" t="s">
        <v>3</v>
      </c>
      <c r="C4" s="2">
        <v>625</v>
      </c>
      <c r="D4" s="6">
        <v>7000</v>
      </c>
      <c r="E4" s="7">
        <f t="shared" ref="E4:E67" si="0">C4*D4</f>
        <v>4375000</v>
      </c>
    </row>
    <row r="5" spans="1:5" ht="15" x14ac:dyDescent="0.45">
      <c r="A5" s="5" t="s">
        <v>5</v>
      </c>
      <c r="B5" s="5" t="s">
        <v>3</v>
      </c>
      <c r="C5" s="2">
        <v>720</v>
      </c>
      <c r="D5" s="6">
        <v>3500</v>
      </c>
      <c r="E5" s="7">
        <f t="shared" si="0"/>
        <v>2520000</v>
      </c>
    </row>
    <row r="6" spans="1:5" ht="15" x14ac:dyDescent="0.45">
      <c r="A6" s="5" t="s">
        <v>6</v>
      </c>
      <c r="B6" s="5" t="s">
        <v>3</v>
      </c>
      <c r="C6" s="2">
        <v>5</v>
      </c>
      <c r="D6" s="6">
        <v>10000</v>
      </c>
      <c r="E6" s="7">
        <f t="shared" si="0"/>
        <v>50000</v>
      </c>
    </row>
    <row r="7" spans="1:5" ht="15" x14ac:dyDescent="0.45">
      <c r="A7" s="5" t="s">
        <v>7</v>
      </c>
      <c r="B7" s="5" t="s">
        <v>3</v>
      </c>
      <c r="C7" s="2">
        <v>160</v>
      </c>
      <c r="D7" s="6">
        <v>7000</v>
      </c>
      <c r="E7" s="7">
        <f t="shared" si="0"/>
        <v>1120000</v>
      </c>
    </row>
    <row r="8" spans="1:5" ht="15" x14ac:dyDescent="0.45">
      <c r="A8" s="5" t="s">
        <v>8</v>
      </c>
      <c r="B8" s="5" t="s">
        <v>3</v>
      </c>
      <c r="C8" s="2">
        <v>1517</v>
      </c>
      <c r="D8" s="6">
        <v>6500</v>
      </c>
      <c r="E8" s="7">
        <f t="shared" si="0"/>
        <v>9860500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6"/>
      <c r="E9" s="7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210</v>
      </c>
      <c r="D10" s="6">
        <v>7500</v>
      </c>
      <c r="E10" s="7">
        <f t="shared" si="0"/>
        <v>1575000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6"/>
      <c r="E11" s="7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50</v>
      </c>
      <c r="D12" s="6">
        <v>10000</v>
      </c>
      <c r="E12" s="7">
        <f t="shared" si="0"/>
        <v>500000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6"/>
      <c r="E13" s="7">
        <f t="shared" si="0"/>
        <v>0</v>
      </c>
    </row>
    <row r="14" spans="1:5" ht="15" hidden="1" x14ac:dyDescent="0.45">
      <c r="A14" s="5" t="s">
        <v>13</v>
      </c>
      <c r="B14" s="5" t="s">
        <v>3</v>
      </c>
      <c r="C14" s="2">
        <v>0</v>
      </c>
      <c r="D14" s="6"/>
      <c r="E14" s="7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6"/>
      <c r="E15" s="7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6"/>
      <c r="E16" s="7">
        <f t="shared" si="0"/>
        <v>0</v>
      </c>
    </row>
    <row r="17" spans="1:5" ht="15" x14ac:dyDescent="0.45">
      <c r="A17" s="5" t="s">
        <v>16</v>
      </c>
      <c r="B17" s="5" t="s">
        <v>3</v>
      </c>
      <c r="C17" s="2">
        <v>76</v>
      </c>
      <c r="D17" s="6">
        <v>20000</v>
      </c>
      <c r="E17" s="7">
        <f t="shared" si="0"/>
        <v>1520000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6"/>
      <c r="E18" s="7">
        <f t="shared" si="0"/>
        <v>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6"/>
      <c r="E19" s="7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160</v>
      </c>
      <c r="D20" s="6">
        <v>14000</v>
      </c>
      <c r="E20" s="7">
        <f t="shared" si="0"/>
        <v>2240000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6"/>
      <c r="E21" s="7">
        <f t="shared" si="0"/>
        <v>0</v>
      </c>
    </row>
    <row r="22" spans="1:5" ht="15" x14ac:dyDescent="0.45">
      <c r="A22" s="5" t="s">
        <v>22</v>
      </c>
      <c r="B22" s="5" t="s">
        <v>3</v>
      </c>
      <c r="C22" s="2">
        <v>61</v>
      </c>
      <c r="D22" s="6">
        <v>14000</v>
      </c>
      <c r="E22" s="7">
        <f t="shared" si="0"/>
        <v>854000</v>
      </c>
    </row>
    <row r="23" spans="1:5" ht="15" hidden="1" x14ac:dyDescent="0.45">
      <c r="A23" s="5" t="s">
        <v>22</v>
      </c>
      <c r="B23" s="5" t="s">
        <v>23</v>
      </c>
      <c r="C23" s="2">
        <v>0</v>
      </c>
      <c r="D23" s="6"/>
      <c r="E23" s="7">
        <f t="shared" si="0"/>
        <v>0</v>
      </c>
    </row>
    <row r="24" spans="1:5" ht="15" x14ac:dyDescent="0.45">
      <c r="A24" s="5" t="s">
        <v>24</v>
      </c>
      <c r="B24" s="5" t="s">
        <v>3</v>
      </c>
      <c r="C24" s="2">
        <v>10</v>
      </c>
      <c r="D24" s="6">
        <v>15000</v>
      </c>
      <c r="E24" s="7">
        <f t="shared" si="0"/>
        <v>150000</v>
      </c>
    </row>
    <row r="25" spans="1:5" ht="15" x14ac:dyDescent="0.45">
      <c r="A25" s="5" t="s">
        <v>24</v>
      </c>
      <c r="B25" s="5" t="s">
        <v>25</v>
      </c>
      <c r="C25" s="2">
        <v>33</v>
      </c>
      <c r="D25" s="6">
        <v>4500</v>
      </c>
      <c r="E25" s="7">
        <f t="shared" si="0"/>
        <v>148500</v>
      </c>
    </row>
    <row r="26" spans="1:5" ht="15" x14ac:dyDescent="0.45">
      <c r="A26" s="5" t="s">
        <v>26</v>
      </c>
      <c r="B26" s="5" t="s">
        <v>27</v>
      </c>
      <c r="C26" s="2">
        <v>7</v>
      </c>
      <c r="D26" s="6">
        <v>10500</v>
      </c>
      <c r="E26" s="7">
        <f t="shared" si="0"/>
        <v>73500</v>
      </c>
    </row>
    <row r="27" spans="1:5" ht="15" hidden="1" x14ac:dyDescent="0.45">
      <c r="A27" s="5" t="s">
        <v>28</v>
      </c>
      <c r="B27" s="5" t="s">
        <v>3</v>
      </c>
      <c r="C27" s="2">
        <v>0</v>
      </c>
      <c r="D27" s="6"/>
      <c r="E27" s="7">
        <f t="shared" si="0"/>
        <v>0</v>
      </c>
    </row>
    <row r="28" spans="1:5" ht="15" x14ac:dyDescent="0.45">
      <c r="A28" s="5" t="s">
        <v>28</v>
      </c>
      <c r="B28" s="5" t="s">
        <v>29</v>
      </c>
      <c r="C28" s="2">
        <v>120</v>
      </c>
      <c r="D28" s="6">
        <v>7500</v>
      </c>
      <c r="E28" s="7">
        <f t="shared" si="0"/>
        <v>900000</v>
      </c>
    </row>
    <row r="29" spans="1:5" ht="15" x14ac:dyDescent="0.45">
      <c r="A29" s="5" t="s">
        <v>30</v>
      </c>
      <c r="B29" s="5" t="s">
        <v>3</v>
      </c>
      <c r="C29" s="2">
        <v>90</v>
      </c>
      <c r="D29" s="6">
        <v>10000</v>
      </c>
      <c r="E29" s="7">
        <f t="shared" si="0"/>
        <v>900000</v>
      </c>
    </row>
    <row r="30" spans="1:5" ht="15" hidden="1" x14ac:dyDescent="0.45">
      <c r="A30" s="5" t="s">
        <v>30</v>
      </c>
      <c r="B30" s="5" t="s">
        <v>18</v>
      </c>
      <c r="C30" s="2">
        <v>0</v>
      </c>
      <c r="D30" s="6"/>
      <c r="E30" s="7">
        <f t="shared" si="0"/>
        <v>0</v>
      </c>
    </row>
    <row r="31" spans="1:5" ht="15" x14ac:dyDescent="0.45">
      <c r="A31" s="5" t="s">
        <v>31</v>
      </c>
      <c r="B31" s="5" t="s">
        <v>32</v>
      </c>
      <c r="C31" s="2">
        <v>205</v>
      </c>
      <c r="D31" s="6">
        <v>7000</v>
      </c>
      <c r="E31" s="7">
        <f t="shared" si="0"/>
        <v>1435000</v>
      </c>
    </row>
    <row r="32" spans="1:5" ht="15" x14ac:dyDescent="0.45">
      <c r="A32" s="5" t="s">
        <v>33</v>
      </c>
      <c r="B32" s="5" t="s">
        <v>3</v>
      </c>
      <c r="C32" s="2">
        <v>100</v>
      </c>
      <c r="D32" s="6">
        <v>9000</v>
      </c>
      <c r="E32" s="7">
        <f t="shared" si="0"/>
        <v>900000</v>
      </c>
    </row>
    <row r="33" spans="1:5" ht="15" hidden="1" x14ac:dyDescent="0.45">
      <c r="A33" s="5" t="s">
        <v>33</v>
      </c>
      <c r="B33" s="5" t="s">
        <v>32</v>
      </c>
      <c r="C33" s="2">
        <v>0</v>
      </c>
      <c r="D33" s="6"/>
      <c r="E33" s="7">
        <f t="shared" si="0"/>
        <v>0</v>
      </c>
    </row>
    <row r="34" spans="1:5" ht="15" hidden="1" x14ac:dyDescent="0.45">
      <c r="A34" s="5" t="s">
        <v>34</v>
      </c>
      <c r="B34" s="5" t="s">
        <v>3</v>
      </c>
      <c r="C34" s="2">
        <v>0</v>
      </c>
      <c r="D34" s="6"/>
      <c r="E34" s="7">
        <f t="shared" si="0"/>
        <v>0</v>
      </c>
    </row>
    <row r="35" spans="1:5" ht="15" hidden="1" x14ac:dyDescent="0.45">
      <c r="A35" s="5" t="s">
        <v>34</v>
      </c>
      <c r="B35" s="5" t="s">
        <v>18</v>
      </c>
      <c r="C35" s="2">
        <v>0</v>
      </c>
      <c r="D35" s="6"/>
      <c r="E35" s="7">
        <f t="shared" si="0"/>
        <v>0</v>
      </c>
    </row>
    <row r="36" spans="1:5" ht="15" x14ac:dyDescent="0.45">
      <c r="A36" s="5" t="s">
        <v>35</v>
      </c>
      <c r="B36" s="5" t="s">
        <v>3</v>
      </c>
      <c r="C36" s="2">
        <v>15</v>
      </c>
      <c r="D36" s="6">
        <v>8000</v>
      </c>
      <c r="E36" s="7">
        <f t="shared" si="0"/>
        <v>120000</v>
      </c>
    </row>
    <row r="37" spans="1:5" ht="15" hidden="1" x14ac:dyDescent="0.45">
      <c r="A37" s="5" t="s">
        <v>35</v>
      </c>
      <c r="B37" s="5" t="s">
        <v>36</v>
      </c>
      <c r="C37" s="2">
        <v>0</v>
      </c>
      <c r="D37" s="6"/>
      <c r="E37" s="7">
        <f t="shared" si="0"/>
        <v>0</v>
      </c>
    </row>
    <row r="38" spans="1:5" ht="15" x14ac:dyDescent="0.45">
      <c r="A38" s="5" t="s">
        <v>37</v>
      </c>
      <c r="B38" s="5" t="s">
        <v>3</v>
      </c>
      <c r="C38" s="2">
        <v>10</v>
      </c>
      <c r="D38" s="6">
        <v>20000</v>
      </c>
      <c r="E38" s="7">
        <f t="shared" si="0"/>
        <v>200000</v>
      </c>
    </row>
    <row r="39" spans="1:5" ht="15" hidden="1" x14ac:dyDescent="0.45">
      <c r="A39" s="5" t="s">
        <v>37</v>
      </c>
      <c r="B39" s="5" t="s">
        <v>32</v>
      </c>
      <c r="C39" s="2">
        <v>0</v>
      </c>
      <c r="D39" s="6"/>
      <c r="E39" s="7">
        <f t="shared" si="0"/>
        <v>0</v>
      </c>
    </row>
    <row r="40" spans="1:5" ht="15" hidden="1" x14ac:dyDescent="0.45">
      <c r="A40" s="5" t="s">
        <v>38</v>
      </c>
      <c r="B40" s="5" t="s">
        <v>3</v>
      </c>
      <c r="C40" s="2">
        <v>0</v>
      </c>
      <c r="D40" s="6"/>
      <c r="E40" s="7">
        <f t="shared" si="0"/>
        <v>0</v>
      </c>
    </row>
    <row r="41" spans="1:5" ht="15" hidden="1" x14ac:dyDescent="0.45">
      <c r="A41" s="5" t="s">
        <v>38</v>
      </c>
      <c r="B41" s="5" t="s">
        <v>32</v>
      </c>
      <c r="C41" s="2">
        <v>0</v>
      </c>
      <c r="D41" s="6"/>
      <c r="E41" s="7">
        <f t="shared" si="0"/>
        <v>0</v>
      </c>
    </row>
    <row r="42" spans="1:5" ht="15" x14ac:dyDescent="0.45">
      <c r="A42" s="5" t="s">
        <v>39</v>
      </c>
      <c r="B42" s="5" t="s">
        <v>3</v>
      </c>
      <c r="C42" s="2">
        <v>7</v>
      </c>
      <c r="D42" s="6">
        <v>15000</v>
      </c>
      <c r="E42" s="7">
        <f t="shared" si="0"/>
        <v>105000</v>
      </c>
    </row>
    <row r="43" spans="1:5" ht="15" x14ac:dyDescent="0.45">
      <c r="A43" s="5" t="s">
        <v>39</v>
      </c>
      <c r="B43" s="5" t="s">
        <v>32</v>
      </c>
      <c r="C43" s="2">
        <v>15</v>
      </c>
      <c r="D43" s="6">
        <v>5000</v>
      </c>
      <c r="E43" s="7">
        <f t="shared" si="0"/>
        <v>75000</v>
      </c>
    </row>
    <row r="44" spans="1:5" ht="15" x14ac:dyDescent="0.45">
      <c r="A44" s="5" t="s">
        <v>40</v>
      </c>
      <c r="B44" s="5" t="s">
        <v>3</v>
      </c>
      <c r="C44" s="2">
        <v>240</v>
      </c>
      <c r="D44" s="6">
        <v>4500</v>
      </c>
      <c r="E44" s="7">
        <f t="shared" si="0"/>
        <v>1080000</v>
      </c>
    </row>
    <row r="45" spans="1:5" ht="15" x14ac:dyDescent="0.45">
      <c r="A45" s="5" t="s">
        <v>41</v>
      </c>
      <c r="B45" s="5" t="s">
        <v>3</v>
      </c>
      <c r="C45" s="2">
        <v>1</v>
      </c>
      <c r="D45" s="6">
        <v>15000</v>
      </c>
      <c r="E45" s="7">
        <f t="shared" si="0"/>
        <v>15000</v>
      </c>
    </row>
    <row r="46" spans="1:5" ht="15" x14ac:dyDescent="0.45">
      <c r="A46" s="5" t="s">
        <v>42</v>
      </c>
      <c r="B46" s="5" t="s">
        <v>3</v>
      </c>
      <c r="C46" s="2">
        <v>430</v>
      </c>
      <c r="D46" s="6">
        <v>3500</v>
      </c>
      <c r="E46" s="7">
        <f t="shared" si="0"/>
        <v>1505000</v>
      </c>
    </row>
    <row r="47" spans="1:5" ht="15" x14ac:dyDescent="0.45">
      <c r="A47" s="5" t="s">
        <v>43</v>
      </c>
      <c r="B47" s="5" t="s">
        <v>3</v>
      </c>
      <c r="C47" s="2">
        <v>8</v>
      </c>
      <c r="D47" s="6">
        <v>12000</v>
      </c>
      <c r="E47" s="7">
        <f t="shared" si="0"/>
        <v>96000</v>
      </c>
    </row>
    <row r="48" spans="1:5" ht="15" hidden="1" x14ac:dyDescent="0.45">
      <c r="A48" s="5" t="s">
        <v>43</v>
      </c>
      <c r="B48" s="5" t="s">
        <v>44</v>
      </c>
      <c r="C48" s="2">
        <v>0</v>
      </c>
      <c r="D48" s="6"/>
      <c r="E48" s="7">
        <f t="shared" si="0"/>
        <v>0</v>
      </c>
    </row>
    <row r="49" spans="1:5" ht="15" hidden="1" x14ac:dyDescent="0.45">
      <c r="A49" s="5" t="s">
        <v>45</v>
      </c>
      <c r="B49" s="5" t="s">
        <v>3</v>
      </c>
      <c r="C49" s="2">
        <v>0</v>
      </c>
      <c r="D49" s="6"/>
      <c r="E49" s="7">
        <f t="shared" si="0"/>
        <v>0</v>
      </c>
    </row>
    <row r="50" spans="1:5" ht="15" x14ac:dyDescent="0.45">
      <c r="A50" s="5" t="s">
        <v>46</v>
      </c>
      <c r="B50" s="5" t="s">
        <v>3</v>
      </c>
      <c r="C50" s="2">
        <v>5</v>
      </c>
      <c r="D50" s="6">
        <v>14000</v>
      </c>
      <c r="E50" s="7">
        <f t="shared" si="0"/>
        <v>70000</v>
      </c>
    </row>
    <row r="51" spans="1:5" ht="15" x14ac:dyDescent="0.45">
      <c r="A51" s="5" t="s">
        <v>47</v>
      </c>
      <c r="B51" s="5" t="s">
        <v>27</v>
      </c>
      <c r="C51" s="2">
        <v>10</v>
      </c>
      <c r="D51" s="6">
        <v>10000</v>
      </c>
      <c r="E51" s="7">
        <f t="shared" si="0"/>
        <v>100000</v>
      </c>
    </row>
    <row r="52" spans="1:5" ht="15" hidden="1" x14ac:dyDescent="0.45">
      <c r="A52" s="5" t="s">
        <v>47</v>
      </c>
      <c r="B52" s="5" t="s">
        <v>3</v>
      </c>
      <c r="C52" s="2">
        <v>0</v>
      </c>
      <c r="D52" s="6"/>
      <c r="E52" s="7">
        <f t="shared" si="0"/>
        <v>0</v>
      </c>
    </row>
    <row r="53" spans="1:5" ht="15" hidden="1" x14ac:dyDescent="0.45">
      <c r="A53" s="5" t="s">
        <v>48</v>
      </c>
      <c r="B53" s="5" t="s">
        <v>3</v>
      </c>
      <c r="C53" s="2">
        <v>0</v>
      </c>
      <c r="D53" s="6"/>
      <c r="E53" s="7">
        <f t="shared" si="0"/>
        <v>0</v>
      </c>
    </row>
    <row r="54" spans="1:5" ht="15" x14ac:dyDescent="0.45">
      <c r="A54" s="5" t="s">
        <v>49</v>
      </c>
      <c r="B54" s="5" t="s">
        <v>3</v>
      </c>
      <c r="C54" s="2">
        <v>45</v>
      </c>
      <c r="D54" s="6">
        <v>8000</v>
      </c>
      <c r="E54" s="7">
        <f t="shared" si="0"/>
        <v>360000</v>
      </c>
    </row>
    <row r="55" spans="1:5" ht="15" hidden="1" x14ac:dyDescent="0.45">
      <c r="A55" s="5" t="s">
        <v>49</v>
      </c>
      <c r="B55" s="5" t="s">
        <v>32</v>
      </c>
      <c r="C55" s="2">
        <v>0</v>
      </c>
      <c r="D55" s="6"/>
      <c r="E55" s="7">
        <f t="shared" si="0"/>
        <v>0</v>
      </c>
    </row>
    <row r="56" spans="1:5" ht="15" x14ac:dyDescent="0.45">
      <c r="A56" s="5" t="s">
        <v>50</v>
      </c>
      <c r="B56" s="5" t="s">
        <v>3</v>
      </c>
      <c r="C56" s="2">
        <v>3</v>
      </c>
      <c r="D56" s="6">
        <v>21000</v>
      </c>
      <c r="E56" s="7">
        <f t="shared" si="0"/>
        <v>63000</v>
      </c>
    </row>
    <row r="57" spans="1:5" ht="15" x14ac:dyDescent="0.45">
      <c r="A57" s="5" t="s">
        <v>51</v>
      </c>
      <c r="B57" s="5" t="s">
        <v>3</v>
      </c>
      <c r="C57" s="2">
        <v>460</v>
      </c>
      <c r="D57" s="6">
        <v>5500</v>
      </c>
      <c r="E57" s="7">
        <f t="shared" si="0"/>
        <v>2530000</v>
      </c>
    </row>
    <row r="58" spans="1:5" ht="15" hidden="1" x14ac:dyDescent="0.45">
      <c r="A58" s="5" t="s">
        <v>51</v>
      </c>
      <c r="B58" s="5" t="s">
        <v>52</v>
      </c>
      <c r="C58" s="2">
        <v>0</v>
      </c>
      <c r="D58" s="6"/>
      <c r="E58" s="7">
        <f t="shared" si="0"/>
        <v>0</v>
      </c>
    </row>
    <row r="59" spans="1:5" ht="15" x14ac:dyDescent="0.45">
      <c r="A59" s="5" t="s">
        <v>53</v>
      </c>
      <c r="B59" s="5" t="s">
        <v>3</v>
      </c>
      <c r="C59" s="2">
        <v>80</v>
      </c>
      <c r="D59" s="6">
        <v>20000</v>
      </c>
      <c r="E59" s="7">
        <f t="shared" si="0"/>
        <v>1600000</v>
      </c>
    </row>
    <row r="60" spans="1:5" ht="15" x14ac:dyDescent="0.45">
      <c r="A60" s="5" t="s">
        <v>54</v>
      </c>
      <c r="B60" s="5" t="s">
        <v>32</v>
      </c>
      <c r="C60" s="2">
        <v>660</v>
      </c>
      <c r="D60" s="6">
        <v>1350</v>
      </c>
      <c r="E60" s="7">
        <f t="shared" si="0"/>
        <v>891000</v>
      </c>
    </row>
    <row r="61" spans="1:5" ht="15" x14ac:dyDescent="0.45">
      <c r="A61" s="5" t="s">
        <v>55</v>
      </c>
      <c r="B61" s="5" t="s">
        <v>3</v>
      </c>
      <c r="C61" s="2">
        <v>1160</v>
      </c>
      <c r="D61" s="6">
        <v>21500</v>
      </c>
      <c r="E61" s="7">
        <f t="shared" si="0"/>
        <v>24940000</v>
      </c>
    </row>
    <row r="62" spans="1:5" ht="15" x14ac:dyDescent="0.45">
      <c r="A62" s="5" t="s">
        <v>56</v>
      </c>
      <c r="B62" s="5" t="s">
        <v>3</v>
      </c>
      <c r="C62" s="2">
        <v>317</v>
      </c>
      <c r="D62" s="6">
        <v>26000</v>
      </c>
      <c r="E62" s="7">
        <f t="shared" si="0"/>
        <v>8242000</v>
      </c>
    </row>
    <row r="63" spans="1:5" ht="15" x14ac:dyDescent="0.45">
      <c r="A63" s="5" t="s">
        <v>57</v>
      </c>
      <c r="B63" s="5" t="s">
        <v>3</v>
      </c>
      <c r="C63" s="2">
        <v>580</v>
      </c>
      <c r="D63" s="6">
        <v>17000</v>
      </c>
      <c r="E63" s="7">
        <f t="shared" si="0"/>
        <v>9860000</v>
      </c>
    </row>
    <row r="64" spans="1:5" ht="15" x14ac:dyDescent="0.45">
      <c r="A64" s="5" t="s">
        <v>58</v>
      </c>
      <c r="B64" s="5" t="s">
        <v>3</v>
      </c>
      <c r="C64" s="2">
        <v>24</v>
      </c>
      <c r="D64" s="6">
        <v>21000</v>
      </c>
      <c r="E64" s="7">
        <f t="shared" si="0"/>
        <v>504000</v>
      </c>
    </row>
    <row r="65" spans="1:5" ht="15" hidden="1" x14ac:dyDescent="0.45">
      <c r="A65" s="5" t="s">
        <v>59</v>
      </c>
      <c r="B65" s="5" t="s">
        <v>3</v>
      </c>
      <c r="C65" s="2">
        <v>0</v>
      </c>
      <c r="D65" s="6"/>
      <c r="E65" s="7">
        <f t="shared" si="0"/>
        <v>0</v>
      </c>
    </row>
    <row r="66" spans="1:5" ht="15" hidden="1" x14ac:dyDescent="0.45">
      <c r="A66" s="5" t="s">
        <v>59</v>
      </c>
      <c r="B66" s="5" t="s">
        <v>32</v>
      </c>
      <c r="C66" s="2">
        <v>0</v>
      </c>
      <c r="D66" s="6"/>
      <c r="E66" s="7">
        <f t="shared" si="0"/>
        <v>0</v>
      </c>
    </row>
    <row r="67" spans="1:5" ht="15" x14ac:dyDescent="0.45">
      <c r="A67" s="5" t="s">
        <v>60</v>
      </c>
      <c r="B67" s="5" t="s">
        <v>3</v>
      </c>
      <c r="C67" s="2">
        <v>4</v>
      </c>
      <c r="D67" s="6">
        <v>16000</v>
      </c>
      <c r="E67" s="7">
        <f t="shared" si="0"/>
        <v>64000</v>
      </c>
    </row>
    <row r="68" spans="1:5" ht="15" x14ac:dyDescent="0.45">
      <c r="A68" s="5" t="s">
        <v>61</v>
      </c>
      <c r="B68" s="5" t="s">
        <v>3</v>
      </c>
      <c r="C68" s="2">
        <v>790</v>
      </c>
      <c r="D68" s="6">
        <v>14000</v>
      </c>
      <c r="E68" s="7">
        <f t="shared" ref="E68:E116" si="1">C68*D68</f>
        <v>11060000</v>
      </c>
    </row>
    <row r="69" spans="1:5" ht="15" hidden="1" x14ac:dyDescent="0.45">
      <c r="A69" s="5" t="s">
        <v>61</v>
      </c>
      <c r="B69" s="5" t="s">
        <v>32</v>
      </c>
      <c r="C69" s="2">
        <v>0</v>
      </c>
      <c r="D69" s="6"/>
      <c r="E69" s="7">
        <f t="shared" si="1"/>
        <v>0</v>
      </c>
    </row>
    <row r="70" spans="1:5" ht="15" x14ac:dyDescent="0.45">
      <c r="A70" s="5" t="s">
        <v>62</v>
      </c>
      <c r="B70" s="5" t="s">
        <v>32</v>
      </c>
      <c r="C70" s="2">
        <v>70</v>
      </c>
      <c r="D70" s="6">
        <v>5000</v>
      </c>
      <c r="E70" s="7">
        <f t="shared" si="1"/>
        <v>350000</v>
      </c>
    </row>
    <row r="71" spans="1:5" ht="15" x14ac:dyDescent="0.45">
      <c r="A71" s="5" t="s">
        <v>63</v>
      </c>
      <c r="B71" s="5" t="s">
        <v>3</v>
      </c>
      <c r="C71" s="2">
        <v>9</v>
      </c>
      <c r="D71" s="6">
        <v>11000</v>
      </c>
      <c r="E71" s="7">
        <f t="shared" si="1"/>
        <v>99000</v>
      </c>
    </row>
    <row r="72" spans="1:5" ht="15" hidden="1" x14ac:dyDescent="0.45">
      <c r="A72" s="5" t="s">
        <v>64</v>
      </c>
      <c r="B72" s="5" t="s">
        <v>32</v>
      </c>
      <c r="C72" s="2">
        <v>0</v>
      </c>
      <c r="D72" s="6"/>
      <c r="E72" s="7">
        <f t="shared" si="1"/>
        <v>0</v>
      </c>
    </row>
    <row r="73" spans="1:5" ht="15" hidden="1" x14ac:dyDescent="0.45">
      <c r="A73" s="5" t="s">
        <v>65</v>
      </c>
      <c r="B73" s="5" t="s">
        <v>3</v>
      </c>
      <c r="C73" s="2">
        <v>0</v>
      </c>
      <c r="D73" s="6"/>
      <c r="E73" s="7">
        <f t="shared" si="1"/>
        <v>0</v>
      </c>
    </row>
    <row r="74" spans="1:5" ht="15" x14ac:dyDescent="0.45">
      <c r="A74" s="5" t="s">
        <v>65</v>
      </c>
      <c r="B74" s="5" t="s">
        <v>32</v>
      </c>
      <c r="C74" s="2">
        <v>74</v>
      </c>
      <c r="D74" s="6">
        <v>8000</v>
      </c>
      <c r="E74" s="7">
        <f t="shared" si="1"/>
        <v>592000</v>
      </c>
    </row>
    <row r="75" spans="1:5" ht="15" x14ac:dyDescent="0.45">
      <c r="A75" s="5" t="s">
        <v>66</v>
      </c>
      <c r="B75" s="5" t="s">
        <v>3</v>
      </c>
      <c r="C75" s="2">
        <v>0.5</v>
      </c>
      <c r="D75" s="6">
        <v>80000</v>
      </c>
      <c r="E75" s="7">
        <f t="shared" si="1"/>
        <v>40000</v>
      </c>
    </row>
    <row r="76" spans="1:5" ht="15" hidden="1" x14ac:dyDescent="0.45">
      <c r="A76" s="5" t="s">
        <v>67</v>
      </c>
      <c r="B76" s="5" t="s">
        <v>3</v>
      </c>
      <c r="C76" s="2">
        <v>0</v>
      </c>
      <c r="D76" s="6"/>
      <c r="E76" s="7">
        <f t="shared" si="1"/>
        <v>0</v>
      </c>
    </row>
    <row r="77" spans="1:5" ht="15" x14ac:dyDescent="0.45">
      <c r="A77" s="5" t="s">
        <v>68</v>
      </c>
      <c r="B77" s="5" t="s">
        <v>3</v>
      </c>
      <c r="C77" s="2">
        <v>0.5</v>
      </c>
      <c r="D77" s="6">
        <v>70000</v>
      </c>
      <c r="E77" s="7">
        <f t="shared" si="1"/>
        <v>35000</v>
      </c>
    </row>
    <row r="78" spans="1:5" ht="15" x14ac:dyDescent="0.45">
      <c r="A78" s="5" t="s">
        <v>69</v>
      </c>
      <c r="B78" s="5" t="s">
        <v>3</v>
      </c>
      <c r="C78" s="2">
        <v>0.5</v>
      </c>
      <c r="D78" s="6">
        <v>70000</v>
      </c>
      <c r="E78" s="7">
        <f t="shared" si="1"/>
        <v>35000</v>
      </c>
    </row>
    <row r="79" spans="1:5" ht="15" hidden="1" x14ac:dyDescent="0.45">
      <c r="A79" s="5" t="s">
        <v>70</v>
      </c>
      <c r="B79" s="5" t="s">
        <v>3</v>
      </c>
      <c r="C79" s="2">
        <v>0</v>
      </c>
      <c r="D79" s="6"/>
      <c r="E79" s="7">
        <f t="shared" si="1"/>
        <v>0</v>
      </c>
    </row>
    <row r="80" spans="1:5" ht="15" x14ac:dyDescent="0.45">
      <c r="A80" s="5" t="s">
        <v>70</v>
      </c>
      <c r="B80" s="5" t="s">
        <v>18</v>
      </c>
      <c r="C80" s="2">
        <v>648</v>
      </c>
      <c r="D80" s="6">
        <v>6700</v>
      </c>
      <c r="E80" s="7">
        <f t="shared" si="1"/>
        <v>4341600</v>
      </c>
    </row>
    <row r="81" spans="1:5" ht="15" hidden="1" x14ac:dyDescent="0.45">
      <c r="A81" s="5" t="s">
        <v>71</v>
      </c>
      <c r="B81" s="5" t="s">
        <v>3</v>
      </c>
      <c r="C81" s="2">
        <v>0</v>
      </c>
      <c r="D81" s="6"/>
      <c r="E81" s="7">
        <f t="shared" si="1"/>
        <v>0</v>
      </c>
    </row>
    <row r="82" spans="1:5" ht="15" x14ac:dyDescent="0.45">
      <c r="A82" s="5" t="s">
        <v>72</v>
      </c>
      <c r="B82" s="5" t="s">
        <v>3</v>
      </c>
      <c r="C82" s="2">
        <v>37</v>
      </c>
      <c r="D82" s="6">
        <v>14000</v>
      </c>
      <c r="E82" s="7">
        <f t="shared" si="1"/>
        <v>518000</v>
      </c>
    </row>
    <row r="83" spans="1:5" ht="15" x14ac:dyDescent="0.45">
      <c r="A83" s="5" t="s">
        <v>73</v>
      </c>
      <c r="B83" s="5" t="s">
        <v>3</v>
      </c>
      <c r="C83" s="2">
        <v>15</v>
      </c>
      <c r="D83" s="6">
        <v>10500</v>
      </c>
      <c r="E83" s="7">
        <f t="shared" si="1"/>
        <v>157500</v>
      </c>
    </row>
    <row r="84" spans="1:5" ht="15" hidden="1" x14ac:dyDescent="0.45">
      <c r="A84" s="5" t="s">
        <v>73</v>
      </c>
      <c r="B84" s="5" t="s">
        <v>44</v>
      </c>
      <c r="C84" s="2">
        <v>0</v>
      </c>
      <c r="D84" s="6"/>
      <c r="E84" s="7">
        <f t="shared" si="1"/>
        <v>0</v>
      </c>
    </row>
    <row r="85" spans="1:5" ht="15" hidden="1" x14ac:dyDescent="0.45">
      <c r="A85" s="5" t="s">
        <v>74</v>
      </c>
      <c r="B85" s="5" t="s">
        <v>3</v>
      </c>
      <c r="C85" s="2">
        <v>0</v>
      </c>
      <c r="D85" s="6"/>
      <c r="E85" s="7">
        <f t="shared" si="1"/>
        <v>0</v>
      </c>
    </row>
    <row r="86" spans="1:5" ht="15" hidden="1" x14ac:dyDescent="0.45">
      <c r="A86" s="5" t="s">
        <v>74</v>
      </c>
      <c r="B86" s="5" t="s">
        <v>32</v>
      </c>
      <c r="C86" s="2">
        <v>0</v>
      </c>
      <c r="D86" s="6"/>
      <c r="E86" s="7">
        <f t="shared" si="1"/>
        <v>0</v>
      </c>
    </row>
    <row r="87" spans="1:5" ht="15" hidden="1" x14ac:dyDescent="0.45">
      <c r="A87" s="5" t="s">
        <v>75</v>
      </c>
      <c r="B87" s="5" t="s">
        <v>3</v>
      </c>
      <c r="C87" s="2">
        <v>0</v>
      </c>
      <c r="D87" s="6"/>
      <c r="E87" s="7">
        <f t="shared" si="1"/>
        <v>0</v>
      </c>
    </row>
    <row r="88" spans="1:5" ht="15" hidden="1" x14ac:dyDescent="0.45">
      <c r="A88" s="5" t="s">
        <v>76</v>
      </c>
      <c r="B88" s="5" t="s">
        <v>27</v>
      </c>
      <c r="C88" s="2">
        <v>0</v>
      </c>
      <c r="D88" s="6"/>
      <c r="E88" s="7">
        <f t="shared" si="1"/>
        <v>0</v>
      </c>
    </row>
    <row r="89" spans="1:5" ht="15" hidden="1" x14ac:dyDescent="0.45">
      <c r="A89" s="5" t="s">
        <v>76</v>
      </c>
      <c r="B89" s="5" t="s">
        <v>77</v>
      </c>
      <c r="C89" s="2">
        <v>0</v>
      </c>
      <c r="D89" s="6"/>
      <c r="E89" s="7">
        <f t="shared" si="1"/>
        <v>0</v>
      </c>
    </row>
    <row r="90" spans="1:5" ht="15" hidden="1" x14ac:dyDescent="0.45">
      <c r="A90" s="5" t="s">
        <v>78</v>
      </c>
      <c r="B90" s="5" t="s">
        <v>3</v>
      </c>
      <c r="C90" s="2">
        <v>0</v>
      </c>
      <c r="D90" s="6"/>
      <c r="E90" s="7">
        <f t="shared" si="1"/>
        <v>0</v>
      </c>
    </row>
    <row r="91" spans="1:5" ht="15" hidden="1" x14ac:dyDescent="0.45">
      <c r="A91" s="5" t="s">
        <v>79</v>
      </c>
      <c r="B91" s="5" t="s">
        <v>18</v>
      </c>
      <c r="C91" s="2">
        <v>0</v>
      </c>
      <c r="D91" s="6"/>
      <c r="E91" s="7">
        <f t="shared" si="1"/>
        <v>0</v>
      </c>
    </row>
    <row r="92" spans="1:5" ht="15" hidden="1" x14ac:dyDescent="0.45">
      <c r="A92" s="5" t="s">
        <v>80</v>
      </c>
      <c r="B92" s="5" t="s">
        <v>27</v>
      </c>
      <c r="C92" s="2">
        <v>0</v>
      </c>
      <c r="D92" s="6"/>
      <c r="E92" s="7">
        <f t="shared" si="1"/>
        <v>0</v>
      </c>
    </row>
    <row r="93" spans="1:5" ht="15" x14ac:dyDescent="0.45">
      <c r="A93" s="5" t="s">
        <v>81</v>
      </c>
      <c r="B93" s="5" t="s">
        <v>3</v>
      </c>
      <c r="C93" s="2">
        <v>102</v>
      </c>
      <c r="D93" s="6">
        <v>24000</v>
      </c>
      <c r="E93" s="7">
        <f t="shared" si="1"/>
        <v>2448000</v>
      </c>
    </row>
    <row r="94" spans="1:5" ht="15" hidden="1" x14ac:dyDescent="0.45">
      <c r="A94" s="5" t="s">
        <v>81</v>
      </c>
      <c r="B94" s="5" t="s">
        <v>11</v>
      </c>
      <c r="C94" s="2">
        <v>0</v>
      </c>
      <c r="D94" s="6"/>
      <c r="E94" s="7">
        <f t="shared" si="1"/>
        <v>0</v>
      </c>
    </row>
    <row r="95" spans="1:5" ht="15" x14ac:dyDescent="0.45">
      <c r="A95" s="5" t="s">
        <v>82</v>
      </c>
      <c r="B95" s="5" t="s">
        <v>3</v>
      </c>
      <c r="C95" s="2">
        <v>10</v>
      </c>
      <c r="D95" s="6">
        <v>18000</v>
      </c>
      <c r="E95" s="7">
        <f t="shared" si="1"/>
        <v>180000</v>
      </c>
    </row>
    <row r="96" spans="1:5" ht="15" x14ac:dyDescent="0.45">
      <c r="A96" s="5" t="s">
        <v>83</v>
      </c>
      <c r="B96" s="5" t="s">
        <v>3</v>
      </c>
      <c r="C96" s="2">
        <v>40</v>
      </c>
      <c r="D96" s="6">
        <v>22000</v>
      </c>
      <c r="E96" s="7">
        <f t="shared" si="1"/>
        <v>880000</v>
      </c>
    </row>
    <row r="97" spans="1:5" ht="15" hidden="1" x14ac:dyDescent="0.45">
      <c r="A97" s="5" t="s">
        <v>83</v>
      </c>
      <c r="B97" s="5" t="s">
        <v>11</v>
      </c>
      <c r="C97" s="2">
        <v>0</v>
      </c>
      <c r="D97" s="6"/>
      <c r="E97" s="7">
        <f t="shared" si="1"/>
        <v>0</v>
      </c>
    </row>
    <row r="98" spans="1:5" ht="15" x14ac:dyDescent="0.45">
      <c r="A98" s="5" t="s">
        <v>84</v>
      </c>
      <c r="B98" s="5" t="s">
        <v>3</v>
      </c>
      <c r="C98" s="2">
        <v>10</v>
      </c>
      <c r="D98" s="6">
        <v>16000</v>
      </c>
      <c r="E98" s="7">
        <f t="shared" si="1"/>
        <v>160000</v>
      </c>
    </row>
    <row r="99" spans="1:5" ht="15" x14ac:dyDescent="0.45">
      <c r="A99" s="5" t="s">
        <v>85</v>
      </c>
      <c r="B99" s="5" t="s">
        <v>3</v>
      </c>
      <c r="C99" s="2">
        <v>60</v>
      </c>
      <c r="D99" s="6">
        <v>27000</v>
      </c>
      <c r="E99" s="7">
        <f t="shared" si="1"/>
        <v>1620000</v>
      </c>
    </row>
    <row r="100" spans="1:5" ht="15" hidden="1" x14ac:dyDescent="0.45">
      <c r="A100" s="5" t="s">
        <v>85</v>
      </c>
      <c r="B100" s="5" t="s">
        <v>11</v>
      </c>
      <c r="C100" s="2">
        <v>0</v>
      </c>
      <c r="D100" s="6"/>
      <c r="E100" s="7">
        <f t="shared" si="1"/>
        <v>0</v>
      </c>
    </row>
    <row r="101" spans="1:5" ht="15" hidden="1" x14ac:dyDescent="0.45">
      <c r="A101" s="5" t="s">
        <v>86</v>
      </c>
      <c r="B101" s="5" t="s">
        <v>32</v>
      </c>
      <c r="C101" s="2">
        <v>0</v>
      </c>
      <c r="D101" s="6"/>
      <c r="E101" s="7">
        <f t="shared" si="1"/>
        <v>0</v>
      </c>
    </row>
    <row r="102" spans="1:5" ht="15" hidden="1" x14ac:dyDescent="0.45">
      <c r="A102" s="5" t="s">
        <v>87</v>
      </c>
      <c r="B102" s="5" t="s">
        <v>32</v>
      </c>
      <c r="C102" s="2">
        <v>0</v>
      </c>
      <c r="D102" s="6"/>
      <c r="E102" s="7">
        <f t="shared" si="1"/>
        <v>0</v>
      </c>
    </row>
    <row r="103" spans="1:5" ht="15" hidden="1" x14ac:dyDescent="0.45">
      <c r="A103" s="5" t="s">
        <v>88</v>
      </c>
      <c r="B103" s="5" t="s">
        <v>3</v>
      </c>
      <c r="C103" s="2">
        <v>0</v>
      </c>
      <c r="D103" s="6"/>
      <c r="E103" s="7">
        <f t="shared" si="1"/>
        <v>0</v>
      </c>
    </row>
    <row r="104" spans="1:5" ht="15" hidden="1" x14ac:dyDescent="0.45">
      <c r="A104" s="5" t="s">
        <v>89</v>
      </c>
      <c r="B104" s="5" t="s">
        <v>11</v>
      </c>
      <c r="C104" s="2">
        <v>0</v>
      </c>
      <c r="D104" s="6"/>
      <c r="E104" s="7">
        <f t="shared" si="1"/>
        <v>0</v>
      </c>
    </row>
    <row r="105" spans="1:5" ht="15" x14ac:dyDescent="0.45">
      <c r="A105" s="5" t="s">
        <v>90</v>
      </c>
      <c r="B105" s="5" t="s">
        <v>11</v>
      </c>
      <c r="C105" s="2">
        <v>353</v>
      </c>
      <c r="D105" s="6">
        <v>11361</v>
      </c>
      <c r="E105" s="7">
        <f t="shared" si="1"/>
        <v>4010433</v>
      </c>
    </row>
    <row r="106" spans="1:5" ht="15" x14ac:dyDescent="0.45">
      <c r="A106" s="5" t="s">
        <v>91</v>
      </c>
      <c r="B106" s="5" t="s">
        <v>3</v>
      </c>
      <c r="C106" s="2">
        <v>10</v>
      </c>
      <c r="D106" s="6">
        <v>18000</v>
      </c>
      <c r="E106" s="7">
        <f t="shared" si="1"/>
        <v>180000</v>
      </c>
    </row>
    <row r="107" spans="1:5" ht="15" x14ac:dyDescent="0.45">
      <c r="A107" s="5" t="s">
        <v>92</v>
      </c>
      <c r="B107" s="5" t="s">
        <v>3</v>
      </c>
      <c r="C107" s="2">
        <v>20</v>
      </c>
      <c r="D107" s="6">
        <v>8000</v>
      </c>
      <c r="E107" s="7">
        <f t="shared" si="1"/>
        <v>160000</v>
      </c>
    </row>
    <row r="108" spans="1:5" ht="15" x14ac:dyDescent="0.45">
      <c r="A108" s="5" t="s">
        <v>93</v>
      </c>
      <c r="B108" s="5" t="s">
        <v>3</v>
      </c>
      <c r="C108" s="2">
        <v>5</v>
      </c>
      <c r="D108" s="6">
        <v>32000</v>
      </c>
      <c r="E108" s="7">
        <f t="shared" si="1"/>
        <v>160000</v>
      </c>
    </row>
    <row r="109" spans="1:5" ht="15" x14ac:dyDescent="0.45">
      <c r="A109" s="5" t="s">
        <v>94</v>
      </c>
      <c r="B109" s="5" t="s">
        <v>3</v>
      </c>
      <c r="C109" s="2">
        <v>16</v>
      </c>
      <c r="D109" s="6">
        <v>15000</v>
      </c>
      <c r="E109" s="7">
        <f t="shared" si="1"/>
        <v>240000</v>
      </c>
    </row>
    <row r="110" spans="1:5" ht="15" hidden="1" x14ac:dyDescent="0.45">
      <c r="A110" s="5" t="s">
        <v>95</v>
      </c>
      <c r="B110" s="5" t="s">
        <v>3</v>
      </c>
      <c r="C110" s="2">
        <v>0</v>
      </c>
      <c r="D110" s="6"/>
      <c r="E110" s="7">
        <f t="shared" si="1"/>
        <v>0</v>
      </c>
    </row>
    <row r="111" spans="1:5" ht="15" x14ac:dyDescent="0.45">
      <c r="A111" s="5" t="s">
        <v>96</v>
      </c>
      <c r="B111" s="5" t="s">
        <v>3</v>
      </c>
      <c r="C111" s="2">
        <v>2</v>
      </c>
      <c r="D111" s="6">
        <v>25000</v>
      </c>
      <c r="E111" s="7">
        <f t="shared" si="1"/>
        <v>50000</v>
      </c>
    </row>
    <row r="112" spans="1:5" ht="15" hidden="1" x14ac:dyDescent="0.45">
      <c r="A112" s="5" t="s">
        <v>97</v>
      </c>
      <c r="B112" s="5" t="s">
        <v>44</v>
      </c>
      <c r="C112" s="2">
        <v>0</v>
      </c>
      <c r="D112" s="6"/>
      <c r="E112" s="7">
        <f t="shared" si="1"/>
        <v>0</v>
      </c>
    </row>
    <row r="113" spans="1:5" ht="15" hidden="1" x14ac:dyDescent="0.45">
      <c r="A113" s="5" t="s">
        <v>98</v>
      </c>
      <c r="B113" s="5" t="s">
        <v>3</v>
      </c>
      <c r="C113" s="2">
        <v>0</v>
      </c>
      <c r="D113" s="6"/>
      <c r="E113" s="7">
        <f t="shared" si="1"/>
        <v>0</v>
      </c>
    </row>
    <row r="114" spans="1:5" ht="15" hidden="1" x14ac:dyDescent="0.45">
      <c r="A114" s="5" t="s">
        <v>99</v>
      </c>
      <c r="B114" s="5" t="s">
        <v>44</v>
      </c>
      <c r="C114" s="2">
        <v>0</v>
      </c>
      <c r="D114" s="6"/>
      <c r="E114" s="7">
        <f t="shared" si="1"/>
        <v>0</v>
      </c>
    </row>
    <row r="115" spans="1:5" ht="15" x14ac:dyDescent="0.45">
      <c r="A115" s="5" t="s">
        <v>100</v>
      </c>
      <c r="B115" s="5" t="s">
        <v>3</v>
      </c>
      <c r="C115" s="2">
        <v>2</v>
      </c>
      <c r="D115" s="6">
        <v>25000</v>
      </c>
      <c r="E115" s="7">
        <f t="shared" si="1"/>
        <v>50000</v>
      </c>
    </row>
    <row r="116" spans="1:5" ht="15" hidden="1" x14ac:dyDescent="0.45">
      <c r="A116" s="5" t="s">
        <v>101</v>
      </c>
      <c r="B116" s="5" t="s">
        <v>44</v>
      </c>
      <c r="C116" s="2">
        <v>0</v>
      </c>
      <c r="D116" s="6"/>
      <c r="E116" s="7">
        <f t="shared" si="1"/>
        <v>0</v>
      </c>
    </row>
    <row r="117" spans="1:5" x14ac:dyDescent="0.45">
      <c r="E117" s="8">
        <f>SUM(E4:E115)</f>
        <v>108908033</v>
      </c>
    </row>
  </sheetData>
  <autoFilter ref="A2:E116" xr:uid="{00000000-0009-0000-0000-000000000000}">
    <filterColumn colId="2">
      <filters>
        <filter val="1"/>
        <filter val="1,160"/>
        <filter val="1,517"/>
        <filter val="10"/>
        <filter val="100"/>
        <filter val="102"/>
        <filter val="120"/>
        <filter val="15"/>
        <filter val="16"/>
        <filter val="160"/>
        <filter val="2"/>
        <filter val="20"/>
        <filter val="205"/>
        <filter val="210"/>
        <filter val="24"/>
        <filter val="240"/>
        <filter val="3"/>
        <filter val="317"/>
        <filter val="33"/>
        <filter val="353"/>
        <filter val="37"/>
        <filter val="4"/>
        <filter val="40"/>
        <filter val="430"/>
        <filter val="45"/>
        <filter val="460"/>
        <filter val="5"/>
        <filter val="50"/>
        <filter val="580"/>
        <filter val="60"/>
        <filter val="61"/>
        <filter val="625"/>
        <filter val="648"/>
        <filter val="660"/>
        <filter val="7"/>
        <filter val="70"/>
        <filter val="720"/>
        <filter val="74"/>
        <filter val="76"/>
        <filter val="790"/>
        <filter val="8"/>
        <filter val="80"/>
        <filter val="9"/>
        <filter val="9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11"/>
  <sheetViews>
    <sheetView workbookViewId="0">
      <selection activeCell="H24" sqref="H24"/>
    </sheetView>
  </sheetViews>
  <sheetFormatPr defaultRowHeight="14.25" x14ac:dyDescent="0.45"/>
  <cols>
    <col min="1" max="1" width="19.86328125" customWidth="1"/>
    <col min="3" max="3" width="11.46484375" customWidth="1"/>
    <col min="4" max="4" width="10.46484375" customWidth="1"/>
    <col min="5" max="5" width="16.796875" customWidth="1"/>
  </cols>
  <sheetData>
    <row r="1" spans="1:5" x14ac:dyDescent="0.45">
      <c r="A1" t="s">
        <v>110</v>
      </c>
    </row>
    <row r="2" spans="1:5" ht="18.75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55</v>
      </c>
      <c r="D3" s="2">
        <v>18000</v>
      </c>
      <c r="E3" s="6">
        <f>C3*D3</f>
        <v>990000</v>
      </c>
    </row>
    <row r="4" spans="1:5" ht="15" x14ac:dyDescent="0.45">
      <c r="A4" s="5" t="s">
        <v>4</v>
      </c>
      <c r="B4" s="5" t="s">
        <v>3</v>
      </c>
      <c r="C4" s="2">
        <v>590</v>
      </c>
      <c r="D4" s="2">
        <v>7000</v>
      </c>
      <c r="E4" s="6">
        <f t="shared" ref="E4:E67" si="0">C4*D4</f>
        <v>4130000</v>
      </c>
    </row>
    <row r="5" spans="1:5" ht="15" x14ac:dyDescent="0.45">
      <c r="A5" s="5" t="s">
        <v>5</v>
      </c>
      <c r="B5" s="5" t="s">
        <v>3</v>
      </c>
      <c r="C5" s="2">
        <v>694</v>
      </c>
      <c r="D5" s="2">
        <v>4000</v>
      </c>
      <c r="E5" s="6">
        <f t="shared" si="0"/>
        <v>2776000</v>
      </c>
    </row>
    <row r="6" spans="1:5" ht="15" x14ac:dyDescent="0.45">
      <c r="A6" s="5" t="s">
        <v>6</v>
      </c>
      <c r="B6" s="5" t="s">
        <v>3</v>
      </c>
      <c r="C6" s="2">
        <v>4</v>
      </c>
      <c r="D6" s="2">
        <v>10000</v>
      </c>
      <c r="E6" s="6">
        <f t="shared" si="0"/>
        <v>40000</v>
      </c>
    </row>
    <row r="7" spans="1:5" ht="15" x14ac:dyDescent="0.45">
      <c r="A7" s="5" t="s">
        <v>7</v>
      </c>
      <c r="B7" s="5" t="s">
        <v>3</v>
      </c>
      <c r="C7" s="2">
        <v>120</v>
      </c>
      <c r="D7" s="2">
        <v>6500</v>
      </c>
      <c r="E7" s="6">
        <f t="shared" si="0"/>
        <v>780000</v>
      </c>
    </row>
    <row r="8" spans="1:5" ht="15" x14ac:dyDescent="0.45">
      <c r="A8" s="5" t="s">
        <v>8</v>
      </c>
      <c r="B8" s="5" t="s">
        <v>3</v>
      </c>
      <c r="C8" s="2">
        <v>1185</v>
      </c>
      <c r="D8" s="2">
        <v>7000</v>
      </c>
      <c r="E8" s="6">
        <f t="shared" si="0"/>
        <v>8295000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110</v>
      </c>
      <c r="D10" s="2">
        <v>7500</v>
      </c>
      <c r="E10" s="6">
        <f t="shared" si="0"/>
        <v>825000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20</v>
      </c>
      <c r="D12" s="2">
        <v>10000</v>
      </c>
      <c r="E12" s="6">
        <f t="shared" si="0"/>
        <v>200000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5" ht="15" x14ac:dyDescent="0.45">
      <c r="A14" s="5" t="s">
        <v>13</v>
      </c>
      <c r="B14" s="5" t="s">
        <v>3</v>
      </c>
      <c r="C14" s="2">
        <v>47</v>
      </c>
      <c r="D14" s="2">
        <v>35000</v>
      </c>
      <c r="E14" s="6">
        <f t="shared" si="0"/>
        <v>1645000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x14ac:dyDescent="0.45">
      <c r="A16" s="5" t="s">
        <v>15</v>
      </c>
      <c r="B16" s="5" t="s">
        <v>3</v>
      </c>
      <c r="C16" s="2">
        <v>17</v>
      </c>
      <c r="D16" s="2">
        <v>14000</v>
      </c>
      <c r="E16" s="6">
        <f t="shared" si="0"/>
        <v>238000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x14ac:dyDescent="0.45">
      <c r="A18" s="5" t="s">
        <v>17</v>
      </c>
      <c r="B18" s="5" t="s">
        <v>18</v>
      </c>
      <c r="C18" s="2">
        <v>9</v>
      </c>
      <c r="D18" s="2">
        <v>5500</v>
      </c>
      <c r="E18" s="6">
        <f t="shared" si="0"/>
        <v>49500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400</v>
      </c>
      <c r="D20" s="2">
        <v>14000</v>
      </c>
      <c r="E20" s="6">
        <f t="shared" si="0"/>
        <v>5600000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x14ac:dyDescent="0.45">
      <c r="A22" s="5" t="s">
        <v>22</v>
      </c>
      <c r="B22" s="5" t="s">
        <v>3</v>
      </c>
      <c r="C22" s="2">
        <v>45</v>
      </c>
      <c r="D22" s="2">
        <v>10000</v>
      </c>
      <c r="E22" s="6">
        <f t="shared" si="0"/>
        <v>450000</v>
      </c>
    </row>
    <row r="23" spans="1:5" ht="15" hidden="1" x14ac:dyDescent="0.45">
      <c r="A23" s="5" t="s">
        <v>22</v>
      </c>
      <c r="B23" s="5" t="s">
        <v>23</v>
      </c>
      <c r="C23" s="2">
        <v>0</v>
      </c>
      <c r="D23" s="9"/>
      <c r="E23" s="6">
        <f t="shared" si="0"/>
        <v>0</v>
      </c>
    </row>
    <row r="24" spans="1:5" ht="15" x14ac:dyDescent="0.45">
      <c r="A24" s="5" t="s">
        <v>24</v>
      </c>
      <c r="B24" s="5" t="s">
        <v>3</v>
      </c>
      <c r="C24" s="2">
        <v>4</v>
      </c>
      <c r="D24" s="2">
        <v>15000</v>
      </c>
      <c r="E24" s="6">
        <f t="shared" si="0"/>
        <v>60000</v>
      </c>
    </row>
    <row r="25" spans="1:5" ht="15" x14ac:dyDescent="0.45">
      <c r="A25" s="5" t="s">
        <v>24</v>
      </c>
      <c r="B25" s="5" t="s">
        <v>25</v>
      </c>
      <c r="C25" s="2">
        <v>55</v>
      </c>
      <c r="D25" s="2">
        <v>4500</v>
      </c>
      <c r="E25" s="6">
        <f t="shared" si="0"/>
        <v>247500</v>
      </c>
    </row>
    <row r="26" spans="1:5" ht="15" hidden="1" x14ac:dyDescent="0.45">
      <c r="A26" s="5" t="s">
        <v>24</v>
      </c>
      <c r="B26" s="5" t="s">
        <v>106</v>
      </c>
      <c r="C26" s="2">
        <v>0</v>
      </c>
      <c r="D26" s="2"/>
      <c r="E26" s="6">
        <f t="shared" si="0"/>
        <v>0</v>
      </c>
    </row>
    <row r="27" spans="1:5" ht="15" x14ac:dyDescent="0.45">
      <c r="A27" s="5" t="s">
        <v>26</v>
      </c>
      <c r="B27" s="5" t="s">
        <v>27</v>
      </c>
      <c r="C27" s="2">
        <v>5</v>
      </c>
      <c r="D27" s="2">
        <v>10500</v>
      </c>
      <c r="E27" s="6">
        <f t="shared" si="0"/>
        <v>52500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20</v>
      </c>
      <c r="D29" s="2">
        <v>7500</v>
      </c>
      <c r="E29" s="6">
        <f t="shared" si="0"/>
        <v>150000</v>
      </c>
    </row>
    <row r="30" spans="1:5" ht="15" x14ac:dyDescent="0.45">
      <c r="A30" s="5" t="s">
        <v>30</v>
      </c>
      <c r="B30" s="5" t="s">
        <v>3</v>
      </c>
      <c r="C30" s="2">
        <v>220</v>
      </c>
      <c r="D30" s="2">
        <v>11000</v>
      </c>
      <c r="E30" s="6">
        <f t="shared" si="0"/>
        <v>2420000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2"/>
      <c r="E31" s="6">
        <f t="shared" si="0"/>
        <v>0</v>
      </c>
    </row>
    <row r="32" spans="1:5" ht="15" x14ac:dyDescent="0.45">
      <c r="A32" s="5" t="s">
        <v>31</v>
      </c>
      <c r="B32" s="5" t="s">
        <v>32</v>
      </c>
      <c r="C32" s="2">
        <v>40</v>
      </c>
      <c r="D32" s="2">
        <v>8000</v>
      </c>
      <c r="E32" s="6">
        <f t="shared" si="0"/>
        <v>320000</v>
      </c>
    </row>
    <row r="33" spans="1:5" ht="15" x14ac:dyDescent="0.45">
      <c r="A33" s="5" t="s">
        <v>33</v>
      </c>
      <c r="B33" s="5" t="s">
        <v>3</v>
      </c>
      <c r="C33" s="2">
        <v>45</v>
      </c>
      <c r="D33" s="2">
        <v>9000</v>
      </c>
      <c r="E33" s="6">
        <f t="shared" si="0"/>
        <v>405000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2"/>
      <c r="E34" s="6">
        <f t="shared" si="0"/>
        <v>0</v>
      </c>
    </row>
    <row r="35" spans="1:5" ht="15" x14ac:dyDescent="0.45">
      <c r="A35" s="5" t="s">
        <v>34</v>
      </c>
      <c r="B35" s="5" t="s">
        <v>18</v>
      </c>
      <c r="C35" s="2">
        <v>3</v>
      </c>
      <c r="D35" s="2">
        <v>6000</v>
      </c>
      <c r="E35" s="6">
        <f t="shared" si="0"/>
        <v>18000</v>
      </c>
    </row>
    <row r="36" spans="1:5" ht="15" x14ac:dyDescent="0.45">
      <c r="A36" s="5" t="s">
        <v>35</v>
      </c>
      <c r="B36" s="5" t="s">
        <v>3</v>
      </c>
      <c r="C36" s="2">
        <v>44</v>
      </c>
      <c r="D36" s="2">
        <v>8000</v>
      </c>
      <c r="E36" s="6">
        <f t="shared" si="0"/>
        <v>352000</v>
      </c>
    </row>
    <row r="37" spans="1:5" ht="15" hidden="1" x14ac:dyDescent="0.45">
      <c r="A37" s="5" t="s">
        <v>35</v>
      </c>
      <c r="B37" s="5" t="s">
        <v>36</v>
      </c>
      <c r="C37" s="2">
        <v>0</v>
      </c>
      <c r="D37" s="2"/>
      <c r="E37" s="6">
        <f t="shared" si="0"/>
        <v>0</v>
      </c>
    </row>
    <row r="38" spans="1:5" ht="15" x14ac:dyDescent="0.45">
      <c r="A38" s="5" t="s">
        <v>37</v>
      </c>
      <c r="B38" s="5" t="s">
        <v>3</v>
      </c>
      <c r="C38" s="2">
        <v>8</v>
      </c>
      <c r="D38" s="2">
        <v>16000</v>
      </c>
      <c r="E38" s="6">
        <f t="shared" si="0"/>
        <v>128000</v>
      </c>
    </row>
    <row r="39" spans="1:5" ht="15" hidden="1" x14ac:dyDescent="0.45">
      <c r="A39" s="5" t="s">
        <v>37</v>
      </c>
      <c r="B39" s="5" t="s">
        <v>32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38</v>
      </c>
      <c r="B40" s="5" t="s">
        <v>32</v>
      </c>
      <c r="C40" s="2">
        <v>7</v>
      </c>
      <c r="D40" s="2">
        <v>3000</v>
      </c>
      <c r="E40" s="6">
        <f t="shared" si="0"/>
        <v>21000</v>
      </c>
    </row>
    <row r="41" spans="1:5" ht="15" x14ac:dyDescent="0.45">
      <c r="A41" s="5" t="s">
        <v>39</v>
      </c>
      <c r="B41" s="5" t="s">
        <v>3</v>
      </c>
      <c r="C41" s="2">
        <v>7</v>
      </c>
      <c r="D41" s="2">
        <v>15000</v>
      </c>
      <c r="E41" s="6">
        <f t="shared" si="0"/>
        <v>105000</v>
      </c>
    </row>
    <row r="42" spans="1:5" ht="15" x14ac:dyDescent="0.45">
      <c r="A42" s="5" t="s">
        <v>39</v>
      </c>
      <c r="B42" s="5" t="s">
        <v>32</v>
      </c>
      <c r="C42" s="2">
        <v>9</v>
      </c>
      <c r="D42" s="2">
        <v>5000</v>
      </c>
      <c r="E42" s="6">
        <f t="shared" si="0"/>
        <v>45000</v>
      </c>
    </row>
    <row r="43" spans="1:5" ht="15" x14ac:dyDescent="0.45">
      <c r="A43" s="5" t="s">
        <v>40</v>
      </c>
      <c r="B43" s="5" t="s">
        <v>3</v>
      </c>
      <c r="C43" s="2">
        <v>450</v>
      </c>
      <c r="D43" s="2">
        <v>4500</v>
      </c>
      <c r="E43" s="6">
        <f t="shared" si="0"/>
        <v>2025000</v>
      </c>
    </row>
    <row r="44" spans="1:5" ht="15" hidden="1" x14ac:dyDescent="0.45">
      <c r="A44" s="5" t="s">
        <v>41</v>
      </c>
      <c r="B44" s="5" t="s">
        <v>3</v>
      </c>
      <c r="C44" s="2">
        <v>0</v>
      </c>
      <c r="D44" s="2"/>
      <c r="E44" s="6">
        <f t="shared" si="0"/>
        <v>0</v>
      </c>
    </row>
    <row r="45" spans="1:5" ht="15" x14ac:dyDescent="0.45">
      <c r="A45" s="5" t="s">
        <v>42</v>
      </c>
      <c r="B45" s="5" t="s">
        <v>3</v>
      </c>
      <c r="C45" s="2">
        <v>250</v>
      </c>
      <c r="D45" s="2">
        <v>3500</v>
      </c>
      <c r="E45" s="6">
        <f t="shared" si="0"/>
        <v>875000</v>
      </c>
    </row>
    <row r="46" spans="1:5" ht="15" x14ac:dyDescent="0.45">
      <c r="A46" s="5" t="s">
        <v>43</v>
      </c>
      <c r="B46" s="5" t="s">
        <v>3</v>
      </c>
      <c r="C46" s="2">
        <v>50</v>
      </c>
      <c r="D46" s="2">
        <v>12000</v>
      </c>
      <c r="E46" s="6">
        <f t="shared" si="0"/>
        <v>600000</v>
      </c>
    </row>
    <row r="47" spans="1:5" ht="15" hidden="1" x14ac:dyDescent="0.45">
      <c r="A47" s="5" t="s">
        <v>43</v>
      </c>
      <c r="B47" s="5" t="s">
        <v>44</v>
      </c>
      <c r="C47" s="2">
        <v>0</v>
      </c>
      <c r="D47" s="2"/>
      <c r="E47" s="6">
        <f t="shared" si="0"/>
        <v>0</v>
      </c>
    </row>
    <row r="48" spans="1:5" ht="15" x14ac:dyDescent="0.45">
      <c r="A48" s="5" t="s">
        <v>45</v>
      </c>
      <c r="B48" s="5" t="s">
        <v>3</v>
      </c>
      <c r="C48" s="2">
        <v>2</v>
      </c>
      <c r="D48" s="2">
        <v>37000</v>
      </c>
      <c r="E48" s="6">
        <f t="shared" si="0"/>
        <v>74000</v>
      </c>
    </row>
    <row r="49" spans="1:5" ht="15" hidden="1" x14ac:dyDescent="0.45">
      <c r="A49" s="5" t="s">
        <v>46</v>
      </c>
      <c r="B49" s="5" t="s">
        <v>3</v>
      </c>
      <c r="C49" s="2">
        <v>0</v>
      </c>
      <c r="D49" s="2"/>
      <c r="E49" s="6">
        <f t="shared" si="0"/>
        <v>0</v>
      </c>
    </row>
    <row r="50" spans="1:5" ht="15" hidden="1" x14ac:dyDescent="0.45">
      <c r="A50" s="5" t="s">
        <v>47</v>
      </c>
      <c r="B50" s="5" t="s">
        <v>27</v>
      </c>
      <c r="C50" s="2">
        <v>0</v>
      </c>
      <c r="D50" s="2"/>
      <c r="E50" s="6">
        <f t="shared" si="0"/>
        <v>0</v>
      </c>
    </row>
    <row r="51" spans="1:5" ht="15" x14ac:dyDescent="0.45">
      <c r="A51" s="5" t="s">
        <v>107</v>
      </c>
      <c r="B51" s="5" t="s">
        <v>3</v>
      </c>
      <c r="C51" s="2">
        <v>0.5</v>
      </c>
      <c r="D51" s="2">
        <v>16000</v>
      </c>
      <c r="E51" s="6">
        <f t="shared" si="0"/>
        <v>8000</v>
      </c>
    </row>
    <row r="52" spans="1:5" ht="15" x14ac:dyDescent="0.45">
      <c r="A52" s="5" t="s">
        <v>48</v>
      </c>
      <c r="B52" s="5" t="s">
        <v>3</v>
      </c>
      <c r="C52" s="2">
        <v>10</v>
      </c>
      <c r="D52" s="2">
        <v>6500</v>
      </c>
      <c r="E52" s="6">
        <f t="shared" si="0"/>
        <v>65000</v>
      </c>
    </row>
    <row r="53" spans="1:5" ht="15" x14ac:dyDescent="0.45">
      <c r="A53" s="5" t="s">
        <v>49</v>
      </c>
      <c r="B53" s="5" t="s">
        <v>3</v>
      </c>
      <c r="C53" s="2">
        <v>36</v>
      </c>
      <c r="D53" s="2">
        <v>8000</v>
      </c>
      <c r="E53" s="6">
        <f t="shared" si="0"/>
        <v>288000</v>
      </c>
    </row>
    <row r="54" spans="1:5" ht="15" hidden="1" x14ac:dyDescent="0.45">
      <c r="A54" s="5" t="s">
        <v>49</v>
      </c>
      <c r="B54" s="5" t="s">
        <v>32</v>
      </c>
      <c r="C54" s="2">
        <v>0</v>
      </c>
      <c r="D54" s="10"/>
      <c r="E54" s="6">
        <f t="shared" si="0"/>
        <v>0</v>
      </c>
    </row>
    <row r="55" spans="1:5" ht="15" x14ac:dyDescent="0.45">
      <c r="A55" s="5" t="s">
        <v>50</v>
      </c>
      <c r="B55" s="5" t="s">
        <v>3</v>
      </c>
      <c r="C55" s="2">
        <v>14</v>
      </c>
      <c r="D55" s="2">
        <v>21000</v>
      </c>
      <c r="E55" s="6">
        <f t="shared" si="0"/>
        <v>294000</v>
      </c>
    </row>
    <row r="56" spans="1:5" ht="15" x14ac:dyDescent="0.45">
      <c r="A56" s="5" t="s">
        <v>51</v>
      </c>
      <c r="B56" s="5" t="s">
        <v>3</v>
      </c>
      <c r="C56" s="2">
        <v>450</v>
      </c>
      <c r="D56" s="2">
        <v>5500</v>
      </c>
      <c r="E56" s="6">
        <f t="shared" si="0"/>
        <v>2475000</v>
      </c>
    </row>
    <row r="57" spans="1:5" ht="15" hidden="1" x14ac:dyDescent="0.45">
      <c r="A57" s="5" t="s">
        <v>51</v>
      </c>
      <c r="B57" s="5" t="s">
        <v>52</v>
      </c>
      <c r="C57" s="2">
        <v>0</v>
      </c>
      <c r="D57" s="2"/>
      <c r="E57" s="6">
        <f t="shared" si="0"/>
        <v>0</v>
      </c>
    </row>
    <row r="58" spans="1:5" ht="15" x14ac:dyDescent="0.45">
      <c r="A58" s="5" t="s">
        <v>53</v>
      </c>
      <c r="B58" s="5" t="s">
        <v>3</v>
      </c>
      <c r="C58" s="2">
        <v>75</v>
      </c>
      <c r="D58" s="2">
        <v>20000</v>
      </c>
      <c r="E58" s="6">
        <f t="shared" si="0"/>
        <v>1500000</v>
      </c>
    </row>
    <row r="59" spans="1:5" ht="15" x14ac:dyDescent="0.45">
      <c r="A59" s="5" t="s">
        <v>54</v>
      </c>
      <c r="B59" s="5" t="s">
        <v>32</v>
      </c>
      <c r="C59" s="2">
        <v>633</v>
      </c>
      <c r="D59" s="2">
        <v>1350</v>
      </c>
      <c r="E59" s="6">
        <f t="shared" si="0"/>
        <v>854550</v>
      </c>
    </row>
    <row r="60" spans="1:5" ht="15" x14ac:dyDescent="0.45">
      <c r="A60" s="5" t="s">
        <v>55</v>
      </c>
      <c r="B60" s="5" t="s">
        <v>3</v>
      </c>
      <c r="C60" s="2">
        <v>1128</v>
      </c>
      <c r="D60" s="2">
        <v>21500</v>
      </c>
      <c r="E60" s="6">
        <f t="shared" si="0"/>
        <v>24252000</v>
      </c>
    </row>
    <row r="61" spans="1:5" ht="15" x14ac:dyDescent="0.45">
      <c r="A61" s="5" t="s">
        <v>56</v>
      </c>
      <c r="B61" s="5" t="s">
        <v>3</v>
      </c>
      <c r="C61" s="2">
        <v>217</v>
      </c>
      <c r="D61" s="2">
        <v>26000</v>
      </c>
      <c r="E61" s="6">
        <f t="shared" si="0"/>
        <v>5642000</v>
      </c>
    </row>
    <row r="62" spans="1:5" ht="15" hidden="1" x14ac:dyDescent="0.45">
      <c r="A62" s="5" t="s">
        <v>57</v>
      </c>
      <c r="B62" s="5" t="s">
        <v>3</v>
      </c>
      <c r="C62" s="2">
        <v>0</v>
      </c>
      <c r="D62" s="2"/>
      <c r="E62" s="6">
        <f t="shared" si="0"/>
        <v>0</v>
      </c>
    </row>
    <row r="63" spans="1:5" ht="15" x14ac:dyDescent="0.45">
      <c r="A63" s="5" t="s">
        <v>58</v>
      </c>
      <c r="B63" s="5" t="s">
        <v>3</v>
      </c>
      <c r="C63" s="2">
        <v>32</v>
      </c>
      <c r="D63" s="2">
        <v>21000</v>
      </c>
      <c r="E63" s="6">
        <f t="shared" si="0"/>
        <v>672000</v>
      </c>
    </row>
    <row r="64" spans="1:5" ht="15" hidden="1" x14ac:dyDescent="0.45">
      <c r="A64" s="5" t="s">
        <v>59</v>
      </c>
      <c r="B64" s="5" t="s">
        <v>32</v>
      </c>
      <c r="C64" s="2">
        <v>0</v>
      </c>
      <c r="D64" s="2"/>
      <c r="E64" s="6">
        <f t="shared" si="0"/>
        <v>0</v>
      </c>
    </row>
    <row r="65" spans="1:5" ht="15" x14ac:dyDescent="0.45">
      <c r="A65" s="5" t="s">
        <v>60</v>
      </c>
      <c r="B65" s="5" t="s">
        <v>3</v>
      </c>
      <c r="C65" s="2">
        <v>4</v>
      </c>
      <c r="D65" s="2">
        <v>16000</v>
      </c>
      <c r="E65" s="6">
        <f t="shared" si="0"/>
        <v>64000</v>
      </c>
    </row>
    <row r="66" spans="1:5" ht="15" x14ac:dyDescent="0.45">
      <c r="A66" s="5" t="s">
        <v>61</v>
      </c>
      <c r="B66" s="5" t="s">
        <v>3</v>
      </c>
      <c r="C66" s="2">
        <v>1045</v>
      </c>
      <c r="D66" s="2">
        <v>11500</v>
      </c>
      <c r="E66" s="6">
        <f t="shared" si="0"/>
        <v>12017500</v>
      </c>
    </row>
    <row r="67" spans="1:5" ht="15" hidden="1" x14ac:dyDescent="0.45">
      <c r="A67" s="5" t="s">
        <v>61</v>
      </c>
      <c r="B67" s="5" t="s">
        <v>32</v>
      </c>
      <c r="C67" s="2">
        <v>0</v>
      </c>
      <c r="D67" s="2"/>
      <c r="E67" s="6">
        <f t="shared" si="0"/>
        <v>0</v>
      </c>
    </row>
    <row r="68" spans="1:5" ht="15" x14ac:dyDescent="0.45">
      <c r="A68" s="5" t="s">
        <v>62</v>
      </c>
      <c r="B68" s="5" t="s">
        <v>32</v>
      </c>
      <c r="C68" s="2">
        <v>50</v>
      </c>
      <c r="D68" s="2">
        <v>5000</v>
      </c>
      <c r="E68" s="6">
        <f t="shared" ref="E68:E110" si="1">C68*D68</f>
        <v>250000</v>
      </c>
    </row>
    <row r="69" spans="1:5" ht="15" x14ac:dyDescent="0.45">
      <c r="A69" s="5" t="s">
        <v>63</v>
      </c>
      <c r="B69" s="5" t="s">
        <v>3</v>
      </c>
      <c r="C69" s="2">
        <v>17</v>
      </c>
      <c r="D69" s="2">
        <v>11000</v>
      </c>
      <c r="E69" s="6">
        <f t="shared" si="1"/>
        <v>187000</v>
      </c>
    </row>
    <row r="70" spans="1:5" ht="15" x14ac:dyDescent="0.45">
      <c r="A70" s="5" t="s">
        <v>64</v>
      </c>
      <c r="B70" s="5" t="s">
        <v>32</v>
      </c>
      <c r="C70" s="2">
        <v>15</v>
      </c>
      <c r="D70" s="2">
        <v>6000</v>
      </c>
      <c r="E70" s="6">
        <f t="shared" si="1"/>
        <v>90000</v>
      </c>
    </row>
    <row r="71" spans="1:5" ht="15" hidden="1" x14ac:dyDescent="0.45">
      <c r="A71" s="5" t="s">
        <v>65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x14ac:dyDescent="0.45">
      <c r="A72" s="5" t="s">
        <v>65</v>
      </c>
      <c r="B72" s="5" t="s">
        <v>32</v>
      </c>
      <c r="C72" s="2">
        <v>51</v>
      </c>
      <c r="D72" s="2">
        <v>8000</v>
      </c>
      <c r="E72" s="6">
        <f t="shared" si="1"/>
        <v>408000</v>
      </c>
    </row>
    <row r="73" spans="1:5" ht="15" x14ac:dyDescent="0.45">
      <c r="A73" s="5" t="s">
        <v>66</v>
      </c>
      <c r="B73" s="5" t="s">
        <v>3</v>
      </c>
      <c r="C73" s="2">
        <v>1.5</v>
      </c>
      <c r="D73" s="10">
        <v>80000</v>
      </c>
      <c r="E73" s="6">
        <f t="shared" si="1"/>
        <v>120000</v>
      </c>
    </row>
    <row r="74" spans="1:5" ht="15" x14ac:dyDescent="0.45">
      <c r="A74" s="5" t="s">
        <v>68</v>
      </c>
      <c r="B74" s="5" t="s">
        <v>3</v>
      </c>
      <c r="C74" s="2">
        <v>1.5</v>
      </c>
      <c r="D74" s="2">
        <v>70000</v>
      </c>
      <c r="E74" s="6">
        <f t="shared" si="1"/>
        <v>105000</v>
      </c>
    </row>
    <row r="75" spans="1:5" ht="15" x14ac:dyDescent="0.45">
      <c r="A75" s="5" t="s">
        <v>69</v>
      </c>
      <c r="B75" s="5" t="s">
        <v>3</v>
      </c>
      <c r="C75" s="2">
        <v>1</v>
      </c>
      <c r="D75" s="2">
        <v>70000</v>
      </c>
      <c r="E75" s="6">
        <f t="shared" si="1"/>
        <v>70000</v>
      </c>
    </row>
    <row r="76" spans="1:5" ht="15" hidden="1" x14ac:dyDescent="0.45">
      <c r="A76" s="5" t="s">
        <v>70</v>
      </c>
      <c r="B76" s="5" t="s">
        <v>3</v>
      </c>
      <c r="C76" s="2">
        <v>0</v>
      </c>
      <c r="D76" s="2"/>
      <c r="E76" s="6">
        <f t="shared" si="1"/>
        <v>0</v>
      </c>
    </row>
    <row r="77" spans="1:5" ht="15" x14ac:dyDescent="0.45">
      <c r="A77" s="5" t="s">
        <v>70</v>
      </c>
      <c r="B77" s="5" t="s">
        <v>18</v>
      </c>
      <c r="C77" s="2">
        <v>510</v>
      </c>
      <c r="D77" s="2">
        <v>6500</v>
      </c>
      <c r="E77" s="6">
        <f t="shared" si="1"/>
        <v>3315000</v>
      </c>
    </row>
    <row r="78" spans="1:5" ht="15" hidden="1" x14ac:dyDescent="0.45">
      <c r="A78" s="5" t="s">
        <v>71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x14ac:dyDescent="0.45">
      <c r="A79" s="5" t="s">
        <v>72</v>
      </c>
      <c r="B79" s="5" t="s">
        <v>3</v>
      </c>
      <c r="C79" s="2">
        <v>20</v>
      </c>
      <c r="D79" s="2">
        <v>14000</v>
      </c>
      <c r="E79" s="6">
        <f t="shared" si="1"/>
        <v>280000</v>
      </c>
    </row>
    <row r="80" spans="1:5" ht="15" x14ac:dyDescent="0.45">
      <c r="A80" s="5" t="s">
        <v>73</v>
      </c>
      <c r="B80" s="5" t="s">
        <v>3</v>
      </c>
      <c r="C80" s="2">
        <v>35</v>
      </c>
      <c r="D80" s="2">
        <v>10500</v>
      </c>
      <c r="E80" s="6">
        <f t="shared" si="1"/>
        <v>367500</v>
      </c>
    </row>
    <row r="81" spans="1:5" ht="15" hidden="1" x14ac:dyDescent="0.45">
      <c r="A81" s="5" t="s">
        <v>73</v>
      </c>
      <c r="B81" s="5" t="s">
        <v>44</v>
      </c>
      <c r="C81" s="2">
        <v>0</v>
      </c>
      <c r="D81" s="2"/>
      <c r="E81" s="6">
        <f t="shared" si="1"/>
        <v>0</v>
      </c>
    </row>
    <row r="82" spans="1:5" ht="15" hidden="1" x14ac:dyDescent="0.45">
      <c r="A82" s="5" t="s">
        <v>108</v>
      </c>
      <c r="B82" s="5" t="s">
        <v>3</v>
      </c>
      <c r="C82" s="2">
        <v>0</v>
      </c>
      <c r="D82" s="2"/>
      <c r="E82" s="6">
        <f t="shared" si="1"/>
        <v>0</v>
      </c>
    </row>
    <row r="83" spans="1:5" ht="15" hidden="1" x14ac:dyDescent="0.45">
      <c r="A83" s="5" t="s">
        <v>74</v>
      </c>
      <c r="B83" s="5" t="s">
        <v>32</v>
      </c>
      <c r="C83" s="2">
        <v>0</v>
      </c>
      <c r="D83" s="2"/>
      <c r="E83" s="6">
        <f t="shared" si="1"/>
        <v>0</v>
      </c>
    </row>
    <row r="84" spans="1:5" ht="15" x14ac:dyDescent="0.45">
      <c r="A84" s="5" t="s">
        <v>75</v>
      </c>
      <c r="B84" s="5" t="s">
        <v>3</v>
      </c>
      <c r="C84" s="2">
        <v>6</v>
      </c>
      <c r="D84" s="2">
        <v>14000</v>
      </c>
      <c r="E84" s="6">
        <f t="shared" si="1"/>
        <v>84000</v>
      </c>
    </row>
    <row r="85" spans="1:5" ht="15" x14ac:dyDescent="0.45">
      <c r="A85" s="5" t="s">
        <v>76</v>
      </c>
      <c r="B85" s="5" t="s">
        <v>27</v>
      </c>
      <c r="C85" s="2">
        <v>34</v>
      </c>
      <c r="D85" s="2">
        <v>80000</v>
      </c>
      <c r="E85" s="6">
        <f t="shared" si="1"/>
        <v>2720000</v>
      </c>
    </row>
    <row r="86" spans="1:5" ht="15" hidden="1" x14ac:dyDescent="0.45">
      <c r="A86" s="5" t="s">
        <v>79</v>
      </c>
      <c r="B86" s="5" t="s">
        <v>18</v>
      </c>
      <c r="C86" s="2">
        <v>0</v>
      </c>
      <c r="D86" s="2"/>
      <c r="E86" s="6">
        <f t="shared" si="1"/>
        <v>0</v>
      </c>
    </row>
    <row r="87" spans="1:5" ht="15" hidden="1" x14ac:dyDescent="0.45">
      <c r="A87" s="5" t="s">
        <v>80</v>
      </c>
      <c r="B87" s="5" t="s">
        <v>27</v>
      </c>
      <c r="C87" s="2">
        <v>0</v>
      </c>
      <c r="D87" s="2"/>
      <c r="E87" s="6">
        <f t="shared" si="1"/>
        <v>0</v>
      </c>
    </row>
    <row r="88" spans="1:5" ht="15" x14ac:dyDescent="0.45">
      <c r="A88" s="5" t="s">
        <v>81</v>
      </c>
      <c r="B88" s="5" t="s">
        <v>3</v>
      </c>
      <c r="C88" s="2">
        <v>75</v>
      </c>
      <c r="D88" s="2">
        <v>26000</v>
      </c>
      <c r="E88" s="6">
        <f t="shared" si="1"/>
        <v>1950000</v>
      </c>
    </row>
    <row r="89" spans="1:5" ht="15" hidden="1" x14ac:dyDescent="0.45">
      <c r="A89" s="5" t="s">
        <v>81</v>
      </c>
      <c r="B89" s="5" t="s">
        <v>11</v>
      </c>
      <c r="C89" s="2">
        <v>0</v>
      </c>
      <c r="D89" s="2"/>
      <c r="E89" s="6">
        <f t="shared" si="1"/>
        <v>0</v>
      </c>
    </row>
    <row r="90" spans="1:5" ht="15" x14ac:dyDescent="0.45">
      <c r="A90" s="5" t="s">
        <v>82</v>
      </c>
      <c r="B90" s="5" t="s">
        <v>3</v>
      </c>
      <c r="C90" s="2">
        <v>20</v>
      </c>
      <c r="D90" s="2">
        <v>20000</v>
      </c>
      <c r="E90" s="6">
        <f t="shared" si="1"/>
        <v>400000</v>
      </c>
    </row>
    <row r="91" spans="1:5" ht="15" x14ac:dyDescent="0.45">
      <c r="A91" s="5" t="s">
        <v>83</v>
      </c>
      <c r="B91" s="5" t="s">
        <v>3</v>
      </c>
      <c r="C91" s="2">
        <v>40</v>
      </c>
      <c r="D91" s="2">
        <v>22000</v>
      </c>
      <c r="E91" s="6">
        <f t="shared" si="1"/>
        <v>880000</v>
      </c>
    </row>
    <row r="92" spans="1:5" ht="15" hidden="1" x14ac:dyDescent="0.45">
      <c r="A92" s="5" t="s">
        <v>83</v>
      </c>
      <c r="B92" s="5" t="s">
        <v>11</v>
      </c>
      <c r="C92" s="2">
        <v>0</v>
      </c>
      <c r="D92" s="2"/>
      <c r="E92" s="6">
        <f t="shared" si="1"/>
        <v>0</v>
      </c>
    </row>
    <row r="93" spans="1:5" ht="15" x14ac:dyDescent="0.45">
      <c r="A93" s="5" t="s">
        <v>84</v>
      </c>
      <c r="B93" s="5" t="s">
        <v>3</v>
      </c>
      <c r="C93" s="2">
        <v>15</v>
      </c>
      <c r="D93" s="2">
        <v>16000</v>
      </c>
      <c r="E93" s="6">
        <f t="shared" si="1"/>
        <v>240000</v>
      </c>
    </row>
    <row r="94" spans="1:5" ht="15" x14ac:dyDescent="0.45">
      <c r="A94" s="5" t="s">
        <v>85</v>
      </c>
      <c r="B94" s="5" t="s">
        <v>3</v>
      </c>
      <c r="C94" s="2">
        <v>28</v>
      </c>
      <c r="D94" s="2">
        <v>27000</v>
      </c>
      <c r="E94" s="6">
        <f t="shared" si="1"/>
        <v>756000</v>
      </c>
    </row>
    <row r="95" spans="1:5" ht="15" hidden="1" x14ac:dyDescent="0.45">
      <c r="A95" s="5" t="s">
        <v>85</v>
      </c>
      <c r="B95" s="5" t="s">
        <v>11</v>
      </c>
      <c r="C95" s="2">
        <v>0</v>
      </c>
      <c r="D95" s="2"/>
      <c r="E95" s="6">
        <f t="shared" si="1"/>
        <v>0</v>
      </c>
    </row>
    <row r="96" spans="1:5" ht="15" hidden="1" x14ac:dyDescent="0.45">
      <c r="A96" s="5" t="s">
        <v>86</v>
      </c>
      <c r="B96" s="5" t="s">
        <v>32</v>
      </c>
      <c r="C96" s="2">
        <v>0</v>
      </c>
      <c r="D96" s="2"/>
      <c r="E96" s="6">
        <f t="shared" si="1"/>
        <v>0</v>
      </c>
    </row>
    <row r="97" spans="1:5" ht="15" x14ac:dyDescent="0.45">
      <c r="A97" s="5" t="s">
        <v>109</v>
      </c>
      <c r="B97" s="5" t="s">
        <v>3</v>
      </c>
      <c r="C97" s="2">
        <v>7</v>
      </c>
      <c r="D97" s="2">
        <v>21000</v>
      </c>
      <c r="E97" s="6">
        <f t="shared" si="1"/>
        <v>147000</v>
      </c>
    </row>
    <row r="98" spans="1:5" ht="15" x14ac:dyDescent="0.45">
      <c r="A98" s="5" t="s">
        <v>87</v>
      </c>
      <c r="B98" s="5" t="s">
        <v>32</v>
      </c>
      <c r="C98" s="2">
        <v>36</v>
      </c>
      <c r="D98" s="2">
        <v>9000</v>
      </c>
      <c r="E98" s="6">
        <f t="shared" si="1"/>
        <v>324000</v>
      </c>
    </row>
    <row r="99" spans="1:5" ht="15" hidden="1" x14ac:dyDescent="0.45">
      <c r="A99" s="5" t="s">
        <v>89</v>
      </c>
      <c r="B99" s="5" t="s">
        <v>11</v>
      </c>
      <c r="C99" s="2">
        <v>0</v>
      </c>
      <c r="D99" s="2"/>
      <c r="E99" s="6">
        <f t="shared" si="1"/>
        <v>0</v>
      </c>
    </row>
    <row r="100" spans="1:5" ht="15" x14ac:dyDescent="0.45">
      <c r="A100" s="5" t="s">
        <v>90</v>
      </c>
      <c r="B100" s="5" t="s">
        <v>11</v>
      </c>
      <c r="C100" s="2">
        <v>353</v>
      </c>
      <c r="D100" s="2">
        <v>11361</v>
      </c>
      <c r="E100" s="6">
        <f t="shared" si="1"/>
        <v>4010433</v>
      </c>
    </row>
    <row r="101" spans="1:5" ht="15" x14ac:dyDescent="0.45">
      <c r="A101" s="5" t="s">
        <v>91</v>
      </c>
      <c r="B101" s="5" t="s">
        <v>3</v>
      </c>
      <c r="C101" s="2">
        <v>10</v>
      </c>
      <c r="D101" s="9">
        <v>18000</v>
      </c>
      <c r="E101" s="6">
        <f t="shared" si="1"/>
        <v>180000</v>
      </c>
    </row>
    <row r="102" spans="1:5" ht="15" x14ac:dyDescent="0.45">
      <c r="A102" s="5" t="s">
        <v>92</v>
      </c>
      <c r="B102" s="5" t="s">
        <v>3</v>
      </c>
      <c r="C102" s="2">
        <v>20</v>
      </c>
      <c r="D102" s="2">
        <v>8000</v>
      </c>
      <c r="E102" s="6">
        <f t="shared" si="1"/>
        <v>160000</v>
      </c>
    </row>
    <row r="103" spans="1:5" ht="15" x14ac:dyDescent="0.45">
      <c r="A103" s="5" t="s">
        <v>93</v>
      </c>
      <c r="B103" s="5" t="s">
        <v>3</v>
      </c>
      <c r="C103" s="2">
        <v>5</v>
      </c>
      <c r="D103" s="2">
        <v>32000</v>
      </c>
      <c r="E103" s="6">
        <f t="shared" si="1"/>
        <v>160000</v>
      </c>
    </row>
    <row r="104" spans="1:5" ht="15" x14ac:dyDescent="0.45">
      <c r="A104" s="5" t="s">
        <v>94</v>
      </c>
      <c r="B104" s="5" t="s">
        <v>3</v>
      </c>
      <c r="C104" s="2">
        <v>10</v>
      </c>
      <c r="D104" s="2">
        <v>15000</v>
      </c>
      <c r="E104" s="6">
        <f t="shared" si="1"/>
        <v>150000</v>
      </c>
    </row>
    <row r="105" spans="1:5" ht="15" hidden="1" x14ac:dyDescent="0.45">
      <c r="A105" s="5" t="s">
        <v>96</v>
      </c>
      <c r="B105" s="5" t="s">
        <v>3</v>
      </c>
      <c r="C105" s="2">
        <v>0</v>
      </c>
      <c r="D105" s="2"/>
      <c r="E105" s="6">
        <f t="shared" si="1"/>
        <v>0</v>
      </c>
    </row>
    <row r="106" spans="1:5" ht="15" hidden="1" x14ac:dyDescent="0.45">
      <c r="A106" s="5" t="s">
        <v>97</v>
      </c>
      <c r="B106" s="5" t="s">
        <v>44</v>
      </c>
      <c r="C106" s="2">
        <v>0</v>
      </c>
      <c r="D106" s="2"/>
      <c r="E106" s="6">
        <f t="shared" si="1"/>
        <v>0</v>
      </c>
    </row>
    <row r="107" spans="1:5" ht="15" hidden="1" x14ac:dyDescent="0.45">
      <c r="A107" s="5" t="s">
        <v>98</v>
      </c>
      <c r="B107" s="5" t="s">
        <v>3</v>
      </c>
      <c r="C107" s="2">
        <v>0</v>
      </c>
      <c r="D107" s="2"/>
      <c r="E107" s="6">
        <f t="shared" si="1"/>
        <v>0</v>
      </c>
    </row>
    <row r="108" spans="1:5" ht="15" hidden="1" x14ac:dyDescent="0.45">
      <c r="A108" s="5" t="s">
        <v>99</v>
      </c>
      <c r="B108" s="5" t="s">
        <v>44</v>
      </c>
      <c r="C108" s="2">
        <v>0</v>
      </c>
      <c r="D108" s="2"/>
      <c r="E108" s="6">
        <f t="shared" si="1"/>
        <v>0</v>
      </c>
    </row>
    <row r="109" spans="1:5" ht="15" hidden="1" x14ac:dyDescent="0.45">
      <c r="A109" s="5" t="s">
        <v>100</v>
      </c>
      <c r="B109" s="5" t="s">
        <v>3</v>
      </c>
      <c r="C109" s="2">
        <v>0</v>
      </c>
      <c r="D109" s="2"/>
      <c r="E109" s="6">
        <f t="shared" si="1"/>
        <v>0</v>
      </c>
    </row>
    <row r="110" spans="1:5" ht="15" x14ac:dyDescent="0.45">
      <c r="A110" s="5" t="s">
        <v>101</v>
      </c>
      <c r="B110" s="5" t="s">
        <v>44</v>
      </c>
      <c r="C110" s="2">
        <v>50</v>
      </c>
      <c r="D110" s="2">
        <v>7000</v>
      </c>
      <c r="E110" s="6">
        <f t="shared" si="1"/>
        <v>350000</v>
      </c>
    </row>
    <row r="111" spans="1:5" x14ac:dyDescent="0.45">
      <c r="E111" s="8">
        <f>SUM(E3:E110)</f>
        <v>99752483</v>
      </c>
    </row>
  </sheetData>
  <autoFilter ref="A2:F110" xr:uid="{00000000-0009-0000-0000-000001000000}">
    <filterColumn colId="2">
      <filters>
        <filter val="1"/>
        <filter val="1,045"/>
        <filter val="1,128"/>
        <filter val="1,185"/>
        <filter val="10"/>
        <filter val="110"/>
        <filter val="120"/>
        <filter val="14"/>
        <filter val="15"/>
        <filter val="17"/>
        <filter val="2"/>
        <filter val="20"/>
        <filter val="217"/>
        <filter val="220"/>
        <filter val="250"/>
        <filter val="28"/>
        <filter val="3"/>
        <filter val="32"/>
        <filter val="34"/>
        <filter val="35"/>
        <filter val="353"/>
        <filter val="36"/>
        <filter val="4"/>
        <filter val="40"/>
        <filter val="400"/>
        <filter val="44"/>
        <filter val="45"/>
        <filter val="450"/>
        <filter val="47"/>
        <filter val="5"/>
        <filter val="50"/>
        <filter val="51"/>
        <filter val="510"/>
        <filter val="55"/>
        <filter val="590"/>
        <filter val="6"/>
        <filter val="633"/>
        <filter val="694"/>
        <filter val="7"/>
        <filter val="75"/>
        <filter val="8"/>
        <filter val="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20"/>
  <sheetViews>
    <sheetView workbookViewId="0">
      <selection activeCell="H28" sqref="H28"/>
    </sheetView>
  </sheetViews>
  <sheetFormatPr defaultRowHeight="14.25" x14ac:dyDescent="0.45"/>
  <cols>
    <col min="1" max="1" width="28.46484375" customWidth="1"/>
    <col min="4" max="4" width="14" customWidth="1"/>
    <col min="5" max="5" width="19.06640625" customWidth="1"/>
  </cols>
  <sheetData>
    <row r="1" spans="1:5" x14ac:dyDescent="0.45">
      <c r="A1" t="s">
        <v>115</v>
      </c>
    </row>
    <row r="2" spans="1:5" ht="37.799999999999997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26</v>
      </c>
      <c r="D3" s="2">
        <v>18000</v>
      </c>
      <c r="E3" s="6">
        <f>C3*D3</f>
        <v>468000</v>
      </c>
    </row>
    <row r="4" spans="1:5" ht="15" x14ac:dyDescent="0.45">
      <c r="A4" s="5" t="s">
        <v>4</v>
      </c>
      <c r="B4" s="5" t="s">
        <v>3</v>
      </c>
      <c r="C4" s="2">
        <v>480</v>
      </c>
      <c r="D4" s="2">
        <v>7000</v>
      </c>
      <c r="E4" s="6">
        <f t="shared" ref="E4:E67" si="0">C4*D4</f>
        <v>3360000</v>
      </c>
    </row>
    <row r="5" spans="1:5" ht="15" x14ac:dyDescent="0.45">
      <c r="A5" s="5" t="s">
        <v>5</v>
      </c>
      <c r="B5" s="5" t="s">
        <v>3</v>
      </c>
      <c r="C5" s="2">
        <v>780</v>
      </c>
      <c r="D5" s="2">
        <v>4000</v>
      </c>
      <c r="E5" s="6">
        <f t="shared" si="0"/>
        <v>3120000</v>
      </c>
    </row>
    <row r="6" spans="1:5" ht="15" x14ac:dyDescent="0.45">
      <c r="A6" s="5" t="s">
        <v>6</v>
      </c>
      <c r="B6" s="5" t="s">
        <v>3</v>
      </c>
      <c r="C6" s="2">
        <v>3</v>
      </c>
      <c r="D6" s="2">
        <v>10000</v>
      </c>
      <c r="E6" s="6">
        <f t="shared" si="0"/>
        <v>30000</v>
      </c>
    </row>
    <row r="7" spans="1:5" ht="15" x14ac:dyDescent="0.45">
      <c r="A7" s="5" t="s">
        <v>7</v>
      </c>
      <c r="B7" s="5" t="s">
        <v>3</v>
      </c>
      <c r="C7" s="2">
        <v>50</v>
      </c>
      <c r="D7" s="2">
        <v>6500</v>
      </c>
      <c r="E7" s="6">
        <f t="shared" si="0"/>
        <v>325000</v>
      </c>
    </row>
    <row r="8" spans="1:5" ht="15" x14ac:dyDescent="0.45">
      <c r="A8" s="5" t="s">
        <v>8</v>
      </c>
      <c r="B8" s="5" t="s">
        <v>3</v>
      </c>
      <c r="C8" s="2">
        <v>980</v>
      </c>
      <c r="D8" s="2">
        <v>7000</v>
      </c>
      <c r="E8" s="6">
        <f t="shared" si="0"/>
        <v>6860000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150</v>
      </c>
      <c r="D10" s="2">
        <v>7500</v>
      </c>
      <c r="E10" s="6">
        <f t="shared" si="0"/>
        <v>1125000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5" ht="15" hidden="1" x14ac:dyDescent="0.45">
      <c r="A12" s="5" t="s">
        <v>12</v>
      </c>
      <c r="B12" s="5" t="s">
        <v>3</v>
      </c>
      <c r="C12" s="2">
        <v>0</v>
      </c>
      <c r="D12" s="2"/>
      <c r="E12" s="6">
        <f t="shared" si="0"/>
        <v>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5" ht="15" hidden="1" x14ac:dyDescent="0.45">
      <c r="A14" s="5" t="s">
        <v>13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280</v>
      </c>
      <c r="D20" s="2">
        <v>14000</v>
      </c>
      <c r="E20" s="6">
        <f t="shared" si="0"/>
        <v>3920000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hidden="1" x14ac:dyDescent="0.45">
      <c r="A22" s="5" t="s">
        <v>22</v>
      </c>
      <c r="B22" s="5" t="s">
        <v>3</v>
      </c>
      <c r="C22" s="2">
        <v>0</v>
      </c>
      <c r="D22" s="2"/>
      <c r="E22" s="6">
        <f t="shared" si="0"/>
        <v>0</v>
      </c>
    </row>
    <row r="23" spans="1:5" ht="15" hidden="1" x14ac:dyDescent="0.45">
      <c r="A23" s="5" t="s">
        <v>22</v>
      </c>
      <c r="B23" s="5" t="s">
        <v>23</v>
      </c>
      <c r="C23" s="2">
        <v>0</v>
      </c>
      <c r="D23" s="2"/>
      <c r="E23" s="6">
        <f t="shared" si="0"/>
        <v>0</v>
      </c>
    </row>
    <row r="24" spans="1:5" ht="15" x14ac:dyDescent="0.45">
      <c r="A24" s="5" t="s">
        <v>24</v>
      </c>
      <c r="B24" s="5" t="s">
        <v>3</v>
      </c>
      <c r="C24" s="2">
        <v>15</v>
      </c>
      <c r="D24" s="2">
        <v>15000</v>
      </c>
      <c r="E24" s="6">
        <f t="shared" si="0"/>
        <v>225000</v>
      </c>
    </row>
    <row r="25" spans="1:5" ht="15" hidden="1" x14ac:dyDescent="0.45">
      <c r="A25" s="5" t="s">
        <v>24</v>
      </c>
      <c r="B25" s="5" t="s">
        <v>25</v>
      </c>
      <c r="C25" s="2">
        <v>0</v>
      </c>
      <c r="D25" s="2"/>
      <c r="E25" s="6">
        <f t="shared" si="0"/>
        <v>0</v>
      </c>
    </row>
    <row r="26" spans="1:5" ht="15" hidden="1" x14ac:dyDescent="0.45">
      <c r="A26" s="5" t="s">
        <v>24</v>
      </c>
      <c r="B26" s="5" t="s">
        <v>106</v>
      </c>
      <c r="C26" s="2">
        <v>0</v>
      </c>
      <c r="D26" s="2"/>
      <c r="E26" s="6">
        <f t="shared" si="0"/>
        <v>0</v>
      </c>
    </row>
    <row r="27" spans="1:5" ht="15" hidden="1" x14ac:dyDescent="0.45">
      <c r="A27" s="5" t="s">
        <v>26</v>
      </c>
      <c r="B27" s="5" t="s">
        <v>27</v>
      </c>
      <c r="C27" s="2">
        <v>0</v>
      </c>
      <c r="D27" s="2"/>
      <c r="E27" s="6">
        <f t="shared" si="0"/>
        <v>0</v>
      </c>
    </row>
    <row r="28" spans="1:5" ht="15" x14ac:dyDescent="0.45">
      <c r="A28" s="5" t="s">
        <v>26</v>
      </c>
      <c r="B28" s="5" t="s">
        <v>3</v>
      </c>
      <c r="C28" s="2">
        <v>12</v>
      </c>
      <c r="D28" s="2">
        <v>10500</v>
      </c>
      <c r="E28" s="6">
        <f t="shared" si="0"/>
        <v>126000</v>
      </c>
    </row>
    <row r="29" spans="1:5" ht="15" hidden="1" x14ac:dyDescent="0.45">
      <c r="A29" s="5" t="s">
        <v>28</v>
      </c>
      <c r="B29" s="5" t="s">
        <v>3</v>
      </c>
      <c r="C29" s="2">
        <v>0</v>
      </c>
      <c r="D29" s="2"/>
      <c r="E29" s="6">
        <f t="shared" si="0"/>
        <v>0</v>
      </c>
    </row>
    <row r="30" spans="1:5" ht="15" x14ac:dyDescent="0.45">
      <c r="A30" s="5" t="s">
        <v>28</v>
      </c>
      <c r="B30" s="5" t="s">
        <v>29</v>
      </c>
      <c r="C30" s="2">
        <v>8</v>
      </c>
      <c r="D30" s="2">
        <v>7500</v>
      </c>
      <c r="E30" s="6">
        <f t="shared" si="0"/>
        <v>60000</v>
      </c>
    </row>
    <row r="31" spans="1:5" ht="15" x14ac:dyDescent="0.45">
      <c r="A31" s="5" t="s">
        <v>30</v>
      </c>
      <c r="B31" s="5" t="s">
        <v>3</v>
      </c>
      <c r="C31" s="2">
        <v>60</v>
      </c>
      <c r="D31" s="2">
        <v>9000</v>
      </c>
      <c r="E31" s="6">
        <f t="shared" si="0"/>
        <v>540000</v>
      </c>
    </row>
    <row r="32" spans="1:5" ht="15" hidden="1" x14ac:dyDescent="0.45">
      <c r="A32" s="5" t="s">
        <v>30</v>
      </c>
      <c r="B32" s="5" t="s">
        <v>18</v>
      </c>
      <c r="C32" s="2">
        <v>0</v>
      </c>
      <c r="D32" s="2"/>
      <c r="E32" s="6">
        <f t="shared" si="0"/>
        <v>0</v>
      </c>
    </row>
    <row r="33" spans="1:5" ht="15" x14ac:dyDescent="0.45">
      <c r="A33" s="5" t="s">
        <v>31</v>
      </c>
      <c r="B33" s="5" t="s">
        <v>32</v>
      </c>
      <c r="C33" s="2">
        <v>110</v>
      </c>
      <c r="D33" s="2">
        <v>6000</v>
      </c>
      <c r="E33" s="6">
        <f t="shared" si="0"/>
        <v>660000</v>
      </c>
    </row>
    <row r="34" spans="1:5" ht="15" x14ac:dyDescent="0.45">
      <c r="A34" s="5" t="s">
        <v>33</v>
      </c>
      <c r="B34" s="5" t="s">
        <v>3</v>
      </c>
      <c r="C34" s="2">
        <v>120</v>
      </c>
      <c r="D34" s="2">
        <v>9500</v>
      </c>
      <c r="E34" s="6">
        <f t="shared" si="0"/>
        <v>1140000</v>
      </c>
    </row>
    <row r="35" spans="1:5" ht="15" hidden="1" x14ac:dyDescent="0.45">
      <c r="A35" s="5" t="s">
        <v>33</v>
      </c>
      <c r="B35" s="5" t="s">
        <v>32</v>
      </c>
      <c r="C35" s="2">
        <v>0</v>
      </c>
      <c r="D35" s="2"/>
      <c r="E35" s="6">
        <f t="shared" si="0"/>
        <v>0</v>
      </c>
    </row>
    <row r="36" spans="1:5" ht="15" hidden="1" x14ac:dyDescent="0.45">
      <c r="A36" s="5" t="s">
        <v>34</v>
      </c>
      <c r="B36" s="5" t="s">
        <v>3</v>
      </c>
      <c r="C36" s="2">
        <v>0</v>
      </c>
      <c r="D36" s="2"/>
      <c r="E36" s="6">
        <f t="shared" si="0"/>
        <v>0</v>
      </c>
    </row>
    <row r="37" spans="1:5" ht="15" hidden="1" x14ac:dyDescent="0.45">
      <c r="A37" s="5" t="s">
        <v>34</v>
      </c>
      <c r="B37" s="5" t="s">
        <v>18</v>
      </c>
      <c r="C37" s="2">
        <v>0</v>
      </c>
      <c r="D37" s="2"/>
      <c r="E37" s="6">
        <f t="shared" si="0"/>
        <v>0</v>
      </c>
    </row>
    <row r="38" spans="1:5" ht="15" x14ac:dyDescent="0.45">
      <c r="A38" s="5" t="s">
        <v>35</v>
      </c>
      <c r="B38" s="5" t="s">
        <v>3</v>
      </c>
      <c r="C38" s="2">
        <v>55</v>
      </c>
      <c r="D38" s="2">
        <v>8000</v>
      </c>
      <c r="E38" s="6">
        <f t="shared" si="0"/>
        <v>440000</v>
      </c>
    </row>
    <row r="39" spans="1:5" ht="15" hidden="1" x14ac:dyDescent="0.45">
      <c r="A39" s="5" t="s">
        <v>35</v>
      </c>
      <c r="B39" s="5" t="s">
        <v>36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37</v>
      </c>
      <c r="B40" s="5" t="s">
        <v>3</v>
      </c>
      <c r="C40" s="2">
        <v>6</v>
      </c>
      <c r="D40" s="2">
        <v>17000</v>
      </c>
      <c r="E40" s="6">
        <f t="shared" si="0"/>
        <v>102000</v>
      </c>
    </row>
    <row r="41" spans="1:5" ht="15" hidden="1" x14ac:dyDescent="0.45">
      <c r="A41" s="5" t="s">
        <v>37</v>
      </c>
      <c r="B41" s="5" t="s">
        <v>32</v>
      </c>
      <c r="C41" s="2">
        <v>0</v>
      </c>
      <c r="D41" s="2"/>
      <c r="E41" s="6">
        <f t="shared" si="0"/>
        <v>0</v>
      </c>
    </row>
    <row r="42" spans="1:5" ht="15" hidden="1" x14ac:dyDescent="0.45">
      <c r="A42" s="5" t="s">
        <v>38</v>
      </c>
      <c r="B42" s="5" t="s">
        <v>3</v>
      </c>
      <c r="C42" s="2">
        <v>0</v>
      </c>
      <c r="D42" s="2"/>
      <c r="E42" s="6">
        <f t="shared" si="0"/>
        <v>0</v>
      </c>
    </row>
    <row r="43" spans="1:5" ht="15" x14ac:dyDescent="0.45">
      <c r="A43" s="5" t="s">
        <v>38</v>
      </c>
      <c r="B43" s="5" t="s">
        <v>32</v>
      </c>
      <c r="C43" s="2">
        <v>6</v>
      </c>
      <c r="D43" s="2">
        <v>3000</v>
      </c>
      <c r="E43" s="6">
        <f t="shared" si="0"/>
        <v>18000</v>
      </c>
    </row>
    <row r="44" spans="1:5" ht="15" hidden="1" x14ac:dyDescent="0.45">
      <c r="A44" s="5" t="s">
        <v>39</v>
      </c>
      <c r="B44" s="5" t="s">
        <v>3</v>
      </c>
      <c r="C44" s="2">
        <v>0</v>
      </c>
      <c r="D44" s="2"/>
      <c r="E44" s="6">
        <f t="shared" si="0"/>
        <v>0</v>
      </c>
    </row>
    <row r="45" spans="1:5" ht="15" hidden="1" x14ac:dyDescent="0.45">
      <c r="A45" s="5" t="s">
        <v>39</v>
      </c>
      <c r="B45" s="5" t="s">
        <v>32</v>
      </c>
      <c r="C45" s="2">
        <v>0</v>
      </c>
      <c r="D45" s="2"/>
      <c r="E45" s="6">
        <f t="shared" si="0"/>
        <v>0</v>
      </c>
    </row>
    <row r="46" spans="1:5" ht="15" hidden="1" x14ac:dyDescent="0.45">
      <c r="A46" s="5" t="s">
        <v>40</v>
      </c>
      <c r="B46" s="5" t="s">
        <v>3</v>
      </c>
      <c r="C46" s="2">
        <v>0</v>
      </c>
      <c r="D46" s="2"/>
      <c r="E46" s="6">
        <f t="shared" si="0"/>
        <v>0</v>
      </c>
    </row>
    <row r="47" spans="1:5" ht="15" hidden="1" x14ac:dyDescent="0.45">
      <c r="A47" s="5" t="s">
        <v>41</v>
      </c>
      <c r="B47" s="5" t="s">
        <v>3</v>
      </c>
      <c r="C47" s="2">
        <v>0</v>
      </c>
      <c r="D47" s="2"/>
      <c r="E47" s="6">
        <f t="shared" si="0"/>
        <v>0</v>
      </c>
    </row>
    <row r="48" spans="1:5" ht="15" x14ac:dyDescent="0.45">
      <c r="A48" s="5" t="s">
        <v>43</v>
      </c>
      <c r="B48" s="5" t="s">
        <v>3</v>
      </c>
      <c r="C48" s="2">
        <v>90</v>
      </c>
      <c r="D48" s="2">
        <v>12000</v>
      </c>
      <c r="E48" s="6">
        <f t="shared" si="0"/>
        <v>1080000</v>
      </c>
    </row>
    <row r="49" spans="1:5" ht="15" hidden="1" x14ac:dyDescent="0.45">
      <c r="A49" s="5" t="s">
        <v>43</v>
      </c>
      <c r="B49" s="5" t="s">
        <v>44</v>
      </c>
      <c r="C49" s="2">
        <v>0</v>
      </c>
      <c r="D49" s="2"/>
      <c r="E49" s="6">
        <f t="shared" si="0"/>
        <v>0</v>
      </c>
    </row>
    <row r="50" spans="1:5" ht="15" hidden="1" x14ac:dyDescent="0.45">
      <c r="A50" s="5" t="s">
        <v>45</v>
      </c>
      <c r="B50" s="5" t="s">
        <v>3</v>
      </c>
      <c r="C50" s="2">
        <v>0</v>
      </c>
      <c r="D50" s="2"/>
      <c r="E50" s="6">
        <f t="shared" si="0"/>
        <v>0</v>
      </c>
    </row>
    <row r="51" spans="1:5" ht="15" x14ac:dyDescent="0.45">
      <c r="A51" s="5" t="s">
        <v>46</v>
      </c>
      <c r="B51" s="5" t="s">
        <v>3</v>
      </c>
      <c r="C51" s="2">
        <v>5</v>
      </c>
      <c r="D51" s="2">
        <v>14000</v>
      </c>
      <c r="E51" s="6">
        <f t="shared" si="0"/>
        <v>70000</v>
      </c>
    </row>
    <row r="52" spans="1:5" ht="15" x14ac:dyDescent="0.45">
      <c r="A52" s="5" t="s">
        <v>47</v>
      </c>
      <c r="B52" s="5" t="s">
        <v>27</v>
      </c>
      <c r="C52" s="2">
        <v>5</v>
      </c>
      <c r="D52" s="2">
        <v>10000</v>
      </c>
      <c r="E52" s="6">
        <f t="shared" si="0"/>
        <v>50000</v>
      </c>
    </row>
    <row r="53" spans="1:5" ht="15" hidden="1" x14ac:dyDescent="0.45">
      <c r="A53" s="5" t="s">
        <v>47</v>
      </c>
      <c r="B53" s="5" t="s">
        <v>3</v>
      </c>
      <c r="C53" s="2">
        <v>0</v>
      </c>
      <c r="D53" s="2"/>
      <c r="E53" s="6">
        <f t="shared" si="0"/>
        <v>0</v>
      </c>
    </row>
    <row r="54" spans="1:5" ht="15" x14ac:dyDescent="0.45">
      <c r="A54" s="5" t="s">
        <v>48</v>
      </c>
      <c r="B54" s="5" t="s">
        <v>3</v>
      </c>
      <c r="C54" s="2">
        <v>15</v>
      </c>
      <c r="D54" s="2">
        <v>6500</v>
      </c>
      <c r="E54" s="6">
        <f t="shared" si="0"/>
        <v>97500</v>
      </c>
    </row>
    <row r="55" spans="1:5" ht="15" x14ac:dyDescent="0.45">
      <c r="A55" s="5" t="s">
        <v>49</v>
      </c>
      <c r="B55" s="5" t="s">
        <v>3</v>
      </c>
      <c r="C55" s="2">
        <v>55</v>
      </c>
      <c r="D55" s="2">
        <v>8000</v>
      </c>
      <c r="E55" s="6">
        <f t="shared" si="0"/>
        <v>440000</v>
      </c>
    </row>
    <row r="56" spans="1:5" ht="15" hidden="1" x14ac:dyDescent="0.45">
      <c r="A56" s="5" t="s">
        <v>49</v>
      </c>
      <c r="B56" s="5" t="s">
        <v>32</v>
      </c>
      <c r="C56" s="2">
        <v>0</v>
      </c>
      <c r="D56" s="2"/>
      <c r="E56" s="6">
        <f t="shared" si="0"/>
        <v>0</v>
      </c>
    </row>
    <row r="57" spans="1:5" ht="15" x14ac:dyDescent="0.45">
      <c r="A57" s="5" t="s">
        <v>50</v>
      </c>
      <c r="B57" s="5" t="s">
        <v>3</v>
      </c>
      <c r="C57" s="2">
        <v>9.5</v>
      </c>
      <c r="D57" s="2">
        <v>21000</v>
      </c>
      <c r="E57" s="6">
        <f t="shared" si="0"/>
        <v>199500</v>
      </c>
    </row>
    <row r="58" spans="1:5" ht="15" x14ac:dyDescent="0.45">
      <c r="A58" s="5" t="s">
        <v>51</v>
      </c>
      <c r="B58" s="5" t="s">
        <v>3</v>
      </c>
      <c r="C58" s="2">
        <v>450</v>
      </c>
      <c r="D58" s="2">
        <v>5500</v>
      </c>
      <c r="E58" s="6">
        <f t="shared" si="0"/>
        <v>2475000</v>
      </c>
    </row>
    <row r="59" spans="1:5" ht="15" hidden="1" x14ac:dyDescent="0.45">
      <c r="A59" s="5" t="s">
        <v>51</v>
      </c>
      <c r="B59" s="5" t="s">
        <v>52</v>
      </c>
      <c r="C59" s="2">
        <v>0</v>
      </c>
      <c r="D59" s="2"/>
      <c r="E59" s="6">
        <f t="shared" si="0"/>
        <v>0</v>
      </c>
    </row>
    <row r="60" spans="1:5" ht="15" x14ac:dyDescent="0.45">
      <c r="A60" s="5" t="s">
        <v>53</v>
      </c>
      <c r="B60" s="5" t="s">
        <v>3</v>
      </c>
      <c r="C60" s="2">
        <v>40</v>
      </c>
      <c r="D60" s="2">
        <v>20000</v>
      </c>
      <c r="E60" s="6">
        <f t="shared" si="0"/>
        <v>800000</v>
      </c>
    </row>
    <row r="61" spans="1:5" ht="15" x14ac:dyDescent="0.45">
      <c r="A61" s="5" t="s">
        <v>54</v>
      </c>
      <c r="B61" s="5" t="s">
        <v>32</v>
      </c>
      <c r="C61" s="2">
        <v>466</v>
      </c>
      <c r="D61" s="2">
        <v>1350</v>
      </c>
      <c r="E61" s="6">
        <f t="shared" si="0"/>
        <v>629100</v>
      </c>
    </row>
    <row r="62" spans="1:5" ht="15" x14ac:dyDescent="0.45">
      <c r="A62" s="5" t="s">
        <v>55</v>
      </c>
      <c r="B62" s="5" t="s">
        <v>3</v>
      </c>
      <c r="C62" s="2">
        <v>325</v>
      </c>
      <c r="D62" s="2">
        <v>26000</v>
      </c>
      <c r="E62" s="6">
        <f t="shared" si="0"/>
        <v>8450000</v>
      </c>
    </row>
    <row r="63" spans="1:5" ht="15" x14ac:dyDescent="0.45">
      <c r="A63" s="5" t="s">
        <v>56</v>
      </c>
      <c r="B63" s="5" t="s">
        <v>3</v>
      </c>
      <c r="C63" s="2">
        <v>1345</v>
      </c>
      <c r="D63" s="2">
        <v>26000</v>
      </c>
      <c r="E63" s="6">
        <f t="shared" si="0"/>
        <v>34970000</v>
      </c>
    </row>
    <row r="64" spans="1:5" ht="15" x14ac:dyDescent="0.45">
      <c r="A64" s="5" t="s">
        <v>57</v>
      </c>
      <c r="B64" s="5" t="s">
        <v>3</v>
      </c>
      <c r="C64" s="2">
        <v>390</v>
      </c>
      <c r="D64" s="2">
        <v>17000</v>
      </c>
      <c r="E64" s="6">
        <f t="shared" si="0"/>
        <v>6630000</v>
      </c>
    </row>
    <row r="65" spans="1:5" ht="15" x14ac:dyDescent="0.45">
      <c r="A65" s="5" t="s">
        <v>58</v>
      </c>
      <c r="B65" s="5" t="s">
        <v>3</v>
      </c>
      <c r="C65" s="2">
        <v>35</v>
      </c>
      <c r="D65" s="2">
        <v>22000</v>
      </c>
      <c r="E65" s="6">
        <f t="shared" si="0"/>
        <v>770000</v>
      </c>
    </row>
    <row r="66" spans="1:5" ht="15" hidden="1" x14ac:dyDescent="0.45">
      <c r="A66" s="5" t="s">
        <v>59</v>
      </c>
      <c r="B66" s="5" t="s">
        <v>3</v>
      </c>
      <c r="C66" s="2">
        <v>0</v>
      </c>
      <c r="D66" s="2"/>
      <c r="E66" s="6">
        <f t="shared" si="0"/>
        <v>0</v>
      </c>
    </row>
    <row r="67" spans="1:5" ht="15" hidden="1" x14ac:dyDescent="0.45">
      <c r="A67" s="5" t="s">
        <v>59</v>
      </c>
      <c r="B67" s="5" t="s">
        <v>32</v>
      </c>
      <c r="C67" s="2">
        <v>0</v>
      </c>
      <c r="D67" s="2"/>
      <c r="E67" s="6">
        <f t="shared" si="0"/>
        <v>0</v>
      </c>
    </row>
    <row r="68" spans="1:5" ht="15" x14ac:dyDescent="0.45">
      <c r="A68" s="5" t="s">
        <v>60</v>
      </c>
      <c r="B68" s="5" t="s">
        <v>3</v>
      </c>
      <c r="C68" s="2">
        <v>4</v>
      </c>
      <c r="D68" s="2">
        <v>16000</v>
      </c>
      <c r="E68" s="6">
        <f t="shared" ref="E68:E119" si="1">C68*D68</f>
        <v>64000</v>
      </c>
    </row>
    <row r="69" spans="1:5" ht="15" x14ac:dyDescent="0.45">
      <c r="A69" s="5" t="s">
        <v>61</v>
      </c>
      <c r="B69" s="5" t="s">
        <v>3</v>
      </c>
      <c r="C69" s="2">
        <v>895</v>
      </c>
      <c r="D69" s="2">
        <v>11500</v>
      </c>
      <c r="E69" s="6">
        <f t="shared" si="1"/>
        <v>10292500</v>
      </c>
    </row>
    <row r="70" spans="1:5" ht="15" hidden="1" x14ac:dyDescent="0.45">
      <c r="A70" s="5" t="s">
        <v>61</v>
      </c>
      <c r="B70" s="5" t="s">
        <v>32</v>
      </c>
      <c r="C70" s="2">
        <v>0</v>
      </c>
      <c r="D70" s="2"/>
      <c r="E70" s="6">
        <f t="shared" si="1"/>
        <v>0</v>
      </c>
    </row>
    <row r="71" spans="1:5" ht="15" x14ac:dyDescent="0.45">
      <c r="A71" s="5" t="s">
        <v>62</v>
      </c>
      <c r="B71" s="5" t="s">
        <v>32</v>
      </c>
      <c r="C71" s="2">
        <v>40</v>
      </c>
      <c r="D71" s="2">
        <v>5000</v>
      </c>
      <c r="E71" s="6">
        <f t="shared" si="1"/>
        <v>200000</v>
      </c>
    </row>
    <row r="72" spans="1:5" ht="15" x14ac:dyDescent="0.45">
      <c r="A72" s="5" t="s">
        <v>63</v>
      </c>
      <c r="B72" s="5" t="s">
        <v>3</v>
      </c>
      <c r="C72" s="2">
        <v>23</v>
      </c>
      <c r="D72" s="2">
        <v>10000</v>
      </c>
      <c r="E72" s="6">
        <f t="shared" si="1"/>
        <v>230000</v>
      </c>
    </row>
    <row r="73" spans="1:5" ht="15" x14ac:dyDescent="0.45">
      <c r="A73" s="5" t="s">
        <v>64</v>
      </c>
      <c r="B73" s="5" t="s">
        <v>32</v>
      </c>
      <c r="C73" s="2">
        <v>17</v>
      </c>
      <c r="D73" s="2">
        <v>6000</v>
      </c>
      <c r="E73" s="6">
        <f t="shared" si="1"/>
        <v>102000</v>
      </c>
    </row>
    <row r="74" spans="1:5" ht="15" hidden="1" x14ac:dyDescent="0.45">
      <c r="A74" s="5" t="s">
        <v>65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x14ac:dyDescent="0.45">
      <c r="A75" s="5" t="s">
        <v>65</v>
      </c>
      <c r="B75" s="5" t="s">
        <v>32</v>
      </c>
      <c r="C75" s="2">
        <v>48</v>
      </c>
      <c r="D75" s="2">
        <v>6000</v>
      </c>
      <c r="E75" s="6">
        <f t="shared" si="1"/>
        <v>288000</v>
      </c>
    </row>
    <row r="76" spans="1:5" ht="15" hidden="1" x14ac:dyDescent="0.45">
      <c r="A76" s="5" t="s">
        <v>66</v>
      </c>
      <c r="B76" s="5" t="s">
        <v>3</v>
      </c>
      <c r="C76" s="2">
        <v>0</v>
      </c>
      <c r="D76" s="2"/>
      <c r="E76" s="6">
        <f t="shared" si="1"/>
        <v>0</v>
      </c>
    </row>
    <row r="77" spans="1:5" ht="15" hidden="1" x14ac:dyDescent="0.45">
      <c r="A77" s="5" t="s">
        <v>67</v>
      </c>
      <c r="B77" s="5" t="s">
        <v>3</v>
      </c>
      <c r="C77" s="2">
        <v>0</v>
      </c>
      <c r="D77" s="2"/>
      <c r="E77" s="6">
        <f t="shared" si="1"/>
        <v>0</v>
      </c>
    </row>
    <row r="78" spans="1:5" ht="15" hidden="1" x14ac:dyDescent="0.45">
      <c r="A78" s="5" t="s">
        <v>68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x14ac:dyDescent="0.45">
      <c r="A79" s="5" t="s">
        <v>69</v>
      </c>
      <c r="B79" s="5" t="s">
        <v>3</v>
      </c>
      <c r="C79" s="2">
        <v>0.5</v>
      </c>
      <c r="D79" s="2">
        <v>70000</v>
      </c>
      <c r="E79" s="6">
        <f t="shared" si="1"/>
        <v>35000</v>
      </c>
    </row>
    <row r="80" spans="1:5" ht="15" hidden="1" x14ac:dyDescent="0.45">
      <c r="A80" s="5" t="s">
        <v>111</v>
      </c>
      <c r="B80" s="5" t="s">
        <v>32</v>
      </c>
      <c r="C80" s="2">
        <v>0</v>
      </c>
      <c r="D80" s="2"/>
      <c r="E80" s="6">
        <f t="shared" si="1"/>
        <v>0</v>
      </c>
    </row>
    <row r="81" spans="1:5" ht="15" hidden="1" x14ac:dyDescent="0.45">
      <c r="A81" s="5" t="s">
        <v>70</v>
      </c>
      <c r="B81" s="5" t="s">
        <v>3</v>
      </c>
      <c r="C81" s="2">
        <v>0</v>
      </c>
      <c r="D81" s="2"/>
      <c r="E81" s="6">
        <f t="shared" si="1"/>
        <v>0</v>
      </c>
    </row>
    <row r="82" spans="1:5" ht="15" x14ac:dyDescent="0.45">
      <c r="A82" s="5" t="s">
        <v>70</v>
      </c>
      <c r="B82" s="5" t="s">
        <v>18</v>
      </c>
      <c r="C82" s="2">
        <v>75</v>
      </c>
      <c r="D82" s="2">
        <v>6500</v>
      </c>
      <c r="E82" s="6">
        <f t="shared" si="1"/>
        <v>487500</v>
      </c>
    </row>
    <row r="83" spans="1:5" ht="15" hidden="1" x14ac:dyDescent="0.45">
      <c r="A83" s="5" t="s">
        <v>71</v>
      </c>
      <c r="B83" s="5" t="s">
        <v>3</v>
      </c>
      <c r="C83" s="2">
        <v>0</v>
      </c>
      <c r="D83" s="2"/>
      <c r="E83" s="6">
        <f t="shared" si="1"/>
        <v>0</v>
      </c>
    </row>
    <row r="84" spans="1:5" ht="15" x14ac:dyDescent="0.45">
      <c r="A84" s="5" t="s">
        <v>72</v>
      </c>
      <c r="B84" s="5" t="s">
        <v>3</v>
      </c>
      <c r="C84" s="2">
        <v>14</v>
      </c>
      <c r="D84" s="2">
        <v>14000</v>
      </c>
      <c r="E84" s="6">
        <f t="shared" si="1"/>
        <v>196000</v>
      </c>
    </row>
    <row r="85" spans="1:5" ht="15" x14ac:dyDescent="0.45">
      <c r="A85" s="5" t="s">
        <v>73</v>
      </c>
      <c r="B85" s="5" t="s">
        <v>3</v>
      </c>
      <c r="C85" s="2">
        <v>12</v>
      </c>
      <c r="D85" s="2">
        <v>10500</v>
      </c>
      <c r="E85" s="6">
        <f t="shared" si="1"/>
        <v>126000</v>
      </c>
    </row>
    <row r="86" spans="1:5" ht="15" hidden="1" x14ac:dyDescent="0.45">
      <c r="A86" s="5" t="s">
        <v>73</v>
      </c>
      <c r="B86" s="5" t="s">
        <v>44</v>
      </c>
      <c r="C86" s="2">
        <v>0</v>
      </c>
      <c r="D86" s="2"/>
      <c r="E86" s="6">
        <f t="shared" si="1"/>
        <v>0</v>
      </c>
    </row>
    <row r="87" spans="1:5" ht="15" hidden="1" x14ac:dyDescent="0.45">
      <c r="A87" s="5" t="s">
        <v>74</v>
      </c>
      <c r="B87" s="5" t="s">
        <v>32</v>
      </c>
      <c r="C87" s="2">
        <v>0</v>
      </c>
      <c r="D87" s="2"/>
      <c r="E87" s="6">
        <f t="shared" si="1"/>
        <v>0</v>
      </c>
    </row>
    <row r="88" spans="1:5" ht="15" x14ac:dyDescent="0.45">
      <c r="A88" s="5" t="s">
        <v>75</v>
      </c>
      <c r="B88" s="5" t="s">
        <v>3</v>
      </c>
      <c r="C88" s="2">
        <v>8</v>
      </c>
      <c r="D88" s="2">
        <v>14000</v>
      </c>
      <c r="E88" s="6">
        <f t="shared" si="1"/>
        <v>112000</v>
      </c>
    </row>
    <row r="89" spans="1:5" ht="15" hidden="1" x14ac:dyDescent="0.45">
      <c r="A89" s="5" t="s">
        <v>76</v>
      </c>
      <c r="B89" s="5" t="s">
        <v>27</v>
      </c>
      <c r="C89" s="2">
        <v>0</v>
      </c>
      <c r="D89" s="2"/>
      <c r="E89" s="6">
        <f t="shared" si="1"/>
        <v>0</v>
      </c>
    </row>
    <row r="90" spans="1:5" ht="15" hidden="1" x14ac:dyDescent="0.45">
      <c r="A90" s="5" t="s">
        <v>76</v>
      </c>
      <c r="B90" s="5" t="s">
        <v>112</v>
      </c>
      <c r="C90" s="2">
        <v>0</v>
      </c>
      <c r="D90" s="2"/>
      <c r="E90" s="6">
        <f t="shared" si="1"/>
        <v>0</v>
      </c>
    </row>
    <row r="91" spans="1:5" ht="15" x14ac:dyDescent="0.45">
      <c r="A91" s="5" t="s">
        <v>79</v>
      </c>
      <c r="B91" s="5" t="s">
        <v>18</v>
      </c>
      <c r="C91" s="2">
        <v>40</v>
      </c>
      <c r="D91" s="2">
        <v>10000</v>
      </c>
      <c r="E91" s="6">
        <f t="shared" si="1"/>
        <v>400000</v>
      </c>
    </row>
    <row r="92" spans="1:5" ht="15" hidden="1" x14ac:dyDescent="0.45">
      <c r="A92" s="5" t="s">
        <v>80</v>
      </c>
      <c r="B92" s="5" t="s">
        <v>27</v>
      </c>
      <c r="C92" s="2">
        <v>0</v>
      </c>
      <c r="D92" s="2"/>
      <c r="E92" s="6">
        <f t="shared" si="1"/>
        <v>0</v>
      </c>
    </row>
    <row r="93" spans="1:5" ht="15" hidden="1" x14ac:dyDescent="0.45">
      <c r="A93" s="5" t="s">
        <v>80</v>
      </c>
      <c r="B93" s="5" t="s">
        <v>3</v>
      </c>
      <c r="C93" s="2">
        <v>0</v>
      </c>
      <c r="D93" s="2"/>
      <c r="E93" s="6">
        <f t="shared" si="1"/>
        <v>0</v>
      </c>
    </row>
    <row r="94" spans="1:5" ht="15" x14ac:dyDescent="0.45">
      <c r="A94" s="5" t="s">
        <v>81</v>
      </c>
      <c r="B94" s="5" t="s">
        <v>3</v>
      </c>
      <c r="C94" s="2">
        <v>14</v>
      </c>
      <c r="D94" s="2">
        <v>26000</v>
      </c>
      <c r="E94" s="6">
        <f t="shared" si="1"/>
        <v>364000</v>
      </c>
    </row>
    <row r="95" spans="1:5" ht="15" hidden="1" x14ac:dyDescent="0.45">
      <c r="A95" s="5" t="s">
        <v>81</v>
      </c>
      <c r="B95" s="5" t="s">
        <v>11</v>
      </c>
      <c r="C95" s="2">
        <v>0</v>
      </c>
      <c r="D95" s="2"/>
      <c r="E95" s="6">
        <f t="shared" si="1"/>
        <v>0</v>
      </c>
    </row>
    <row r="96" spans="1:5" ht="15" x14ac:dyDescent="0.45">
      <c r="A96" s="5" t="s">
        <v>82</v>
      </c>
      <c r="B96" s="5" t="s">
        <v>3</v>
      </c>
      <c r="C96" s="2">
        <v>10</v>
      </c>
      <c r="D96" s="2">
        <v>18000</v>
      </c>
      <c r="E96" s="6">
        <f t="shared" si="1"/>
        <v>180000</v>
      </c>
    </row>
    <row r="97" spans="1:5" ht="15" x14ac:dyDescent="0.45">
      <c r="A97" s="5" t="s">
        <v>83</v>
      </c>
      <c r="B97" s="5" t="s">
        <v>3</v>
      </c>
      <c r="C97" s="2">
        <v>52</v>
      </c>
      <c r="D97" s="2">
        <v>22000</v>
      </c>
      <c r="E97" s="6">
        <f t="shared" si="1"/>
        <v>1144000</v>
      </c>
    </row>
    <row r="98" spans="1:5" ht="15" hidden="1" x14ac:dyDescent="0.45">
      <c r="A98" s="5" t="s">
        <v>83</v>
      </c>
      <c r="B98" s="5" t="s">
        <v>11</v>
      </c>
      <c r="C98" s="2">
        <v>0</v>
      </c>
      <c r="D98" s="2"/>
      <c r="E98" s="6">
        <f t="shared" si="1"/>
        <v>0</v>
      </c>
    </row>
    <row r="99" spans="1:5" ht="15" x14ac:dyDescent="0.45">
      <c r="A99" s="5" t="s">
        <v>85</v>
      </c>
      <c r="B99" s="5" t="s">
        <v>3</v>
      </c>
      <c r="C99" s="2">
        <v>70</v>
      </c>
      <c r="D99" s="2">
        <v>28000</v>
      </c>
      <c r="E99" s="6">
        <f t="shared" si="1"/>
        <v>1960000</v>
      </c>
    </row>
    <row r="100" spans="1:5" ht="15" hidden="1" x14ac:dyDescent="0.45">
      <c r="A100" s="5" t="s">
        <v>85</v>
      </c>
      <c r="B100" s="5" t="s">
        <v>11</v>
      </c>
      <c r="C100" s="2">
        <v>0</v>
      </c>
      <c r="D100" s="2"/>
      <c r="E100" s="6">
        <f t="shared" si="1"/>
        <v>0</v>
      </c>
    </row>
    <row r="101" spans="1:5" ht="15" x14ac:dyDescent="0.45">
      <c r="A101" s="5" t="s">
        <v>113</v>
      </c>
      <c r="B101" s="5" t="s">
        <v>3</v>
      </c>
      <c r="C101" s="2">
        <v>30</v>
      </c>
      <c r="D101" s="2">
        <v>24000</v>
      </c>
      <c r="E101" s="6">
        <f t="shared" si="1"/>
        <v>720000</v>
      </c>
    </row>
    <row r="102" spans="1:5" ht="15" hidden="1" x14ac:dyDescent="0.45">
      <c r="A102" s="5" t="s">
        <v>86</v>
      </c>
      <c r="B102" s="5" t="s">
        <v>32</v>
      </c>
      <c r="C102" s="2">
        <v>0</v>
      </c>
      <c r="D102" s="2"/>
      <c r="E102" s="6">
        <f t="shared" si="1"/>
        <v>0</v>
      </c>
    </row>
    <row r="103" spans="1:5" ht="15" x14ac:dyDescent="0.45">
      <c r="A103" s="5" t="s">
        <v>109</v>
      </c>
      <c r="B103" s="5" t="s">
        <v>3</v>
      </c>
      <c r="C103" s="2">
        <v>2</v>
      </c>
      <c r="D103" s="2">
        <v>21000</v>
      </c>
      <c r="E103" s="6">
        <f t="shared" si="1"/>
        <v>42000</v>
      </c>
    </row>
    <row r="104" spans="1:5" ht="15" x14ac:dyDescent="0.45">
      <c r="A104" s="5" t="s">
        <v>87</v>
      </c>
      <c r="B104" s="5" t="s">
        <v>32</v>
      </c>
      <c r="C104" s="2">
        <v>42</v>
      </c>
      <c r="D104" s="2">
        <v>9000</v>
      </c>
      <c r="E104" s="6">
        <f t="shared" si="1"/>
        <v>378000</v>
      </c>
    </row>
    <row r="105" spans="1:5" ht="15" hidden="1" x14ac:dyDescent="0.45">
      <c r="A105" s="5" t="s">
        <v>88</v>
      </c>
      <c r="B105" s="5" t="s">
        <v>3</v>
      </c>
      <c r="C105" s="2">
        <v>0</v>
      </c>
      <c r="D105" s="2"/>
      <c r="E105" s="6">
        <f t="shared" si="1"/>
        <v>0</v>
      </c>
    </row>
    <row r="106" spans="1:5" ht="15" hidden="1" x14ac:dyDescent="0.45">
      <c r="A106" s="5" t="s">
        <v>89</v>
      </c>
      <c r="B106" s="5" t="s">
        <v>11</v>
      </c>
      <c r="C106" s="2">
        <v>0</v>
      </c>
      <c r="D106" s="2"/>
      <c r="E106" s="6">
        <f t="shared" si="1"/>
        <v>0</v>
      </c>
    </row>
    <row r="107" spans="1:5" ht="15" x14ac:dyDescent="0.45">
      <c r="A107" s="5" t="s">
        <v>90</v>
      </c>
      <c r="B107" s="5" t="s">
        <v>11</v>
      </c>
      <c r="C107" s="2">
        <v>353</v>
      </c>
      <c r="D107" s="2">
        <v>11361</v>
      </c>
      <c r="E107" s="6">
        <f t="shared" si="1"/>
        <v>4010433</v>
      </c>
    </row>
    <row r="108" spans="1:5" ht="15" x14ac:dyDescent="0.45">
      <c r="A108" s="5" t="s">
        <v>91</v>
      </c>
      <c r="B108" s="5" t="s">
        <v>3</v>
      </c>
      <c r="C108" s="2">
        <v>18</v>
      </c>
      <c r="D108" s="2">
        <v>18000</v>
      </c>
      <c r="E108" s="6">
        <f t="shared" si="1"/>
        <v>324000</v>
      </c>
    </row>
    <row r="109" spans="1:5" ht="15" x14ac:dyDescent="0.45">
      <c r="A109" s="5" t="s">
        <v>92</v>
      </c>
      <c r="B109" s="5" t="s">
        <v>3</v>
      </c>
      <c r="C109" s="2">
        <v>50</v>
      </c>
      <c r="D109" s="2">
        <v>5500</v>
      </c>
      <c r="E109" s="6">
        <f t="shared" si="1"/>
        <v>275000</v>
      </c>
    </row>
    <row r="110" spans="1:5" ht="15" hidden="1" x14ac:dyDescent="0.45">
      <c r="A110" s="5" t="s">
        <v>93</v>
      </c>
      <c r="B110" s="5" t="s">
        <v>3</v>
      </c>
      <c r="C110" s="2">
        <v>0</v>
      </c>
      <c r="D110" s="2"/>
      <c r="E110" s="6">
        <f t="shared" si="1"/>
        <v>0</v>
      </c>
    </row>
    <row r="111" spans="1:5" ht="15" hidden="1" x14ac:dyDescent="0.45">
      <c r="A111" s="5" t="s">
        <v>94</v>
      </c>
      <c r="B111" s="5" t="s">
        <v>3</v>
      </c>
      <c r="C111" s="2">
        <v>0</v>
      </c>
      <c r="D111" s="2"/>
      <c r="E111" s="6">
        <f t="shared" si="1"/>
        <v>0</v>
      </c>
    </row>
    <row r="112" spans="1:5" ht="15" hidden="1" x14ac:dyDescent="0.45">
      <c r="A112" s="5" t="s">
        <v>95</v>
      </c>
      <c r="B112" s="5" t="s">
        <v>3</v>
      </c>
      <c r="C112" s="2">
        <v>0</v>
      </c>
      <c r="D112" s="2"/>
      <c r="E112" s="6">
        <f t="shared" si="1"/>
        <v>0</v>
      </c>
    </row>
    <row r="113" spans="1:5" ht="15" hidden="1" x14ac:dyDescent="0.45">
      <c r="A113" s="5" t="s">
        <v>96</v>
      </c>
      <c r="B113" s="5" t="s">
        <v>3</v>
      </c>
      <c r="C113" s="2">
        <v>0</v>
      </c>
      <c r="D113" s="2"/>
      <c r="E113" s="6">
        <f t="shared" si="1"/>
        <v>0</v>
      </c>
    </row>
    <row r="114" spans="1:5" ht="15" hidden="1" x14ac:dyDescent="0.45">
      <c r="A114" s="5" t="s">
        <v>97</v>
      </c>
      <c r="B114" s="5" t="s">
        <v>44</v>
      </c>
      <c r="C114" s="2">
        <v>0</v>
      </c>
      <c r="D114" s="2"/>
      <c r="E114" s="6">
        <f t="shared" si="1"/>
        <v>0</v>
      </c>
    </row>
    <row r="115" spans="1:5" ht="15" hidden="1" x14ac:dyDescent="0.45">
      <c r="A115" s="5" t="s">
        <v>98</v>
      </c>
      <c r="B115" s="5" t="s">
        <v>3</v>
      </c>
      <c r="C115" s="2">
        <v>0</v>
      </c>
      <c r="D115" s="2"/>
      <c r="E115" s="6">
        <f t="shared" si="1"/>
        <v>0</v>
      </c>
    </row>
    <row r="116" spans="1:5" ht="15" hidden="1" x14ac:dyDescent="0.45">
      <c r="A116" s="5" t="s">
        <v>99</v>
      </c>
      <c r="B116" s="5" t="s">
        <v>44</v>
      </c>
      <c r="C116" s="2">
        <v>0</v>
      </c>
      <c r="D116" s="2"/>
      <c r="E116" s="6">
        <f t="shared" si="1"/>
        <v>0</v>
      </c>
    </row>
    <row r="117" spans="1:5" ht="15" hidden="1" x14ac:dyDescent="0.45">
      <c r="A117" s="5" t="s">
        <v>114</v>
      </c>
      <c r="B117" s="5" t="s">
        <v>3</v>
      </c>
      <c r="C117" s="2">
        <v>0</v>
      </c>
      <c r="D117" s="2"/>
      <c r="E117" s="6">
        <f t="shared" si="1"/>
        <v>0</v>
      </c>
    </row>
    <row r="118" spans="1:5" ht="15" hidden="1" x14ac:dyDescent="0.45">
      <c r="A118" s="5" t="s">
        <v>100</v>
      </c>
      <c r="B118" s="5" t="s">
        <v>3</v>
      </c>
      <c r="C118" s="2">
        <v>0</v>
      </c>
      <c r="D118" s="2"/>
      <c r="E118" s="6">
        <f t="shared" si="1"/>
        <v>0</v>
      </c>
    </row>
    <row r="119" spans="1:5" ht="15" hidden="1" x14ac:dyDescent="0.45">
      <c r="A119" s="5" t="s">
        <v>101</v>
      </c>
      <c r="B119" s="5" t="s">
        <v>44</v>
      </c>
      <c r="C119" s="2">
        <v>0</v>
      </c>
      <c r="D119" s="2"/>
      <c r="E119" s="6">
        <f t="shared" si="1"/>
        <v>0</v>
      </c>
    </row>
    <row r="120" spans="1:5" x14ac:dyDescent="0.45">
      <c r="E120" s="8">
        <f>SUM(E3:E109)</f>
        <v>101110533</v>
      </c>
    </row>
  </sheetData>
  <autoFilter ref="A2:E119" xr:uid="{00000000-0009-0000-0000-000002000000}">
    <filterColumn colId="2">
      <filters>
        <filter val="1"/>
        <filter val="1,345"/>
        <filter val="10"/>
        <filter val="110"/>
        <filter val="12"/>
        <filter val="120"/>
        <filter val="14"/>
        <filter val="15"/>
        <filter val="150"/>
        <filter val="17"/>
        <filter val="18"/>
        <filter val="2"/>
        <filter val="26"/>
        <filter val="280"/>
        <filter val="3"/>
        <filter val="30"/>
        <filter val="325"/>
        <filter val="35"/>
        <filter val="353"/>
        <filter val="390"/>
        <filter val="4"/>
        <filter val="40"/>
        <filter val="42"/>
        <filter val="450"/>
        <filter val="466"/>
        <filter val="48"/>
        <filter val="480"/>
        <filter val="5"/>
        <filter val="50"/>
        <filter val="52"/>
        <filter val="55"/>
        <filter val="6"/>
        <filter val="60"/>
        <filter val="70"/>
        <filter val="75"/>
        <filter val="780"/>
        <filter val="8"/>
        <filter val="895"/>
        <filter val="90"/>
        <filter val="98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09"/>
  <sheetViews>
    <sheetView workbookViewId="0">
      <selection activeCell="F8" sqref="F8"/>
    </sheetView>
  </sheetViews>
  <sheetFormatPr defaultRowHeight="14.25" x14ac:dyDescent="0.45"/>
  <cols>
    <col min="1" max="1" width="27.6640625" customWidth="1"/>
    <col min="4" max="4" width="12.46484375" customWidth="1"/>
    <col min="5" max="5" width="14.796875" customWidth="1"/>
  </cols>
  <sheetData>
    <row r="1" spans="1:5" x14ac:dyDescent="0.45">
      <c r="A1" t="s">
        <v>119</v>
      </c>
    </row>
    <row r="2" spans="1:5" ht="55.25" customHeight="1" x14ac:dyDescent="0.45">
      <c r="A2" s="1" t="s">
        <v>0</v>
      </c>
      <c r="B2" s="1" t="s">
        <v>1</v>
      </c>
      <c r="C2" s="2" t="s">
        <v>103</v>
      </c>
      <c r="D2" s="3" t="s">
        <v>104</v>
      </c>
      <c r="E2" s="4" t="s">
        <v>105</v>
      </c>
    </row>
    <row r="3" spans="1:5" ht="15" x14ac:dyDescent="0.45">
      <c r="A3" s="5" t="s">
        <v>2</v>
      </c>
      <c r="B3" s="5" t="s">
        <v>3</v>
      </c>
      <c r="C3" s="2">
        <v>15</v>
      </c>
      <c r="D3" s="6">
        <v>18000</v>
      </c>
      <c r="E3" s="7">
        <f>C3*D3</f>
        <v>270000</v>
      </c>
    </row>
    <row r="4" spans="1:5" ht="15" x14ac:dyDescent="0.45">
      <c r="A4" s="5" t="s">
        <v>4</v>
      </c>
      <c r="B4" s="5" t="s">
        <v>3</v>
      </c>
      <c r="C4" s="2">
        <v>250</v>
      </c>
      <c r="D4" s="6">
        <v>7000</v>
      </c>
      <c r="E4" s="7">
        <f t="shared" ref="E4:E67" si="0">C4*D4</f>
        <v>1750000</v>
      </c>
    </row>
    <row r="5" spans="1:5" ht="15" x14ac:dyDescent="0.45">
      <c r="A5" s="5" t="s">
        <v>5</v>
      </c>
      <c r="B5" s="5" t="s">
        <v>3</v>
      </c>
      <c r="C5" s="2">
        <v>598</v>
      </c>
      <c r="D5" s="6">
        <v>4000</v>
      </c>
      <c r="E5" s="7">
        <f t="shared" si="0"/>
        <v>2392000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6"/>
      <c r="E6" s="7">
        <f t="shared" si="0"/>
        <v>0</v>
      </c>
    </row>
    <row r="7" spans="1:5" ht="15" x14ac:dyDescent="0.45">
      <c r="A7" s="5" t="s">
        <v>7</v>
      </c>
      <c r="B7" s="5" t="s">
        <v>3</v>
      </c>
      <c r="C7" s="2">
        <v>5</v>
      </c>
      <c r="D7" s="6">
        <v>6500</v>
      </c>
      <c r="E7" s="7">
        <f t="shared" si="0"/>
        <v>32500</v>
      </c>
    </row>
    <row r="8" spans="1:5" ht="15" x14ac:dyDescent="0.45">
      <c r="A8" s="5" t="s">
        <v>8</v>
      </c>
      <c r="B8" s="5" t="s">
        <v>3</v>
      </c>
      <c r="C8" s="2">
        <v>660</v>
      </c>
      <c r="D8" s="6">
        <v>7000</v>
      </c>
      <c r="E8" s="7">
        <f t="shared" si="0"/>
        <v>4620000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6"/>
      <c r="E9" s="7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115</v>
      </c>
      <c r="D10" s="6">
        <v>7500</v>
      </c>
      <c r="E10" s="7">
        <f t="shared" si="0"/>
        <v>862500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6"/>
      <c r="E11" s="7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25</v>
      </c>
      <c r="D12" s="6">
        <v>10000</v>
      </c>
      <c r="E12" s="7">
        <f t="shared" si="0"/>
        <v>250000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6"/>
      <c r="E13" s="7">
        <f t="shared" si="0"/>
        <v>0</v>
      </c>
    </row>
    <row r="14" spans="1:5" ht="15" x14ac:dyDescent="0.45">
      <c r="A14" s="5" t="s">
        <v>13</v>
      </c>
      <c r="B14" s="5" t="s">
        <v>3</v>
      </c>
      <c r="C14" s="2">
        <v>59</v>
      </c>
      <c r="D14" s="6">
        <v>35000</v>
      </c>
      <c r="E14" s="7">
        <f t="shared" si="0"/>
        <v>2065000</v>
      </c>
    </row>
    <row r="15" spans="1:5" ht="15" hidden="1" x14ac:dyDescent="0.45">
      <c r="A15" s="5" t="s">
        <v>116</v>
      </c>
      <c r="B15" s="5" t="s">
        <v>3</v>
      </c>
      <c r="C15" s="2">
        <v>0</v>
      </c>
      <c r="D15" s="6"/>
      <c r="E15" s="7">
        <f t="shared" si="0"/>
        <v>0</v>
      </c>
    </row>
    <row r="16" spans="1:5" ht="15" hidden="1" x14ac:dyDescent="0.45">
      <c r="A16" s="5" t="s">
        <v>14</v>
      </c>
      <c r="B16" s="5" t="s">
        <v>3</v>
      </c>
      <c r="C16" s="2">
        <v>0</v>
      </c>
      <c r="D16" s="6"/>
      <c r="E16" s="7">
        <f t="shared" si="0"/>
        <v>0</v>
      </c>
    </row>
    <row r="17" spans="1:5" ht="15" x14ac:dyDescent="0.45">
      <c r="A17" s="5" t="s">
        <v>15</v>
      </c>
      <c r="B17" s="5" t="s">
        <v>3</v>
      </c>
      <c r="C17" s="2">
        <v>45</v>
      </c>
      <c r="D17" s="6">
        <v>16000</v>
      </c>
      <c r="E17" s="7">
        <f t="shared" si="0"/>
        <v>720000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6"/>
      <c r="E18" s="7">
        <f t="shared" si="0"/>
        <v>0</v>
      </c>
    </row>
    <row r="19" spans="1:5" ht="15" x14ac:dyDescent="0.45">
      <c r="A19" s="5" t="s">
        <v>17</v>
      </c>
      <c r="B19" s="5" t="s">
        <v>18</v>
      </c>
      <c r="C19" s="2">
        <v>10</v>
      </c>
      <c r="D19" s="6">
        <v>6000</v>
      </c>
      <c r="E19" s="7">
        <f t="shared" si="0"/>
        <v>60000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6"/>
      <c r="E20" s="7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235</v>
      </c>
      <c r="D21" s="6">
        <v>14000</v>
      </c>
      <c r="E21" s="7">
        <f t="shared" si="0"/>
        <v>3290000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6"/>
      <c r="E22" s="7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27</v>
      </c>
      <c r="D23" s="6">
        <v>14000</v>
      </c>
      <c r="E23" s="7">
        <f t="shared" si="0"/>
        <v>378000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6"/>
      <c r="E24" s="7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9</v>
      </c>
      <c r="D25" s="6">
        <v>15000</v>
      </c>
      <c r="E25" s="7">
        <f t="shared" si="0"/>
        <v>135000</v>
      </c>
    </row>
    <row r="26" spans="1:5" ht="15" hidden="1" x14ac:dyDescent="0.45">
      <c r="A26" s="5" t="s">
        <v>24</v>
      </c>
      <c r="B26" s="5" t="s">
        <v>25</v>
      </c>
      <c r="C26" s="2">
        <v>0</v>
      </c>
      <c r="D26" s="6"/>
      <c r="E26" s="7">
        <f t="shared" si="0"/>
        <v>0</v>
      </c>
    </row>
    <row r="27" spans="1:5" ht="15" hidden="1" x14ac:dyDescent="0.45">
      <c r="A27" s="5" t="s">
        <v>24</v>
      </c>
      <c r="B27" s="5" t="s">
        <v>117</v>
      </c>
      <c r="C27" s="2">
        <v>0</v>
      </c>
      <c r="D27" s="6"/>
      <c r="E27" s="7">
        <f t="shared" si="0"/>
        <v>0</v>
      </c>
    </row>
    <row r="28" spans="1:5" ht="15" x14ac:dyDescent="0.45">
      <c r="A28" s="5" t="s">
        <v>26</v>
      </c>
      <c r="B28" s="5" t="s">
        <v>27</v>
      </c>
      <c r="C28" s="2">
        <v>5</v>
      </c>
      <c r="D28" s="6">
        <v>10500</v>
      </c>
      <c r="E28" s="7">
        <f t="shared" si="0"/>
        <v>52500</v>
      </c>
    </row>
    <row r="29" spans="1:5" ht="15" hidden="1" x14ac:dyDescent="0.45">
      <c r="A29" s="5" t="s">
        <v>28</v>
      </c>
      <c r="B29" s="5" t="s">
        <v>3</v>
      </c>
      <c r="C29" s="2">
        <v>0</v>
      </c>
      <c r="D29" s="6"/>
      <c r="E29" s="7">
        <f t="shared" si="0"/>
        <v>0</v>
      </c>
    </row>
    <row r="30" spans="1:5" ht="15" x14ac:dyDescent="0.45">
      <c r="A30" s="5" t="s">
        <v>28</v>
      </c>
      <c r="B30" s="5" t="s">
        <v>29</v>
      </c>
      <c r="C30" s="2">
        <v>16</v>
      </c>
      <c r="D30" s="6">
        <v>7500</v>
      </c>
      <c r="E30" s="7">
        <f t="shared" si="0"/>
        <v>120000</v>
      </c>
    </row>
    <row r="31" spans="1:5" ht="15" x14ac:dyDescent="0.45">
      <c r="A31" s="5" t="s">
        <v>30</v>
      </c>
      <c r="B31" s="5" t="s">
        <v>3</v>
      </c>
      <c r="C31" s="2">
        <v>270</v>
      </c>
      <c r="D31" s="6">
        <v>9000</v>
      </c>
      <c r="E31" s="7">
        <f t="shared" si="0"/>
        <v>2430000</v>
      </c>
    </row>
    <row r="32" spans="1:5" ht="15" hidden="1" x14ac:dyDescent="0.45">
      <c r="A32" s="5" t="s">
        <v>30</v>
      </c>
      <c r="B32" s="5" t="s">
        <v>18</v>
      </c>
      <c r="C32" s="2">
        <v>0</v>
      </c>
      <c r="D32" s="6"/>
      <c r="E32" s="7">
        <f t="shared" si="0"/>
        <v>0</v>
      </c>
    </row>
    <row r="33" spans="1:5" ht="15" x14ac:dyDescent="0.45">
      <c r="A33" s="5" t="s">
        <v>31</v>
      </c>
      <c r="B33" s="5" t="s">
        <v>32</v>
      </c>
      <c r="C33" s="2">
        <v>100</v>
      </c>
      <c r="D33" s="6">
        <v>6000</v>
      </c>
      <c r="E33" s="7">
        <f t="shared" si="0"/>
        <v>600000</v>
      </c>
    </row>
    <row r="34" spans="1:5" ht="15" x14ac:dyDescent="0.45">
      <c r="A34" s="5" t="s">
        <v>33</v>
      </c>
      <c r="B34" s="5" t="s">
        <v>3</v>
      </c>
      <c r="C34" s="2">
        <v>141</v>
      </c>
      <c r="D34" s="6">
        <v>10000</v>
      </c>
      <c r="E34" s="7">
        <f t="shared" si="0"/>
        <v>1410000</v>
      </c>
    </row>
    <row r="35" spans="1:5" ht="15" hidden="1" x14ac:dyDescent="0.45">
      <c r="A35" s="5" t="s">
        <v>33</v>
      </c>
      <c r="B35" s="5" t="s">
        <v>32</v>
      </c>
      <c r="C35" s="2">
        <v>0</v>
      </c>
      <c r="D35" s="6"/>
      <c r="E35" s="7">
        <f t="shared" si="0"/>
        <v>0</v>
      </c>
    </row>
    <row r="36" spans="1:5" ht="15" hidden="1" x14ac:dyDescent="0.45">
      <c r="A36" s="5" t="s">
        <v>34</v>
      </c>
      <c r="B36" s="5" t="s">
        <v>18</v>
      </c>
      <c r="C36" s="2">
        <v>0</v>
      </c>
      <c r="D36" s="6"/>
      <c r="E36" s="7">
        <f t="shared" si="0"/>
        <v>0</v>
      </c>
    </row>
    <row r="37" spans="1:5" ht="15" x14ac:dyDescent="0.45">
      <c r="A37" s="5" t="s">
        <v>35</v>
      </c>
      <c r="B37" s="5" t="s">
        <v>3</v>
      </c>
      <c r="C37" s="2">
        <v>50</v>
      </c>
      <c r="D37" s="6">
        <v>8000</v>
      </c>
      <c r="E37" s="7">
        <f t="shared" si="0"/>
        <v>400000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6"/>
      <c r="E38" s="7">
        <f t="shared" si="0"/>
        <v>0</v>
      </c>
    </row>
    <row r="39" spans="1:5" ht="15" x14ac:dyDescent="0.45">
      <c r="A39" s="5" t="s">
        <v>37</v>
      </c>
      <c r="B39" s="5" t="s">
        <v>3</v>
      </c>
      <c r="C39" s="2">
        <v>7</v>
      </c>
      <c r="D39" s="6">
        <v>17000</v>
      </c>
      <c r="E39" s="7">
        <f t="shared" si="0"/>
        <v>119000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6"/>
      <c r="E40" s="7">
        <f t="shared" si="0"/>
        <v>0</v>
      </c>
    </row>
    <row r="41" spans="1:5" ht="15" x14ac:dyDescent="0.45">
      <c r="A41" s="5" t="s">
        <v>38</v>
      </c>
      <c r="B41" s="5" t="s">
        <v>32</v>
      </c>
      <c r="C41" s="2">
        <v>2</v>
      </c>
      <c r="D41" s="6">
        <v>3000</v>
      </c>
      <c r="E41" s="7">
        <f t="shared" si="0"/>
        <v>6000</v>
      </c>
    </row>
    <row r="42" spans="1:5" ht="15" x14ac:dyDescent="0.45">
      <c r="A42" s="5" t="s">
        <v>39</v>
      </c>
      <c r="B42" s="5" t="s">
        <v>32</v>
      </c>
      <c r="C42" s="2">
        <v>9</v>
      </c>
      <c r="D42" s="6">
        <v>3000</v>
      </c>
      <c r="E42" s="7">
        <f t="shared" si="0"/>
        <v>27000</v>
      </c>
    </row>
    <row r="43" spans="1:5" ht="15" x14ac:dyDescent="0.45">
      <c r="A43" s="5" t="s">
        <v>40</v>
      </c>
      <c r="B43" s="5" t="s">
        <v>3</v>
      </c>
      <c r="C43" s="2">
        <v>100</v>
      </c>
      <c r="D43" s="6">
        <v>5000</v>
      </c>
      <c r="E43" s="7">
        <f t="shared" si="0"/>
        <v>500000</v>
      </c>
    </row>
    <row r="44" spans="1:5" ht="15" hidden="1" x14ac:dyDescent="0.45">
      <c r="A44" s="5" t="s">
        <v>41</v>
      </c>
      <c r="B44" s="5" t="s">
        <v>3</v>
      </c>
      <c r="C44" s="2">
        <v>0</v>
      </c>
      <c r="D44" s="6"/>
      <c r="E44" s="7">
        <f t="shared" si="0"/>
        <v>0</v>
      </c>
    </row>
    <row r="45" spans="1:5" ht="15" x14ac:dyDescent="0.45">
      <c r="A45" s="5" t="s">
        <v>43</v>
      </c>
      <c r="B45" s="5" t="s">
        <v>3</v>
      </c>
      <c r="C45" s="2">
        <v>50</v>
      </c>
      <c r="D45" s="6">
        <v>12000</v>
      </c>
      <c r="E45" s="7">
        <f t="shared" si="0"/>
        <v>600000</v>
      </c>
    </row>
    <row r="46" spans="1:5" ht="15" hidden="1" x14ac:dyDescent="0.45">
      <c r="A46" s="5" t="s">
        <v>43</v>
      </c>
      <c r="B46" s="5" t="s">
        <v>44</v>
      </c>
      <c r="C46" s="2">
        <v>0</v>
      </c>
      <c r="D46" s="6"/>
      <c r="E46" s="7">
        <f t="shared" si="0"/>
        <v>0</v>
      </c>
    </row>
    <row r="47" spans="1:5" ht="15" x14ac:dyDescent="0.45">
      <c r="A47" s="5" t="s">
        <v>45</v>
      </c>
      <c r="B47" s="5" t="s">
        <v>3</v>
      </c>
      <c r="C47" s="2">
        <v>2</v>
      </c>
      <c r="D47" s="6">
        <v>37000</v>
      </c>
      <c r="E47" s="7">
        <f t="shared" si="0"/>
        <v>74000</v>
      </c>
    </row>
    <row r="48" spans="1:5" ht="15" x14ac:dyDescent="0.45">
      <c r="A48" s="5" t="s">
        <v>46</v>
      </c>
      <c r="B48" s="5" t="s">
        <v>3</v>
      </c>
      <c r="C48" s="2">
        <v>4</v>
      </c>
      <c r="D48" s="6">
        <v>14000</v>
      </c>
      <c r="E48" s="7">
        <f t="shared" si="0"/>
        <v>56000</v>
      </c>
    </row>
    <row r="49" spans="1:5" ht="15" hidden="1" x14ac:dyDescent="0.45">
      <c r="A49" s="5" t="s">
        <v>47</v>
      </c>
      <c r="B49" s="5" t="s">
        <v>27</v>
      </c>
      <c r="C49" s="2">
        <v>0</v>
      </c>
      <c r="D49" s="6"/>
      <c r="E49" s="7">
        <f t="shared" si="0"/>
        <v>0</v>
      </c>
    </row>
    <row r="50" spans="1:5" ht="15" x14ac:dyDescent="0.45">
      <c r="A50" s="5" t="s">
        <v>48</v>
      </c>
      <c r="B50" s="5" t="s">
        <v>3</v>
      </c>
      <c r="C50" s="2">
        <v>10</v>
      </c>
      <c r="D50" s="6">
        <v>6500</v>
      </c>
      <c r="E50" s="7">
        <f t="shared" si="0"/>
        <v>65000</v>
      </c>
    </row>
    <row r="51" spans="1:5" ht="15" x14ac:dyDescent="0.45">
      <c r="A51" s="5" t="s">
        <v>49</v>
      </c>
      <c r="B51" s="5" t="s">
        <v>3</v>
      </c>
      <c r="C51" s="2">
        <v>75</v>
      </c>
      <c r="D51" s="6">
        <v>8000</v>
      </c>
      <c r="E51" s="7">
        <f t="shared" si="0"/>
        <v>600000</v>
      </c>
    </row>
    <row r="52" spans="1:5" ht="15" hidden="1" x14ac:dyDescent="0.45">
      <c r="A52" s="5" t="s">
        <v>49</v>
      </c>
      <c r="B52" s="5" t="s">
        <v>32</v>
      </c>
      <c r="C52" s="2">
        <v>0</v>
      </c>
      <c r="D52" s="6"/>
      <c r="E52" s="7">
        <f t="shared" si="0"/>
        <v>0</v>
      </c>
    </row>
    <row r="53" spans="1:5" ht="15" x14ac:dyDescent="0.45">
      <c r="A53" s="5" t="s">
        <v>50</v>
      </c>
      <c r="B53" s="5" t="s">
        <v>3</v>
      </c>
      <c r="C53" s="2">
        <v>12</v>
      </c>
      <c r="D53" s="6">
        <v>21000</v>
      </c>
      <c r="E53" s="7">
        <f t="shared" si="0"/>
        <v>252000</v>
      </c>
    </row>
    <row r="54" spans="1:5" ht="15" x14ac:dyDescent="0.45">
      <c r="A54" s="5" t="s">
        <v>51</v>
      </c>
      <c r="B54" s="5" t="s">
        <v>3</v>
      </c>
      <c r="C54" s="2">
        <v>320</v>
      </c>
      <c r="D54" s="6">
        <v>5500</v>
      </c>
      <c r="E54" s="7">
        <f t="shared" si="0"/>
        <v>1760000</v>
      </c>
    </row>
    <row r="55" spans="1:5" ht="15" hidden="1" x14ac:dyDescent="0.45">
      <c r="A55" s="5" t="s">
        <v>51</v>
      </c>
      <c r="B55" s="5" t="s">
        <v>52</v>
      </c>
      <c r="C55" s="2">
        <v>0</v>
      </c>
      <c r="D55" s="6"/>
      <c r="E55" s="7">
        <f t="shared" si="0"/>
        <v>0</v>
      </c>
    </row>
    <row r="56" spans="1:5" ht="15" x14ac:dyDescent="0.45">
      <c r="A56" s="5" t="s">
        <v>53</v>
      </c>
      <c r="B56" s="5" t="s">
        <v>3</v>
      </c>
      <c r="C56" s="2">
        <v>45</v>
      </c>
      <c r="D56" s="6">
        <v>20000</v>
      </c>
      <c r="E56" s="7">
        <f t="shared" si="0"/>
        <v>900000</v>
      </c>
    </row>
    <row r="57" spans="1:5" ht="15" x14ac:dyDescent="0.45">
      <c r="A57" s="5" t="s">
        <v>54</v>
      </c>
      <c r="B57" s="5" t="s">
        <v>32</v>
      </c>
      <c r="C57" s="2">
        <v>250</v>
      </c>
      <c r="D57" s="6">
        <v>1350</v>
      </c>
      <c r="E57" s="7">
        <f t="shared" si="0"/>
        <v>337500</v>
      </c>
    </row>
    <row r="58" spans="1:5" ht="15" x14ac:dyDescent="0.45">
      <c r="A58" s="5" t="s">
        <v>55</v>
      </c>
      <c r="B58" s="5" t="s">
        <v>3</v>
      </c>
      <c r="C58" s="2">
        <v>99</v>
      </c>
      <c r="D58" s="6">
        <v>26000</v>
      </c>
      <c r="E58" s="7">
        <f t="shared" si="0"/>
        <v>2574000</v>
      </c>
    </row>
    <row r="59" spans="1:5" ht="15" x14ac:dyDescent="0.45">
      <c r="A59" s="5" t="s">
        <v>56</v>
      </c>
      <c r="B59" s="5" t="s">
        <v>3</v>
      </c>
      <c r="C59" s="2">
        <v>1400</v>
      </c>
      <c r="D59" s="6">
        <v>26000</v>
      </c>
      <c r="E59" s="7">
        <f t="shared" si="0"/>
        <v>36400000</v>
      </c>
    </row>
    <row r="60" spans="1:5" ht="15" x14ac:dyDescent="0.45">
      <c r="A60" s="5" t="s">
        <v>57</v>
      </c>
      <c r="B60" s="5" t="s">
        <v>3</v>
      </c>
      <c r="C60" s="2">
        <v>320</v>
      </c>
      <c r="D60" s="6">
        <v>17000</v>
      </c>
      <c r="E60" s="7">
        <f t="shared" si="0"/>
        <v>5440000</v>
      </c>
    </row>
    <row r="61" spans="1:5" ht="15" x14ac:dyDescent="0.45">
      <c r="A61" s="5" t="s">
        <v>58</v>
      </c>
      <c r="B61" s="5" t="s">
        <v>3</v>
      </c>
      <c r="C61" s="2">
        <v>26</v>
      </c>
      <c r="D61" s="6">
        <v>22000</v>
      </c>
      <c r="E61" s="7">
        <f t="shared" si="0"/>
        <v>572000</v>
      </c>
    </row>
    <row r="62" spans="1:5" ht="15" hidden="1" x14ac:dyDescent="0.45">
      <c r="A62" s="5" t="s">
        <v>59</v>
      </c>
      <c r="B62" s="5" t="s">
        <v>32</v>
      </c>
      <c r="C62" s="2">
        <v>0</v>
      </c>
      <c r="D62" s="6"/>
      <c r="E62" s="7">
        <f t="shared" si="0"/>
        <v>0</v>
      </c>
    </row>
    <row r="63" spans="1:5" ht="15" x14ac:dyDescent="0.45">
      <c r="A63" s="5" t="s">
        <v>60</v>
      </c>
      <c r="B63" s="5" t="s">
        <v>3</v>
      </c>
      <c r="C63" s="2">
        <v>4</v>
      </c>
      <c r="D63" s="6">
        <v>16000</v>
      </c>
      <c r="E63" s="7">
        <f t="shared" si="0"/>
        <v>64000</v>
      </c>
    </row>
    <row r="64" spans="1:5" ht="15" x14ac:dyDescent="0.45">
      <c r="A64" s="5" t="s">
        <v>61</v>
      </c>
      <c r="B64" s="5" t="s">
        <v>3</v>
      </c>
      <c r="C64" s="2">
        <v>510</v>
      </c>
      <c r="D64" s="6">
        <v>11500</v>
      </c>
      <c r="E64" s="7">
        <f t="shared" si="0"/>
        <v>5865000</v>
      </c>
    </row>
    <row r="65" spans="1:5" ht="15" hidden="1" x14ac:dyDescent="0.45">
      <c r="A65" s="5" t="s">
        <v>61</v>
      </c>
      <c r="B65" s="5" t="s">
        <v>32</v>
      </c>
      <c r="C65" s="2">
        <v>0</v>
      </c>
      <c r="D65" s="6"/>
      <c r="E65" s="7">
        <f t="shared" si="0"/>
        <v>0</v>
      </c>
    </row>
    <row r="66" spans="1:5" ht="15" hidden="1" x14ac:dyDescent="0.45">
      <c r="A66" s="5" t="s">
        <v>62</v>
      </c>
      <c r="B66" s="5" t="s">
        <v>32</v>
      </c>
      <c r="C66" s="2">
        <v>0</v>
      </c>
      <c r="D66" s="6"/>
      <c r="E66" s="7">
        <f t="shared" si="0"/>
        <v>0</v>
      </c>
    </row>
    <row r="67" spans="1:5" ht="15" x14ac:dyDescent="0.45">
      <c r="A67" s="5" t="s">
        <v>63</v>
      </c>
      <c r="B67" s="5" t="s">
        <v>3</v>
      </c>
      <c r="C67" s="2">
        <v>3</v>
      </c>
      <c r="D67" s="6">
        <v>11000</v>
      </c>
      <c r="E67" s="7">
        <f t="shared" si="0"/>
        <v>33000</v>
      </c>
    </row>
    <row r="68" spans="1:5" ht="15" x14ac:dyDescent="0.45">
      <c r="A68" s="5" t="s">
        <v>64</v>
      </c>
      <c r="B68" s="5" t="s">
        <v>32</v>
      </c>
      <c r="C68" s="2">
        <v>16</v>
      </c>
      <c r="D68" s="6">
        <v>6000</v>
      </c>
      <c r="E68" s="7">
        <f t="shared" ref="E68:E108" si="1">C68*D68</f>
        <v>96000</v>
      </c>
    </row>
    <row r="69" spans="1:5" ht="15" hidden="1" x14ac:dyDescent="0.45">
      <c r="A69" s="5" t="s">
        <v>65</v>
      </c>
      <c r="B69" s="5" t="s">
        <v>3</v>
      </c>
      <c r="C69" s="2">
        <v>0</v>
      </c>
      <c r="D69" s="6"/>
      <c r="E69" s="7">
        <f t="shared" si="1"/>
        <v>0</v>
      </c>
    </row>
    <row r="70" spans="1:5" ht="15" x14ac:dyDescent="0.45">
      <c r="A70" s="5" t="s">
        <v>65</v>
      </c>
      <c r="B70" s="5" t="s">
        <v>32</v>
      </c>
      <c r="C70" s="2">
        <v>26</v>
      </c>
      <c r="D70" s="6">
        <v>6000</v>
      </c>
      <c r="E70" s="7">
        <f t="shared" si="1"/>
        <v>156000</v>
      </c>
    </row>
    <row r="71" spans="1:5" ht="15" hidden="1" x14ac:dyDescent="0.45">
      <c r="A71" s="5" t="s">
        <v>66</v>
      </c>
      <c r="B71" s="5" t="s">
        <v>3</v>
      </c>
      <c r="C71" s="2">
        <v>0</v>
      </c>
      <c r="D71" s="6"/>
      <c r="E71" s="7">
        <f t="shared" si="1"/>
        <v>0</v>
      </c>
    </row>
    <row r="72" spans="1:5" ht="15" hidden="1" x14ac:dyDescent="0.45">
      <c r="A72" s="5" t="s">
        <v>68</v>
      </c>
      <c r="B72" s="5" t="s">
        <v>3</v>
      </c>
      <c r="C72" s="2">
        <v>0</v>
      </c>
      <c r="D72" s="6"/>
      <c r="E72" s="7">
        <f t="shared" si="1"/>
        <v>0</v>
      </c>
    </row>
    <row r="73" spans="1:5" ht="15" hidden="1" x14ac:dyDescent="0.45">
      <c r="A73" s="5" t="s">
        <v>70</v>
      </c>
      <c r="B73" s="5" t="s">
        <v>3</v>
      </c>
      <c r="C73" s="2">
        <v>0</v>
      </c>
      <c r="D73" s="6"/>
      <c r="E73" s="7">
        <f t="shared" si="1"/>
        <v>0</v>
      </c>
    </row>
    <row r="74" spans="1:5" ht="15" x14ac:dyDescent="0.45">
      <c r="A74" s="5" t="s">
        <v>70</v>
      </c>
      <c r="B74" s="5" t="s">
        <v>18</v>
      </c>
      <c r="C74" s="2">
        <v>80</v>
      </c>
      <c r="D74" s="6">
        <v>6500</v>
      </c>
      <c r="E74" s="7">
        <f t="shared" si="1"/>
        <v>520000</v>
      </c>
    </row>
    <row r="75" spans="1:5" ht="15" hidden="1" x14ac:dyDescent="0.45">
      <c r="A75" s="5" t="s">
        <v>71</v>
      </c>
      <c r="B75" s="5" t="s">
        <v>3</v>
      </c>
      <c r="C75" s="2">
        <v>0</v>
      </c>
      <c r="D75" s="6"/>
      <c r="E75" s="7">
        <f t="shared" si="1"/>
        <v>0</v>
      </c>
    </row>
    <row r="76" spans="1:5" ht="15" x14ac:dyDescent="0.45">
      <c r="A76" s="5" t="s">
        <v>72</v>
      </c>
      <c r="B76" s="5" t="s">
        <v>3</v>
      </c>
      <c r="C76" s="2">
        <v>24</v>
      </c>
      <c r="D76" s="6">
        <v>14000</v>
      </c>
      <c r="E76" s="7">
        <f t="shared" si="1"/>
        <v>336000</v>
      </c>
    </row>
    <row r="77" spans="1:5" ht="15" x14ac:dyDescent="0.45">
      <c r="A77" s="5" t="s">
        <v>73</v>
      </c>
      <c r="B77" s="5" t="s">
        <v>3</v>
      </c>
      <c r="C77" s="2">
        <v>62</v>
      </c>
      <c r="D77" s="6">
        <v>10500</v>
      </c>
      <c r="E77" s="7">
        <f t="shared" si="1"/>
        <v>651000</v>
      </c>
    </row>
    <row r="78" spans="1:5" ht="15" hidden="1" x14ac:dyDescent="0.45">
      <c r="A78" s="5" t="s">
        <v>73</v>
      </c>
      <c r="B78" s="5" t="s">
        <v>44</v>
      </c>
      <c r="C78" s="2">
        <v>0</v>
      </c>
      <c r="D78" s="6"/>
      <c r="E78" s="7">
        <f t="shared" si="1"/>
        <v>0</v>
      </c>
    </row>
    <row r="79" spans="1:5" ht="15" hidden="1" x14ac:dyDescent="0.45">
      <c r="A79" s="5" t="s">
        <v>74</v>
      </c>
      <c r="B79" s="5" t="s">
        <v>32</v>
      </c>
      <c r="C79" s="2">
        <v>0</v>
      </c>
      <c r="D79" s="6"/>
      <c r="E79" s="7">
        <f t="shared" si="1"/>
        <v>0</v>
      </c>
    </row>
    <row r="80" spans="1:5" ht="15" x14ac:dyDescent="0.45">
      <c r="A80" s="5" t="s">
        <v>75</v>
      </c>
      <c r="B80" s="5" t="s">
        <v>3</v>
      </c>
      <c r="C80" s="2">
        <v>7</v>
      </c>
      <c r="D80" s="6">
        <v>14000</v>
      </c>
      <c r="E80" s="7">
        <f t="shared" si="1"/>
        <v>98000</v>
      </c>
    </row>
    <row r="81" spans="1:5" ht="15" x14ac:dyDescent="0.45">
      <c r="A81" s="5" t="s">
        <v>76</v>
      </c>
      <c r="B81" s="5" t="s">
        <v>118</v>
      </c>
      <c r="C81" s="2">
        <v>10</v>
      </c>
      <c r="D81" s="6">
        <v>90000</v>
      </c>
      <c r="E81" s="7">
        <f t="shared" si="1"/>
        <v>900000</v>
      </c>
    </row>
    <row r="82" spans="1:5" ht="15" hidden="1" x14ac:dyDescent="0.45">
      <c r="A82" s="5" t="s">
        <v>79</v>
      </c>
      <c r="B82" s="5" t="s">
        <v>18</v>
      </c>
      <c r="C82" s="2">
        <v>0</v>
      </c>
      <c r="D82" s="6"/>
      <c r="E82" s="7">
        <f t="shared" si="1"/>
        <v>0</v>
      </c>
    </row>
    <row r="83" spans="1:5" ht="15" hidden="1" x14ac:dyDescent="0.45">
      <c r="A83" s="5" t="s">
        <v>80</v>
      </c>
      <c r="B83" s="5" t="s">
        <v>27</v>
      </c>
      <c r="C83" s="2">
        <v>0</v>
      </c>
      <c r="D83" s="6"/>
      <c r="E83" s="7">
        <f t="shared" si="1"/>
        <v>0</v>
      </c>
    </row>
    <row r="84" spans="1:5" ht="15" x14ac:dyDescent="0.45">
      <c r="A84" s="5" t="s">
        <v>80</v>
      </c>
      <c r="B84" s="5" t="s">
        <v>3</v>
      </c>
      <c r="C84" s="2">
        <v>14</v>
      </c>
      <c r="D84" s="6">
        <v>32000</v>
      </c>
      <c r="E84" s="7">
        <f t="shared" si="1"/>
        <v>448000</v>
      </c>
    </row>
    <row r="85" spans="1:5" ht="15" x14ac:dyDescent="0.45">
      <c r="A85" s="5" t="s">
        <v>81</v>
      </c>
      <c r="B85" s="5" t="s">
        <v>3</v>
      </c>
      <c r="C85" s="2">
        <v>55</v>
      </c>
      <c r="D85" s="6">
        <v>29000</v>
      </c>
      <c r="E85" s="7">
        <f t="shared" si="1"/>
        <v>1595000</v>
      </c>
    </row>
    <row r="86" spans="1:5" ht="15" hidden="1" x14ac:dyDescent="0.45">
      <c r="A86" s="5" t="s">
        <v>81</v>
      </c>
      <c r="B86" s="5" t="s">
        <v>11</v>
      </c>
      <c r="C86" s="2">
        <v>0</v>
      </c>
      <c r="D86" s="6"/>
      <c r="E86" s="7">
        <f t="shared" si="1"/>
        <v>0</v>
      </c>
    </row>
    <row r="87" spans="1:5" ht="15" x14ac:dyDescent="0.45">
      <c r="A87" s="5" t="s">
        <v>82</v>
      </c>
      <c r="B87" s="5" t="s">
        <v>3</v>
      </c>
      <c r="C87" s="2">
        <v>5</v>
      </c>
      <c r="D87" s="6">
        <v>18000</v>
      </c>
      <c r="E87" s="7">
        <f t="shared" si="1"/>
        <v>90000</v>
      </c>
    </row>
    <row r="88" spans="1:5" ht="15" x14ac:dyDescent="0.45">
      <c r="A88" s="5" t="s">
        <v>83</v>
      </c>
      <c r="B88" s="5" t="s">
        <v>3</v>
      </c>
      <c r="C88" s="2">
        <v>15</v>
      </c>
      <c r="D88" s="6">
        <v>22000</v>
      </c>
      <c r="E88" s="7">
        <f t="shared" si="1"/>
        <v>330000</v>
      </c>
    </row>
    <row r="89" spans="1:5" ht="15" hidden="1" x14ac:dyDescent="0.45">
      <c r="A89" s="5" t="s">
        <v>83</v>
      </c>
      <c r="B89" s="5" t="s">
        <v>11</v>
      </c>
      <c r="C89" s="2">
        <v>0</v>
      </c>
      <c r="D89" s="6"/>
      <c r="E89" s="7">
        <f t="shared" si="1"/>
        <v>0</v>
      </c>
    </row>
    <row r="90" spans="1:5" ht="15" x14ac:dyDescent="0.45">
      <c r="A90" s="5" t="s">
        <v>84</v>
      </c>
      <c r="B90" s="5" t="s">
        <v>3</v>
      </c>
      <c r="C90" s="2">
        <v>5</v>
      </c>
      <c r="D90" s="6">
        <v>16000</v>
      </c>
      <c r="E90" s="7">
        <f t="shared" si="1"/>
        <v>80000</v>
      </c>
    </row>
    <row r="91" spans="1:5" ht="15" x14ac:dyDescent="0.45">
      <c r="A91" s="5" t="s">
        <v>85</v>
      </c>
      <c r="B91" s="5" t="s">
        <v>3</v>
      </c>
      <c r="C91" s="2">
        <v>83</v>
      </c>
      <c r="D91" s="6">
        <v>28000</v>
      </c>
      <c r="E91" s="7">
        <f t="shared" si="1"/>
        <v>2324000</v>
      </c>
    </row>
    <row r="92" spans="1:5" ht="15" hidden="1" x14ac:dyDescent="0.45">
      <c r="A92" s="5" t="s">
        <v>85</v>
      </c>
      <c r="B92" s="5" t="s">
        <v>11</v>
      </c>
      <c r="C92" s="2">
        <v>0</v>
      </c>
      <c r="D92" s="6"/>
      <c r="E92" s="7">
        <f t="shared" si="1"/>
        <v>0</v>
      </c>
    </row>
    <row r="93" spans="1:5" ht="15" x14ac:dyDescent="0.45">
      <c r="A93" s="5" t="s">
        <v>113</v>
      </c>
      <c r="B93" s="5" t="s">
        <v>3</v>
      </c>
      <c r="C93" s="2">
        <v>30</v>
      </c>
      <c r="D93" s="6">
        <v>24000</v>
      </c>
      <c r="E93" s="7">
        <f t="shared" si="1"/>
        <v>720000</v>
      </c>
    </row>
    <row r="94" spans="1:5" ht="15" hidden="1" x14ac:dyDescent="0.45">
      <c r="A94" s="5" t="s">
        <v>86</v>
      </c>
      <c r="B94" s="5" t="s">
        <v>32</v>
      </c>
      <c r="C94" s="2">
        <v>0</v>
      </c>
      <c r="D94" s="6"/>
      <c r="E94" s="7">
        <f t="shared" si="1"/>
        <v>0</v>
      </c>
    </row>
    <row r="95" spans="1:5" ht="15" x14ac:dyDescent="0.45">
      <c r="A95" s="5" t="s">
        <v>109</v>
      </c>
      <c r="B95" s="5" t="s">
        <v>3</v>
      </c>
      <c r="C95" s="2">
        <v>2</v>
      </c>
      <c r="D95" s="6">
        <v>21000</v>
      </c>
      <c r="E95" s="7">
        <f t="shared" si="1"/>
        <v>42000</v>
      </c>
    </row>
    <row r="96" spans="1:5" ht="15" x14ac:dyDescent="0.45">
      <c r="A96" s="5" t="s">
        <v>87</v>
      </c>
      <c r="B96" s="5" t="s">
        <v>32</v>
      </c>
      <c r="C96" s="2">
        <v>17</v>
      </c>
      <c r="D96" s="6">
        <v>9000</v>
      </c>
      <c r="E96" s="7">
        <f t="shared" si="1"/>
        <v>153000</v>
      </c>
    </row>
    <row r="97" spans="1:5" ht="15" hidden="1" x14ac:dyDescent="0.45">
      <c r="A97" s="5" t="s">
        <v>89</v>
      </c>
      <c r="B97" s="5" t="s">
        <v>11</v>
      </c>
      <c r="C97" s="2">
        <v>0</v>
      </c>
      <c r="D97" s="6"/>
      <c r="E97" s="7">
        <f t="shared" si="1"/>
        <v>0</v>
      </c>
    </row>
    <row r="98" spans="1:5" ht="15" x14ac:dyDescent="0.45">
      <c r="A98" s="5" t="s">
        <v>90</v>
      </c>
      <c r="B98" s="5" t="s">
        <v>11</v>
      </c>
      <c r="C98" s="2">
        <v>353</v>
      </c>
      <c r="D98" s="6">
        <v>11361</v>
      </c>
      <c r="E98" s="7">
        <f t="shared" si="1"/>
        <v>4010433</v>
      </c>
    </row>
    <row r="99" spans="1:5" ht="15" x14ac:dyDescent="0.45">
      <c r="A99" s="5" t="s">
        <v>91</v>
      </c>
      <c r="B99" s="5" t="s">
        <v>3</v>
      </c>
      <c r="C99" s="2">
        <v>2</v>
      </c>
      <c r="D99" s="6">
        <v>18000</v>
      </c>
      <c r="E99" s="7">
        <f t="shared" si="1"/>
        <v>36000</v>
      </c>
    </row>
    <row r="100" spans="1:5" ht="15" x14ac:dyDescent="0.45">
      <c r="A100" s="5" t="s">
        <v>92</v>
      </c>
      <c r="B100" s="5" t="s">
        <v>3</v>
      </c>
      <c r="C100" s="2">
        <v>30</v>
      </c>
      <c r="D100" s="6">
        <v>5000</v>
      </c>
      <c r="E100" s="7">
        <f t="shared" si="1"/>
        <v>150000</v>
      </c>
    </row>
    <row r="101" spans="1:5" ht="15" x14ac:dyDescent="0.45">
      <c r="A101" s="5" t="s">
        <v>93</v>
      </c>
      <c r="B101" s="5" t="s">
        <v>3</v>
      </c>
      <c r="C101" s="2">
        <v>3</v>
      </c>
      <c r="D101" s="6">
        <v>32000</v>
      </c>
      <c r="E101" s="7">
        <f t="shared" si="1"/>
        <v>96000</v>
      </c>
    </row>
    <row r="102" spans="1:5" ht="15" hidden="1" x14ac:dyDescent="0.45">
      <c r="A102" s="5" t="s">
        <v>94</v>
      </c>
      <c r="B102" s="5" t="s">
        <v>3</v>
      </c>
      <c r="C102" s="2">
        <v>0</v>
      </c>
      <c r="D102" s="6"/>
      <c r="E102" s="7">
        <f t="shared" si="1"/>
        <v>0</v>
      </c>
    </row>
    <row r="103" spans="1:5" ht="15" hidden="1" x14ac:dyDescent="0.45">
      <c r="A103" s="5" t="s">
        <v>96</v>
      </c>
      <c r="B103" s="5" t="s">
        <v>3</v>
      </c>
      <c r="C103" s="2">
        <v>0</v>
      </c>
      <c r="D103" s="6"/>
      <c r="E103" s="7">
        <f t="shared" si="1"/>
        <v>0</v>
      </c>
    </row>
    <row r="104" spans="1:5" ht="15" hidden="1" x14ac:dyDescent="0.45">
      <c r="A104" s="5" t="s">
        <v>97</v>
      </c>
      <c r="B104" s="5" t="s">
        <v>44</v>
      </c>
      <c r="C104" s="2">
        <v>0</v>
      </c>
      <c r="D104" s="6"/>
      <c r="E104" s="7">
        <f t="shared" si="1"/>
        <v>0</v>
      </c>
    </row>
    <row r="105" spans="1:5" ht="15" hidden="1" x14ac:dyDescent="0.45">
      <c r="A105" s="5" t="s">
        <v>98</v>
      </c>
      <c r="B105" s="5" t="s">
        <v>3</v>
      </c>
      <c r="C105" s="2">
        <v>0</v>
      </c>
      <c r="D105" s="6"/>
      <c r="E105" s="7">
        <f t="shared" si="1"/>
        <v>0</v>
      </c>
    </row>
    <row r="106" spans="1:5" ht="15" hidden="1" x14ac:dyDescent="0.45">
      <c r="A106" s="5" t="s">
        <v>99</v>
      </c>
      <c r="B106" s="5" t="s">
        <v>44</v>
      </c>
      <c r="C106" s="2">
        <v>0</v>
      </c>
      <c r="D106" s="6"/>
      <c r="E106" s="7">
        <f t="shared" si="1"/>
        <v>0</v>
      </c>
    </row>
    <row r="107" spans="1:5" ht="15" x14ac:dyDescent="0.45">
      <c r="A107" s="5" t="s">
        <v>100</v>
      </c>
      <c r="B107" s="5" t="s">
        <v>3</v>
      </c>
      <c r="C107" s="2">
        <v>7</v>
      </c>
      <c r="D107" s="6">
        <v>25000</v>
      </c>
      <c r="E107" s="7">
        <f t="shared" si="1"/>
        <v>175000</v>
      </c>
    </row>
    <row r="108" spans="1:5" ht="15" hidden="1" x14ac:dyDescent="0.45">
      <c r="A108" s="5" t="s">
        <v>101</v>
      </c>
      <c r="B108" s="5" t="s">
        <v>44</v>
      </c>
      <c r="C108" s="2">
        <v>0</v>
      </c>
      <c r="D108" s="6"/>
      <c r="E108" s="7">
        <f t="shared" si="1"/>
        <v>0</v>
      </c>
    </row>
    <row r="109" spans="1:5" x14ac:dyDescent="0.45">
      <c r="E109" s="8">
        <f>SUM(E3:E107)</f>
        <v>91088433</v>
      </c>
    </row>
  </sheetData>
  <autoFilter ref="A2:E108" xr:uid="{00000000-0009-0000-0000-000003000000}">
    <filterColumn colId="2">
      <filters>
        <filter val="1,400"/>
        <filter val="10"/>
        <filter val="100"/>
        <filter val="115"/>
        <filter val="12"/>
        <filter val="14"/>
        <filter val="141"/>
        <filter val="15"/>
        <filter val="16"/>
        <filter val="17"/>
        <filter val="2"/>
        <filter val="235"/>
        <filter val="24"/>
        <filter val="25"/>
        <filter val="250"/>
        <filter val="26"/>
        <filter val="27"/>
        <filter val="270"/>
        <filter val="3"/>
        <filter val="30"/>
        <filter val="320"/>
        <filter val="353"/>
        <filter val="4"/>
        <filter val="45"/>
        <filter val="5"/>
        <filter val="50"/>
        <filter val="510"/>
        <filter val="55"/>
        <filter val="59"/>
        <filter val="598"/>
        <filter val="62"/>
        <filter val="660"/>
        <filter val="7"/>
        <filter val="75"/>
        <filter val="80"/>
        <filter val="83"/>
        <filter val="9"/>
        <filter val="9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13"/>
  <sheetViews>
    <sheetView workbookViewId="0">
      <selection activeCell="D94" sqref="D94"/>
    </sheetView>
  </sheetViews>
  <sheetFormatPr defaultRowHeight="14.25" x14ac:dyDescent="0.45"/>
  <cols>
    <col min="1" max="1" width="24.19921875" customWidth="1"/>
    <col min="4" max="4" width="10.46484375" customWidth="1"/>
    <col min="5" max="5" width="19.46484375" customWidth="1"/>
  </cols>
  <sheetData>
    <row r="1" spans="1:5" x14ac:dyDescent="0.45">
      <c r="A1" t="s">
        <v>121</v>
      </c>
    </row>
    <row r="2" spans="1:5" ht="60.6" customHeight="1" x14ac:dyDescent="0.45">
      <c r="A2" s="1" t="s">
        <v>0</v>
      </c>
      <c r="B2" s="1" t="s">
        <v>1</v>
      </c>
      <c r="C2" s="2" t="s">
        <v>103</v>
      </c>
      <c r="D2" s="3" t="s">
        <v>104</v>
      </c>
      <c r="E2" s="4" t="s">
        <v>105</v>
      </c>
    </row>
    <row r="3" spans="1:5" ht="15" x14ac:dyDescent="0.45">
      <c r="A3" s="5" t="s">
        <v>2</v>
      </c>
      <c r="B3" s="5" t="s">
        <v>3</v>
      </c>
      <c r="C3" s="2">
        <v>18</v>
      </c>
      <c r="D3" s="6">
        <v>18000</v>
      </c>
      <c r="E3" s="7">
        <f>C3*D3</f>
        <v>324000</v>
      </c>
    </row>
    <row r="4" spans="1:5" ht="15" x14ac:dyDescent="0.45">
      <c r="A4" s="5" t="s">
        <v>4</v>
      </c>
      <c r="B4" s="5" t="s">
        <v>3</v>
      </c>
      <c r="C4" s="2">
        <v>280</v>
      </c>
      <c r="D4" s="6">
        <v>7000</v>
      </c>
      <c r="E4" s="7">
        <f t="shared" ref="E4:E67" si="0">C4*D4</f>
        <v>1960000</v>
      </c>
    </row>
    <row r="5" spans="1:5" ht="15" x14ac:dyDescent="0.45">
      <c r="A5" s="5" t="s">
        <v>5</v>
      </c>
      <c r="B5" s="5" t="s">
        <v>3</v>
      </c>
      <c r="C5" s="2">
        <v>350</v>
      </c>
      <c r="D5" s="6">
        <v>4000</v>
      </c>
      <c r="E5" s="7">
        <f t="shared" si="0"/>
        <v>1400000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6"/>
      <c r="E6" s="7">
        <f t="shared" si="0"/>
        <v>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6"/>
      <c r="E7" s="7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943</v>
      </c>
      <c r="D8" s="6">
        <v>7000</v>
      </c>
      <c r="E8" s="7">
        <f t="shared" si="0"/>
        <v>6601000</v>
      </c>
    </row>
    <row r="9" spans="1:5" ht="15" x14ac:dyDescent="0.45">
      <c r="A9" s="5" t="s">
        <v>10</v>
      </c>
      <c r="B9" s="5" t="s">
        <v>3</v>
      </c>
      <c r="C9" s="2">
        <v>40</v>
      </c>
      <c r="D9" s="6">
        <v>7000</v>
      </c>
      <c r="E9" s="7">
        <f t="shared" si="0"/>
        <v>280000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6"/>
      <c r="E10" s="7">
        <f t="shared" si="0"/>
        <v>0</v>
      </c>
    </row>
    <row r="11" spans="1:5" ht="15" x14ac:dyDescent="0.45">
      <c r="A11" s="5" t="s">
        <v>12</v>
      </c>
      <c r="B11" s="5" t="s">
        <v>3</v>
      </c>
      <c r="C11" s="2">
        <v>30</v>
      </c>
      <c r="D11" s="6">
        <v>10000</v>
      </c>
      <c r="E11" s="7">
        <f t="shared" si="0"/>
        <v>300000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6"/>
      <c r="E12" s="7">
        <f t="shared" si="0"/>
        <v>0</v>
      </c>
    </row>
    <row r="13" spans="1:5" ht="15" x14ac:dyDescent="0.45">
      <c r="A13" s="5" t="s">
        <v>13</v>
      </c>
      <c r="B13" s="5" t="s">
        <v>3</v>
      </c>
      <c r="C13" s="2">
        <v>118</v>
      </c>
      <c r="D13" s="6">
        <v>35000</v>
      </c>
      <c r="E13" s="7">
        <f t="shared" si="0"/>
        <v>4130000</v>
      </c>
    </row>
    <row r="14" spans="1:5" ht="15" hidden="1" x14ac:dyDescent="0.45">
      <c r="A14" s="5" t="s">
        <v>116</v>
      </c>
      <c r="B14" s="5" t="s">
        <v>3</v>
      </c>
      <c r="C14" s="2">
        <v>0</v>
      </c>
      <c r="D14" s="6"/>
      <c r="E14" s="7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6"/>
      <c r="E15" s="7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6"/>
      <c r="E16" s="7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6"/>
      <c r="E17" s="7">
        <f t="shared" si="0"/>
        <v>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6"/>
      <c r="E18" s="7">
        <f t="shared" si="0"/>
        <v>0</v>
      </c>
    </row>
    <row r="19" spans="1:5" ht="15" x14ac:dyDescent="0.45">
      <c r="A19" s="5" t="s">
        <v>120</v>
      </c>
      <c r="B19" s="5" t="s">
        <v>44</v>
      </c>
      <c r="C19" s="2">
        <v>360</v>
      </c>
      <c r="D19" s="6">
        <v>9000</v>
      </c>
      <c r="E19" s="7">
        <f t="shared" si="0"/>
        <v>3240000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6"/>
      <c r="E20" s="7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251</v>
      </c>
      <c r="D21" s="6">
        <v>14000</v>
      </c>
      <c r="E21" s="7">
        <f t="shared" si="0"/>
        <v>3514000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6"/>
      <c r="E22" s="7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4</v>
      </c>
      <c r="D23" s="6">
        <v>14000</v>
      </c>
      <c r="E23" s="7">
        <f t="shared" si="0"/>
        <v>56000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6"/>
      <c r="E24" s="7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17</v>
      </c>
      <c r="D25" s="6">
        <v>15000</v>
      </c>
      <c r="E25" s="7">
        <f t="shared" si="0"/>
        <v>255000</v>
      </c>
    </row>
    <row r="26" spans="1:5" ht="15" x14ac:dyDescent="0.45">
      <c r="A26" s="5" t="s">
        <v>24</v>
      </c>
      <c r="B26" s="5" t="s">
        <v>25</v>
      </c>
      <c r="C26" s="2">
        <v>37</v>
      </c>
      <c r="D26" s="6">
        <v>4500</v>
      </c>
      <c r="E26" s="7">
        <f t="shared" si="0"/>
        <v>166500</v>
      </c>
    </row>
    <row r="27" spans="1:5" ht="15" x14ac:dyDescent="0.45">
      <c r="A27" s="5" t="s">
        <v>26</v>
      </c>
      <c r="B27" s="5" t="s">
        <v>27</v>
      </c>
      <c r="C27" s="2">
        <v>9</v>
      </c>
      <c r="D27" s="6">
        <v>10500</v>
      </c>
      <c r="E27" s="7">
        <f t="shared" si="0"/>
        <v>94500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6"/>
      <c r="E28" s="7">
        <f t="shared" si="0"/>
        <v>0</v>
      </c>
    </row>
    <row r="29" spans="1:5" ht="15" x14ac:dyDescent="0.45">
      <c r="A29" s="5" t="s">
        <v>28</v>
      </c>
      <c r="B29" s="5" t="s">
        <v>25</v>
      </c>
      <c r="C29" s="2">
        <v>300</v>
      </c>
      <c r="D29" s="6">
        <v>8000</v>
      </c>
      <c r="E29" s="7">
        <f t="shared" si="0"/>
        <v>2400000</v>
      </c>
    </row>
    <row r="30" spans="1:5" ht="15" x14ac:dyDescent="0.45">
      <c r="A30" s="5" t="s">
        <v>28</v>
      </c>
      <c r="B30" s="5" t="s">
        <v>29</v>
      </c>
      <c r="C30" s="2">
        <v>175</v>
      </c>
      <c r="D30" s="6">
        <v>7500</v>
      </c>
      <c r="E30" s="7">
        <f t="shared" si="0"/>
        <v>1312500</v>
      </c>
    </row>
    <row r="31" spans="1:5" ht="15" x14ac:dyDescent="0.45">
      <c r="A31" s="5" t="s">
        <v>30</v>
      </c>
      <c r="B31" s="5" t="s">
        <v>3</v>
      </c>
      <c r="C31" s="2">
        <v>50</v>
      </c>
      <c r="D31" s="6">
        <v>8000</v>
      </c>
      <c r="E31" s="7">
        <f t="shared" si="0"/>
        <v>400000</v>
      </c>
    </row>
    <row r="32" spans="1:5" ht="15" hidden="1" x14ac:dyDescent="0.45">
      <c r="A32" s="5" t="s">
        <v>30</v>
      </c>
      <c r="B32" s="5" t="s">
        <v>18</v>
      </c>
      <c r="C32" s="2">
        <v>0</v>
      </c>
      <c r="D32" s="6"/>
      <c r="E32" s="7">
        <f t="shared" si="0"/>
        <v>0</v>
      </c>
    </row>
    <row r="33" spans="1:5" ht="15" x14ac:dyDescent="0.45">
      <c r="A33" s="5" t="s">
        <v>31</v>
      </c>
      <c r="B33" s="5" t="s">
        <v>32</v>
      </c>
      <c r="C33" s="2">
        <v>60</v>
      </c>
      <c r="D33" s="6">
        <v>5000</v>
      </c>
      <c r="E33" s="7">
        <f t="shared" si="0"/>
        <v>300000</v>
      </c>
    </row>
    <row r="34" spans="1:5" ht="15" hidden="1" x14ac:dyDescent="0.45">
      <c r="A34" s="5" t="s">
        <v>33</v>
      </c>
      <c r="B34" s="5" t="s">
        <v>3</v>
      </c>
      <c r="C34" s="2">
        <v>0</v>
      </c>
      <c r="D34" s="6"/>
      <c r="E34" s="7">
        <f t="shared" si="0"/>
        <v>0</v>
      </c>
    </row>
    <row r="35" spans="1:5" ht="15" hidden="1" x14ac:dyDescent="0.45">
      <c r="A35" s="5" t="s">
        <v>33</v>
      </c>
      <c r="B35" s="5" t="s">
        <v>32</v>
      </c>
      <c r="C35" s="2">
        <v>0</v>
      </c>
      <c r="D35" s="6"/>
      <c r="E35" s="7">
        <f t="shared" si="0"/>
        <v>0</v>
      </c>
    </row>
    <row r="36" spans="1:5" ht="15" x14ac:dyDescent="0.45">
      <c r="A36" s="5" t="s">
        <v>34</v>
      </c>
      <c r="B36" s="5" t="s">
        <v>18</v>
      </c>
      <c r="C36" s="2">
        <v>10</v>
      </c>
      <c r="D36" s="6">
        <v>5500</v>
      </c>
      <c r="E36" s="7">
        <f t="shared" si="0"/>
        <v>55000</v>
      </c>
    </row>
    <row r="37" spans="1:5" ht="15" x14ac:dyDescent="0.45">
      <c r="A37" s="5" t="s">
        <v>35</v>
      </c>
      <c r="B37" s="5" t="s">
        <v>3</v>
      </c>
      <c r="C37" s="2">
        <v>75</v>
      </c>
      <c r="D37" s="6">
        <v>8000</v>
      </c>
      <c r="E37" s="7">
        <f t="shared" si="0"/>
        <v>600000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6"/>
      <c r="E38" s="7">
        <f t="shared" si="0"/>
        <v>0</v>
      </c>
    </row>
    <row r="39" spans="1:5" ht="15" x14ac:dyDescent="0.45">
      <c r="A39" s="5" t="s">
        <v>37</v>
      </c>
      <c r="B39" s="5" t="s">
        <v>3</v>
      </c>
      <c r="C39" s="2">
        <v>8</v>
      </c>
      <c r="D39" s="6">
        <v>17000</v>
      </c>
      <c r="E39" s="7">
        <f t="shared" si="0"/>
        <v>136000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6"/>
      <c r="E40" s="7">
        <f t="shared" si="0"/>
        <v>0</v>
      </c>
    </row>
    <row r="41" spans="1:5" ht="15" x14ac:dyDescent="0.45">
      <c r="A41" s="5" t="s">
        <v>39</v>
      </c>
      <c r="B41" s="5" t="s">
        <v>3</v>
      </c>
      <c r="C41" s="2">
        <v>2</v>
      </c>
      <c r="D41" s="6">
        <v>15000</v>
      </c>
      <c r="E41" s="7">
        <f t="shared" si="0"/>
        <v>30000</v>
      </c>
    </row>
    <row r="42" spans="1:5" ht="15" hidden="1" x14ac:dyDescent="0.45">
      <c r="A42" s="5" t="s">
        <v>39</v>
      </c>
      <c r="B42" s="5" t="s">
        <v>32</v>
      </c>
      <c r="C42" s="2">
        <v>0</v>
      </c>
      <c r="D42" s="6"/>
      <c r="E42" s="7">
        <f t="shared" si="0"/>
        <v>0</v>
      </c>
    </row>
    <row r="43" spans="1:5" ht="15" x14ac:dyDescent="0.45">
      <c r="A43" s="5" t="s">
        <v>40</v>
      </c>
      <c r="B43" s="5" t="s">
        <v>3</v>
      </c>
      <c r="C43" s="2">
        <v>360</v>
      </c>
      <c r="D43" s="6">
        <v>4500</v>
      </c>
      <c r="E43" s="7">
        <f t="shared" si="0"/>
        <v>1620000</v>
      </c>
    </row>
    <row r="44" spans="1:5" ht="15" hidden="1" x14ac:dyDescent="0.45">
      <c r="A44" s="5" t="s">
        <v>41</v>
      </c>
      <c r="B44" s="5" t="s">
        <v>3</v>
      </c>
      <c r="C44" s="2">
        <v>0</v>
      </c>
      <c r="D44" s="6"/>
      <c r="E44" s="7">
        <f t="shared" si="0"/>
        <v>0</v>
      </c>
    </row>
    <row r="45" spans="1:5" ht="15" x14ac:dyDescent="0.45">
      <c r="A45" s="5" t="s">
        <v>43</v>
      </c>
      <c r="B45" s="5" t="s">
        <v>3</v>
      </c>
      <c r="C45" s="2">
        <v>25</v>
      </c>
      <c r="D45" s="6">
        <v>12000</v>
      </c>
      <c r="E45" s="7">
        <f t="shared" si="0"/>
        <v>300000</v>
      </c>
    </row>
    <row r="46" spans="1:5" ht="15" hidden="1" x14ac:dyDescent="0.45">
      <c r="A46" s="5" t="s">
        <v>43</v>
      </c>
      <c r="B46" s="5" t="s">
        <v>44</v>
      </c>
      <c r="C46" s="2">
        <v>0</v>
      </c>
      <c r="D46" s="6"/>
      <c r="E46" s="7">
        <f t="shared" si="0"/>
        <v>0</v>
      </c>
    </row>
    <row r="47" spans="1:5" ht="15" hidden="1" x14ac:dyDescent="0.45">
      <c r="A47" s="5" t="s">
        <v>45</v>
      </c>
      <c r="B47" s="5" t="s">
        <v>3</v>
      </c>
      <c r="C47" s="2">
        <v>0</v>
      </c>
      <c r="D47" s="6"/>
      <c r="E47" s="7">
        <f t="shared" si="0"/>
        <v>0</v>
      </c>
    </row>
    <row r="48" spans="1:5" ht="15" hidden="1" x14ac:dyDescent="0.45">
      <c r="A48" s="5" t="s">
        <v>46</v>
      </c>
      <c r="B48" s="5" t="s">
        <v>3</v>
      </c>
      <c r="C48" s="2">
        <v>0</v>
      </c>
      <c r="D48" s="6"/>
      <c r="E48" s="7">
        <f t="shared" si="0"/>
        <v>0</v>
      </c>
    </row>
    <row r="49" spans="1:5" ht="15" x14ac:dyDescent="0.45">
      <c r="A49" s="5" t="s">
        <v>47</v>
      </c>
      <c r="B49" s="5" t="s">
        <v>27</v>
      </c>
      <c r="C49" s="2">
        <v>6</v>
      </c>
      <c r="D49" s="6">
        <v>10000</v>
      </c>
      <c r="E49" s="7">
        <f t="shared" si="0"/>
        <v>60000</v>
      </c>
    </row>
    <row r="50" spans="1:5" ht="15" hidden="1" x14ac:dyDescent="0.45">
      <c r="A50" s="5" t="s">
        <v>48</v>
      </c>
      <c r="B50" s="5" t="s">
        <v>3</v>
      </c>
      <c r="C50" s="2">
        <v>0</v>
      </c>
      <c r="D50" s="6"/>
      <c r="E50" s="7">
        <f t="shared" si="0"/>
        <v>0</v>
      </c>
    </row>
    <row r="51" spans="1:5" ht="15" x14ac:dyDescent="0.45">
      <c r="A51" s="5" t="s">
        <v>49</v>
      </c>
      <c r="B51" s="5" t="s">
        <v>3</v>
      </c>
      <c r="C51" s="2">
        <v>18</v>
      </c>
      <c r="D51" s="6">
        <v>8000</v>
      </c>
      <c r="E51" s="7">
        <f t="shared" si="0"/>
        <v>144000</v>
      </c>
    </row>
    <row r="52" spans="1:5" ht="15" hidden="1" x14ac:dyDescent="0.45">
      <c r="A52" s="5" t="s">
        <v>49</v>
      </c>
      <c r="B52" s="5" t="s">
        <v>32</v>
      </c>
      <c r="C52" s="2">
        <v>0</v>
      </c>
      <c r="D52" s="6"/>
      <c r="E52" s="7">
        <f t="shared" si="0"/>
        <v>0</v>
      </c>
    </row>
    <row r="53" spans="1:5" ht="15" x14ac:dyDescent="0.45">
      <c r="A53" s="5" t="s">
        <v>50</v>
      </c>
      <c r="B53" s="5" t="s">
        <v>3</v>
      </c>
      <c r="C53" s="2">
        <v>8</v>
      </c>
      <c r="D53" s="6">
        <v>21000</v>
      </c>
      <c r="E53" s="7">
        <f t="shared" si="0"/>
        <v>168000</v>
      </c>
    </row>
    <row r="54" spans="1:5" ht="15" x14ac:dyDescent="0.45">
      <c r="A54" s="5" t="s">
        <v>51</v>
      </c>
      <c r="B54" s="5" t="s">
        <v>3</v>
      </c>
      <c r="C54" s="2">
        <v>315</v>
      </c>
      <c r="D54" s="6">
        <v>5500</v>
      </c>
      <c r="E54" s="7">
        <f t="shared" si="0"/>
        <v>1732500</v>
      </c>
    </row>
    <row r="55" spans="1:5" ht="15" hidden="1" x14ac:dyDescent="0.45">
      <c r="A55" s="5" t="s">
        <v>51</v>
      </c>
      <c r="B55" s="5" t="s">
        <v>52</v>
      </c>
      <c r="C55" s="2">
        <v>0</v>
      </c>
      <c r="D55" s="6"/>
      <c r="E55" s="7">
        <f t="shared" si="0"/>
        <v>0</v>
      </c>
    </row>
    <row r="56" spans="1:5" ht="15" x14ac:dyDescent="0.45">
      <c r="A56" s="5" t="s">
        <v>53</v>
      </c>
      <c r="B56" s="5" t="s">
        <v>3</v>
      </c>
      <c r="C56" s="2">
        <v>25</v>
      </c>
      <c r="D56" s="6">
        <v>20000</v>
      </c>
      <c r="E56" s="7">
        <f t="shared" si="0"/>
        <v>500000</v>
      </c>
    </row>
    <row r="57" spans="1:5" ht="15" x14ac:dyDescent="0.45">
      <c r="A57" s="5" t="s">
        <v>54</v>
      </c>
      <c r="B57" s="5" t="s">
        <v>32</v>
      </c>
      <c r="C57" s="2">
        <v>100</v>
      </c>
      <c r="D57" s="6">
        <v>1350</v>
      </c>
      <c r="E57" s="7">
        <f t="shared" si="0"/>
        <v>135000</v>
      </c>
    </row>
    <row r="58" spans="1:5" ht="15" x14ac:dyDescent="0.45">
      <c r="A58" s="5" t="s">
        <v>55</v>
      </c>
      <c r="B58" s="5" t="s">
        <v>3</v>
      </c>
      <c r="C58" s="2">
        <v>750</v>
      </c>
      <c r="D58" s="6">
        <v>26000</v>
      </c>
      <c r="E58" s="7">
        <f t="shared" si="0"/>
        <v>19500000</v>
      </c>
    </row>
    <row r="59" spans="1:5" ht="15" x14ac:dyDescent="0.45">
      <c r="A59" s="5" t="s">
        <v>56</v>
      </c>
      <c r="B59" s="5" t="s">
        <v>3</v>
      </c>
      <c r="C59" s="2">
        <v>480</v>
      </c>
      <c r="D59" s="6">
        <v>26000</v>
      </c>
      <c r="E59" s="7">
        <f t="shared" si="0"/>
        <v>12480000</v>
      </c>
    </row>
    <row r="60" spans="1:5" ht="15" x14ac:dyDescent="0.45">
      <c r="A60" s="5" t="s">
        <v>57</v>
      </c>
      <c r="B60" s="5" t="s">
        <v>3</v>
      </c>
      <c r="C60" s="2">
        <v>140</v>
      </c>
      <c r="D60" s="6">
        <v>17000</v>
      </c>
      <c r="E60" s="7">
        <f t="shared" si="0"/>
        <v>2380000</v>
      </c>
    </row>
    <row r="61" spans="1:5" ht="15" x14ac:dyDescent="0.45">
      <c r="A61" s="5" t="s">
        <v>58</v>
      </c>
      <c r="B61" s="5" t="s">
        <v>3</v>
      </c>
      <c r="C61" s="2">
        <v>3</v>
      </c>
      <c r="D61" s="6">
        <v>22000</v>
      </c>
      <c r="E61" s="7">
        <f t="shared" si="0"/>
        <v>66000</v>
      </c>
    </row>
    <row r="62" spans="1:5" ht="15" hidden="1" x14ac:dyDescent="0.45">
      <c r="A62" s="5" t="s">
        <v>59</v>
      </c>
      <c r="B62" s="5" t="s">
        <v>32</v>
      </c>
      <c r="C62" s="2">
        <v>0</v>
      </c>
      <c r="D62" s="6"/>
      <c r="E62" s="7">
        <f t="shared" si="0"/>
        <v>0</v>
      </c>
    </row>
    <row r="63" spans="1:5" ht="15" x14ac:dyDescent="0.45">
      <c r="A63" s="5" t="s">
        <v>60</v>
      </c>
      <c r="B63" s="5" t="s">
        <v>3</v>
      </c>
      <c r="C63" s="2">
        <v>4</v>
      </c>
      <c r="D63" s="6">
        <v>16000</v>
      </c>
      <c r="E63" s="7">
        <f t="shared" si="0"/>
        <v>64000</v>
      </c>
    </row>
    <row r="64" spans="1:5" ht="15" x14ac:dyDescent="0.45">
      <c r="A64" s="5" t="s">
        <v>61</v>
      </c>
      <c r="B64" s="5" t="s">
        <v>3</v>
      </c>
      <c r="C64" s="2">
        <v>560</v>
      </c>
      <c r="D64" s="6">
        <v>11500</v>
      </c>
      <c r="E64" s="7">
        <f t="shared" si="0"/>
        <v>6440000</v>
      </c>
    </row>
    <row r="65" spans="1:5" ht="15" hidden="1" x14ac:dyDescent="0.45">
      <c r="A65" s="5" t="s">
        <v>61</v>
      </c>
      <c r="B65" s="5" t="s">
        <v>32</v>
      </c>
      <c r="C65" s="2">
        <v>0</v>
      </c>
      <c r="D65" s="6"/>
      <c r="E65" s="7">
        <f t="shared" si="0"/>
        <v>0</v>
      </c>
    </row>
    <row r="66" spans="1:5" ht="15" x14ac:dyDescent="0.45">
      <c r="A66" s="5" t="s">
        <v>62</v>
      </c>
      <c r="B66" s="5" t="s">
        <v>32</v>
      </c>
      <c r="C66" s="2">
        <v>65</v>
      </c>
      <c r="D66" s="6">
        <v>5000</v>
      </c>
      <c r="E66" s="7">
        <f t="shared" si="0"/>
        <v>325000</v>
      </c>
    </row>
    <row r="67" spans="1:5" ht="15" hidden="1" x14ac:dyDescent="0.45">
      <c r="A67" s="5" t="s">
        <v>63</v>
      </c>
      <c r="B67" s="5" t="s">
        <v>3</v>
      </c>
      <c r="C67" s="2">
        <v>0</v>
      </c>
      <c r="D67" s="6"/>
      <c r="E67" s="7">
        <f t="shared" si="0"/>
        <v>0</v>
      </c>
    </row>
    <row r="68" spans="1:5" ht="15" x14ac:dyDescent="0.45">
      <c r="A68" s="5" t="s">
        <v>64</v>
      </c>
      <c r="B68" s="5" t="s">
        <v>32</v>
      </c>
      <c r="C68" s="2">
        <v>15</v>
      </c>
      <c r="D68" s="6">
        <v>6000</v>
      </c>
      <c r="E68" s="7">
        <f t="shared" ref="E68:E112" si="1">C68*D68</f>
        <v>90000</v>
      </c>
    </row>
    <row r="69" spans="1:5" ht="15" hidden="1" x14ac:dyDescent="0.45">
      <c r="A69" s="5" t="s">
        <v>65</v>
      </c>
      <c r="B69" s="5" t="s">
        <v>3</v>
      </c>
      <c r="C69" s="2">
        <v>0</v>
      </c>
      <c r="D69" s="6"/>
      <c r="E69" s="7">
        <f t="shared" si="1"/>
        <v>0</v>
      </c>
    </row>
    <row r="70" spans="1:5" ht="15" x14ac:dyDescent="0.45">
      <c r="A70" s="5" t="s">
        <v>65</v>
      </c>
      <c r="B70" s="5" t="s">
        <v>32</v>
      </c>
      <c r="C70" s="2">
        <v>40</v>
      </c>
      <c r="D70" s="6">
        <v>6000</v>
      </c>
      <c r="E70" s="7">
        <f t="shared" si="1"/>
        <v>240000</v>
      </c>
    </row>
    <row r="71" spans="1:5" ht="15" hidden="1" x14ac:dyDescent="0.45">
      <c r="A71" s="5" t="s">
        <v>66</v>
      </c>
      <c r="B71" s="5" t="s">
        <v>3</v>
      </c>
      <c r="C71" s="2">
        <v>0</v>
      </c>
      <c r="D71" s="6"/>
      <c r="E71" s="7">
        <f t="shared" si="1"/>
        <v>0</v>
      </c>
    </row>
    <row r="72" spans="1:5" ht="15" hidden="1" x14ac:dyDescent="0.45">
      <c r="A72" s="5" t="s">
        <v>68</v>
      </c>
      <c r="B72" s="5" t="s">
        <v>3</v>
      </c>
      <c r="C72" s="2">
        <v>0</v>
      </c>
      <c r="D72" s="6"/>
      <c r="E72" s="7">
        <f t="shared" si="1"/>
        <v>0</v>
      </c>
    </row>
    <row r="73" spans="1:5" ht="15" hidden="1" x14ac:dyDescent="0.45">
      <c r="A73" s="5" t="s">
        <v>111</v>
      </c>
      <c r="B73" s="5" t="s">
        <v>32</v>
      </c>
      <c r="C73" s="2">
        <v>0</v>
      </c>
      <c r="D73" s="6"/>
      <c r="E73" s="7">
        <f t="shared" si="1"/>
        <v>0</v>
      </c>
    </row>
    <row r="74" spans="1:5" ht="15" hidden="1" x14ac:dyDescent="0.45">
      <c r="A74" s="5" t="s">
        <v>70</v>
      </c>
      <c r="B74" s="5" t="s">
        <v>3</v>
      </c>
      <c r="C74" s="2">
        <v>0</v>
      </c>
      <c r="D74" s="6"/>
      <c r="E74" s="7">
        <f t="shared" si="1"/>
        <v>0</v>
      </c>
    </row>
    <row r="75" spans="1:5" ht="15" x14ac:dyDescent="0.45">
      <c r="A75" s="5" t="s">
        <v>70</v>
      </c>
      <c r="B75" s="5" t="s">
        <v>18</v>
      </c>
      <c r="C75" s="2">
        <v>268</v>
      </c>
      <c r="D75" s="6">
        <v>6500</v>
      </c>
      <c r="E75" s="7">
        <f t="shared" si="1"/>
        <v>1742000</v>
      </c>
    </row>
    <row r="76" spans="1:5" ht="15" hidden="1" x14ac:dyDescent="0.45">
      <c r="A76" s="5" t="s">
        <v>71</v>
      </c>
      <c r="B76" s="5" t="s">
        <v>3</v>
      </c>
      <c r="C76" s="2">
        <v>0</v>
      </c>
      <c r="D76" s="6"/>
      <c r="E76" s="7">
        <f t="shared" si="1"/>
        <v>0</v>
      </c>
    </row>
    <row r="77" spans="1:5" ht="15" x14ac:dyDescent="0.45">
      <c r="A77" s="5" t="s">
        <v>72</v>
      </c>
      <c r="B77" s="5" t="s">
        <v>3</v>
      </c>
      <c r="C77" s="2">
        <v>20</v>
      </c>
      <c r="D77" s="6">
        <v>14000</v>
      </c>
      <c r="E77" s="7">
        <f t="shared" si="1"/>
        <v>280000</v>
      </c>
    </row>
    <row r="78" spans="1:5" ht="15" x14ac:dyDescent="0.45">
      <c r="A78" s="5" t="s">
        <v>73</v>
      </c>
      <c r="B78" s="5" t="s">
        <v>3</v>
      </c>
      <c r="C78" s="2">
        <v>30</v>
      </c>
      <c r="D78" s="6">
        <v>10000</v>
      </c>
      <c r="E78" s="7">
        <f t="shared" si="1"/>
        <v>300000</v>
      </c>
    </row>
    <row r="79" spans="1:5" ht="15" hidden="1" x14ac:dyDescent="0.45">
      <c r="A79" s="5" t="s">
        <v>73</v>
      </c>
      <c r="B79" s="5" t="s">
        <v>44</v>
      </c>
      <c r="C79" s="2">
        <v>0</v>
      </c>
      <c r="D79" s="6"/>
      <c r="E79" s="7">
        <f t="shared" si="1"/>
        <v>0</v>
      </c>
    </row>
    <row r="80" spans="1:5" ht="15" hidden="1" x14ac:dyDescent="0.45">
      <c r="A80" s="5" t="s">
        <v>108</v>
      </c>
      <c r="B80" s="5" t="s">
        <v>3</v>
      </c>
      <c r="C80" s="2">
        <v>0</v>
      </c>
      <c r="D80" s="6"/>
      <c r="E80" s="7">
        <f t="shared" si="1"/>
        <v>0</v>
      </c>
    </row>
    <row r="81" spans="1:5" ht="15" hidden="1" x14ac:dyDescent="0.45">
      <c r="A81" s="5" t="s">
        <v>74</v>
      </c>
      <c r="B81" s="5" t="s">
        <v>32</v>
      </c>
      <c r="C81" s="2">
        <v>0</v>
      </c>
      <c r="D81" s="6"/>
      <c r="E81" s="7">
        <f t="shared" si="1"/>
        <v>0</v>
      </c>
    </row>
    <row r="82" spans="1:5" ht="15" x14ac:dyDescent="0.45">
      <c r="A82" s="5" t="s">
        <v>75</v>
      </c>
      <c r="B82" s="5" t="s">
        <v>3</v>
      </c>
      <c r="C82" s="2">
        <v>5</v>
      </c>
      <c r="D82" s="6">
        <v>14000</v>
      </c>
      <c r="E82" s="7">
        <f t="shared" si="1"/>
        <v>70000</v>
      </c>
    </row>
    <row r="83" spans="1:5" ht="15" hidden="1" x14ac:dyDescent="0.45">
      <c r="A83" s="5" t="s">
        <v>76</v>
      </c>
      <c r="B83" s="5" t="s">
        <v>27</v>
      </c>
      <c r="C83" s="2">
        <v>0</v>
      </c>
      <c r="D83" s="6"/>
      <c r="E83" s="7">
        <f t="shared" si="1"/>
        <v>0</v>
      </c>
    </row>
    <row r="84" spans="1:5" ht="15" x14ac:dyDescent="0.45">
      <c r="A84" s="5" t="s">
        <v>76</v>
      </c>
      <c r="B84" s="5" t="s">
        <v>3</v>
      </c>
      <c r="C84" s="2">
        <v>110</v>
      </c>
      <c r="D84" s="6">
        <v>67000</v>
      </c>
      <c r="E84" s="7">
        <f t="shared" si="1"/>
        <v>7370000</v>
      </c>
    </row>
    <row r="85" spans="1:5" ht="15" hidden="1" x14ac:dyDescent="0.45">
      <c r="A85" s="5" t="s">
        <v>76</v>
      </c>
      <c r="B85" s="5" t="s">
        <v>112</v>
      </c>
      <c r="C85" s="2">
        <v>0</v>
      </c>
      <c r="D85" s="6"/>
      <c r="E85" s="7">
        <f t="shared" si="1"/>
        <v>0</v>
      </c>
    </row>
    <row r="86" spans="1:5" ht="15" x14ac:dyDescent="0.45">
      <c r="A86" s="5" t="s">
        <v>76</v>
      </c>
      <c r="B86" s="5" t="s">
        <v>118</v>
      </c>
      <c r="C86" s="2">
        <v>50</v>
      </c>
      <c r="D86" s="6">
        <v>41000</v>
      </c>
      <c r="E86" s="7">
        <f t="shared" si="1"/>
        <v>2050000</v>
      </c>
    </row>
    <row r="87" spans="1:5" ht="15" hidden="1" x14ac:dyDescent="0.45">
      <c r="A87" s="5" t="s">
        <v>79</v>
      </c>
      <c r="B87" s="5" t="s">
        <v>18</v>
      </c>
      <c r="C87" s="2">
        <v>0</v>
      </c>
      <c r="D87" s="6"/>
      <c r="E87" s="7">
        <f t="shared" si="1"/>
        <v>0</v>
      </c>
    </row>
    <row r="88" spans="1:5" ht="15" hidden="1" x14ac:dyDescent="0.45">
      <c r="A88" s="5" t="s">
        <v>80</v>
      </c>
      <c r="B88" s="5" t="s">
        <v>27</v>
      </c>
      <c r="C88" s="2">
        <v>0</v>
      </c>
      <c r="D88" s="6"/>
      <c r="E88" s="7">
        <f t="shared" si="1"/>
        <v>0</v>
      </c>
    </row>
    <row r="89" spans="1:5" ht="15" x14ac:dyDescent="0.45">
      <c r="A89" s="5" t="s">
        <v>81</v>
      </c>
      <c r="B89" s="5" t="s">
        <v>3</v>
      </c>
      <c r="C89" s="2">
        <v>5</v>
      </c>
      <c r="D89" s="6">
        <v>29000</v>
      </c>
      <c r="E89" s="7">
        <f t="shared" si="1"/>
        <v>145000</v>
      </c>
    </row>
    <row r="90" spans="1:5" ht="15" hidden="1" x14ac:dyDescent="0.45">
      <c r="A90" s="5" t="s">
        <v>81</v>
      </c>
      <c r="B90" s="5" t="s">
        <v>11</v>
      </c>
      <c r="C90" s="2">
        <v>0</v>
      </c>
      <c r="D90" s="6"/>
      <c r="E90" s="7">
        <f t="shared" si="1"/>
        <v>0</v>
      </c>
    </row>
    <row r="91" spans="1:5" ht="15" x14ac:dyDescent="0.45">
      <c r="A91" s="5" t="s">
        <v>82</v>
      </c>
      <c r="B91" s="5" t="s">
        <v>3</v>
      </c>
      <c r="C91" s="2">
        <v>28</v>
      </c>
      <c r="D91" s="6">
        <v>20000</v>
      </c>
      <c r="E91" s="7">
        <f t="shared" si="1"/>
        <v>560000</v>
      </c>
    </row>
    <row r="92" spans="1:5" ht="15" hidden="1" x14ac:dyDescent="0.45">
      <c r="A92" s="5" t="s">
        <v>83</v>
      </c>
      <c r="B92" s="5" t="s">
        <v>3</v>
      </c>
      <c r="C92" s="2">
        <v>0</v>
      </c>
      <c r="D92" s="6"/>
      <c r="E92" s="7">
        <f t="shared" si="1"/>
        <v>0</v>
      </c>
    </row>
    <row r="93" spans="1:5" ht="15" hidden="1" x14ac:dyDescent="0.45">
      <c r="A93" s="5" t="s">
        <v>83</v>
      </c>
      <c r="B93" s="5" t="s">
        <v>11</v>
      </c>
      <c r="C93" s="2">
        <v>0</v>
      </c>
      <c r="D93" s="6"/>
      <c r="E93" s="7">
        <f t="shared" si="1"/>
        <v>0</v>
      </c>
    </row>
    <row r="94" spans="1:5" ht="15" x14ac:dyDescent="0.45">
      <c r="A94" s="5" t="s">
        <v>84</v>
      </c>
      <c r="B94" s="5" t="s">
        <v>3</v>
      </c>
      <c r="C94" s="2">
        <v>30</v>
      </c>
      <c r="D94" s="6">
        <v>18000</v>
      </c>
      <c r="E94" s="7">
        <f t="shared" si="1"/>
        <v>540000</v>
      </c>
    </row>
    <row r="95" spans="1:5" ht="15" x14ac:dyDescent="0.45">
      <c r="A95" s="5" t="s">
        <v>85</v>
      </c>
      <c r="B95" s="5" t="s">
        <v>3</v>
      </c>
      <c r="C95" s="2">
        <v>10</v>
      </c>
      <c r="D95" s="6">
        <v>28000</v>
      </c>
      <c r="E95" s="7">
        <f t="shared" si="1"/>
        <v>280000</v>
      </c>
    </row>
    <row r="96" spans="1:5" ht="15" hidden="1" x14ac:dyDescent="0.45">
      <c r="A96" s="5" t="s">
        <v>85</v>
      </c>
      <c r="B96" s="5" t="s">
        <v>11</v>
      </c>
      <c r="C96" s="2">
        <v>0</v>
      </c>
      <c r="D96" s="6"/>
      <c r="E96" s="7">
        <f t="shared" si="1"/>
        <v>0</v>
      </c>
    </row>
    <row r="97" spans="1:5" ht="15" x14ac:dyDescent="0.45">
      <c r="A97" s="5" t="s">
        <v>113</v>
      </c>
      <c r="B97" s="5" t="s">
        <v>3</v>
      </c>
      <c r="C97" s="2">
        <v>60</v>
      </c>
      <c r="D97" s="6">
        <v>24000</v>
      </c>
      <c r="E97" s="7">
        <f t="shared" si="1"/>
        <v>1440000</v>
      </c>
    </row>
    <row r="98" spans="1:5" ht="15" x14ac:dyDescent="0.45">
      <c r="A98" s="5" t="s">
        <v>86</v>
      </c>
      <c r="B98" s="5" t="s">
        <v>32</v>
      </c>
      <c r="C98" s="2">
        <v>48</v>
      </c>
      <c r="D98" s="6">
        <v>16000</v>
      </c>
      <c r="E98" s="7">
        <f t="shared" si="1"/>
        <v>768000</v>
      </c>
    </row>
    <row r="99" spans="1:5" ht="15" x14ac:dyDescent="0.45">
      <c r="A99" s="5" t="s">
        <v>109</v>
      </c>
      <c r="B99" s="5" t="s">
        <v>3</v>
      </c>
      <c r="C99" s="2">
        <v>5</v>
      </c>
      <c r="D99" s="6">
        <v>20000</v>
      </c>
      <c r="E99" s="7">
        <f t="shared" si="1"/>
        <v>100000</v>
      </c>
    </row>
    <row r="100" spans="1:5" ht="15" hidden="1" x14ac:dyDescent="0.45">
      <c r="A100" s="5" t="s">
        <v>87</v>
      </c>
      <c r="B100" s="5" t="s">
        <v>32</v>
      </c>
      <c r="C100" s="2">
        <v>0</v>
      </c>
      <c r="D100" s="6"/>
      <c r="E100" s="7">
        <f t="shared" si="1"/>
        <v>0</v>
      </c>
    </row>
    <row r="101" spans="1:5" ht="15" hidden="1" x14ac:dyDescent="0.45">
      <c r="A101" s="5" t="s">
        <v>89</v>
      </c>
      <c r="B101" s="5" t="s">
        <v>11</v>
      </c>
      <c r="C101" s="2">
        <v>0</v>
      </c>
      <c r="D101" s="6"/>
      <c r="E101" s="7">
        <f t="shared" si="1"/>
        <v>0</v>
      </c>
    </row>
    <row r="102" spans="1:5" ht="15" x14ac:dyDescent="0.45">
      <c r="A102" s="5" t="s">
        <v>90</v>
      </c>
      <c r="B102" s="5" t="s">
        <v>11</v>
      </c>
      <c r="C102" s="2">
        <v>353</v>
      </c>
      <c r="D102" s="6">
        <v>11361</v>
      </c>
      <c r="E102" s="7">
        <f t="shared" si="1"/>
        <v>4010433</v>
      </c>
    </row>
    <row r="103" spans="1:5" ht="15" x14ac:dyDescent="0.45">
      <c r="A103" s="5" t="s">
        <v>91</v>
      </c>
      <c r="B103" s="5" t="s">
        <v>3</v>
      </c>
      <c r="C103" s="2">
        <v>6</v>
      </c>
      <c r="D103" s="6">
        <v>18000</v>
      </c>
      <c r="E103" s="7">
        <f t="shared" si="1"/>
        <v>108000</v>
      </c>
    </row>
    <row r="104" spans="1:5" ht="15" x14ac:dyDescent="0.45">
      <c r="A104" s="5" t="s">
        <v>92</v>
      </c>
      <c r="B104" s="5" t="s">
        <v>3</v>
      </c>
      <c r="C104" s="2">
        <v>55</v>
      </c>
      <c r="D104" s="6">
        <v>5000</v>
      </c>
      <c r="E104" s="7">
        <f t="shared" si="1"/>
        <v>275000</v>
      </c>
    </row>
    <row r="105" spans="1:5" ht="15" x14ac:dyDescent="0.45">
      <c r="A105" s="5" t="s">
        <v>93</v>
      </c>
      <c r="B105" s="5" t="s">
        <v>3</v>
      </c>
      <c r="C105" s="2">
        <v>3</v>
      </c>
      <c r="D105" s="6">
        <v>32000</v>
      </c>
      <c r="E105" s="7">
        <f t="shared" si="1"/>
        <v>96000</v>
      </c>
    </row>
    <row r="106" spans="1:5" ht="15" hidden="1" x14ac:dyDescent="0.45">
      <c r="A106" s="5" t="s">
        <v>94</v>
      </c>
      <c r="B106" s="5" t="s">
        <v>3</v>
      </c>
      <c r="C106" s="2">
        <v>0</v>
      </c>
      <c r="D106" s="6"/>
      <c r="E106" s="7">
        <f t="shared" si="1"/>
        <v>0</v>
      </c>
    </row>
    <row r="107" spans="1:5" ht="15" hidden="1" x14ac:dyDescent="0.45">
      <c r="A107" s="5" t="s">
        <v>96</v>
      </c>
      <c r="B107" s="5" t="s">
        <v>3</v>
      </c>
      <c r="C107" s="2">
        <v>0</v>
      </c>
      <c r="D107" s="6"/>
      <c r="E107" s="7">
        <f t="shared" si="1"/>
        <v>0</v>
      </c>
    </row>
    <row r="108" spans="1:5" ht="15" hidden="1" x14ac:dyDescent="0.45">
      <c r="A108" s="5" t="s">
        <v>97</v>
      </c>
      <c r="B108" s="5" t="s">
        <v>44</v>
      </c>
      <c r="C108" s="2">
        <v>0</v>
      </c>
      <c r="D108" s="6"/>
      <c r="E108" s="7">
        <f t="shared" si="1"/>
        <v>0</v>
      </c>
    </row>
    <row r="109" spans="1:5" ht="15" x14ac:dyDescent="0.45">
      <c r="A109" s="5" t="s">
        <v>98</v>
      </c>
      <c r="B109" s="5" t="s">
        <v>3</v>
      </c>
      <c r="C109" s="2">
        <v>8</v>
      </c>
      <c r="D109" s="6">
        <v>24000</v>
      </c>
      <c r="E109" s="7">
        <f t="shared" si="1"/>
        <v>192000</v>
      </c>
    </row>
    <row r="110" spans="1:5" ht="15" hidden="1" x14ac:dyDescent="0.45">
      <c r="A110" s="5" t="s">
        <v>99</v>
      </c>
      <c r="B110" s="5" t="s">
        <v>44</v>
      </c>
      <c r="C110" s="2">
        <v>0</v>
      </c>
      <c r="D110" s="6"/>
      <c r="E110" s="7">
        <f t="shared" si="1"/>
        <v>0</v>
      </c>
    </row>
    <row r="111" spans="1:5" ht="15" hidden="1" x14ac:dyDescent="0.45">
      <c r="A111" s="5" t="s">
        <v>100</v>
      </c>
      <c r="B111" s="5" t="s">
        <v>3</v>
      </c>
      <c r="C111" s="2">
        <v>0</v>
      </c>
      <c r="D111" s="6"/>
      <c r="E111" s="7">
        <f t="shared" si="1"/>
        <v>0</v>
      </c>
    </row>
    <row r="112" spans="1:5" ht="15" hidden="1" x14ac:dyDescent="0.45">
      <c r="A112" s="5" t="s">
        <v>101</v>
      </c>
      <c r="B112" s="5" t="s">
        <v>44</v>
      </c>
      <c r="C112" s="2">
        <v>0</v>
      </c>
      <c r="D112" s="6"/>
      <c r="E112" s="7">
        <f t="shared" si="1"/>
        <v>0</v>
      </c>
    </row>
    <row r="113" spans="5:5" x14ac:dyDescent="0.45">
      <c r="E113" s="8">
        <f>SUM(E3:E109)</f>
        <v>94125433</v>
      </c>
    </row>
  </sheetData>
  <autoFilter ref="A2:E112" xr:uid="{00000000-0009-0000-0000-000004000000}">
    <filterColumn colId="2">
      <filters>
        <filter val="10"/>
        <filter val="100"/>
        <filter val="110"/>
        <filter val="118"/>
        <filter val="140"/>
        <filter val="15"/>
        <filter val="17"/>
        <filter val="175"/>
        <filter val="18"/>
        <filter val="2"/>
        <filter val="20"/>
        <filter val="25"/>
        <filter val="251"/>
        <filter val="268"/>
        <filter val="28"/>
        <filter val="280"/>
        <filter val="3"/>
        <filter val="30"/>
        <filter val="300"/>
        <filter val="315"/>
        <filter val="350"/>
        <filter val="353"/>
        <filter val="360"/>
        <filter val="37"/>
        <filter val="4"/>
        <filter val="40"/>
        <filter val="48"/>
        <filter val="480"/>
        <filter val="5"/>
        <filter val="50"/>
        <filter val="55"/>
        <filter val="560"/>
        <filter val="6"/>
        <filter val="60"/>
        <filter val="65"/>
        <filter val="75"/>
        <filter val="750"/>
        <filter val="8"/>
        <filter val="9"/>
        <filter val="943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17"/>
  <sheetViews>
    <sheetView workbookViewId="0">
      <selection activeCell="I21" sqref="I21"/>
    </sheetView>
  </sheetViews>
  <sheetFormatPr defaultRowHeight="14.25" x14ac:dyDescent="0.45"/>
  <cols>
    <col min="1" max="1" width="24" customWidth="1"/>
    <col min="4" max="4" width="13.46484375" customWidth="1"/>
    <col min="5" max="5" width="18.265625" customWidth="1"/>
  </cols>
  <sheetData>
    <row r="1" spans="1:5" x14ac:dyDescent="0.45">
      <c r="A1" t="s">
        <v>123</v>
      </c>
    </row>
    <row r="2" spans="1:5" ht="54" customHeight="1" x14ac:dyDescent="0.45">
      <c r="A2" s="1" t="s">
        <v>0</v>
      </c>
      <c r="B2" s="1" t="s">
        <v>1</v>
      </c>
      <c r="C2" s="2" t="s">
        <v>103</v>
      </c>
      <c r="D2" s="3" t="s">
        <v>104</v>
      </c>
      <c r="E2" s="4" t="s">
        <v>105</v>
      </c>
    </row>
    <row r="3" spans="1:5" ht="15" x14ac:dyDescent="0.45">
      <c r="A3" s="5" t="s">
        <v>2</v>
      </c>
      <c r="B3" s="5" t="s">
        <v>3</v>
      </c>
      <c r="C3" s="2">
        <v>45</v>
      </c>
      <c r="D3" s="6">
        <v>18000</v>
      </c>
      <c r="E3" s="7">
        <f>C3*D3</f>
        <v>810000</v>
      </c>
    </row>
    <row r="4" spans="1:5" ht="15" x14ac:dyDescent="0.45">
      <c r="A4" s="5" t="s">
        <v>4</v>
      </c>
      <c r="B4" s="5" t="s">
        <v>3</v>
      </c>
      <c r="C4" s="2">
        <v>397</v>
      </c>
      <c r="D4" s="6">
        <v>7000</v>
      </c>
      <c r="E4" s="7">
        <f t="shared" ref="E4:E67" si="0">C4*D4</f>
        <v>2779000</v>
      </c>
    </row>
    <row r="5" spans="1:5" ht="15" x14ac:dyDescent="0.45">
      <c r="A5" s="5" t="s">
        <v>5</v>
      </c>
      <c r="B5" s="5" t="s">
        <v>3</v>
      </c>
      <c r="C5" s="2">
        <v>514</v>
      </c>
      <c r="D5" s="6">
        <v>4000</v>
      </c>
      <c r="E5" s="7">
        <f t="shared" si="0"/>
        <v>2056000</v>
      </c>
    </row>
    <row r="6" spans="1:5" ht="15" x14ac:dyDescent="0.45">
      <c r="A6" s="5" t="s">
        <v>6</v>
      </c>
      <c r="B6" s="5" t="s">
        <v>3</v>
      </c>
      <c r="C6" s="2">
        <v>10</v>
      </c>
      <c r="D6" s="6">
        <v>10000</v>
      </c>
      <c r="E6" s="7">
        <f t="shared" si="0"/>
        <v>100000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6"/>
      <c r="E7" s="7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838</v>
      </c>
      <c r="D8" s="6">
        <v>7000</v>
      </c>
      <c r="E8" s="7">
        <f t="shared" si="0"/>
        <v>5866000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6"/>
      <c r="E9" s="7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150</v>
      </c>
      <c r="D10" s="6">
        <v>7500</v>
      </c>
      <c r="E10" s="7">
        <f t="shared" si="0"/>
        <v>1125000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6"/>
      <c r="E11" s="7">
        <f t="shared" si="0"/>
        <v>0</v>
      </c>
    </row>
    <row r="12" spans="1:5" ht="15" hidden="1" x14ac:dyDescent="0.45">
      <c r="A12" s="5" t="s">
        <v>12</v>
      </c>
      <c r="B12" s="5" t="s">
        <v>3</v>
      </c>
      <c r="C12" s="2">
        <v>0</v>
      </c>
      <c r="D12" s="6"/>
      <c r="E12" s="7">
        <f t="shared" si="0"/>
        <v>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6"/>
      <c r="E13" s="7">
        <f t="shared" si="0"/>
        <v>0</v>
      </c>
    </row>
    <row r="14" spans="1:5" ht="15" hidden="1" x14ac:dyDescent="0.45">
      <c r="A14" s="5" t="s">
        <v>13</v>
      </c>
      <c r="B14" s="5" t="s">
        <v>3</v>
      </c>
      <c r="C14" s="2">
        <v>0</v>
      </c>
      <c r="D14" s="6"/>
      <c r="E14" s="7">
        <f t="shared" si="0"/>
        <v>0</v>
      </c>
    </row>
    <row r="15" spans="1:5" ht="15" hidden="1" x14ac:dyDescent="0.45">
      <c r="A15" s="5" t="s">
        <v>116</v>
      </c>
      <c r="B15" s="5" t="s">
        <v>3</v>
      </c>
      <c r="C15" s="2">
        <v>0</v>
      </c>
      <c r="D15" s="6"/>
      <c r="E15" s="7">
        <f t="shared" si="0"/>
        <v>0</v>
      </c>
    </row>
    <row r="16" spans="1:5" ht="15" hidden="1" x14ac:dyDescent="0.45">
      <c r="A16" s="5" t="s">
        <v>14</v>
      </c>
      <c r="B16" s="5" t="s">
        <v>3</v>
      </c>
      <c r="C16" s="2">
        <v>0</v>
      </c>
      <c r="D16" s="6"/>
      <c r="E16" s="7">
        <f t="shared" si="0"/>
        <v>0</v>
      </c>
    </row>
    <row r="17" spans="1:5" ht="15" hidden="1" x14ac:dyDescent="0.45">
      <c r="A17" s="5" t="s">
        <v>15</v>
      </c>
      <c r="B17" s="5" t="s">
        <v>3</v>
      </c>
      <c r="C17" s="2">
        <v>0</v>
      </c>
      <c r="D17" s="6"/>
      <c r="E17" s="7">
        <f t="shared" si="0"/>
        <v>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6"/>
      <c r="E18" s="7">
        <f t="shared" si="0"/>
        <v>0</v>
      </c>
    </row>
    <row r="19" spans="1:5" ht="15" hidden="1" x14ac:dyDescent="0.45">
      <c r="A19" s="5" t="s">
        <v>17</v>
      </c>
      <c r="B19" s="5" t="s">
        <v>18</v>
      </c>
      <c r="C19" s="2">
        <v>0</v>
      </c>
      <c r="D19" s="6"/>
      <c r="E19" s="7">
        <f t="shared" si="0"/>
        <v>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6"/>
      <c r="E20" s="7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170</v>
      </c>
      <c r="D21" s="6">
        <v>15000</v>
      </c>
      <c r="E21" s="7">
        <f t="shared" si="0"/>
        <v>2550000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6"/>
      <c r="E22" s="7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8</v>
      </c>
      <c r="D23" s="6">
        <v>14000</v>
      </c>
      <c r="E23" s="7">
        <f t="shared" si="0"/>
        <v>112000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6"/>
      <c r="E24" s="7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8</v>
      </c>
      <c r="D25" s="6">
        <v>15000</v>
      </c>
      <c r="E25" s="7">
        <f t="shared" si="0"/>
        <v>120000</v>
      </c>
    </row>
    <row r="26" spans="1:5" ht="15" x14ac:dyDescent="0.45">
      <c r="A26" s="5" t="s">
        <v>24</v>
      </c>
      <c r="B26" s="5" t="s">
        <v>25</v>
      </c>
      <c r="C26" s="2">
        <v>20</v>
      </c>
      <c r="D26" s="6">
        <v>4500</v>
      </c>
      <c r="E26" s="7">
        <f t="shared" si="0"/>
        <v>90000</v>
      </c>
    </row>
    <row r="27" spans="1:5" ht="15" hidden="1" x14ac:dyDescent="0.45">
      <c r="A27" s="5" t="s">
        <v>26</v>
      </c>
      <c r="B27" s="5" t="s">
        <v>27</v>
      </c>
      <c r="C27" s="2">
        <v>0</v>
      </c>
      <c r="D27" s="6"/>
      <c r="E27" s="7">
        <f t="shared" si="0"/>
        <v>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6"/>
      <c r="E28" s="7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115</v>
      </c>
      <c r="D29" s="6">
        <v>7500</v>
      </c>
      <c r="E29" s="7">
        <f t="shared" si="0"/>
        <v>862500</v>
      </c>
    </row>
    <row r="30" spans="1:5" ht="15" hidden="1" x14ac:dyDescent="0.45">
      <c r="A30" s="5" t="s">
        <v>30</v>
      </c>
      <c r="B30" s="5" t="s">
        <v>3</v>
      </c>
      <c r="C30" s="2">
        <v>0</v>
      </c>
      <c r="D30" s="6"/>
      <c r="E30" s="7">
        <f t="shared" si="0"/>
        <v>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6"/>
      <c r="E31" s="7">
        <f t="shared" si="0"/>
        <v>0</v>
      </c>
    </row>
    <row r="32" spans="1:5" ht="15" x14ac:dyDescent="0.45">
      <c r="A32" s="5" t="s">
        <v>31</v>
      </c>
      <c r="B32" s="5" t="s">
        <v>32</v>
      </c>
      <c r="C32" s="2">
        <v>120</v>
      </c>
      <c r="D32" s="6">
        <v>5000</v>
      </c>
      <c r="E32" s="7">
        <f t="shared" si="0"/>
        <v>600000</v>
      </c>
    </row>
    <row r="33" spans="1:5" ht="15" x14ac:dyDescent="0.45">
      <c r="A33" s="5" t="s">
        <v>33</v>
      </c>
      <c r="B33" s="5" t="s">
        <v>3</v>
      </c>
      <c r="C33" s="2">
        <v>30</v>
      </c>
      <c r="D33" s="6">
        <v>11000</v>
      </c>
      <c r="E33" s="7">
        <f t="shared" si="0"/>
        <v>330000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6"/>
      <c r="E34" s="7">
        <f t="shared" si="0"/>
        <v>0</v>
      </c>
    </row>
    <row r="35" spans="1:5" ht="15" hidden="1" x14ac:dyDescent="0.45">
      <c r="A35" s="5" t="s">
        <v>34</v>
      </c>
      <c r="B35" s="5" t="s">
        <v>3</v>
      </c>
      <c r="C35" s="2">
        <v>0</v>
      </c>
      <c r="D35" s="6"/>
      <c r="E35" s="7">
        <f t="shared" si="0"/>
        <v>0</v>
      </c>
    </row>
    <row r="36" spans="1:5" ht="15" x14ac:dyDescent="0.45">
      <c r="A36" s="5" t="s">
        <v>34</v>
      </c>
      <c r="B36" s="5" t="s">
        <v>18</v>
      </c>
      <c r="C36" s="2">
        <v>4</v>
      </c>
      <c r="D36" s="6">
        <v>5500</v>
      </c>
      <c r="E36" s="7">
        <f t="shared" si="0"/>
        <v>22000</v>
      </c>
    </row>
    <row r="37" spans="1:5" ht="15" hidden="1" x14ac:dyDescent="0.45">
      <c r="A37" s="5" t="s">
        <v>35</v>
      </c>
      <c r="B37" s="5" t="s">
        <v>3</v>
      </c>
      <c r="C37" s="2">
        <v>0</v>
      </c>
      <c r="D37" s="6"/>
      <c r="E37" s="7">
        <f t="shared" si="0"/>
        <v>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6"/>
      <c r="E38" s="7">
        <f t="shared" si="0"/>
        <v>0</v>
      </c>
    </row>
    <row r="39" spans="1:5" ht="15" x14ac:dyDescent="0.45">
      <c r="A39" s="5" t="s">
        <v>37</v>
      </c>
      <c r="B39" s="5" t="s">
        <v>3</v>
      </c>
      <c r="C39" s="2">
        <v>8</v>
      </c>
      <c r="D39" s="6">
        <v>17000</v>
      </c>
      <c r="E39" s="7">
        <f t="shared" si="0"/>
        <v>136000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6"/>
      <c r="E40" s="7">
        <f t="shared" si="0"/>
        <v>0</v>
      </c>
    </row>
    <row r="41" spans="1:5" ht="15" hidden="1" x14ac:dyDescent="0.45">
      <c r="A41" s="5" t="s">
        <v>38</v>
      </c>
      <c r="B41" s="5" t="s">
        <v>3</v>
      </c>
      <c r="C41" s="2">
        <v>0</v>
      </c>
      <c r="D41" s="6"/>
      <c r="E41" s="7">
        <f t="shared" si="0"/>
        <v>0</v>
      </c>
    </row>
    <row r="42" spans="1:5" ht="15" hidden="1" x14ac:dyDescent="0.45">
      <c r="A42" s="5" t="s">
        <v>39</v>
      </c>
      <c r="B42" s="5" t="s">
        <v>3</v>
      </c>
      <c r="C42" s="2">
        <v>0</v>
      </c>
      <c r="D42" s="6"/>
      <c r="E42" s="7">
        <f t="shared" si="0"/>
        <v>0</v>
      </c>
    </row>
    <row r="43" spans="1:5" ht="15" x14ac:dyDescent="0.45">
      <c r="A43" s="5" t="s">
        <v>39</v>
      </c>
      <c r="B43" s="5" t="s">
        <v>32</v>
      </c>
      <c r="C43" s="2">
        <v>14</v>
      </c>
      <c r="D43" s="6">
        <v>5000</v>
      </c>
      <c r="E43" s="7">
        <f t="shared" si="0"/>
        <v>70000</v>
      </c>
    </row>
    <row r="44" spans="1:5" ht="15" x14ac:dyDescent="0.45">
      <c r="A44" s="5" t="s">
        <v>40</v>
      </c>
      <c r="B44" s="5" t="s">
        <v>3</v>
      </c>
      <c r="C44" s="2">
        <v>350</v>
      </c>
      <c r="D44" s="6">
        <v>4500</v>
      </c>
      <c r="E44" s="7">
        <f t="shared" si="0"/>
        <v>1575000</v>
      </c>
    </row>
    <row r="45" spans="1:5" ht="15" hidden="1" x14ac:dyDescent="0.45">
      <c r="A45" s="5" t="s">
        <v>41</v>
      </c>
      <c r="B45" s="5" t="s">
        <v>3</v>
      </c>
      <c r="C45" s="2">
        <v>0</v>
      </c>
      <c r="D45" s="6"/>
      <c r="E45" s="7">
        <f t="shared" si="0"/>
        <v>0</v>
      </c>
    </row>
    <row r="46" spans="1:5" ht="15" x14ac:dyDescent="0.45">
      <c r="A46" s="5" t="s">
        <v>42</v>
      </c>
      <c r="B46" s="5" t="s">
        <v>3</v>
      </c>
      <c r="C46" s="2">
        <v>25</v>
      </c>
      <c r="D46" s="6">
        <v>3500</v>
      </c>
      <c r="E46" s="7">
        <f t="shared" si="0"/>
        <v>87500</v>
      </c>
    </row>
    <row r="47" spans="1:5" ht="15" x14ac:dyDescent="0.45">
      <c r="A47" s="5" t="s">
        <v>43</v>
      </c>
      <c r="B47" s="5" t="s">
        <v>3</v>
      </c>
      <c r="C47" s="2">
        <v>39</v>
      </c>
      <c r="D47" s="6">
        <v>12000</v>
      </c>
      <c r="E47" s="7">
        <f t="shared" si="0"/>
        <v>468000</v>
      </c>
    </row>
    <row r="48" spans="1:5" ht="15" hidden="1" x14ac:dyDescent="0.45">
      <c r="A48" s="5" t="s">
        <v>43</v>
      </c>
      <c r="B48" s="5" t="s">
        <v>44</v>
      </c>
      <c r="C48" s="2">
        <v>0</v>
      </c>
      <c r="D48" s="6"/>
      <c r="E48" s="7">
        <f t="shared" si="0"/>
        <v>0</v>
      </c>
    </row>
    <row r="49" spans="1:5" ht="15" hidden="1" x14ac:dyDescent="0.45">
      <c r="A49" s="5" t="s">
        <v>45</v>
      </c>
      <c r="B49" s="5" t="s">
        <v>3</v>
      </c>
      <c r="C49" s="2">
        <v>0</v>
      </c>
      <c r="D49" s="6"/>
      <c r="E49" s="7">
        <f t="shared" si="0"/>
        <v>0</v>
      </c>
    </row>
    <row r="50" spans="1:5" ht="15" hidden="1" x14ac:dyDescent="0.45">
      <c r="A50" s="5" t="s">
        <v>46</v>
      </c>
      <c r="B50" s="5" t="s">
        <v>3</v>
      </c>
      <c r="C50" s="2">
        <v>0</v>
      </c>
      <c r="D50" s="6"/>
      <c r="E50" s="7">
        <f t="shared" si="0"/>
        <v>0</v>
      </c>
    </row>
    <row r="51" spans="1:5" ht="15" x14ac:dyDescent="0.45">
      <c r="A51" s="5" t="s">
        <v>47</v>
      </c>
      <c r="B51" s="5" t="s">
        <v>27</v>
      </c>
      <c r="C51" s="2">
        <v>6</v>
      </c>
      <c r="D51" s="6">
        <v>10000</v>
      </c>
      <c r="E51" s="7">
        <f t="shared" si="0"/>
        <v>60000</v>
      </c>
    </row>
    <row r="52" spans="1:5" ht="15" hidden="1" x14ac:dyDescent="0.45">
      <c r="A52" s="5" t="s">
        <v>47</v>
      </c>
      <c r="B52" s="5" t="s">
        <v>3</v>
      </c>
      <c r="C52" s="2">
        <v>0</v>
      </c>
      <c r="D52" s="6"/>
      <c r="E52" s="7">
        <f t="shared" si="0"/>
        <v>0</v>
      </c>
    </row>
    <row r="53" spans="1:5" ht="15" hidden="1" x14ac:dyDescent="0.45">
      <c r="A53" s="5" t="s">
        <v>48</v>
      </c>
      <c r="B53" s="5" t="s">
        <v>3</v>
      </c>
      <c r="C53" s="2">
        <v>0</v>
      </c>
      <c r="D53" s="6"/>
      <c r="E53" s="7">
        <f t="shared" si="0"/>
        <v>0</v>
      </c>
    </row>
    <row r="54" spans="1:5" ht="15" x14ac:dyDescent="0.45">
      <c r="A54" s="5" t="s">
        <v>49</v>
      </c>
      <c r="B54" s="5" t="s">
        <v>3</v>
      </c>
      <c r="C54" s="2">
        <v>66</v>
      </c>
      <c r="D54" s="6">
        <v>8000</v>
      </c>
      <c r="E54" s="7">
        <f t="shared" si="0"/>
        <v>528000</v>
      </c>
    </row>
    <row r="55" spans="1:5" ht="15" hidden="1" x14ac:dyDescent="0.45">
      <c r="A55" s="5" t="s">
        <v>49</v>
      </c>
      <c r="B55" s="5" t="s">
        <v>32</v>
      </c>
      <c r="C55" s="2">
        <v>0</v>
      </c>
      <c r="D55" s="6"/>
      <c r="E55" s="7">
        <f t="shared" si="0"/>
        <v>0</v>
      </c>
    </row>
    <row r="56" spans="1:5" ht="15" x14ac:dyDescent="0.45">
      <c r="A56" s="5" t="s">
        <v>50</v>
      </c>
      <c r="B56" s="5" t="s">
        <v>3</v>
      </c>
      <c r="C56" s="2">
        <v>10</v>
      </c>
      <c r="D56" s="6">
        <v>21000</v>
      </c>
      <c r="E56" s="7">
        <f t="shared" si="0"/>
        <v>210000</v>
      </c>
    </row>
    <row r="57" spans="1:5" ht="15" x14ac:dyDescent="0.45">
      <c r="A57" s="5" t="s">
        <v>51</v>
      </c>
      <c r="B57" s="5" t="s">
        <v>3</v>
      </c>
      <c r="C57" s="2">
        <v>230</v>
      </c>
      <c r="D57" s="6">
        <v>5500</v>
      </c>
      <c r="E57" s="7">
        <f t="shared" si="0"/>
        <v>1265000</v>
      </c>
    </row>
    <row r="58" spans="1:5" ht="15" hidden="1" x14ac:dyDescent="0.45">
      <c r="A58" s="5" t="s">
        <v>51</v>
      </c>
      <c r="B58" s="5" t="s">
        <v>52</v>
      </c>
      <c r="C58" s="2">
        <v>0</v>
      </c>
      <c r="D58" s="6"/>
      <c r="E58" s="7">
        <f t="shared" si="0"/>
        <v>0</v>
      </c>
    </row>
    <row r="59" spans="1:5" ht="15" x14ac:dyDescent="0.45">
      <c r="A59" s="5" t="s">
        <v>53</v>
      </c>
      <c r="B59" s="5" t="s">
        <v>3</v>
      </c>
      <c r="C59" s="2">
        <v>25</v>
      </c>
      <c r="D59" s="6">
        <v>20000</v>
      </c>
      <c r="E59" s="7">
        <f t="shared" si="0"/>
        <v>500000</v>
      </c>
    </row>
    <row r="60" spans="1:5" ht="15" x14ac:dyDescent="0.45">
      <c r="A60" s="5" t="s">
        <v>54</v>
      </c>
      <c r="B60" s="5" t="s">
        <v>32</v>
      </c>
      <c r="C60" s="2">
        <v>200</v>
      </c>
      <c r="D60" s="6">
        <v>1350</v>
      </c>
      <c r="E60" s="7">
        <f t="shared" si="0"/>
        <v>270000</v>
      </c>
    </row>
    <row r="61" spans="1:5" ht="15" x14ac:dyDescent="0.45">
      <c r="A61" s="5" t="s">
        <v>55</v>
      </c>
      <c r="B61" s="5" t="s">
        <v>3</v>
      </c>
      <c r="C61" s="2">
        <v>540</v>
      </c>
      <c r="D61" s="6">
        <v>26000</v>
      </c>
      <c r="E61" s="7">
        <f t="shared" si="0"/>
        <v>14040000</v>
      </c>
    </row>
    <row r="62" spans="1:5" ht="15" x14ac:dyDescent="0.45">
      <c r="A62" s="5" t="s">
        <v>56</v>
      </c>
      <c r="B62" s="5" t="s">
        <v>3</v>
      </c>
      <c r="C62" s="2">
        <v>338</v>
      </c>
      <c r="D62" s="6">
        <v>26000</v>
      </c>
      <c r="E62" s="7">
        <f t="shared" si="0"/>
        <v>8788000</v>
      </c>
    </row>
    <row r="63" spans="1:5" ht="15" hidden="1" x14ac:dyDescent="0.45">
      <c r="A63" s="5" t="s">
        <v>56</v>
      </c>
      <c r="B63" s="5" t="s">
        <v>32</v>
      </c>
      <c r="C63" s="2">
        <v>0</v>
      </c>
      <c r="D63" s="6"/>
      <c r="E63" s="7">
        <f t="shared" si="0"/>
        <v>0</v>
      </c>
    </row>
    <row r="64" spans="1:5" ht="15" x14ac:dyDescent="0.45">
      <c r="A64" s="5" t="s">
        <v>57</v>
      </c>
      <c r="B64" s="5" t="s">
        <v>3</v>
      </c>
      <c r="C64" s="2">
        <v>70</v>
      </c>
      <c r="D64" s="6">
        <v>17000</v>
      </c>
      <c r="E64" s="7">
        <f t="shared" si="0"/>
        <v>1190000</v>
      </c>
    </row>
    <row r="65" spans="1:5" ht="15" x14ac:dyDescent="0.45">
      <c r="A65" s="5" t="s">
        <v>58</v>
      </c>
      <c r="B65" s="5" t="s">
        <v>3</v>
      </c>
      <c r="C65" s="2">
        <v>33</v>
      </c>
      <c r="D65" s="6">
        <v>22000</v>
      </c>
      <c r="E65" s="7">
        <f t="shared" si="0"/>
        <v>726000</v>
      </c>
    </row>
    <row r="66" spans="1:5" ht="15" hidden="1" x14ac:dyDescent="0.45">
      <c r="A66" s="5" t="s">
        <v>59</v>
      </c>
      <c r="B66" s="5" t="s">
        <v>3</v>
      </c>
      <c r="C66" s="2">
        <v>0</v>
      </c>
      <c r="D66" s="6"/>
      <c r="E66" s="7">
        <f t="shared" si="0"/>
        <v>0</v>
      </c>
    </row>
    <row r="67" spans="1:5" ht="15" hidden="1" x14ac:dyDescent="0.45">
      <c r="A67" s="5" t="s">
        <v>59</v>
      </c>
      <c r="B67" s="5" t="s">
        <v>32</v>
      </c>
      <c r="C67" s="2">
        <v>0</v>
      </c>
      <c r="D67" s="6"/>
      <c r="E67" s="7">
        <f t="shared" si="0"/>
        <v>0</v>
      </c>
    </row>
    <row r="68" spans="1:5" ht="15" hidden="1" x14ac:dyDescent="0.45">
      <c r="A68" s="5" t="s">
        <v>60</v>
      </c>
      <c r="B68" s="5" t="s">
        <v>3</v>
      </c>
      <c r="C68" s="2">
        <v>0</v>
      </c>
      <c r="D68" s="6"/>
      <c r="E68" s="7">
        <f t="shared" ref="E68:E116" si="1">C68*D68</f>
        <v>0</v>
      </c>
    </row>
    <row r="69" spans="1:5" ht="15" x14ac:dyDescent="0.45">
      <c r="A69" s="5" t="s">
        <v>61</v>
      </c>
      <c r="B69" s="5" t="s">
        <v>3</v>
      </c>
      <c r="C69" s="2">
        <v>620</v>
      </c>
      <c r="D69" s="6">
        <v>11500</v>
      </c>
      <c r="E69" s="7">
        <f t="shared" si="1"/>
        <v>7130000</v>
      </c>
    </row>
    <row r="70" spans="1:5" ht="15" hidden="1" x14ac:dyDescent="0.45">
      <c r="A70" s="5" t="s">
        <v>61</v>
      </c>
      <c r="B70" s="5" t="s">
        <v>32</v>
      </c>
      <c r="C70" s="2">
        <v>0</v>
      </c>
      <c r="D70" s="6"/>
      <c r="E70" s="7">
        <f t="shared" si="1"/>
        <v>0</v>
      </c>
    </row>
    <row r="71" spans="1:5" ht="15" x14ac:dyDescent="0.45">
      <c r="A71" s="5" t="s">
        <v>62</v>
      </c>
      <c r="B71" s="5" t="s">
        <v>32</v>
      </c>
      <c r="C71" s="2">
        <v>100</v>
      </c>
      <c r="D71" s="6">
        <v>5000</v>
      </c>
      <c r="E71" s="7">
        <f t="shared" si="1"/>
        <v>500000</v>
      </c>
    </row>
    <row r="72" spans="1:5" ht="15" hidden="1" x14ac:dyDescent="0.45">
      <c r="A72" s="5" t="s">
        <v>63</v>
      </c>
      <c r="B72" s="5" t="s">
        <v>3</v>
      </c>
      <c r="C72" s="2">
        <v>0</v>
      </c>
      <c r="D72" s="6"/>
      <c r="E72" s="7">
        <f t="shared" si="1"/>
        <v>0</v>
      </c>
    </row>
    <row r="73" spans="1:5" ht="15" x14ac:dyDescent="0.45">
      <c r="A73" s="5" t="s">
        <v>64</v>
      </c>
      <c r="B73" s="5" t="s">
        <v>32</v>
      </c>
      <c r="C73" s="2">
        <v>15</v>
      </c>
      <c r="D73" s="6">
        <v>6000</v>
      </c>
      <c r="E73" s="7">
        <f t="shared" si="1"/>
        <v>90000</v>
      </c>
    </row>
    <row r="74" spans="1:5" ht="15" hidden="1" x14ac:dyDescent="0.45">
      <c r="A74" s="5" t="s">
        <v>65</v>
      </c>
      <c r="B74" s="5" t="s">
        <v>3</v>
      </c>
      <c r="C74" s="2">
        <v>0</v>
      </c>
      <c r="D74" s="6"/>
      <c r="E74" s="7">
        <f t="shared" si="1"/>
        <v>0</v>
      </c>
    </row>
    <row r="75" spans="1:5" ht="15" x14ac:dyDescent="0.45">
      <c r="A75" s="5" t="s">
        <v>65</v>
      </c>
      <c r="B75" s="5" t="s">
        <v>32</v>
      </c>
      <c r="C75" s="2">
        <v>35</v>
      </c>
      <c r="D75" s="6">
        <v>6000</v>
      </c>
      <c r="E75" s="7">
        <f t="shared" si="1"/>
        <v>210000</v>
      </c>
    </row>
    <row r="76" spans="1:5" ht="15" hidden="1" x14ac:dyDescent="0.45">
      <c r="A76" s="5" t="s">
        <v>66</v>
      </c>
      <c r="B76" s="5" t="s">
        <v>3</v>
      </c>
      <c r="C76" s="2">
        <v>0</v>
      </c>
      <c r="D76" s="6"/>
      <c r="E76" s="7">
        <f t="shared" si="1"/>
        <v>0</v>
      </c>
    </row>
    <row r="77" spans="1:5" ht="15" hidden="1" x14ac:dyDescent="0.45">
      <c r="A77" s="5" t="s">
        <v>67</v>
      </c>
      <c r="B77" s="5" t="s">
        <v>3</v>
      </c>
      <c r="C77" s="2">
        <v>0</v>
      </c>
      <c r="D77" s="6"/>
      <c r="E77" s="7">
        <f t="shared" si="1"/>
        <v>0</v>
      </c>
    </row>
    <row r="78" spans="1:5" ht="15" hidden="1" x14ac:dyDescent="0.45">
      <c r="A78" s="5" t="s">
        <v>68</v>
      </c>
      <c r="B78" s="5" t="s">
        <v>3</v>
      </c>
      <c r="C78" s="2">
        <v>0</v>
      </c>
      <c r="D78" s="6"/>
      <c r="E78" s="7">
        <f t="shared" si="1"/>
        <v>0</v>
      </c>
    </row>
    <row r="79" spans="1:5" ht="15" x14ac:dyDescent="0.45">
      <c r="A79" s="5" t="s">
        <v>69</v>
      </c>
      <c r="B79" s="5" t="s">
        <v>3</v>
      </c>
      <c r="C79" s="2">
        <v>0.5</v>
      </c>
      <c r="D79" s="6">
        <v>70000</v>
      </c>
      <c r="E79" s="7">
        <f t="shared" si="1"/>
        <v>35000</v>
      </c>
    </row>
    <row r="80" spans="1:5" ht="15" hidden="1" x14ac:dyDescent="0.45">
      <c r="A80" s="5" t="s">
        <v>70</v>
      </c>
      <c r="B80" s="5" t="s">
        <v>3</v>
      </c>
      <c r="C80" s="2">
        <v>0</v>
      </c>
      <c r="D80" s="6"/>
      <c r="E80" s="7">
        <f t="shared" si="1"/>
        <v>0</v>
      </c>
    </row>
    <row r="81" spans="1:5" ht="15" x14ac:dyDescent="0.45">
      <c r="A81" s="5" t="s">
        <v>70</v>
      </c>
      <c r="B81" s="5" t="s">
        <v>18</v>
      </c>
      <c r="C81" s="2">
        <v>440</v>
      </c>
      <c r="D81" s="6">
        <v>6500</v>
      </c>
      <c r="E81" s="7">
        <f t="shared" si="1"/>
        <v>2860000</v>
      </c>
    </row>
    <row r="82" spans="1:5" ht="15" hidden="1" x14ac:dyDescent="0.45">
      <c r="A82" s="5" t="s">
        <v>71</v>
      </c>
      <c r="B82" s="5" t="s">
        <v>3</v>
      </c>
      <c r="C82" s="2">
        <v>0</v>
      </c>
      <c r="D82" s="6"/>
      <c r="E82" s="7">
        <f t="shared" si="1"/>
        <v>0</v>
      </c>
    </row>
    <row r="83" spans="1:5" ht="15" x14ac:dyDescent="0.45">
      <c r="A83" s="5" t="s">
        <v>72</v>
      </c>
      <c r="B83" s="5" t="s">
        <v>3</v>
      </c>
      <c r="C83" s="2">
        <v>8</v>
      </c>
      <c r="D83" s="6">
        <v>14000</v>
      </c>
      <c r="E83" s="7">
        <f t="shared" si="1"/>
        <v>112000</v>
      </c>
    </row>
    <row r="84" spans="1:5" ht="15" x14ac:dyDescent="0.45">
      <c r="A84" s="5" t="s">
        <v>73</v>
      </c>
      <c r="B84" s="5" t="s">
        <v>3</v>
      </c>
      <c r="C84" s="2">
        <v>53</v>
      </c>
      <c r="D84" s="6">
        <v>10000</v>
      </c>
      <c r="E84" s="7">
        <f t="shared" si="1"/>
        <v>530000</v>
      </c>
    </row>
    <row r="85" spans="1:5" ht="15" hidden="1" x14ac:dyDescent="0.45">
      <c r="A85" s="5" t="s">
        <v>73</v>
      </c>
      <c r="B85" s="5" t="s">
        <v>44</v>
      </c>
      <c r="C85" s="2">
        <v>0</v>
      </c>
      <c r="D85" s="6"/>
      <c r="E85" s="7">
        <f t="shared" si="1"/>
        <v>0</v>
      </c>
    </row>
    <row r="86" spans="1:5" ht="15" hidden="1" x14ac:dyDescent="0.45">
      <c r="A86" s="5" t="s">
        <v>74</v>
      </c>
      <c r="B86" s="5" t="s">
        <v>32</v>
      </c>
      <c r="C86" s="2">
        <v>0</v>
      </c>
      <c r="D86" s="6"/>
      <c r="E86" s="7">
        <f t="shared" si="1"/>
        <v>0</v>
      </c>
    </row>
    <row r="87" spans="1:5" ht="15" x14ac:dyDescent="0.45">
      <c r="A87" s="5" t="s">
        <v>75</v>
      </c>
      <c r="B87" s="5" t="s">
        <v>3</v>
      </c>
      <c r="C87" s="2">
        <v>6</v>
      </c>
      <c r="D87" s="6">
        <v>14000</v>
      </c>
      <c r="E87" s="7">
        <f t="shared" si="1"/>
        <v>84000</v>
      </c>
    </row>
    <row r="88" spans="1:5" ht="15" x14ac:dyDescent="0.45">
      <c r="A88" s="5" t="s">
        <v>76</v>
      </c>
      <c r="B88" s="5" t="s">
        <v>3</v>
      </c>
      <c r="C88" s="2">
        <v>15</v>
      </c>
      <c r="D88" s="6">
        <v>80000</v>
      </c>
      <c r="E88" s="7">
        <f t="shared" si="1"/>
        <v>1200000</v>
      </c>
    </row>
    <row r="89" spans="1:5" ht="15" hidden="1" x14ac:dyDescent="0.45">
      <c r="A89" s="5" t="s">
        <v>79</v>
      </c>
      <c r="B89" s="5" t="s">
        <v>18</v>
      </c>
      <c r="C89" s="2">
        <v>0</v>
      </c>
      <c r="D89" s="6"/>
      <c r="E89" s="7">
        <f t="shared" si="1"/>
        <v>0</v>
      </c>
    </row>
    <row r="90" spans="1:5" ht="15" hidden="1" x14ac:dyDescent="0.45">
      <c r="A90" s="5" t="s">
        <v>80</v>
      </c>
      <c r="B90" s="5" t="s">
        <v>27</v>
      </c>
      <c r="C90" s="2">
        <v>0</v>
      </c>
      <c r="D90" s="6"/>
      <c r="E90" s="7">
        <f t="shared" si="1"/>
        <v>0</v>
      </c>
    </row>
    <row r="91" spans="1:5" ht="15" x14ac:dyDescent="0.45">
      <c r="A91" s="5" t="s">
        <v>80</v>
      </c>
      <c r="B91" s="5" t="s">
        <v>3</v>
      </c>
      <c r="C91" s="2">
        <v>6</v>
      </c>
      <c r="D91" s="6">
        <v>32000</v>
      </c>
      <c r="E91" s="7">
        <f t="shared" si="1"/>
        <v>192000</v>
      </c>
    </row>
    <row r="92" spans="1:5" ht="15" x14ac:dyDescent="0.45">
      <c r="A92" s="5" t="s">
        <v>81</v>
      </c>
      <c r="B92" s="5" t="s">
        <v>3</v>
      </c>
      <c r="C92" s="2">
        <v>37</v>
      </c>
      <c r="D92" s="6">
        <v>29000</v>
      </c>
      <c r="E92" s="7">
        <f t="shared" si="1"/>
        <v>1073000</v>
      </c>
    </row>
    <row r="93" spans="1:5" ht="15" hidden="1" x14ac:dyDescent="0.45">
      <c r="A93" s="5" t="s">
        <v>81</v>
      </c>
      <c r="B93" s="5" t="s">
        <v>11</v>
      </c>
      <c r="C93" s="2">
        <v>0</v>
      </c>
      <c r="D93" s="6"/>
      <c r="E93" s="7">
        <f t="shared" si="1"/>
        <v>0</v>
      </c>
    </row>
    <row r="94" spans="1:5" ht="15" x14ac:dyDescent="0.45">
      <c r="A94" s="5" t="s">
        <v>82</v>
      </c>
      <c r="B94" s="5" t="s">
        <v>3</v>
      </c>
      <c r="C94" s="2">
        <v>10</v>
      </c>
      <c r="D94" s="6">
        <v>20000</v>
      </c>
      <c r="E94" s="7">
        <f t="shared" si="1"/>
        <v>200000</v>
      </c>
    </row>
    <row r="95" spans="1:5" ht="15" x14ac:dyDescent="0.45">
      <c r="A95" s="5" t="s">
        <v>83</v>
      </c>
      <c r="B95" s="5" t="s">
        <v>3</v>
      </c>
      <c r="C95" s="2">
        <v>40</v>
      </c>
      <c r="D95" s="6">
        <v>24000</v>
      </c>
      <c r="E95" s="7">
        <f t="shared" si="1"/>
        <v>960000</v>
      </c>
    </row>
    <row r="96" spans="1:5" ht="15" hidden="1" x14ac:dyDescent="0.45">
      <c r="A96" s="5" t="s">
        <v>83</v>
      </c>
      <c r="B96" s="5" t="s">
        <v>11</v>
      </c>
      <c r="C96" s="2">
        <v>0</v>
      </c>
      <c r="D96" s="6"/>
      <c r="E96" s="7">
        <f t="shared" si="1"/>
        <v>0</v>
      </c>
    </row>
    <row r="97" spans="1:5" ht="15" x14ac:dyDescent="0.45">
      <c r="A97" s="5" t="s">
        <v>84</v>
      </c>
      <c r="B97" s="5" t="s">
        <v>3</v>
      </c>
      <c r="C97" s="2">
        <v>13</v>
      </c>
      <c r="D97" s="6">
        <v>18000</v>
      </c>
      <c r="E97" s="7">
        <f t="shared" si="1"/>
        <v>234000</v>
      </c>
    </row>
    <row r="98" spans="1:5" ht="15" x14ac:dyDescent="0.45">
      <c r="A98" s="5" t="s">
        <v>85</v>
      </c>
      <c r="B98" s="5" t="s">
        <v>3</v>
      </c>
      <c r="C98" s="2">
        <v>90</v>
      </c>
      <c r="D98" s="6">
        <v>28000</v>
      </c>
      <c r="E98" s="7">
        <f t="shared" si="1"/>
        <v>2520000</v>
      </c>
    </row>
    <row r="99" spans="1:5" ht="15" hidden="1" x14ac:dyDescent="0.45">
      <c r="A99" s="5" t="s">
        <v>85</v>
      </c>
      <c r="B99" s="5" t="s">
        <v>11</v>
      </c>
      <c r="C99" s="2">
        <v>0</v>
      </c>
      <c r="D99" s="6"/>
      <c r="E99" s="7">
        <f t="shared" si="1"/>
        <v>0</v>
      </c>
    </row>
    <row r="100" spans="1:5" ht="15" x14ac:dyDescent="0.45">
      <c r="A100" s="5" t="s">
        <v>113</v>
      </c>
      <c r="B100" s="5" t="s">
        <v>3</v>
      </c>
      <c r="C100" s="2">
        <v>20</v>
      </c>
      <c r="D100" s="6">
        <v>24000</v>
      </c>
      <c r="E100" s="7">
        <f t="shared" si="1"/>
        <v>480000</v>
      </c>
    </row>
    <row r="101" spans="1:5" ht="15" hidden="1" x14ac:dyDescent="0.45">
      <c r="A101" s="5" t="s">
        <v>86</v>
      </c>
      <c r="B101" s="5" t="s">
        <v>32</v>
      </c>
      <c r="C101" s="2">
        <v>0</v>
      </c>
      <c r="D101" s="6"/>
      <c r="E101" s="7">
        <f t="shared" si="1"/>
        <v>0</v>
      </c>
    </row>
    <row r="102" spans="1:5" ht="15" hidden="1" x14ac:dyDescent="0.45">
      <c r="A102" s="5" t="s">
        <v>87</v>
      </c>
      <c r="B102" s="5" t="s">
        <v>32</v>
      </c>
      <c r="C102" s="2">
        <v>0</v>
      </c>
      <c r="D102" s="6"/>
      <c r="E102" s="7">
        <f t="shared" si="1"/>
        <v>0</v>
      </c>
    </row>
    <row r="103" spans="1:5" ht="15" hidden="1" x14ac:dyDescent="0.45">
      <c r="A103" s="5" t="s">
        <v>88</v>
      </c>
      <c r="B103" s="5" t="s">
        <v>3</v>
      </c>
      <c r="C103" s="2">
        <v>0</v>
      </c>
      <c r="D103" s="6"/>
      <c r="E103" s="7">
        <f t="shared" si="1"/>
        <v>0</v>
      </c>
    </row>
    <row r="104" spans="1:5" ht="15" x14ac:dyDescent="0.45">
      <c r="A104" s="5" t="s">
        <v>90</v>
      </c>
      <c r="B104" s="5" t="s">
        <v>11</v>
      </c>
      <c r="C104" s="2">
        <v>353</v>
      </c>
      <c r="D104" s="6">
        <v>11361</v>
      </c>
      <c r="E104" s="7">
        <f t="shared" si="1"/>
        <v>4010433</v>
      </c>
    </row>
    <row r="105" spans="1:5" ht="15" x14ac:dyDescent="0.45">
      <c r="A105" s="5" t="s">
        <v>91</v>
      </c>
      <c r="B105" s="5" t="s">
        <v>3</v>
      </c>
      <c r="C105" s="2">
        <v>4</v>
      </c>
      <c r="D105" s="6">
        <v>18000</v>
      </c>
      <c r="E105" s="7">
        <f t="shared" si="1"/>
        <v>72000</v>
      </c>
    </row>
    <row r="106" spans="1:5" ht="15" hidden="1" x14ac:dyDescent="0.45">
      <c r="A106" s="5" t="s">
        <v>122</v>
      </c>
      <c r="B106" s="5" t="s">
        <v>27</v>
      </c>
      <c r="C106" s="2">
        <v>0</v>
      </c>
      <c r="D106" s="6"/>
      <c r="E106" s="7">
        <f t="shared" si="1"/>
        <v>0</v>
      </c>
    </row>
    <row r="107" spans="1:5" ht="15" hidden="1" x14ac:dyDescent="0.45">
      <c r="A107" s="5" t="s">
        <v>92</v>
      </c>
      <c r="B107" s="5" t="s">
        <v>3</v>
      </c>
      <c r="C107" s="2">
        <v>0</v>
      </c>
      <c r="D107" s="6"/>
      <c r="E107" s="7">
        <f t="shared" si="1"/>
        <v>0</v>
      </c>
    </row>
    <row r="108" spans="1:5" ht="15" x14ac:dyDescent="0.45">
      <c r="A108" s="5" t="s">
        <v>93</v>
      </c>
      <c r="B108" s="5" t="s">
        <v>3</v>
      </c>
      <c r="C108" s="2">
        <v>2</v>
      </c>
      <c r="D108" s="6">
        <v>32000</v>
      </c>
      <c r="E108" s="7">
        <f t="shared" si="1"/>
        <v>64000</v>
      </c>
    </row>
    <row r="109" spans="1:5" ht="15" x14ac:dyDescent="0.45">
      <c r="A109" s="5" t="s">
        <v>94</v>
      </c>
      <c r="B109" s="5" t="s">
        <v>3</v>
      </c>
      <c r="C109" s="2">
        <v>16</v>
      </c>
      <c r="D109" s="6">
        <v>10000</v>
      </c>
      <c r="E109" s="7">
        <f t="shared" si="1"/>
        <v>160000</v>
      </c>
    </row>
    <row r="110" spans="1:5" ht="15" hidden="1" x14ac:dyDescent="0.45">
      <c r="A110" s="5" t="s">
        <v>96</v>
      </c>
      <c r="B110" s="5" t="s">
        <v>3</v>
      </c>
      <c r="C110" s="2">
        <v>0</v>
      </c>
      <c r="D110" s="6"/>
      <c r="E110" s="7">
        <f t="shared" si="1"/>
        <v>0</v>
      </c>
    </row>
    <row r="111" spans="1:5" ht="15" hidden="1" x14ac:dyDescent="0.45">
      <c r="A111" s="5" t="s">
        <v>97</v>
      </c>
      <c r="B111" s="5" t="s">
        <v>44</v>
      </c>
      <c r="C111" s="2">
        <v>0</v>
      </c>
      <c r="D111" s="6"/>
      <c r="E111" s="7">
        <f t="shared" si="1"/>
        <v>0</v>
      </c>
    </row>
    <row r="112" spans="1:5" ht="15" x14ac:dyDescent="0.45">
      <c r="A112" s="5" t="s">
        <v>98</v>
      </c>
      <c r="B112" s="5" t="s">
        <v>3</v>
      </c>
      <c r="C112" s="2">
        <v>4</v>
      </c>
      <c r="D112" s="6">
        <v>24000</v>
      </c>
      <c r="E112" s="7">
        <f t="shared" si="1"/>
        <v>96000</v>
      </c>
    </row>
    <row r="113" spans="1:5" ht="15" hidden="1" x14ac:dyDescent="0.45">
      <c r="A113" s="5" t="s">
        <v>99</v>
      </c>
      <c r="B113" s="5" t="s">
        <v>44</v>
      </c>
      <c r="C113" s="2">
        <v>0</v>
      </c>
      <c r="D113" s="6"/>
      <c r="E113" s="7">
        <f t="shared" si="1"/>
        <v>0</v>
      </c>
    </row>
    <row r="114" spans="1:5" ht="15" hidden="1" x14ac:dyDescent="0.45">
      <c r="A114" s="5" t="s">
        <v>114</v>
      </c>
      <c r="B114" s="5" t="s">
        <v>3</v>
      </c>
      <c r="C114" s="2">
        <v>0</v>
      </c>
      <c r="D114" s="6"/>
      <c r="E114" s="7">
        <f t="shared" si="1"/>
        <v>0</v>
      </c>
    </row>
    <row r="115" spans="1:5" ht="15" x14ac:dyDescent="0.45">
      <c r="A115" s="5" t="s">
        <v>100</v>
      </c>
      <c r="B115" s="5" t="s">
        <v>3</v>
      </c>
      <c r="C115" s="2">
        <v>7</v>
      </c>
      <c r="D115" s="6">
        <v>25000</v>
      </c>
      <c r="E115" s="7">
        <f t="shared" si="1"/>
        <v>175000</v>
      </c>
    </row>
    <row r="116" spans="1:5" ht="15" hidden="1" x14ac:dyDescent="0.45">
      <c r="A116" s="5" t="s">
        <v>101</v>
      </c>
      <c r="B116" s="5" t="s">
        <v>44</v>
      </c>
      <c r="C116" s="2">
        <v>0</v>
      </c>
      <c r="D116" s="6"/>
      <c r="E116" s="7">
        <f t="shared" si="1"/>
        <v>0</v>
      </c>
    </row>
    <row r="117" spans="1:5" x14ac:dyDescent="0.45">
      <c r="E117" s="8">
        <f>SUM(E3:E115)</f>
        <v>70323433</v>
      </c>
    </row>
  </sheetData>
  <autoFilter ref="A2:F116" xr:uid="{00000000-0009-0000-0000-000005000000}">
    <filterColumn colId="2">
      <filters>
        <filter val="1"/>
        <filter val="10"/>
        <filter val="100"/>
        <filter val="115"/>
        <filter val="120"/>
        <filter val="13"/>
        <filter val="14"/>
        <filter val="15"/>
        <filter val="150"/>
        <filter val="16"/>
        <filter val="170"/>
        <filter val="2"/>
        <filter val="20"/>
        <filter val="200"/>
        <filter val="230"/>
        <filter val="25"/>
        <filter val="30"/>
        <filter val="33"/>
        <filter val="338"/>
        <filter val="35"/>
        <filter val="350"/>
        <filter val="353"/>
        <filter val="37"/>
        <filter val="39"/>
        <filter val="397"/>
        <filter val="4"/>
        <filter val="40"/>
        <filter val="440"/>
        <filter val="45"/>
        <filter val="514"/>
        <filter val="53"/>
        <filter val="540"/>
        <filter val="6"/>
        <filter val="620"/>
        <filter val="66"/>
        <filter val="7"/>
        <filter val="70"/>
        <filter val="8"/>
        <filter val="838"/>
        <filter val="9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2:E110"/>
  <sheetViews>
    <sheetView workbookViewId="0">
      <selection activeCell="F5" sqref="F5"/>
    </sheetView>
  </sheetViews>
  <sheetFormatPr defaultRowHeight="14.25" x14ac:dyDescent="0.45"/>
  <cols>
    <col min="1" max="1" width="25.46484375" customWidth="1"/>
    <col min="4" max="4" width="11.19921875" customWidth="1"/>
    <col min="5" max="5" width="18.46484375" customWidth="1"/>
  </cols>
  <sheetData>
    <row r="2" spans="1:5" ht="60.6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23</v>
      </c>
      <c r="D3" s="2">
        <v>18000</v>
      </c>
      <c r="E3" s="6">
        <f>C3*D3</f>
        <v>414000</v>
      </c>
    </row>
    <row r="4" spans="1:5" ht="15" x14ac:dyDescent="0.45">
      <c r="A4" s="5" t="s">
        <v>4</v>
      </c>
      <c r="B4" s="5" t="s">
        <v>3</v>
      </c>
      <c r="C4" s="2">
        <v>960</v>
      </c>
      <c r="D4" s="2">
        <v>7000</v>
      </c>
      <c r="E4" s="6">
        <f t="shared" ref="E4:E67" si="0">C4*D4</f>
        <v>6720000</v>
      </c>
    </row>
    <row r="5" spans="1:5" ht="15" x14ac:dyDescent="0.45">
      <c r="A5" s="5" t="s">
        <v>5</v>
      </c>
      <c r="B5" s="5" t="s">
        <v>3</v>
      </c>
      <c r="C5" s="2">
        <v>455</v>
      </c>
      <c r="D5" s="2">
        <v>4000</v>
      </c>
      <c r="E5" s="6">
        <f t="shared" si="0"/>
        <v>1820000</v>
      </c>
    </row>
    <row r="6" spans="1:5" ht="15" x14ac:dyDescent="0.45">
      <c r="A6" s="5" t="s">
        <v>6</v>
      </c>
      <c r="B6" s="5" t="s">
        <v>3</v>
      </c>
      <c r="C6" s="2">
        <v>5</v>
      </c>
      <c r="D6" s="2">
        <v>10000</v>
      </c>
      <c r="E6" s="6">
        <f t="shared" si="0"/>
        <v>50000</v>
      </c>
    </row>
    <row r="7" spans="1:5" ht="15" x14ac:dyDescent="0.45">
      <c r="A7" s="5" t="s">
        <v>7</v>
      </c>
      <c r="B7" s="5" t="s">
        <v>3</v>
      </c>
      <c r="C7" s="2">
        <v>10</v>
      </c>
      <c r="D7" s="2">
        <v>6500</v>
      </c>
      <c r="E7" s="6">
        <f t="shared" si="0"/>
        <v>65000</v>
      </c>
    </row>
    <row r="8" spans="1:5" ht="15" x14ac:dyDescent="0.45">
      <c r="A8" s="5" t="s">
        <v>8</v>
      </c>
      <c r="B8" s="5" t="s">
        <v>3</v>
      </c>
      <c r="C8" s="2">
        <v>450</v>
      </c>
      <c r="D8" s="2">
        <v>7000</v>
      </c>
      <c r="E8" s="6">
        <f t="shared" si="0"/>
        <v>3150000</v>
      </c>
    </row>
    <row r="9" spans="1:5" ht="15" x14ac:dyDescent="0.45">
      <c r="A9" s="5" t="s">
        <v>10</v>
      </c>
      <c r="B9" s="5" t="s">
        <v>3</v>
      </c>
      <c r="C9" s="2">
        <v>20</v>
      </c>
      <c r="D9" s="2">
        <v>7000</v>
      </c>
      <c r="E9" s="6">
        <f t="shared" si="0"/>
        <v>140000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2"/>
      <c r="E10" s="6">
        <f t="shared" si="0"/>
        <v>0</v>
      </c>
    </row>
    <row r="11" spans="1:5" ht="15" hidden="1" x14ac:dyDescent="0.45">
      <c r="A11" s="5" t="s">
        <v>12</v>
      </c>
      <c r="B11" s="5" t="s">
        <v>3</v>
      </c>
      <c r="C11" s="2">
        <v>0</v>
      </c>
      <c r="D11" s="2"/>
      <c r="E11" s="6">
        <f t="shared" si="0"/>
        <v>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2"/>
      <c r="E12" s="6">
        <f t="shared" si="0"/>
        <v>0</v>
      </c>
    </row>
    <row r="13" spans="1:5" ht="15" x14ac:dyDescent="0.45">
      <c r="A13" s="5" t="s">
        <v>13</v>
      </c>
      <c r="B13" s="5" t="s">
        <v>3</v>
      </c>
      <c r="C13" s="2">
        <v>204</v>
      </c>
      <c r="D13" s="2">
        <v>35000</v>
      </c>
      <c r="E13" s="6">
        <f t="shared" si="0"/>
        <v>7140000</v>
      </c>
    </row>
    <row r="14" spans="1:5" ht="15" hidden="1" x14ac:dyDescent="0.45">
      <c r="A14" s="5" t="s">
        <v>14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hidden="1" x14ac:dyDescent="0.45">
      <c r="A15" s="5" t="s">
        <v>15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x14ac:dyDescent="0.45">
      <c r="A16" s="5" t="s">
        <v>16</v>
      </c>
      <c r="B16" s="5" t="s">
        <v>3</v>
      </c>
      <c r="C16" s="2">
        <v>17</v>
      </c>
      <c r="D16" s="2">
        <v>28000</v>
      </c>
      <c r="E16" s="6">
        <f t="shared" si="0"/>
        <v>476000</v>
      </c>
    </row>
    <row r="17" spans="1:5" ht="15" hidden="1" x14ac:dyDescent="0.45">
      <c r="A17" s="5" t="s">
        <v>17</v>
      </c>
      <c r="B17" s="5" t="s">
        <v>18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19</v>
      </c>
      <c r="B18" s="5" t="s">
        <v>3</v>
      </c>
      <c r="C18" s="2">
        <v>0</v>
      </c>
      <c r="D18" s="2"/>
      <c r="E18" s="6">
        <f t="shared" si="0"/>
        <v>0</v>
      </c>
    </row>
    <row r="19" spans="1:5" ht="15" x14ac:dyDescent="0.45">
      <c r="A19" s="5" t="s">
        <v>20</v>
      </c>
      <c r="B19" s="5" t="s">
        <v>3</v>
      </c>
      <c r="C19" s="2">
        <v>185</v>
      </c>
      <c r="D19" s="2">
        <v>15000</v>
      </c>
      <c r="E19" s="6">
        <f t="shared" si="0"/>
        <v>2775000</v>
      </c>
    </row>
    <row r="20" spans="1:5" ht="15" hidden="1" x14ac:dyDescent="0.45">
      <c r="A20" s="5" t="s">
        <v>20</v>
      </c>
      <c r="B20" s="5" t="s">
        <v>21</v>
      </c>
      <c r="C20" s="2">
        <v>0</v>
      </c>
      <c r="D20" s="2"/>
      <c r="E20" s="6">
        <f t="shared" si="0"/>
        <v>0</v>
      </c>
    </row>
    <row r="21" spans="1:5" ht="15" x14ac:dyDescent="0.45">
      <c r="A21" s="5" t="s">
        <v>22</v>
      </c>
      <c r="B21" s="5" t="s">
        <v>3</v>
      </c>
      <c r="C21" s="2">
        <v>20</v>
      </c>
      <c r="D21" s="2">
        <v>14000</v>
      </c>
      <c r="E21" s="6">
        <f t="shared" si="0"/>
        <v>280000</v>
      </c>
    </row>
    <row r="22" spans="1:5" ht="15" x14ac:dyDescent="0.45">
      <c r="A22" s="5" t="s">
        <v>22</v>
      </c>
      <c r="B22" s="5" t="s">
        <v>23</v>
      </c>
      <c r="C22" s="2">
        <v>80</v>
      </c>
      <c r="D22" s="2">
        <v>5500</v>
      </c>
      <c r="E22" s="6">
        <f t="shared" si="0"/>
        <v>440000</v>
      </c>
    </row>
    <row r="23" spans="1:5" ht="15" x14ac:dyDescent="0.45">
      <c r="A23" s="5" t="s">
        <v>24</v>
      </c>
      <c r="B23" s="5" t="s">
        <v>3</v>
      </c>
      <c r="C23" s="2">
        <v>15</v>
      </c>
      <c r="D23" s="2">
        <v>15000</v>
      </c>
      <c r="E23" s="6">
        <f t="shared" si="0"/>
        <v>225000</v>
      </c>
    </row>
    <row r="24" spans="1:5" ht="15" x14ac:dyDescent="0.45">
      <c r="A24" s="5" t="s">
        <v>24</v>
      </c>
      <c r="B24" s="5" t="s">
        <v>25</v>
      </c>
      <c r="C24" s="2">
        <v>13</v>
      </c>
      <c r="D24" s="2">
        <v>4500</v>
      </c>
      <c r="E24" s="6">
        <f t="shared" si="0"/>
        <v>58500</v>
      </c>
    </row>
    <row r="25" spans="1:5" ht="15" hidden="1" x14ac:dyDescent="0.45">
      <c r="A25" s="5" t="s">
        <v>24</v>
      </c>
      <c r="B25" s="5" t="s">
        <v>124</v>
      </c>
      <c r="C25" s="2">
        <v>0</v>
      </c>
      <c r="D25" s="2"/>
      <c r="E25" s="6">
        <f t="shared" si="0"/>
        <v>0</v>
      </c>
    </row>
    <row r="26" spans="1:5" ht="15" x14ac:dyDescent="0.45">
      <c r="A26" s="5" t="s">
        <v>26</v>
      </c>
      <c r="B26" s="5" t="s">
        <v>27</v>
      </c>
      <c r="C26" s="2">
        <v>55</v>
      </c>
      <c r="D26" s="2">
        <v>10500</v>
      </c>
      <c r="E26" s="6">
        <f t="shared" si="0"/>
        <v>577500</v>
      </c>
    </row>
    <row r="27" spans="1:5" ht="15" hidden="1" x14ac:dyDescent="0.45">
      <c r="A27" s="5" t="s">
        <v>28</v>
      </c>
      <c r="B27" s="5" t="s">
        <v>3</v>
      </c>
      <c r="C27" s="2">
        <v>0</v>
      </c>
      <c r="D27" s="2"/>
      <c r="E27" s="6">
        <f t="shared" si="0"/>
        <v>0</v>
      </c>
    </row>
    <row r="28" spans="1:5" ht="15" x14ac:dyDescent="0.45">
      <c r="A28" s="5" t="s">
        <v>28</v>
      </c>
      <c r="B28" s="5" t="s">
        <v>29</v>
      </c>
      <c r="C28" s="2">
        <v>121</v>
      </c>
      <c r="D28" s="2">
        <v>7500</v>
      </c>
      <c r="E28" s="6">
        <f t="shared" si="0"/>
        <v>907500</v>
      </c>
    </row>
    <row r="29" spans="1:5" ht="15" x14ac:dyDescent="0.45">
      <c r="A29" s="5" t="s">
        <v>30</v>
      </c>
      <c r="B29" s="5" t="s">
        <v>3</v>
      </c>
      <c r="C29" s="2">
        <v>270</v>
      </c>
      <c r="D29" s="2">
        <v>8000</v>
      </c>
      <c r="E29" s="6">
        <f t="shared" si="0"/>
        <v>2160000</v>
      </c>
    </row>
    <row r="30" spans="1:5" ht="15" hidden="1" x14ac:dyDescent="0.45">
      <c r="A30" s="5" t="s">
        <v>30</v>
      </c>
      <c r="B30" s="5" t="s">
        <v>18</v>
      </c>
      <c r="C30" s="2">
        <v>0</v>
      </c>
      <c r="D30" s="2"/>
      <c r="E30" s="6">
        <f t="shared" si="0"/>
        <v>0</v>
      </c>
    </row>
    <row r="31" spans="1:5" ht="15" x14ac:dyDescent="0.45">
      <c r="A31" s="5" t="s">
        <v>31</v>
      </c>
      <c r="B31" s="5" t="s">
        <v>32</v>
      </c>
      <c r="C31" s="2">
        <v>35</v>
      </c>
      <c r="D31" s="2">
        <v>5000</v>
      </c>
      <c r="E31" s="6">
        <f t="shared" si="0"/>
        <v>175000</v>
      </c>
    </row>
    <row r="32" spans="1:5" ht="15" hidden="1" x14ac:dyDescent="0.45">
      <c r="A32" s="5" t="s">
        <v>33</v>
      </c>
      <c r="B32" s="5" t="s">
        <v>3</v>
      </c>
      <c r="C32" s="2">
        <v>0</v>
      </c>
      <c r="D32" s="2"/>
      <c r="E32" s="6">
        <f t="shared" si="0"/>
        <v>0</v>
      </c>
    </row>
    <row r="33" spans="1:5" ht="15" hidden="1" x14ac:dyDescent="0.45">
      <c r="A33" s="5" t="s">
        <v>33</v>
      </c>
      <c r="B33" s="5" t="s">
        <v>32</v>
      </c>
      <c r="C33" s="2">
        <v>0</v>
      </c>
      <c r="D33" s="2"/>
      <c r="E33" s="6">
        <f t="shared" si="0"/>
        <v>0</v>
      </c>
    </row>
    <row r="34" spans="1:5" ht="15" x14ac:dyDescent="0.45">
      <c r="A34" s="5" t="s">
        <v>34</v>
      </c>
      <c r="B34" s="5" t="s">
        <v>18</v>
      </c>
      <c r="C34" s="2">
        <v>7</v>
      </c>
      <c r="D34" s="2">
        <v>5500</v>
      </c>
      <c r="E34" s="6">
        <f t="shared" si="0"/>
        <v>38500</v>
      </c>
    </row>
    <row r="35" spans="1:5" ht="15" x14ac:dyDescent="0.45">
      <c r="A35" s="5" t="s">
        <v>35</v>
      </c>
      <c r="B35" s="5" t="s">
        <v>3</v>
      </c>
      <c r="C35" s="2">
        <v>13</v>
      </c>
      <c r="D35" s="2">
        <v>8000</v>
      </c>
      <c r="E35" s="6">
        <f t="shared" si="0"/>
        <v>104000</v>
      </c>
    </row>
    <row r="36" spans="1:5" ht="15" hidden="1" x14ac:dyDescent="0.45">
      <c r="A36" s="5" t="s">
        <v>35</v>
      </c>
      <c r="B36" s="5" t="s">
        <v>36</v>
      </c>
      <c r="C36" s="2">
        <v>0</v>
      </c>
      <c r="D36" s="2"/>
      <c r="E36" s="6">
        <f t="shared" si="0"/>
        <v>0</v>
      </c>
    </row>
    <row r="37" spans="1:5" ht="15" x14ac:dyDescent="0.45">
      <c r="A37" s="5" t="s">
        <v>37</v>
      </c>
      <c r="B37" s="5" t="s">
        <v>3</v>
      </c>
      <c r="C37" s="2">
        <v>13</v>
      </c>
      <c r="D37" s="2">
        <v>17000</v>
      </c>
      <c r="E37" s="6">
        <f t="shared" si="0"/>
        <v>221000</v>
      </c>
    </row>
    <row r="38" spans="1:5" ht="15" hidden="1" x14ac:dyDescent="0.45">
      <c r="A38" s="5" t="s">
        <v>37</v>
      </c>
      <c r="B38" s="5" t="s">
        <v>32</v>
      </c>
      <c r="C38" s="2">
        <v>0</v>
      </c>
      <c r="D38" s="2"/>
      <c r="E38" s="6">
        <f t="shared" si="0"/>
        <v>0</v>
      </c>
    </row>
    <row r="39" spans="1:5" ht="15" x14ac:dyDescent="0.45">
      <c r="A39" s="5" t="s">
        <v>38</v>
      </c>
      <c r="B39" s="5" t="s">
        <v>32</v>
      </c>
      <c r="C39" s="2">
        <v>3</v>
      </c>
      <c r="D39" s="2">
        <v>3000</v>
      </c>
      <c r="E39" s="6">
        <f t="shared" si="0"/>
        <v>9000</v>
      </c>
    </row>
    <row r="40" spans="1:5" ht="15" hidden="1" x14ac:dyDescent="0.45">
      <c r="A40" s="5" t="s">
        <v>39</v>
      </c>
      <c r="B40" s="5" t="s">
        <v>32</v>
      </c>
      <c r="C40" s="2">
        <v>0</v>
      </c>
      <c r="D40" s="2"/>
      <c r="E40" s="6">
        <f t="shared" si="0"/>
        <v>0</v>
      </c>
    </row>
    <row r="41" spans="1:5" ht="15" x14ac:dyDescent="0.45">
      <c r="A41" s="5" t="s">
        <v>40</v>
      </c>
      <c r="B41" s="5" t="s">
        <v>3</v>
      </c>
      <c r="C41" s="2">
        <v>80</v>
      </c>
      <c r="D41" s="2">
        <v>4500</v>
      </c>
      <c r="E41" s="6">
        <f t="shared" si="0"/>
        <v>360000</v>
      </c>
    </row>
    <row r="42" spans="1:5" ht="15" hidden="1" x14ac:dyDescent="0.45">
      <c r="A42" s="5" t="s">
        <v>41</v>
      </c>
      <c r="B42" s="5" t="s">
        <v>3</v>
      </c>
      <c r="C42" s="2">
        <v>0</v>
      </c>
      <c r="D42" s="2"/>
      <c r="E42" s="6">
        <f t="shared" si="0"/>
        <v>0</v>
      </c>
    </row>
    <row r="43" spans="1:5" ht="15" x14ac:dyDescent="0.45">
      <c r="A43" s="5" t="s">
        <v>42</v>
      </c>
      <c r="B43" s="5" t="s">
        <v>3</v>
      </c>
      <c r="C43" s="2">
        <v>50</v>
      </c>
      <c r="D43" s="2">
        <v>3500</v>
      </c>
      <c r="E43" s="6">
        <f t="shared" si="0"/>
        <v>175000</v>
      </c>
    </row>
    <row r="44" spans="1:5" ht="15" x14ac:dyDescent="0.45">
      <c r="A44" s="5" t="s">
        <v>43</v>
      </c>
      <c r="B44" s="5" t="s">
        <v>3</v>
      </c>
      <c r="C44" s="2">
        <v>45</v>
      </c>
      <c r="D44" s="2">
        <v>12000</v>
      </c>
      <c r="E44" s="6">
        <f t="shared" si="0"/>
        <v>540000</v>
      </c>
    </row>
    <row r="45" spans="1:5" ht="15" hidden="1" x14ac:dyDescent="0.45">
      <c r="A45" s="5" t="s">
        <v>43</v>
      </c>
      <c r="B45" s="5" t="s">
        <v>44</v>
      </c>
      <c r="C45" s="2">
        <v>0</v>
      </c>
      <c r="D45" s="2"/>
      <c r="E45" s="6">
        <f t="shared" si="0"/>
        <v>0</v>
      </c>
    </row>
    <row r="46" spans="1:5" ht="15" hidden="1" x14ac:dyDescent="0.45">
      <c r="A46" s="5" t="s">
        <v>45</v>
      </c>
      <c r="B46" s="5" t="s">
        <v>3</v>
      </c>
      <c r="C46" s="2">
        <v>0</v>
      </c>
      <c r="D46" s="2"/>
      <c r="E46" s="6">
        <f t="shared" si="0"/>
        <v>0</v>
      </c>
    </row>
    <row r="47" spans="1:5" ht="15" hidden="1" x14ac:dyDescent="0.45">
      <c r="A47" s="5" t="s">
        <v>46</v>
      </c>
      <c r="B47" s="5" t="s">
        <v>3</v>
      </c>
      <c r="C47" s="2">
        <v>0</v>
      </c>
      <c r="D47" s="2"/>
      <c r="E47" s="6">
        <f t="shared" si="0"/>
        <v>0</v>
      </c>
    </row>
    <row r="48" spans="1:5" ht="15" x14ac:dyDescent="0.45">
      <c r="A48" s="5" t="s">
        <v>47</v>
      </c>
      <c r="B48" s="5" t="s">
        <v>27</v>
      </c>
      <c r="C48" s="2">
        <v>23</v>
      </c>
      <c r="D48" s="2">
        <v>10000</v>
      </c>
      <c r="E48" s="6">
        <f t="shared" si="0"/>
        <v>230000</v>
      </c>
    </row>
    <row r="49" spans="1:5" ht="15" hidden="1" x14ac:dyDescent="0.45">
      <c r="A49" s="5" t="s">
        <v>48</v>
      </c>
      <c r="B49" s="5" t="s">
        <v>3</v>
      </c>
      <c r="C49" s="2">
        <v>0</v>
      </c>
      <c r="D49" s="2"/>
      <c r="E49" s="6">
        <f t="shared" si="0"/>
        <v>0</v>
      </c>
    </row>
    <row r="50" spans="1:5" ht="15" x14ac:dyDescent="0.45">
      <c r="A50" s="5" t="s">
        <v>49</v>
      </c>
      <c r="B50" s="5" t="s">
        <v>3</v>
      </c>
      <c r="C50" s="2">
        <v>41</v>
      </c>
      <c r="D50" s="2">
        <v>8000</v>
      </c>
      <c r="E50" s="6">
        <f t="shared" si="0"/>
        <v>328000</v>
      </c>
    </row>
    <row r="51" spans="1:5" ht="15" hidden="1" x14ac:dyDescent="0.45">
      <c r="A51" s="5" t="s">
        <v>49</v>
      </c>
      <c r="B51" s="5" t="s">
        <v>32</v>
      </c>
      <c r="C51" s="2">
        <v>0</v>
      </c>
      <c r="D51" s="2"/>
      <c r="E51" s="6">
        <f t="shared" si="0"/>
        <v>0</v>
      </c>
    </row>
    <row r="52" spans="1:5" ht="15" x14ac:dyDescent="0.45">
      <c r="A52" s="5" t="s">
        <v>50</v>
      </c>
      <c r="B52" s="5" t="s">
        <v>3</v>
      </c>
      <c r="C52" s="2">
        <v>10</v>
      </c>
      <c r="D52" s="2">
        <v>21000</v>
      </c>
      <c r="E52" s="6">
        <f t="shared" si="0"/>
        <v>210000</v>
      </c>
    </row>
    <row r="53" spans="1:5" ht="15" x14ac:dyDescent="0.45">
      <c r="A53" s="5" t="s">
        <v>51</v>
      </c>
      <c r="B53" s="5" t="s">
        <v>3</v>
      </c>
      <c r="C53" s="2">
        <v>375</v>
      </c>
      <c r="D53" s="2">
        <v>5500</v>
      </c>
      <c r="E53" s="6">
        <f t="shared" si="0"/>
        <v>2062500</v>
      </c>
    </row>
    <row r="54" spans="1:5" ht="15" hidden="1" x14ac:dyDescent="0.45">
      <c r="A54" s="5" t="s">
        <v>51</v>
      </c>
      <c r="B54" s="5" t="s">
        <v>52</v>
      </c>
      <c r="C54" s="2">
        <v>0</v>
      </c>
      <c r="D54" s="2"/>
      <c r="E54" s="6">
        <f t="shared" si="0"/>
        <v>0</v>
      </c>
    </row>
    <row r="55" spans="1:5" ht="15" x14ac:dyDescent="0.45">
      <c r="A55" s="5" t="s">
        <v>53</v>
      </c>
      <c r="B55" s="5" t="s">
        <v>3</v>
      </c>
      <c r="C55" s="2">
        <v>25</v>
      </c>
      <c r="D55" s="2">
        <v>20000</v>
      </c>
      <c r="E55" s="6">
        <f t="shared" si="0"/>
        <v>500000</v>
      </c>
    </row>
    <row r="56" spans="1:5" ht="15" x14ac:dyDescent="0.45">
      <c r="A56" s="5" t="s">
        <v>54</v>
      </c>
      <c r="B56" s="5" t="s">
        <v>32</v>
      </c>
      <c r="C56" s="2">
        <v>90</v>
      </c>
      <c r="D56" s="2">
        <v>1350</v>
      </c>
      <c r="E56" s="6">
        <f t="shared" si="0"/>
        <v>121500</v>
      </c>
    </row>
    <row r="57" spans="1:5" ht="15" x14ac:dyDescent="0.45">
      <c r="A57" s="5" t="s">
        <v>55</v>
      </c>
      <c r="B57" s="5" t="s">
        <v>3</v>
      </c>
      <c r="C57" s="2">
        <v>1250</v>
      </c>
      <c r="D57" s="2">
        <v>26000</v>
      </c>
      <c r="E57" s="6">
        <f t="shared" si="0"/>
        <v>32500000</v>
      </c>
    </row>
    <row r="58" spans="1:5" ht="15" x14ac:dyDescent="0.45">
      <c r="A58" s="5" t="s">
        <v>56</v>
      </c>
      <c r="B58" s="5" t="s">
        <v>3</v>
      </c>
      <c r="C58" s="2">
        <v>90</v>
      </c>
      <c r="D58" s="2">
        <v>26000</v>
      </c>
      <c r="E58" s="6">
        <f t="shared" si="0"/>
        <v>2340000</v>
      </c>
    </row>
    <row r="59" spans="1:5" ht="15" x14ac:dyDescent="0.45">
      <c r="A59" s="5" t="s">
        <v>57</v>
      </c>
      <c r="B59" s="5" t="s">
        <v>3</v>
      </c>
      <c r="C59" s="2">
        <v>30</v>
      </c>
      <c r="D59" s="2">
        <v>17000</v>
      </c>
      <c r="E59" s="6">
        <f t="shared" si="0"/>
        <v>510000</v>
      </c>
    </row>
    <row r="60" spans="1:5" ht="15" x14ac:dyDescent="0.45">
      <c r="A60" s="5" t="s">
        <v>58</v>
      </c>
      <c r="B60" s="5" t="s">
        <v>3</v>
      </c>
      <c r="C60" s="2">
        <v>35</v>
      </c>
      <c r="D60" s="2">
        <v>22000</v>
      </c>
      <c r="E60" s="6">
        <f t="shared" si="0"/>
        <v>770000</v>
      </c>
    </row>
    <row r="61" spans="1:5" ht="15" hidden="1" x14ac:dyDescent="0.45">
      <c r="A61" s="5" t="s">
        <v>59</v>
      </c>
      <c r="B61" s="5" t="s">
        <v>32</v>
      </c>
      <c r="C61" s="2">
        <v>0</v>
      </c>
      <c r="D61" s="2"/>
      <c r="E61" s="6">
        <f t="shared" si="0"/>
        <v>0</v>
      </c>
    </row>
    <row r="62" spans="1:5" ht="15" x14ac:dyDescent="0.45">
      <c r="A62" s="5" t="s">
        <v>61</v>
      </c>
      <c r="B62" s="5" t="s">
        <v>3</v>
      </c>
      <c r="C62" s="2">
        <v>460</v>
      </c>
      <c r="D62" s="2">
        <v>11500</v>
      </c>
      <c r="E62" s="6">
        <f t="shared" si="0"/>
        <v>5290000</v>
      </c>
    </row>
    <row r="63" spans="1:5" ht="15" hidden="1" x14ac:dyDescent="0.45">
      <c r="A63" s="5" t="s">
        <v>61</v>
      </c>
      <c r="B63" s="5" t="s">
        <v>32</v>
      </c>
      <c r="C63" s="2">
        <v>0</v>
      </c>
      <c r="D63" s="2"/>
      <c r="E63" s="6">
        <f t="shared" si="0"/>
        <v>0</v>
      </c>
    </row>
    <row r="64" spans="1:5" ht="15" x14ac:dyDescent="0.45">
      <c r="A64" s="5" t="s">
        <v>62</v>
      </c>
      <c r="B64" s="5" t="s">
        <v>32</v>
      </c>
      <c r="C64" s="2">
        <v>50</v>
      </c>
      <c r="D64" s="2">
        <v>5000</v>
      </c>
      <c r="E64" s="6">
        <f t="shared" si="0"/>
        <v>250000</v>
      </c>
    </row>
    <row r="65" spans="1:5" ht="15" x14ac:dyDescent="0.45">
      <c r="A65" s="5" t="s">
        <v>63</v>
      </c>
      <c r="B65" s="5" t="s">
        <v>3</v>
      </c>
      <c r="C65" s="2">
        <v>7</v>
      </c>
      <c r="D65" s="2">
        <v>11000</v>
      </c>
      <c r="E65" s="6">
        <f t="shared" si="0"/>
        <v>77000</v>
      </c>
    </row>
    <row r="66" spans="1:5" ht="15" x14ac:dyDescent="0.45">
      <c r="A66" s="5" t="s">
        <v>64</v>
      </c>
      <c r="B66" s="5" t="s">
        <v>32</v>
      </c>
      <c r="C66" s="2">
        <v>45</v>
      </c>
      <c r="D66" s="2">
        <v>6000</v>
      </c>
      <c r="E66" s="6">
        <f t="shared" si="0"/>
        <v>270000</v>
      </c>
    </row>
    <row r="67" spans="1:5" ht="15" hidden="1" x14ac:dyDescent="0.45">
      <c r="A67" s="5" t="s">
        <v>65</v>
      </c>
      <c r="B67" s="5" t="s">
        <v>3</v>
      </c>
      <c r="C67" s="2">
        <v>0</v>
      </c>
      <c r="D67" s="2"/>
      <c r="E67" s="6">
        <f t="shared" si="0"/>
        <v>0</v>
      </c>
    </row>
    <row r="68" spans="1:5" ht="15" x14ac:dyDescent="0.45">
      <c r="A68" s="5" t="s">
        <v>65</v>
      </c>
      <c r="B68" s="5" t="s">
        <v>32</v>
      </c>
      <c r="C68" s="2">
        <v>31</v>
      </c>
      <c r="D68" s="2">
        <v>6000</v>
      </c>
      <c r="E68" s="6">
        <f t="shared" ref="E68:E109" si="1">C68*D68</f>
        <v>186000</v>
      </c>
    </row>
    <row r="69" spans="1:5" ht="15" hidden="1" x14ac:dyDescent="0.45">
      <c r="A69" s="5" t="s">
        <v>66</v>
      </c>
      <c r="B69" s="5" t="s">
        <v>3</v>
      </c>
      <c r="C69" s="2">
        <v>0</v>
      </c>
      <c r="D69" s="2"/>
      <c r="E69" s="6">
        <f t="shared" si="1"/>
        <v>0</v>
      </c>
    </row>
    <row r="70" spans="1:5" ht="15" hidden="1" x14ac:dyDescent="0.45">
      <c r="A70" s="5" t="s">
        <v>68</v>
      </c>
      <c r="B70" s="5" t="s">
        <v>3</v>
      </c>
      <c r="C70" s="2">
        <v>0</v>
      </c>
      <c r="D70" s="2"/>
      <c r="E70" s="6">
        <f t="shared" si="1"/>
        <v>0</v>
      </c>
    </row>
    <row r="71" spans="1:5" ht="15" hidden="1" x14ac:dyDescent="0.45">
      <c r="A71" s="5" t="s">
        <v>69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hidden="1" x14ac:dyDescent="0.45">
      <c r="A72" s="5" t="s">
        <v>70</v>
      </c>
      <c r="B72" s="5" t="s">
        <v>3</v>
      </c>
      <c r="C72" s="2">
        <v>0</v>
      </c>
      <c r="D72" s="2"/>
      <c r="E72" s="6">
        <f t="shared" si="1"/>
        <v>0</v>
      </c>
    </row>
    <row r="73" spans="1:5" ht="15" x14ac:dyDescent="0.45">
      <c r="A73" s="5" t="s">
        <v>70</v>
      </c>
      <c r="B73" s="5" t="s">
        <v>18</v>
      </c>
      <c r="C73" s="2">
        <v>446</v>
      </c>
      <c r="D73" s="2">
        <v>6500</v>
      </c>
      <c r="E73" s="6">
        <f t="shared" si="1"/>
        <v>2899000</v>
      </c>
    </row>
    <row r="74" spans="1:5" ht="15" hidden="1" x14ac:dyDescent="0.45">
      <c r="A74" s="5" t="s">
        <v>71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x14ac:dyDescent="0.45">
      <c r="A75" s="5" t="s">
        <v>72</v>
      </c>
      <c r="B75" s="5" t="s">
        <v>3</v>
      </c>
      <c r="C75" s="2">
        <v>30</v>
      </c>
      <c r="D75" s="2">
        <v>14000</v>
      </c>
      <c r="E75" s="6">
        <f t="shared" si="1"/>
        <v>420000</v>
      </c>
    </row>
    <row r="76" spans="1:5" ht="15" x14ac:dyDescent="0.45">
      <c r="A76" s="5" t="s">
        <v>73</v>
      </c>
      <c r="B76" s="5" t="s">
        <v>3</v>
      </c>
      <c r="C76" s="2">
        <v>100</v>
      </c>
      <c r="D76" s="2">
        <v>10000</v>
      </c>
      <c r="E76" s="6">
        <f t="shared" si="1"/>
        <v>1000000</v>
      </c>
    </row>
    <row r="77" spans="1:5" ht="15" hidden="1" x14ac:dyDescent="0.45">
      <c r="A77" s="5" t="s">
        <v>73</v>
      </c>
      <c r="B77" s="5" t="s">
        <v>44</v>
      </c>
      <c r="C77" s="2">
        <v>0</v>
      </c>
      <c r="D77" s="2"/>
      <c r="E77" s="6">
        <f t="shared" si="1"/>
        <v>0</v>
      </c>
    </row>
    <row r="78" spans="1:5" ht="15" hidden="1" x14ac:dyDescent="0.45">
      <c r="A78" s="5" t="s">
        <v>108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hidden="1" x14ac:dyDescent="0.45">
      <c r="A79" s="5" t="s">
        <v>74</v>
      </c>
      <c r="B79" s="5" t="s">
        <v>32</v>
      </c>
      <c r="C79" s="2">
        <v>0</v>
      </c>
      <c r="D79" s="2"/>
      <c r="E79" s="6">
        <f t="shared" si="1"/>
        <v>0</v>
      </c>
    </row>
    <row r="80" spans="1:5" ht="15" x14ac:dyDescent="0.45">
      <c r="A80" s="5" t="s">
        <v>75</v>
      </c>
      <c r="B80" s="5" t="s">
        <v>3</v>
      </c>
      <c r="C80" s="2">
        <v>2</v>
      </c>
      <c r="D80" s="2">
        <v>14000</v>
      </c>
      <c r="E80" s="6">
        <f t="shared" si="1"/>
        <v>28000</v>
      </c>
    </row>
    <row r="81" spans="1:5" ht="15" hidden="1" x14ac:dyDescent="0.45">
      <c r="A81" s="5" t="s">
        <v>76</v>
      </c>
      <c r="B81" s="5" t="s">
        <v>27</v>
      </c>
      <c r="C81" s="2">
        <v>0</v>
      </c>
      <c r="D81" s="2"/>
      <c r="E81" s="6">
        <f t="shared" si="1"/>
        <v>0</v>
      </c>
    </row>
    <row r="82" spans="1:5" ht="15" x14ac:dyDescent="0.45">
      <c r="A82" s="5" t="s">
        <v>76</v>
      </c>
      <c r="B82" s="5" t="s">
        <v>3</v>
      </c>
      <c r="C82" s="2">
        <v>183</v>
      </c>
      <c r="D82" s="2">
        <v>80000</v>
      </c>
      <c r="E82" s="6">
        <f t="shared" si="1"/>
        <v>14640000</v>
      </c>
    </row>
    <row r="83" spans="1:5" ht="15" hidden="1" x14ac:dyDescent="0.45">
      <c r="A83" s="5" t="s">
        <v>76</v>
      </c>
      <c r="B83" s="5" t="s">
        <v>112</v>
      </c>
      <c r="C83" s="2">
        <v>0</v>
      </c>
      <c r="D83" s="2"/>
      <c r="E83" s="6">
        <f t="shared" si="1"/>
        <v>0</v>
      </c>
    </row>
    <row r="84" spans="1:5" ht="15" hidden="1" x14ac:dyDescent="0.45">
      <c r="A84" s="5" t="s">
        <v>79</v>
      </c>
      <c r="B84" s="5" t="s">
        <v>18</v>
      </c>
      <c r="C84" s="2">
        <v>0</v>
      </c>
      <c r="D84" s="2"/>
      <c r="E84" s="6">
        <f t="shared" si="1"/>
        <v>0</v>
      </c>
    </row>
    <row r="85" spans="1:5" ht="15" hidden="1" x14ac:dyDescent="0.45">
      <c r="A85" s="5" t="s">
        <v>80</v>
      </c>
      <c r="B85" s="5" t="s">
        <v>27</v>
      </c>
      <c r="C85" s="2">
        <v>0</v>
      </c>
      <c r="D85" s="2"/>
      <c r="E85" s="6">
        <f t="shared" si="1"/>
        <v>0</v>
      </c>
    </row>
    <row r="86" spans="1:5" ht="15" x14ac:dyDescent="0.45">
      <c r="A86" s="5" t="s">
        <v>80</v>
      </c>
      <c r="B86" s="5" t="s">
        <v>3</v>
      </c>
      <c r="C86" s="2">
        <v>4</v>
      </c>
      <c r="D86" s="2">
        <v>37000</v>
      </c>
      <c r="E86" s="6">
        <f t="shared" si="1"/>
        <v>148000</v>
      </c>
    </row>
    <row r="87" spans="1:5" ht="15" x14ac:dyDescent="0.45">
      <c r="A87" s="5" t="s">
        <v>81</v>
      </c>
      <c r="B87" s="5" t="s">
        <v>3</v>
      </c>
      <c r="C87" s="2">
        <v>10</v>
      </c>
      <c r="D87" s="2">
        <v>32000</v>
      </c>
      <c r="E87" s="6">
        <f t="shared" si="1"/>
        <v>320000</v>
      </c>
    </row>
    <row r="88" spans="1:5" ht="15" hidden="1" x14ac:dyDescent="0.45">
      <c r="A88" s="5" t="s">
        <v>81</v>
      </c>
      <c r="B88" s="5" t="s">
        <v>11</v>
      </c>
      <c r="C88" s="2">
        <v>0</v>
      </c>
      <c r="D88" s="2"/>
      <c r="E88" s="6">
        <f t="shared" si="1"/>
        <v>0</v>
      </c>
    </row>
    <row r="89" spans="1:5" ht="15" x14ac:dyDescent="0.45">
      <c r="A89" s="5" t="s">
        <v>82</v>
      </c>
      <c r="B89" s="5" t="s">
        <v>3</v>
      </c>
      <c r="C89" s="2">
        <v>10</v>
      </c>
      <c r="D89" s="2">
        <v>24000</v>
      </c>
      <c r="E89" s="6">
        <f t="shared" si="1"/>
        <v>240000</v>
      </c>
    </row>
    <row r="90" spans="1:5" ht="15" x14ac:dyDescent="0.45">
      <c r="A90" s="5" t="s">
        <v>83</v>
      </c>
      <c r="B90" s="5" t="s">
        <v>3</v>
      </c>
      <c r="C90" s="2">
        <v>43</v>
      </c>
      <c r="D90" s="2">
        <v>28000</v>
      </c>
      <c r="E90" s="6">
        <f t="shared" si="1"/>
        <v>1204000</v>
      </c>
    </row>
    <row r="91" spans="1:5" ht="15" hidden="1" x14ac:dyDescent="0.45">
      <c r="A91" s="5" t="s">
        <v>83</v>
      </c>
      <c r="B91" s="5" t="s">
        <v>11</v>
      </c>
      <c r="C91" s="2">
        <v>0</v>
      </c>
      <c r="D91" s="2"/>
      <c r="E91" s="6">
        <f t="shared" si="1"/>
        <v>0</v>
      </c>
    </row>
    <row r="92" spans="1:5" ht="15" x14ac:dyDescent="0.45">
      <c r="A92" s="5" t="s">
        <v>84</v>
      </c>
      <c r="B92" s="5" t="s">
        <v>3</v>
      </c>
      <c r="C92" s="2">
        <v>10</v>
      </c>
      <c r="D92" s="2">
        <v>18000</v>
      </c>
      <c r="E92" s="6">
        <f t="shared" si="1"/>
        <v>180000</v>
      </c>
    </row>
    <row r="93" spans="1:5" ht="15" x14ac:dyDescent="0.45">
      <c r="A93" s="5" t="s">
        <v>85</v>
      </c>
      <c r="B93" s="5" t="s">
        <v>3</v>
      </c>
      <c r="C93" s="2">
        <v>33</v>
      </c>
      <c r="D93" s="2">
        <v>28000</v>
      </c>
      <c r="E93" s="6">
        <f t="shared" si="1"/>
        <v>924000</v>
      </c>
    </row>
    <row r="94" spans="1:5" ht="15" hidden="1" x14ac:dyDescent="0.45">
      <c r="A94" s="5" t="s">
        <v>85</v>
      </c>
      <c r="B94" s="5" t="s">
        <v>11</v>
      </c>
      <c r="C94" s="2">
        <v>0</v>
      </c>
      <c r="D94" s="2"/>
      <c r="E94" s="6">
        <f t="shared" si="1"/>
        <v>0</v>
      </c>
    </row>
    <row r="95" spans="1:5" ht="15" x14ac:dyDescent="0.45">
      <c r="A95" s="5" t="s">
        <v>113</v>
      </c>
      <c r="B95" s="5" t="s">
        <v>3</v>
      </c>
      <c r="C95" s="2">
        <v>20</v>
      </c>
      <c r="D95" s="2">
        <v>24000</v>
      </c>
      <c r="E95" s="6">
        <f t="shared" si="1"/>
        <v>480000</v>
      </c>
    </row>
    <row r="96" spans="1:5" ht="15" x14ac:dyDescent="0.45">
      <c r="A96" s="5" t="s">
        <v>86</v>
      </c>
      <c r="B96" s="5" t="s">
        <v>32</v>
      </c>
      <c r="C96" s="2">
        <v>15</v>
      </c>
      <c r="D96" s="2">
        <v>16000</v>
      </c>
      <c r="E96" s="6">
        <f t="shared" si="1"/>
        <v>240000</v>
      </c>
    </row>
    <row r="97" spans="1:5" ht="15" x14ac:dyDescent="0.45">
      <c r="A97" s="5" t="s">
        <v>109</v>
      </c>
      <c r="B97" s="5" t="s">
        <v>3</v>
      </c>
      <c r="C97" s="2">
        <v>9</v>
      </c>
      <c r="D97" s="2">
        <v>20000</v>
      </c>
      <c r="E97" s="6">
        <f t="shared" si="1"/>
        <v>180000</v>
      </c>
    </row>
    <row r="98" spans="1:5" ht="15" hidden="1" x14ac:dyDescent="0.45">
      <c r="A98" s="5" t="s">
        <v>87</v>
      </c>
      <c r="B98" s="5" t="s">
        <v>32</v>
      </c>
      <c r="C98" s="2">
        <v>0</v>
      </c>
      <c r="D98" s="2"/>
      <c r="E98" s="6">
        <f t="shared" si="1"/>
        <v>0</v>
      </c>
    </row>
    <row r="99" spans="1:5" ht="15" x14ac:dyDescent="0.45">
      <c r="A99" s="5" t="s">
        <v>91</v>
      </c>
      <c r="B99" s="5" t="s">
        <v>3</v>
      </c>
      <c r="C99" s="2">
        <v>11</v>
      </c>
      <c r="D99" s="2">
        <v>18000</v>
      </c>
      <c r="E99" s="6">
        <f t="shared" si="1"/>
        <v>198000</v>
      </c>
    </row>
    <row r="100" spans="1:5" ht="15" hidden="1" x14ac:dyDescent="0.45">
      <c r="A100" s="5" t="s">
        <v>122</v>
      </c>
      <c r="B100" s="5" t="s">
        <v>27</v>
      </c>
      <c r="C100" s="2">
        <v>0</v>
      </c>
      <c r="D100" s="2"/>
      <c r="E100" s="6">
        <f t="shared" si="1"/>
        <v>0</v>
      </c>
    </row>
    <row r="101" spans="1:5" ht="15" x14ac:dyDescent="0.45">
      <c r="A101" s="5" t="s">
        <v>92</v>
      </c>
      <c r="B101" s="5" t="s">
        <v>3</v>
      </c>
      <c r="C101" s="2">
        <v>67</v>
      </c>
      <c r="D101" s="2">
        <v>8000</v>
      </c>
      <c r="E101" s="6">
        <f t="shared" si="1"/>
        <v>536000</v>
      </c>
    </row>
    <row r="102" spans="1:5" ht="15" x14ac:dyDescent="0.45">
      <c r="A102" s="5" t="s">
        <v>93</v>
      </c>
      <c r="B102" s="5" t="s">
        <v>3</v>
      </c>
      <c r="C102" s="2">
        <v>1</v>
      </c>
      <c r="D102" s="2">
        <v>32000</v>
      </c>
      <c r="E102" s="6">
        <f t="shared" si="1"/>
        <v>32000</v>
      </c>
    </row>
    <row r="103" spans="1:5" ht="15" hidden="1" x14ac:dyDescent="0.45">
      <c r="A103" s="5" t="s">
        <v>94</v>
      </c>
      <c r="B103" s="5" t="s">
        <v>3</v>
      </c>
      <c r="C103" s="2">
        <v>0</v>
      </c>
      <c r="D103" s="2"/>
      <c r="E103" s="6">
        <f t="shared" si="1"/>
        <v>0</v>
      </c>
    </row>
    <row r="104" spans="1:5" ht="15" hidden="1" x14ac:dyDescent="0.45">
      <c r="A104" s="5" t="s">
        <v>96</v>
      </c>
      <c r="B104" s="5" t="s">
        <v>3</v>
      </c>
      <c r="C104" s="2">
        <v>0</v>
      </c>
      <c r="D104" s="2"/>
      <c r="E104" s="6">
        <f t="shared" si="1"/>
        <v>0</v>
      </c>
    </row>
    <row r="105" spans="1:5" ht="15" hidden="1" x14ac:dyDescent="0.45">
      <c r="A105" s="5" t="s">
        <v>97</v>
      </c>
      <c r="B105" s="5" t="s">
        <v>44</v>
      </c>
      <c r="C105" s="2">
        <v>0</v>
      </c>
      <c r="D105" s="2"/>
      <c r="E105" s="6">
        <f t="shared" si="1"/>
        <v>0</v>
      </c>
    </row>
    <row r="106" spans="1:5" ht="15" hidden="1" x14ac:dyDescent="0.45">
      <c r="A106" s="5" t="s">
        <v>98</v>
      </c>
      <c r="B106" s="5" t="s">
        <v>3</v>
      </c>
      <c r="C106" s="2">
        <v>0</v>
      </c>
      <c r="D106" s="2"/>
      <c r="E106" s="6">
        <f t="shared" si="1"/>
        <v>0</v>
      </c>
    </row>
    <row r="107" spans="1:5" ht="15" hidden="1" x14ac:dyDescent="0.45">
      <c r="A107" s="5" t="s">
        <v>99</v>
      </c>
      <c r="B107" s="5" t="s">
        <v>44</v>
      </c>
      <c r="C107" s="2">
        <v>0</v>
      </c>
      <c r="D107" s="2"/>
      <c r="E107" s="6">
        <f t="shared" si="1"/>
        <v>0</v>
      </c>
    </row>
    <row r="108" spans="1:5" ht="15" hidden="1" x14ac:dyDescent="0.45">
      <c r="A108" s="5" t="s">
        <v>100</v>
      </c>
      <c r="B108" s="5" t="s">
        <v>3</v>
      </c>
      <c r="C108" s="2">
        <v>0</v>
      </c>
      <c r="D108" s="2"/>
      <c r="E108" s="6">
        <f t="shared" si="1"/>
        <v>0</v>
      </c>
    </row>
    <row r="109" spans="1:5" ht="15" hidden="1" x14ac:dyDescent="0.45">
      <c r="A109" s="5" t="s">
        <v>101</v>
      </c>
      <c r="B109" s="5" t="s">
        <v>44</v>
      </c>
      <c r="C109" s="2">
        <v>0</v>
      </c>
      <c r="D109" s="2"/>
      <c r="E109" s="6">
        <f t="shared" si="1"/>
        <v>0</v>
      </c>
    </row>
    <row r="110" spans="1:5" x14ac:dyDescent="0.45">
      <c r="E110" s="8">
        <f>SUM(E3:E102)</f>
        <v>98335000</v>
      </c>
    </row>
  </sheetData>
  <autoFilter ref="A2:E109" xr:uid="{00000000-0009-0000-0000-000006000000}">
    <filterColumn colId="2">
      <filters>
        <filter val="1"/>
        <filter val="1,250"/>
        <filter val="10"/>
        <filter val="100"/>
        <filter val="11"/>
        <filter val="121"/>
        <filter val="13"/>
        <filter val="15"/>
        <filter val="17"/>
        <filter val="183"/>
        <filter val="185"/>
        <filter val="2"/>
        <filter val="20"/>
        <filter val="204"/>
        <filter val="23"/>
        <filter val="25"/>
        <filter val="270"/>
        <filter val="3"/>
        <filter val="30"/>
        <filter val="31"/>
        <filter val="33"/>
        <filter val="35"/>
        <filter val="375"/>
        <filter val="4"/>
        <filter val="41"/>
        <filter val="43"/>
        <filter val="446"/>
        <filter val="45"/>
        <filter val="450"/>
        <filter val="455"/>
        <filter val="460"/>
        <filter val="5"/>
        <filter val="50"/>
        <filter val="55"/>
        <filter val="67"/>
        <filter val="7"/>
        <filter val="80"/>
        <filter val="9"/>
        <filter val="90"/>
        <filter val="96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116"/>
  <sheetViews>
    <sheetView workbookViewId="0">
      <selection activeCell="F10" sqref="F10"/>
    </sheetView>
  </sheetViews>
  <sheetFormatPr defaultRowHeight="14.25" x14ac:dyDescent="0.45"/>
  <cols>
    <col min="1" max="1" width="27.796875" customWidth="1"/>
    <col min="4" max="4" width="12.46484375" customWidth="1"/>
    <col min="5" max="5" width="17.06640625" customWidth="1"/>
  </cols>
  <sheetData>
    <row r="1" spans="1:5" x14ac:dyDescent="0.45">
      <c r="A1" t="s">
        <v>127</v>
      </c>
    </row>
    <row r="2" spans="1:5" ht="55.8" customHeight="1" x14ac:dyDescent="0.45">
      <c r="A2" s="1" t="s">
        <v>0</v>
      </c>
      <c r="B2" s="1" t="s">
        <v>1</v>
      </c>
      <c r="C2" s="2" t="s">
        <v>128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15</v>
      </c>
      <c r="D3" s="2">
        <v>16000</v>
      </c>
      <c r="E3" s="6">
        <f>C3*D3</f>
        <v>240000</v>
      </c>
    </row>
    <row r="4" spans="1:5" ht="15" x14ac:dyDescent="0.45">
      <c r="A4" s="5" t="s">
        <v>4</v>
      </c>
      <c r="B4" s="5" t="s">
        <v>3</v>
      </c>
      <c r="C4" s="2">
        <v>220</v>
      </c>
      <c r="D4" s="2">
        <v>7000</v>
      </c>
      <c r="E4" s="6">
        <f t="shared" ref="E4:E67" si="0">C4*D4</f>
        <v>1540000</v>
      </c>
    </row>
    <row r="5" spans="1:5" ht="15" x14ac:dyDescent="0.45">
      <c r="A5" s="5" t="s">
        <v>5</v>
      </c>
      <c r="B5" s="5" t="s">
        <v>3</v>
      </c>
      <c r="C5" s="2">
        <v>390</v>
      </c>
      <c r="D5" s="2">
        <v>4000</v>
      </c>
      <c r="E5" s="6">
        <f t="shared" si="0"/>
        <v>1560000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2"/>
      <c r="E7" s="6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820</v>
      </c>
      <c r="D8" s="2">
        <v>7000</v>
      </c>
      <c r="E8" s="6">
        <f t="shared" si="0"/>
        <v>5740000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250</v>
      </c>
      <c r="D10" s="2">
        <v>7000</v>
      </c>
      <c r="E10" s="6">
        <f t="shared" si="0"/>
        <v>1750000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12</v>
      </c>
      <c r="D12" s="2">
        <v>10000</v>
      </c>
      <c r="E12" s="6">
        <f t="shared" si="0"/>
        <v>120000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5" ht="15" x14ac:dyDescent="0.45">
      <c r="A14" s="5" t="s">
        <v>13</v>
      </c>
      <c r="B14" s="5" t="s">
        <v>3</v>
      </c>
      <c r="C14" s="2">
        <v>10</v>
      </c>
      <c r="D14" s="2">
        <v>35000</v>
      </c>
      <c r="E14" s="6">
        <f t="shared" si="0"/>
        <v>350000</v>
      </c>
    </row>
    <row r="15" spans="1:5" ht="15" hidden="1" x14ac:dyDescent="0.45">
      <c r="A15" s="5" t="s">
        <v>116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14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15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17</v>
      </c>
      <c r="B19" s="5" t="s">
        <v>18</v>
      </c>
      <c r="C19" s="2">
        <v>0</v>
      </c>
      <c r="D19" s="2"/>
      <c r="E19" s="6">
        <f t="shared" si="0"/>
        <v>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2"/>
      <c r="E20" s="6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80</v>
      </c>
      <c r="D21" s="2">
        <v>15000</v>
      </c>
      <c r="E21" s="6">
        <f t="shared" si="0"/>
        <v>1200000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2"/>
      <c r="E22" s="6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30</v>
      </c>
      <c r="D23" s="2">
        <v>14000</v>
      </c>
      <c r="E23" s="6">
        <f t="shared" si="0"/>
        <v>420000</v>
      </c>
    </row>
    <row r="24" spans="1:5" ht="15" x14ac:dyDescent="0.45">
      <c r="A24" s="5" t="s">
        <v>22</v>
      </c>
      <c r="B24" s="5" t="s">
        <v>23</v>
      </c>
      <c r="C24" s="2">
        <v>70</v>
      </c>
      <c r="D24" s="2">
        <v>5500</v>
      </c>
      <c r="E24" s="6">
        <f t="shared" si="0"/>
        <v>385000</v>
      </c>
    </row>
    <row r="25" spans="1:5" ht="15" x14ac:dyDescent="0.45">
      <c r="A25" s="5" t="s">
        <v>24</v>
      </c>
      <c r="B25" s="5" t="s">
        <v>27</v>
      </c>
      <c r="C25" s="2">
        <v>48</v>
      </c>
      <c r="D25" s="2">
        <v>4500</v>
      </c>
      <c r="E25" s="6">
        <f t="shared" si="0"/>
        <v>216000</v>
      </c>
    </row>
    <row r="26" spans="1:5" ht="15" x14ac:dyDescent="0.45">
      <c r="A26" s="5" t="s">
        <v>24</v>
      </c>
      <c r="B26" s="5" t="s">
        <v>3</v>
      </c>
      <c r="C26" s="2">
        <v>5</v>
      </c>
      <c r="D26" s="2">
        <v>15000</v>
      </c>
      <c r="E26" s="6">
        <f t="shared" si="0"/>
        <v>75000</v>
      </c>
    </row>
    <row r="27" spans="1:5" ht="15" hidden="1" x14ac:dyDescent="0.45">
      <c r="A27" s="5" t="s">
        <v>24</v>
      </c>
      <c r="B27" s="5" t="s">
        <v>25</v>
      </c>
      <c r="C27" s="2">
        <v>0</v>
      </c>
      <c r="D27" s="2"/>
      <c r="E27" s="6">
        <f t="shared" si="0"/>
        <v>0</v>
      </c>
    </row>
    <row r="28" spans="1:5" ht="15" x14ac:dyDescent="0.45">
      <c r="A28" s="5" t="s">
        <v>26</v>
      </c>
      <c r="B28" s="5" t="s">
        <v>27</v>
      </c>
      <c r="C28" s="2">
        <v>20</v>
      </c>
      <c r="D28" s="2">
        <v>10500</v>
      </c>
      <c r="E28" s="6">
        <f t="shared" si="0"/>
        <v>210000</v>
      </c>
    </row>
    <row r="29" spans="1:5" ht="15" hidden="1" x14ac:dyDescent="0.45">
      <c r="A29" s="5" t="s">
        <v>28</v>
      </c>
      <c r="B29" s="5" t="s">
        <v>3</v>
      </c>
      <c r="C29" s="2">
        <v>0</v>
      </c>
      <c r="D29" s="2"/>
      <c r="E29" s="6">
        <f t="shared" si="0"/>
        <v>0</v>
      </c>
    </row>
    <row r="30" spans="1:5" ht="15" hidden="1" x14ac:dyDescent="0.45">
      <c r="A30" s="5" t="s">
        <v>28</v>
      </c>
      <c r="B30" s="5" t="s">
        <v>29</v>
      </c>
      <c r="C30" s="2">
        <v>0</v>
      </c>
      <c r="D30" s="2"/>
      <c r="E30" s="6">
        <f t="shared" si="0"/>
        <v>0</v>
      </c>
    </row>
    <row r="31" spans="1:5" ht="15" x14ac:dyDescent="0.45">
      <c r="A31" s="5" t="s">
        <v>30</v>
      </c>
      <c r="B31" s="5" t="s">
        <v>3</v>
      </c>
      <c r="C31" s="2">
        <v>130</v>
      </c>
      <c r="D31" s="2">
        <v>10500</v>
      </c>
      <c r="E31" s="6">
        <f t="shared" si="0"/>
        <v>1365000</v>
      </c>
    </row>
    <row r="32" spans="1:5" ht="15" hidden="1" x14ac:dyDescent="0.45">
      <c r="A32" s="5" t="s">
        <v>30</v>
      </c>
      <c r="B32" s="5" t="s">
        <v>18</v>
      </c>
      <c r="C32" s="2">
        <v>0</v>
      </c>
      <c r="D32" s="2"/>
      <c r="E32" s="6">
        <f t="shared" si="0"/>
        <v>0</v>
      </c>
    </row>
    <row r="33" spans="1:5" ht="15" hidden="1" x14ac:dyDescent="0.45">
      <c r="A33" s="5" t="s">
        <v>31</v>
      </c>
      <c r="B33" s="5" t="s">
        <v>32</v>
      </c>
      <c r="C33" s="2">
        <v>0</v>
      </c>
      <c r="D33" s="2"/>
      <c r="E33" s="6">
        <f t="shared" si="0"/>
        <v>0</v>
      </c>
    </row>
    <row r="34" spans="1:5" ht="15" x14ac:dyDescent="0.45">
      <c r="A34" s="5" t="s">
        <v>33</v>
      </c>
      <c r="B34" s="5" t="s">
        <v>3</v>
      </c>
      <c r="C34" s="2">
        <v>185</v>
      </c>
      <c r="D34" s="2">
        <v>11000</v>
      </c>
      <c r="E34" s="6">
        <f t="shared" si="0"/>
        <v>2035000</v>
      </c>
    </row>
    <row r="35" spans="1:5" ht="15" hidden="1" x14ac:dyDescent="0.45">
      <c r="A35" s="5" t="s">
        <v>33</v>
      </c>
      <c r="B35" s="5" t="s">
        <v>32</v>
      </c>
      <c r="C35" s="2">
        <v>0</v>
      </c>
      <c r="D35" s="2"/>
      <c r="E35" s="6">
        <f t="shared" si="0"/>
        <v>0</v>
      </c>
    </row>
    <row r="36" spans="1:5" ht="15" hidden="1" x14ac:dyDescent="0.45">
      <c r="A36" s="5" t="s">
        <v>34</v>
      </c>
      <c r="B36" s="5" t="s">
        <v>3</v>
      </c>
      <c r="C36" s="2">
        <v>0</v>
      </c>
      <c r="D36" s="2"/>
      <c r="E36" s="6">
        <f t="shared" si="0"/>
        <v>0</v>
      </c>
    </row>
    <row r="37" spans="1:5" ht="15" x14ac:dyDescent="0.45">
      <c r="A37" s="5" t="s">
        <v>34</v>
      </c>
      <c r="B37" s="5" t="s">
        <v>18</v>
      </c>
      <c r="C37" s="2">
        <v>7</v>
      </c>
      <c r="D37" s="2">
        <v>5500</v>
      </c>
      <c r="E37" s="6">
        <f t="shared" si="0"/>
        <v>38500</v>
      </c>
    </row>
    <row r="38" spans="1:5" ht="15" x14ac:dyDescent="0.45">
      <c r="A38" s="5" t="s">
        <v>35</v>
      </c>
      <c r="B38" s="5" t="s">
        <v>3</v>
      </c>
      <c r="C38" s="2">
        <v>8</v>
      </c>
      <c r="D38" s="2">
        <v>8000</v>
      </c>
      <c r="E38" s="6">
        <f t="shared" si="0"/>
        <v>64000</v>
      </c>
    </row>
    <row r="39" spans="1:5" ht="15" hidden="1" x14ac:dyDescent="0.45">
      <c r="A39" s="5" t="s">
        <v>35</v>
      </c>
      <c r="B39" s="5" t="s">
        <v>36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37</v>
      </c>
      <c r="B40" s="5" t="s">
        <v>3</v>
      </c>
      <c r="C40" s="2">
        <v>8</v>
      </c>
      <c r="D40" s="2">
        <v>17000</v>
      </c>
      <c r="E40" s="6">
        <f t="shared" si="0"/>
        <v>136000</v>
      </c>
    </row>
    <row r="41" spans="1:5" ht="15" hidden="1" x14ac:dyDescent="0.45">
      <c r="A41" s="5" t="s">
        <v>37</v>
      </c>
      <c r="B41" s="5" t="s">
        <v>32</v>
      </c>
      <c r="C41" s="2">
        <v>0</v>
      </c>
      <c r="D41" s="2"/>
      <c r="E41" s="6">
        <f t="shared" si="0"/>
        <v>0</v>
      </c>
    </row>
    <row r="42" spans="1:5" ht="15" hidden="1" x14ac:dyDescent="0.45">
      <c r="A42" s="5" t="s">
        <v>38</v>
      </c>
      <c r="B42" s="5" t="s">
        <v>3</v>
      </c>
      <c r="C42" s="2">
        <v>0</v>
      </c>
      <c r="D42" s="2"/>
      <c r="E42" s="6">
        <f t="shared" si="0"/>
        <v>0</v>
      </c>
    </row>
    <row r="43" spans="1:5" ht="15" x14ac:dyDescent="0.45">
      <c r="A43" s="5" t="s">
        <v>38</v>
      </c>
      <c r="B43" s="5" t="s">
        <v>32</v>
      </c>
      <c r="C43" s="2">
        <v>3</v>
      </c>
      <c r="D43" s="2">
        <v>3000</v>
      </c>
      <c r="E43" s="6">
        <f t="shared" si="0"/>
        <v>9000</v>
      </c>
    </row>
    <row r="44" spans="1:5" ht="15" hidden="1" x14ac:dyDescent="0.45">
      <c r="A44" s="5" t="s">
        <v>39</v>
      </c>
      <c r="B44" s="5" t="s">
        <v>32</v>
      </c>
      <c r="C44" s="2">
        <v>0</v>
      </c>
      <c r="D44" s="2"/>
      <c r="E44" s="6">
        <f t="shared" si="0"/>
        <v>0</v>
      </c>
    </row>
    <row r="45" spans="1:5" ht="15" x14ac:dyDescent="0.45">
      <c r="A45" s="5" t="s">
        <v>40</v>
      </c>
      <c r="B45" s="5" t="s">
        <v>3</v>
      </c>
      <c r="C45" s="2">
        <v>210</v>
      </c>
      <c r="D45" s="2">
        <v>4500</v>
      </c>
      <c r="E45" s="6">
        <f t="shared" si="0"/>
        <v>945000</v>
      </c>
    </row>
    <row r="46" spans="1:5" ht="15" x14ac:dyDescent="0.45">
      <c r="A46" s="5" t="s">
        <v>41</v>
      </c>
      <c r="B46" s="5" t="s">
        <v>3</v>
      </c>
      <c r="C46" s="2">
        <v>3</v>
      </c>
      <c r="D46" s="2">
        <v>16000</v>
      </c>
      <c r="E46" s="6">
        <f t="shared" si="0"/>
        <v>48000</v>
      </c>
    </row>
    <row r="47" spans="1:5" ht="15" hidden="1" x14ac:dyDescent="0.45">
      <c r="A47" s="5" t="s">
        <v>42</v>
      </c>
      <c r="B47" s="5" t="s">
        <v>3</v>
      </c>
      <c r="C47" s="2">
        <v>0</v>
      </c>
      <c r="D47" s="2"/>
      <c r="E47" s="6">
        <f t="shared" si="0"/>
        <v>0</v>
      </c>
    </row>
    <row r="48" spans="1:5" ht="15" x14ac:dyDescent="0.45">
      <c r="A48" s="5" t="s">
        <v>43</v>
      </c>
      <c r="B48" s="5" t="s">
        <v>3</v>
      </c>
      <c r="C48" s="2">
        <v>12</v>
      </c>
      <c r="D48" s="2">
        <v>12000</v>
      </c>
      <c r="E48" s="6">
        <f t="shared" si="0"/>
        <v>144000</v>
      </c>
    </row>
    <row r="49" spans="1:5" ht="15" hidden="1" x14ac:dyDescent="0.45">
      <c r="A49" s="5" t="s">
        <v>43</v>
      </c>
      <c r="B49" s="5" t="s">
        <v>44</v>
      </c>
      <c r="C49" s="2">
        <v>0</v>
      </c>
      <c r="D49" s="2"/>
      <c r="E49" s="6">
        <f t="shared" si="0"/>
        <v>0</v>
      </c>
    </row>
    <row r="50" spans="1:5" ht="15" x14ac:dyDescent="0.45">
      <c r="A50" s="5" t="s">
        <v>45</v>
      </c>
      <c r="B50" s="5" t="s">
        <v>3</v>
      </c>
      <c r="C50" s="2">
        <v>0.5</v>
      </c>
      <c r="D50" s="2">
        <v>37000</v>
      </c>
      <c r="E50" s="6">
        <f t="shared" si="0"/>
        <v>18500</v>
      </c>
    </row>
    <row r="51" spans="1:5" ht="15" hidden="1" x14ac:dyDescent="0.45">
      <c r="A51" s="5" t="s">
        <v>46</v>
      </c>
      <c r="B51" s="5" t="s">
        <v>3</v>
      </c>
      <c r="C51" s="2">
        <v>0</v>
      </c>
      <c r="D51" s="2"/>
      <c r="E51" s="6">
        <f t="shared" si="0"/>
        <v>0</v>
      </c>
    </row>
    <row r="52" spans="1:5" ht="15" x14ac:dyDescent="0.45">
      <c r="A52" s="5" t="s">
        <v>47</v>
      </c>
      <c r="B52" s="5" t="s">
        <v>27</v>
      </c>
      <c r="C52" s="2">
        <v>5</v>
      </c>
      <c r="D52" s="2">
        <v>10000</v>
      </c>
      <c r="E52" s="6">
        <f t="shared" si="0"/>
        <v>50000</v>
      </c>
    </row>
    <row r="53" spans="1:5" ht="15" hidden="1" x14ac:dyDescent="0.45">
      <c r="A53" s="5" t="s">
        <v>47</v>
      </c>
      <c r="B53" s="5" t="s">
        <v>3</v>
      </c>
      <c r="C53" s="2">
        <v>0</v>
      </c>
      <c r="D53" s="2"/>
      <c r="E53" s="6">
        <f t="shared" si="0"/>
        <v>0</v>
      </c>
    </row>
    <row r="54" spans="1:5" ht="15" hidden="1" x14ac:dyDescent="0.45">
      <c r="A54" s="5" t="s">
        <v>48</v>
      </c>
      <c r="B54" s="5" t="s">
        <v>3</v>
      </c>
      <c r="C54" s="2">
        <v>0</v>
      </c>
      <c r="D54" s="2"/>
      <c r="E54" s="6">
        <f t="shared" si="0"/>
        <v>0</v>
      </c>
    </row>
    <row r="55" spans="1:5" ht="15" x14ac:dyDescent="0.45">
      <c r="A55" s="5" t="s">
        <v>49</v>
      </c>
      <c r="B55" s="5" t="s">
        <v>3</v>
      </c>
      <c r="C55" s="2">
        <v>30</v>
      </c>
      <c r="D55" s="2">
        <v>8000</v>
      </c>
      <c r="E55" s="6">
        <f t="shared" si="0"/>
        <v>240000</v>
      </c>
    </row>
    <row r="56" spans="1:5" ht="15" hidden="1" x14ac:dyDescent="0.45">
      <c r="A56" s="5" t="s">
        <v>49</v>
      </c>
      <c r="B56" s="5" t="s">
        <v>32</v>
      </c>
      <c r="C56" s="2">
        <v>0</v>
      </c>
      <c r="D56" s="2"/>
      <c r="E56" s="6">
        <f t="shared" si="0"/>
        <v>0</v>
      </c>
    </row>
    <row r="57" spans="1:5" ht="15" x14ac:dyDescent="0.45">
      <c r="A57" s="5" t="s">
        <v>50</v>
      </c>
      <c r="B57" s="5" t="s">
        <v>3</v>
      </c>
      <c r="C57" s="2">
        <v>9</v>
      </c>
      <c r="D57" s="2">
        <v>21000</v>
      </c>
      <c r="E57" s="6">
        <f t="shared" si="0"/>
        <v>189000</v>
      </c>
    </row>
    <row r="58" spans="1:5" ht="15" x14ac:dyDescent="0.45">
      <c r="A58" s="5" t="s">
        <v>51</v>
      </c>
      <c r="B58" s="5" t="s">
        <v>3</v>
      </c>
      <c r="C58" s="2">
        <v>305</v>
      </c>
      <c r="D58" s="2">
        <v>5500</v>
      </c>
      <c r="E58" s="6">
        <f t="shared" si="0"/>
        <v>1677500</v>
      </c>
    </row>
    <row r="59" spans="1:5" ht="15" hidden="1" x14ac:dyDescent="0.45">
      <c r="A59" s="5" t="s">
        <v>51</v>
      </c>
      <c r="B59" s="5" t="s">
        <v>52</v>
      </c>
      <c r="C59" s="2">
        <v>0</v>
      </c>
      <c r="D59" s="2"/>
      <c r="E59" s="6">
        <f t="shared" si="0"/>
        <v>0</v>
      </c>
    </row>
    <row r="60" spans="1:5" ht="15" x14ac:dyDescent="0.45">
      <c r="A60" s="5" t="s">
        <v>53</v>
      </c>
      <c r="B60" s="5" t="s">
        <v>3</v>
      </c>
      <c r="C60" s="2">
        <v>3</v>
      </c>
      <c r="D60" s="2">
        <v>20000</v>
      </c>
      <c r="E60" s="6">
        <f t="shared" si="0"/>
        <v>60000</v>
      </c>
    </row>
    <row r="61" spans="1:5" ht="15" x14ac:dyDescent="0.45">
      <c r="A61" s="5" t="s">
        <v>54</v>
      </c>
      <c r="B61" s="5" t="s">
        <v>32</v>
      </c>
      <c r="C61" s="2">
        <v>200</v>
      </c>
      <c r="D61" s="2">
        <v>1350</v>
      </c>
      <c r="E61" s="6">
        <f t="shared" si="0"/>
        <v>270000</v>
      </c>
    </row>
    <row r="62" spans="1:5" ht="15" x14ac:dyDescent="0.45">
      <c r="A62" s="5" t="s">
        <v>55</v>
      </c>
      <c r="B62" s="5" t="s">
        <v>3</v>
      </c>
      <c r="C62" s="2">
        <v>2100</v>
      </c>
      <c r="D62" s="2">
        <v>26000</v>
      </c>
      <c r="E62" s="6">
        <f t="shared" si="0"/>
        <v>54600000</v>
      </c>
    </row>
    <row r="63" spans="1:5" ht="15" x14ac:dyDescent="0.45">
      <c r="A63" s="5" t="s">
        <v>56</v>
      </c>
      <c r="B63" s="5" t="s">
        <v>3</v>
      </c>
      <c r="C63" s="2">
        <v>690</v>
      </c>
      <c r="D63" s="2">
        <v>26000</v>
      </c>
      <c r="E63" s="6">
        <f t="shared" si="0"/>
        <v>17940000</v>
      </c>
    </row>
    <row r="64" spans="1:5" ht="15" hidden="1" x14ac:dyDescent="0.45">
      <c r="A64" s="5" t="s">
        <v>56</v>
      </c>
      <c r="B64" s="5" t="s">
        <v>32</v>
      </c>
      <c r="C64" s="2">
        <v>0</v>
      </c>
      <c r="D64" s="2"/>
      <c r="E64" s="6">
        <f t="shared" si="0"/>
        <v>0</v>
      </c>
    </row>
    <row r="65" spans="1:5" ht="15" x14ac:dyDescent="0.45">
      <c r="A65" s="5" t="s">
        <v>57</v>
      </c>
      <c r="B65" s="5" t="s">
        <v>3</v>
      </c>
      <c r="C65" s="2">
        <v>60</v>
      </c>
      <c r="D65" s="2">
        <v>17000</v>
      </c>
      <c r="E65" s="6">
        <f t="shared" si="0"/>
        <v>1020000</v>
      </c>
    </row>
    <row r="66" spans="1:5" ht="15" hidden="1" x14ac:dyDescent="0.45">
      <c r="A66" s="5" t="s">
        <v>59</v>
      </c>
      <c r="B66" s="5" t="s">
        <v>32</v>
      </c>
      <c r="C66" s="2">
        <v>0</v>
      </c>
      <c r="D66" s="2"/>
      <c r="E66" s="6">
        <f t="shared" si="0"/>
        <v>0</v>
      </c>
    </row>
    <row r="67" spans="1:5" ht="15" x14ac:dyDescent="0.45">
      <c r="A67" s="5" t="s">
        <v>61</v>
      </c>
      <c r="B67" s="5" t="s">
        <v>3</v>
      </c>
      <c r="C67" s="2">
        <v>500</v>
      </c>
      <c r="D67" s="2">
        <v>11500</v>
      </c>
      <c r="E67" s="6">
        <f t="shared" si="0"/>
        <v>5750000</v>
      </c>
    </row>
    <row r="68" spans="1:5" ht="15" hidden="1" x14ac:dyDescent="0.45">
      <c r="A68" s="5" t="s">
        <v>61</v>
      </c>
      <c r="B68" s="5" t="s">
        <v>32</v>
      </c>
      <c r="C68" s="2">
        <v>0</v>
      </c>
      <c r="D68" s="2"/>
      <c r="E68" s="6">
        <f t="shared" ref="E68:E115" si="1">C68*D68</f>
        <v>0</v>
      </c>
    </row>
    <row r="69" spans="1:5" ht="15" hidden="1" x14ac:dyDescent="0.45">
      <c r="A69" s="5" t="s">
        <v>62</v>
      </c>
      <c r="B69" s="5" t="s">
        <v>32</v>
      </c>
      <c r="C69" s="2">
        <v>0</v>
      </c>
      <c r="D69" s="2"/>
      <c r="E69" s="6">
        <f t="shared" si="1"/>
        <v>0</v>
      </c>
    </row>
    <row r="70" spans="1:5" ht="15" hidden="1" x14ac:dyDescent="0.45">
      <c r="A70" s="5" t="s">
        <v>63</v>
      </c>
      <c r="B70" s="5" t="s">
        <v>3</v>
      </c>
      <c r="C70" s="2">
        <v>0</v>
      </c>
      <c r="D70" s="2"/>
      <c r="E70" s="6">
        <f t="shared" si="1"/>
        <v>0</v>
      </c>
    </row>
    <row r="71" spans="1:5" ht="15" x14ac:dyDescent="0.45">
      <c r="A71" s="5" t="s">
        <v>64</v>
      </c>
      <c r="B71" s="5" t="s">
        <v>32</v>
      </c>
      <c r="C71" s="2">
        <v>3</v>
      </c>
      <c r="D71" s="2">
        <v>6000</v>
      </c>
      <c r="E71" s="6">
        <f t="shared" si="1"/>
        <v>18000</v>
      </c>
    </row>
    <row r="72" spans="1:5" ht="15" hidden="1" x14ac:dyDescent="0.45">
      <c r="A72" s="5" t="s">
        <v>65</v>
      </c>
      <c r="B72" s="5" t="s">
        <v>3</v>
      </c>
      <c r="C72" s="2">
        <v>0</v>
      </c>
      <c r="D72" s="2"/>
      <c r="E72" s="6">
        <f t="shared" si="1"/>
        <v>0</v>
      </c>
    </row>
    <row r="73" spans="1:5" ht="15" hidden="1" x14ac:dyDescent="0.45">
      <c r="A73" s="5" t="s">
        <v>65</v>
      </c>
      <c r="B73" s="5" t="s">
        <v>32</v>
      </c>
      <c r="C73" s="2">
        <v>0</v>
      </c>
      <c r="D73" s="2"/>
      <c r="E73" s="6">
        <f t="shared" si="1"/>
        <v>0</v>
      </c>
    </row>
    <row r="74" spans="1:5" ht="15" hidden="1" x14ac:dyDescent="0.45">
      <c r="A74" s="5" t="s">
        <v>66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hidden="1" x14ac:dyDescent="0.45">
      <c r="A75" s="5" t="s">
        <v>68</v>
      </c>
      <c r="B75" s="5" t="s">
        <v>3</v>
      </c>
      <c r="C75" s="2">
        <v>0</v>
      </c>
      <c r="D75" s="2"/>
      <c r="E75" s="6">
        <f t="shared" si="1"/>
        <v>0</v>
      </c>
    </row>
    <row r="76" spans="1:5" ht="15" hidden="1" x14ac:dyDescent="0.45">
      <c r="A76" s="5" t="s">
        <v>69</v>
      </c>
      <c r="B76" s="5" t="s">
        <v>3</v>
      </c>
      <c r="C76" s="2">
        <v>0</v>
      </c>
      <c r="D76" s="2"/>
      <c r="E76" s="6">
        <f t="shared" si="1"/>
        <v>0</v>
      </c>
    </row>
    <row r="77" spans="1:5" ht="15" hidden="1" x14ac:dyDescent="0.45">
      <c r="A77" s="5" t="s">
        <v>111</v>
      </c>
      <c r="B77" s="5" t="s">
        <v>32</v>
      </c>
      <c r="C77" s="2">
        <v>0</v>
      </c>
      <c r="D77" s="2"/>
      <c r="E77" s="6">
        <f t="shared" si="1"/>
        <v>0</v>
      </c>
    </row>
    <row r="78" spans="1:5" ht="15" hidden="1" x14ac:dyDescent="0.45">
      <c r="A78" s="5" t="s">
        <v>70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x14ac:dyDescent="0.45">
      <c r="A79" s="5" t="s">
        <v>70</v>
      </c>
      <c r="B79" s="5" t="s">
        <v>18</v>
      </c>
      <c r="C79" s="2">
        <v>413</v>
      </c>
      <c r="D79" s="2">
        <v>6500</v>
      </c>
      <c r="E79" s="6">
        <f t="shared" si="1"/>
        <v>2684500</v>
      </c>
    </row>
    <row r="80" spans="1:5" ht="15" x14ac:dyDescent="0.45">
      <c r="A80" s="5" t="s">
        <v>71</v>
      </c>
      <c r="B80" s="5" t="s">
        <v>3</v>
      </c>
      <c r="C80" s="2">
        <v>3</v>
      </c>
      <c r="D80" s="2">
        <v>16000</v>
      </c>
      <c r="E80" s="6">
        <f t="shared" si="1"/>
        <v>48000</v>
      </c>
    </row>
    <row r="81" spans="1:5" ht="15" x14ac:dyDescent="0.45">
      <c r="A81" s="5" t="s">
        <v>72</v>
      </c>
      <c r="B81" s="5" t="s">
        <v>3</v>
      </c>
      <c r="C81" s="2">
        <v>20</v>
      </c>
      <c r="D81" s="2">
        <v>14000</v>
      </c>
      <c r="E81" s="6">
        <f t="shared" si="1"/>
        <v>280000</v>
      </c>
    </row>
    <row r="82" spans="1:5" ht="15" x14ac:dyDescent="0.45">
      <c r="A82" s="5" t="s">
        <v>73</v>
      </c>
      <c r="B82" s="5" t="s">
        <v>3</v>
      </c>
      <c r="C82" s="2">
        <v>15</v>
      </c>
      <c r="D82" s="2">
        <v>10000</v>
      </c>
      <c r="E82" s="6">
        <f t="shared" si="1"/>
        <v>150000</v>
      </c>
    </row>
    <row r="83" spans="1:5" ht="15" hidden="1" x14ac:dyDescent="0.45">
      <c r="A83" s="5" t="s">
        <v>73</v>
      </c>
      <c r="B83" s="5" t="s">
        <v>44</v>
      </c>
      <c r="C83" s="2">
        <v>0</v>
      </c>
      <c r="D83" s="2"/>
      <c r="E83" s="6">
        <f t="shared" si="1"/>
        <v>0</v>
      </c>
    </row>
    <row r="84" spans="1:5" ht="15" hidden="1" x14ac:dyDescent="0.45">
      <c r="A84" s="5" t="s">
        <v>74</v>
      </c>
      <c r="B84" s="5" t="s">
        <v>32</v>
      </c>
      <c r="C84" s="2">
        <v>0</v>
      </c>
      <c r="D84" s="2"/>
      <c r="E84" s="6">
        <f t="shared" si="1"/>
        <v>0</v>
      </c>
    </row>
    <row r="85" spans="1:5" ht="15" hidden="1" x14ac:dyDescent="0.45">
      <c r="A85" s="5" t="s">
        <v>75</v>
      </c>
      <c r="B85" s="5" t="s">
        <v>3</v>
      </c>
      <c r="C85" s="2">
        <v>0</v>
      </c>
      <c r="D85" s="2"/>
      <c r="E85" s="6">
        <f t="shared" si="1"/>
        <v>0</v>
      </c>
    </row>
    <row r="86" spans="1:5" ht="15" x14ac:dyDescent="0.45">
      <c r="A86" s="5" t="s">
        <v>76</v>
      </c>
      <c r="B86" s="5" t="s">
        <v>27</v>
      </c>
      <c r="C86" s="2">
        <v>295</v>
      </c>
      <c r="D86" s="2">
        <v>39000</v>
      </c>
      <c r="E86" s="6">
        <f t="shared" si="1"/>
        <v>11505000</v>
      </c>
    </row>
    <row r="87" spans="1:5" ht="15" x14ac:dyDescent="0.45">
      <c r="A87" s="5" t="s">
        <v>76</v>
      </c>
      <c r="B87" s="5" t="s">
        <v>3</v>
      </c>
      <c r="C87" s="2">
        <v>313</v>
      </c>
      <c r="D87" s="11">
        <v>59000</v>
      </c>
      <c r="E87" s="6">
        <f t="shared" si="1"/>
        <v>18467000</v>
      </c>
    </row>
    <row r="88" spans="1:5" ht="15" hidden="1" x14ac:dyDescent="0.45">
      <c r="A88" s="5" t="s">
        <v>76</v>
      </c>
      <c r="B88" s="5" t="s">
        <v>112</v>
      </c>
      <c r="C88" s="2">
        <v>0</v>
      </c>
      <c r="D88" s="2"/>
      <c r="E88" s="6">
        <f t="shared" si="1"/>
        <v>0</v>
      </c>
    </row>
    <row r="89" spans="1:5" ht="15" hidden="1" x14ac:dyDescent="0.45">
      <c r="A89" s="5" t="s">
        <v>79</v>
      </c>
      <c r="B89" s="5" t="s">
        <v>18</v>
      </c>
      <c r="C89" s="2">
        <v>0</v>
      </c>
      <c r="D89" s="2"/>
      <c r="E89" s="6">
        <f t="shared" si="1"/>
        <v>0</v>
      </c>
    </row>
    <row r="90" spans="1:5" ht="15" hidden="1" x14ac:dyDescent="0.45">
      <c r="A90" s="5" t="s">
        <v>80</v>
      </c>
      <c r="B90" s="5" t="s">
        <v>27</v>
      </c>
      <c r="C90" s="2">
        <v>0</v>
      </c>
      <c r="D90" s="2"/>
      <c r="E90" s="6">
        <f t="shared" si="1"/>
        <v>0</v>
      </c>
    </row>
    <row r="91" spans="1:5" ht="15" x14ac:dyDescent="0.45">
      <c r="A91" s="5" t="s">
        <v>80</v>
      </c>
      <c r="B91" s="5" t="s">
        <v>3</v>
      </c>
      <c r="C91" s="2">
        <v>4</v>
      </c>
      <c r="D91" s="2">
        <v>37000</v>
      </c>
      <c r="E91" s="6">
        <f t="shared" si="1"/>
        <v>148000</v>
      </c>
    </row>
    <row r="92" spans="1:5" ht="15" x14ac:dyDescent="0.45">
      <c r="A92" s="5" t="s">
        <v>81</v>
      </c>
      <c r="B92" s="5" t="s">
        <v>3</v>
      </c>
      <c r="C92" s="2">
        <v>75</v>
      </c>
      <c r="D92" s="2">
        <v>32000</v>
      </c>
      <c r="E92" s="6">
        <f t="shared" si="1"/>
        <v>2400000</v>
      </c>
    </row>
    <row r="93" spans="1:5" ht="15" hidden="1" x14ac:dyDescent="0.45">
      <c r="A93" s="5" t="s">
        <v>81</v>
      </c>
      <c r="B93" s="5" t="s">
        <v>11</v>
      </c>
      <c r="C93" s="2">
        <v>0</v>
      </c>
      <c r="D93" s="2"/>
      <c r="E93" s="6">
        <f t="shared" si="1"/>
        <v>0</v>
      </c>
    </row>
    <row r="94" spans="1:5" ht="15" x14ac:dyDescent="0.45">
      <c r="A94" s="5" t="s">
        <v>82</v>
      </c>
      <c r="B94" s="5" t="s">
        <v>3</v>
      </c>
      <c r="C94" s="2">
        <v>5</v>
      </c>
      <c r="D94" s="2">
        <v>25000</v>
      </c>
      <c r="E94" s="6">
        <f t="shared" si="1"/>
        <v>125000</v>
      </c>
    </row>
    <row r="95" spans="1:5" ht="15" x14ac:dyDescent="0.45">
      <c r="A95" s="5" t="s">
        <v>83</v>
      </c>
      <c r="B95" s="5" t="s">
        <v>3</v>
      </c>
      <c r="C95" s="2">
        <v>5</v>
      </c>
      <c r="D95" s="2">
        <v>28000</v>
      </c>
      <c r="E95" s="6">
        <f t="shared" si="1"/>
        <v>140000</v>
      </c>
    </row>
    <row r="96" spans="1:5" ht="15" hidden="1" x14ac:dyDescent="0.45">
      <c r="A96" s="5" t="s">
        <v>83</v>
      </c>
      <c r="B96" s="5" t="s">
        <v>11</v>
      </c>
      <c r="C96" s="2">
        <v>0</v>
      </c>
      <c r="D96" s="2"/>
      <c r="E96" s="6">
        <f t="shared" si="1"/>
        <v>0</v>
      </c>
    </row>
    <row r="97" spans="1:5" ht="15" x14ac:dyDescent="0.45">
      <c r="A97" s="5" t="s">
        <v>84</v>
      </c>
      <c r="B97" s="5" t="s">
        <v>3</v>
      </c>
      <c r="C97" s="2">
        <v>5</v>
      </c>
      <c r="D97" s="2">
        <v>20000</v>
      </c>
      <c r="E97" s="6">
        <f t="shared" si="1"/>
        <v>100000</v>
      </c>
    </row>
    <row r="98" spans="1:5" ht="15" x14ac:dyDescent="0.45">
      <c r="A98" s="5" t="s">
        <v>85</v>
      </c>
      <c r="B98" s="5" t="s">
        <v>3</v>
      </c>
      <c r="C98" s="2">
        <v>8</v>
      </c>
      <c r="D98" s="2">
        <v>25000</v>
      </c>
      <c r="E98" s="6">
        <f t="shared" si="1"/>
        <v>200000</v>
      </c>
    </row>
    <row r="99" spans="1:5" ht="15" hidden="1" x14ac:dyDescent="0.45">
      <c r="A99" s="5" t="s">
        <v>85</v>
      </c>
      <c r="B99" s="5" t="s">
        <v>11</v>
      </c>
      <c r="C99" s="2">
        <v>0</v>
      </c>
      <c r="D99" s="2"/>
      <c r="E99" s="6">
        <f t="shared" si="1"/>
        <v>0</v>
      </c>
    </row>
    <row r="100" spans="1:5" ht="15" x14ac:dyDescent="0.45">
      <c r="A100" s="5" t="s">
        <v>113</v>
      </c>
      <c r="B100" s="5" t="s">
        <v>3</v>
      </c>
      <c r="C100" s="2">
        <v>18</v>
      </c>
      <c r="D100" s="2">
        <v>20000</v>
      </c>
      <c r="E100" s="6">
        <f t="shared" si="1"/>
        <v>360000</v>
      </c>
    </row>
    <row r="101" spans="1:5" ht="15" x14ac:dyDescent="0.45">
      <c r="A101" s="5" t="s">
        <v>86</v>
      </c>
      <c r="B101" s="5" t="s">
        <v>32</v>
      </c>
      <c r="C101" s="2">
        <v>75</v>
      </c>
      <c r="D101" s="2">
        <v>16000</v>
      </c>
      <c r="E101" s="6">
        <f t="shared" si="1"/>
        <v>1200000</v>
      </c>
    </row>
    <row r="102" spans="1:5" ht="15" x14ac:dyDescent="0.45">
      <c r="A102" s="5" t="s">
        <v>109</v>
      </c>
      <c r="B102" s="5" t="s">
        <v>3</v>
      </c>
      <c r="C102" s="2">
        <v>19</v>
      </c>
      <c r="D102" s="2">
        <v>20000</v>
      </c>
      <c r="E102" s="6">
        <f t="shared" si="1"/>
        <v>380000</v>
      </c>
    </row>
    <row r="103" spans="1:5" ht="15" hidden="1" x14ac:dyDescent="0.45">
      <c r="A103" s="5" t="s">
        <v>87</v>
      </c>
      <c r="B103" s="5" t="s">
        <v>32</v>
      </c>
      <c r="C103" s="2">
        <v>0</v>
      </c>
      <c r="D103" s="2"/>
      <c r="E103" s="6">
        <f t="shared" si="1"/>
        <v>0</v>
      </c>
    </row>
    <row r="104" spans="1:5" ht="15" hidden="1" x14ac:dyDescent="0.45">
      <c r="A104" s="5" t="s">
        <v>125</v>
      </c>
      <c r="B104" s="5" t="s">
        <v>3</v>
      </c>
      <c r="C104" s="2">
        <v>0</v>
      </c>
      <c r="D104" s="2"/>
      <c r="E104" s="6">
        <f t="shared" si="1"/>
        <v>0</v>
      </c>
    </row>
    <row r="105" spans="1:5" ht="15" x14ac:dyDescent="0.45">
      <c r="A105" s="5" t="s">
        <v>91</v>
      </c>
      <c r="B105" s="5" t="s">
        <v>3</v>
      </c>
      <c r="C105" s="2">
        <v>13</v>
      </c>
      <c r="D105" s="2">
        <v>18000</v>
      </c>
      <c r="E105" s="6">
        <f t="shared" si="1"/>
        <v>234000</v>
      </c>
    </row>
    <row r="106" spans="1:5" ht="15" x14ac:dyDescent="0.45">
      <c r="A106" s="5" t="s">
        <v>92</v>
      </c>
      <c r="B106" s="5" t="s">
        <v>3</v>
      </c>
      <c r="C106" s="2">
        <v>55</v>
      </c>
      <c r="D106" s="2">
        <v>8000</v>
      </c>
      <c r="E106" s="6">
        <f t="shared" si="1"/>
        <v>440000</v>
      </c>
    </row>
    <row r="107" spans="1:5" ht="15" x14ac:dyDescent="0.45">
      <c r="A107" s="5" t="s">
        <v>93</v>
      </c>
      <c r="B107" s="5" t="s">
        <v>3</v>
      </c>
      <c r="C107" s="2">
        <v>2</v>
      </c>
      <c r="D107" s="2">
        <v>32000</v>
      </c>
      <c r="E107" s="6">
        <f t="shared" si="1"/>
        <v>64000</v>
      </c>
    </row>
    <row r="108" spans="1:5" ht="15" x14ac:dyDescent="0.45">
      <c r="A108" s="5" t="s">
        <v>94</v>
      </c>
      <c r="B108" s="5" t="s">
        <v>3</v>
      </c>
      <c r="C108" s="2">
        <v>8</v>
      </c>
      <c r="D108" s="2">
        <v>15000</v>
      </c>
      <c r="E108" s="6">
        <f t="shared" si="1"/>
        <v>120000</v>
      </c>
    </row>
    <row r="109" spans="1:5" ht="15" hidden="1" x14ac:dyDescent="0.45">
      <c r="A109" s="5" t="s">
        <v>96</v>
      </c>
      <c r="B109" s="5" t="s">
        <v>3</v>
      </c>
      <c r="C109" s="2">
        <v>0</v>
      </c>
      <c r="D109" s="2"/>
      <c r="E109" s="6">
        <f t="shared" si="1"/>
        <v>0</v>
      </c>
    </row>
    <row r="110" spans="1:5" ht="15" hidden="1" x14ac:dyDescent="0.45">
      <c r="A110" s="5" t="s">
        <v>97</v>
      </c>
      <c r="B110" s="5" t="s">
        <v>44</v>
      </c>
      <c r="C110" s="2">
        <v>0</v>
      </c>
      <c r="D110" s="2"/>
      <c r="E110" s="6">
        <f t="shared" si="1"/>
        <v>0</v>
      </c>
    </row>
    <row r="111" spans="1:5" ht="15" hidden="1" x14ac:dyDescent="0.45">
      <c r="A111" s="5" t="s">
        <v>98</v>
      </c>
      <c r="B111" s="5" t="s">
        <v>3</v>
      </c>
      <c r="C111" s="2">
        <v>0</v>
      </c>
      <c r="D111" s="2"/>
      <c r="E111" s="6">
        <f t="shared" si="1"/>
        <v>0</v>
      </c>
    </row>
    <row r="112" spans="1:5" ht="15" hidden="1" x14ac:dyDescent="0.45">
      <c r="A112" s="5" t="s">
        <v>99</v>
      </c>
      <c r="B112" s="5" t="s">
        <v>44</v>
      </c>
      <c r="C112" s="2">
        <v>0</v>
      </c>
      <c r="D112" s="2"/>
      <c r="E112" s="6">
        <f t="shared" si="1"/>
        <v>0</v>
      </c>
    </row>
    <row r="113" spans="1:5" ht="15" hidden="1" x14ac:dyDescent="0.45">
      <c r="A113" s="5" t="s">
        <v>126</v>
      </c>
      <c r="B113" s="5" t="s">
        <v>3</v>
      </c>
      <c r="C113" s="2">
        <v>0</v>
      </c>
      <c r="D113" s="2"/>
      <c r="E113" s="6">
        <f t="shared" si="1"/>
        <v>0</v>
      </c>
    </row>
    <row r="114" spans="1:5" ht="15" hidden="1" x14ac:dyDescent="0.45">
      <c r="A114" s="5" t="s">
        <v>100</v>
      </c>
      <c r="B114" s="5" t="s">
        <v>3</v>
      </c>
      <c r="C114" s="2">
        <v>0</v>
      </c>
      <c r="D114" s="2"/>
      <c r="E114" s="6">
        <f t="shared" si="1"/>
        <v>0</v>
      </c>
    </row>
    <row r="115" spans="1:5" ht="15" hidden="1" x14ac:dyDescent="0.45">
      <c r="A115" s="5" t="s">
        <v>101</v>
      </c>
      <c r="B115" s="5" t="s">
        <v>44</v>
      </c>
      <c r="C115" s="2">
        <v>0</v>
      </c>
      <c r="D115" s="2"/>
      <c r="E115" s="6">
        <f t="shared" si="1"/>
        <v>0</v>
      </c>
    </row>
    <row r="116" spans="1:5" x14ac:dyDescent="0.45">
      <c r="E116" s="8">
        <f>SUM(E3:E108)</f>
        <v>139469000</v>
      </c>
    </row>
  </sheetData>
  <autoFilter ref="A2:E115" xr:uid="{00000000-0009-0000-0000-000007000000}">
    <filterColumn colId="2">
      <filters>
        <filter val="1"/>
        <filter val="10"/>
        <filter val="12"/>
        <filter val="13"/>
        <filter val="130"/>
        <filter val="15"/>
        <filter val="18"/>
        <filter val="185"/>
        <filter val="19"/>
        <filter val="2"/>
        <filter val="2,100"/>
        <filter val="20"/>
        <filter val="200"/>
        <filter val="210"/>
        <filter val="220"/>
        <filter val="250"/>
        <filter val="295"/>
        <filter val="3"/>
        <filter val="30"/>
        <filter val="305"/>
        <filter val="313"/>
        <filter val="390"/>
        <filter val="4"/>
        <filter val="413"/>
        <filter val="48"/>
        <filter val="5"/>
        <filter val="500"/>
        <filter val="55"/>
        <filter val="60"/>
        <filter val="690"/>
        <filter val="7"/>
        <filter val="70"/>
        <filter val="75"/>
        <filter val="8"/>
        <filter val="80"/>
        <filter val="820"/>
        <filter val="9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113"/>
  <sheetViews>
    <sheetView topLeftCell="A53" workbookViewId="0">
      <selection activeCell="D85" sqref="D85"/>
    </sheetView>
  </sheetViews>
  <sheetFormatPr defaultRowHeight="14.25" x14ac:dyDescent="0.45"/>
  <cols>
    <col min="1" max="1" width="26.46484375" customWidth="1"/>
    <col min="5" max="5" width="17.46484375" customWidth="1"/>
  </cols>
  <sheetData>
    <row r="1" spans="1:5" x14ac:dyDescent="0.45">
      <c r="A1" t="s">
        <v>136</v>
      </c>
    </row>
    <row r="2" spans="1:5" ht="68.45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40</v>
      </c>
      <c r="D3" s="2">
        <v>16000</v>
      </c>
      <c r="E3" s="6">
        <f>C3*D3</f>
        <v>640000</v>
      </c>
    </row>
    <row r="4" spans="1:5" ht="15" x14ac:dyDescent="0.45">
      <c r="A4" s="5" t="s">
        <v>4</v>
      </c>
      <c r="B4" s="5" t="s">
        <v>3</v>
      </c>
      <c r="C4" s="2">
        <v>625</v>
      </c>
      <c r="D4" s="2">
        <v>7000</v>
      </c>
      <c r="E4" s="6">
        <f t="shared" ref="E4:E67" si="0">C4*D4</f>
        <v>4375000</v>
      </c>
    </row>
    <row r="5" spans="1:5" ht="15" x14ac:dyDescent="0.45">
      <c r="A5" s="5" t="s">
        <v>5</v>
      </c>
      <c r="B5" s="5" t="s">
        <v>3</v>
      </c>
      <c r="C5" s="2">
        <v>611</v>
      </c>
      <c r="D5" s="2">
        <v>4000</v>
      </c>
      <c r="E5" s="6">
        <f t="shared" si="0"/>
        <v>2444000</v>
      </c>
    </row>
    <row r="6" spans="1:5" ht="15" x14ac:dyDescent="0.45">
      <c r="A6" s="5" t="s">
        <v>6</v>
      </c>
      <c r="B6" s="5" t="s">
        <v>3</v>
      </c>
      <c r="C6" s="2">
        <v>4</v>
      </c>
      <c r="D6" s="2">
        <v>10000</v>
      </c>
      <c r="E6" s="6">
        <f t="shared" si="0"/>
        <v>40000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2"/>
      <c r="E7" s="6">
        <f t="shared" si="0"/>
        <v>0</v>
      </c>
    </row>
    <row r="8" spans="1:5" ht="15" hidden="1" x14ac:dyDescent="0.45">
      <c r="A8" s="5" t="s">
        <v>8</v>
      </c>
      <c r="B8" s="5" t="s">
        <v>3</v>
      </c>
      <c r="C8" s="2">
        <v>0</v>
      </c>
      <c r="D8" s="2"/>
      <c r="E8" s="6">
        <f t="shared" si="0"/>
        <v>0</v>
      </c>
    </row>
    <row r="9" spans="1:5" ht="15" x14ac:dyDescent="0.45">
      <c r="A9" s="5" t="s">
        <v>10</v>
      </c>
      <c r="B9" s="5" t="s">
        <v>3</v>
      </c>
      <c r="C9" s="2">
        <v>8</v>
      </c>
      <c r="D9" s="2">
        <v>7000</v>
      </c>
      <c r="E9" s="6">
        <f t="shared" si="0"/>
        <v>56000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2"/>
      <c r="E10" s="6">
        <f t="shared" si="0"/>
        <v>0</v>
      </c>
    </row>
    <row r="11" spans="1:5" ht="15" x14ac:dyDescent="0.45">
      <c r="A11" s="5" t="s">
        <v>12</v>
      </c>
      <c r="B11" s="5" t="s">
        <v>3</v>
      </c>
      <c r="C11" s="2">
        <v>35</v>
      </c>
      <c r="D11" s="2">
        <v>10000</v>
      </c>
      <c r="E11" s="6">
        <f t="shared" si="0"/>
        <v>350000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2"/>
      <c r="E12" s="6">
        <f t="shared" si="0"/>
        <v>0</v>
      </c>
    </row>
    <row r="13" spans="1:5" ht="15" hidden="1" x14ac:dyDescent="0.45">
      <c r="A13" s="5" t="s">
        <v>129</v>
      </c>
      <c r="B13" s="5" t="s">
        <v>3</v>
      </c>
      <c r="C13" s="2">
        <v>0</v>
      </c>
      <c r="D13" s="2"/>
      <c r="E13" s="6">
        <f t="shared" si="0"/>
        <v>0</v>
      </c>
    </row>
    <row r="14" spans="1:5" ht="15" hidden="1" x14ac:dyDescent="0.45">
      <c r="A14" s="5" t="s">
        <v>116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x14ac:dyDescent="0.45">
      <c r="A15" s="5" t="s">
        <v>14</v>
      </c>
      <c r="B15" s="5" t="s">
        <v>3</v>
      </c>
      <c r="C15" s="2">
        <v>2</v>
      </c>
      <c r="D15" s="2">
        <v>12000</v>
      </c>
      <c r="E15" s="6">
        <f t="shared" si="0"/>
        <v>24000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200</v>
      </c>
      <c r="D20" s="2">
        <v>15000</v>
      </c>
      <c r="E20" s="6">
        <f t="shared" si="0"/>
        <v>3000000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x14ac:dyDescent="0.45">
      <c r="A22" s="5" t="s">
        <v>130</v>
      </c>
      <c r="B22" s="5" t="s">
        <v>3</v>
      </c>
      <c r="C22" s="2">
        <v>140</v>
      </c>
      <c r="D22" s="2">
        <v>15000</v>
      </c>
      <c r="E22" s="6">
        <f t="shared" si="0"/>
        <v>2100000</v>
      </c>
    </row>
    <row r="23" spans="1:5" ht="15" x14ac:dyDescent="0.45">
      <c r="A23" s="5" t="s">
        <v>22</v>
      </c>
      <c r="B23" s="5" t="s">
        <v>3</v>
      </c>
      <c r="C23" s="2">
        <v>25</v>
      </c>
      <c r="D23" s="2">
        <v>14000</v>
      </c>
      <c r="E23" s="6">
        <f t="shared" si="0"/>
        <v>350000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2"/>
      <c r="E24" s="6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17</v>
      </c>
      <c r="D25" s="2">
        <v>15000</v>
      </c>
      <c r="E25" s="6">
        <f t="shared" si="0"/>
        <v>255000</v>
      </c>
    </row>
    <row r="26" spans="1:5" ht="15" x14ac:dyDescent="0.45">
      <c r="A26" s="5" t="s">
        <v>24</v>
      </c>
      <c r="B26" s="5" t="s">
        <v>25</v>
      </c>
      <c r="C26" s="2">
        <v>18</v>
      </c>
      <c r="D26" s="11">
        <v>4500</v>
      </c>
      <c r="E26" s="6">
        <f t="shared" si="0"/>
        <v>81000</v>
      </c>
    </row>
    <row r="27" spans="1:5" ht="15" x14ac:dyDescent="0.45">
      <c r="A27" s="5" t="s">
        <v>26</v>
      </c>
      <c r="B27" s="5" t="s">
        <v>27</v>
      </c>
      <c r="C27" s="2">
        <v>47</v>
      </c>
      <c r="D27" s="2">
        <v>10500</v>
      </c>
      <c r="E27" s="6">
        <f t="shared" si="0"/>
        <v>493500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65</v>
      </c>
      <c r="D29" s="2">
        <v>7500</v>
      </c>
      <c r="E29" s="6">
        <f t="shared" si="0"/>
        <v>487500</v>
      </c>
    </row>
    <row r="30" spans="1:5" ht="15" x14ac:dyDescent="0.45">
      <c r="A30" s="5" t="s">
        <v>30</v>
      </c>
      <c r="B30" s="5" t="s">
        <v>3</v>
      </c>
      <c r="C30" s="2">
        <v>390</v>
      </c>
      <c r="D30" s="2">
        <v>10000</v>
      </c>
      <c r="E30" s="6">
        <f t="shared" si="0"/>
        <v>3900000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2"/>
      <c r="E31" s="6">
        <f t="shared" si="0"/>
        <v>0</v>
      </c>
    </row>
    <row r="32" spans="1:5" ht="15" x14ac:dyDescent="0.45">
      <c r="A32" s="5" t="s">
        <v>31</v>
      </c>
      <c r="B32" s="5" t="s">
        <v>32</v>
      </c>
      <c r="C32" s="2">
        <v>20</v>
      </c>
      <c r="D32" s="2">
        <v>7000</v>
      </c>
      <c r="E32" s="6">
        <f t="shared" si="0"/>
        <v>140000</v>
      </c>
    </row>
    <row r="33" spans="1:5" ht="15" x14ac:dyDescent="0.45">
      <c r="A33" s="5" t="s">
        <v>33</v>
      </c>
      <c r="B33" s="5" t="s">
        <v>3</v>
      </c>
      <c r="C33" s="2">
        <v>10</v>
      </c>
      <c r="D33" s="2">
        <v>11000</v>
      </c>
      <c r="E33" s="6">
        <f t="shared" si="0"/>
        <v>110000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2"/>
      <c r="E34" s="6">
        <f t="shared" si="0"/>
        <v>0</v>
      </c>
    </row>
    <row r="35" spans="1:5" ht="15" x14ac:dyDescent="0.45">
      <c r="A35" s="5" t="s">
        <v>34</v>
      </c>
      <c r="B35" s="5" t="s">
        <v>18</v>
      </c>
      <c r="C35" s="2">
        <v>20</v>
      </c>
      <c r="D35" s="2">
        <v>5500</v>
      </c>
      <c r="E35" s="6">
        <f t="shared" si="0"/>
        <v>110000</v>
      </c>
    </row>
    <row r="36" spans="1:5" ht="15" x14ac:dyDescent="0.45">
      <c r="A36" s="5" t="s">
        <v>35</v>
      </c>
      <c r="B36" s="5" t="s">
        <v>3</v>
      </c>
      <c r="C36" s="2">
        <v>23</v>
      </c>
      <c r="D36" s="2">
        <v>8000</v>
      </c>
      <c r="E36" s="6">
        <f t="shared" si="0"/>
        <v>184000</v>
      </c>
    </row>
    <row r="37" spans="1:5" ht="15" hidden="1" x14ac:dyDescent="0.45">
      <c r="A37" s="5" t="s">
        <v>35</v>
      </c>
      <c r="B37" s="5" t="s">
        <v>36</v>
      </c>
      <c r="C37" s="2">
        <v>0</v>
      </c>
      <c r="D37" s="2"/>
      <c r="E37" s="6">
        <f t="shared" si="0"/>
        <v>0</v>
      </c>
    </row>
    <row r="38" spans="1:5" ht="15" x14ac:dyDescent="0.45">
      <c r="A38" s="5" t="s">
        <v>37</v>
      </c>
      <c r="B38" s="5" t="s">
        <v>3</v>
      </c>
      <c r="C38" s="2">
        <v>6</v>
      </c>
      <c r="D38" s="2">
        <v>17000</v>
      </c>
      <c r="E38" s="6">
        <f t="shared" si="0"/>
        <v>102000</v>
      </c>
    </row>
    <row r="39" spans="1:5" ht="15" hidden="1" x14ac:dyDescent="0.45">
      <c r="A39" s="5" t="s">
        <v>37</v>
      </c>
      <c r="B39" s="5" t="s">
        <v>32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39</v>
      </c>
      <c r="B40" s="5" t="s">
        <v>3</v>
      </c>
      <c r="C40" s="2">
        <v>8</v>
      </c>
      <c r="D40" s="2">
        <v>15000</v>
      </c>
      <c r="E40" s="6">
        <f t="shared" si="0"/>
        <v>120000</v>
      </c>
    </row>
    <row r="41" spans="1:5" ht="15" hidden="1" x14ac:dyDescent="0.45">
      <c r="A41" s="5" t="s">
        <v>39</v>
      </c>
      <c r="B41" s="5" t="s">
        <v>32</v>
      </c>
      <c r="C41" s="2">
        <v>0</v>
      </c>
      <c r="D41" s="2"/>
      <c r="E41" s="6">
        <f t="shared" si="0"/>
        <v>0</v>
      </c>
    </row>
    <row r="42" spans="1:5" ht="15" x14ac:dyDescent="0.45">
      <c r="A42" s="5" t="s">
        <v>40</v>
      </c>
      <c r="B42" s="5" t="s">
        <v>3</v>
      </c>
      <c r="C42" s="2">
        <v>30</v>
      </c>
      <c r="D42" s="2">
        <v>4500</v>
      </c>
      <c r="E42" s="6">
        <f t="shared" si="0"/>
        <v>135000</v>
      </c>
    </row>
    <row r="43" spans="1:5" ht="15" hidden="1" x14ac:dyDescent="0.45">
      <c r="A43" s="5" t="s">
        <v>41</v>
      </c>
      <c r="B43" s="5" t="s">
        <v>3</v>
      </c>
      <c r="C43" s="2">
        <v>0</v>
      </c>
      <c r="D43" s="2"/>
      <c r="E43" s="6">
        <f t="shared" si="0"/>
        <v>0</v>
      </c>
    </row>
    <row r="44" spans="1:5" ht="15" hidden="1" x14ac:dyDescent="0.45">
      <c r="A44" s="5" t="s">
        <v>42</v>
      </c>
      <c r="B44" s="5" t="s">
        <v>3</v>
      </c>
      <c r="C44" s="2">
        <v>0</v>
      </c>
      <c r="D44" s="2"/>
      <c r="E44" s="6">
        <f t="shared" si="0"/>
        <v>0</v>
      </c>
    </row>
    <row r="45" spans="1:5" ht="15" hidden="1" x14ac:dyDescent="0.45">
      <c r="A45" s="5" t="s">
        <v>43</v>
      </c>
      <c r="B45" s="5" t="s">
        <v>3</v>
      </c>
      <c r="C45" s="2">
        <v>0</v>
      </c>
      <c r="D45" s="2"/>
      <c r="E45" s="6">
        <f t="shared" si="0"/>
        <v>0</v>
      </c>
    </row>
    <row r="46" spans="1:5" ht="15" hidden="1" x14ac:dyDescent="0.45">
      <c r="A46" s="5" t="s">
        <v>43</v>
      </c>
      <c r="B46" s="5" t="s">
        <v>44</v>
      </c>
      <c r="C46" s="2">
        <v>0</v>
      </c>
      <c r="D46" s="2"/>
      <c r="E46" s="6">
        <f t="shared" si="0"/>
        <v>0</v>
      </c>
    </row>
    <row r="47" spans="1:5" ht="15" hidden="1" x14ac:dyDescent="0.45">
      <c r="A47" s="5" t="s">
        <v>45</v>
      </c>
      <c r="B47" s="5" t="s">
        <v>3</v>
      </c>
      <c r="C47" s="2">
        <v>0</v>
      </c>
      <c r="D47" s="2"/>
      <c r="E47" s="6">
        <f t="shared" si="0"/>
        <v>0</v>
      </c>
    </row>
    <row r="48" spans="1:5" ht="15" hidden="1" x14ac:dyDescent="0.45">
      <c r="A48" s="5" t="s">
        <v>131</v>
      </c>
      <c r="B48" s="5" t="s">
        <v>32</v>
      </c>
      <c r="C48" s="2">
        <v>0</v>
      </c>
      <c r="D48" s="2"/>
      <c r="E48" s="6">
        <f t="shared" si="0"/>
        <v>0</v>
      </c>
    </row>
    <row r="49" spans="1:5" ht="15" x14ac:dyDescent="0.45">
      <c r="A49" s="5" t="s">
        <v>46</v>
      </c>
      <c r="B49" s="5" t="s">
        <v>3</v>
      </c>
      <c r="C49" s="2">
        <v>5</v>
      </c>
      <c r="D49" s="2">
        <v>14000</v>
      </c>
      <c r="E49" s="6">
        <f t="shared" si="0"/>
        <v>70000</v>
      </c>
    </row>
    <row r="50" spans="1:5" ht="15" hidden="1" x14ac:dyDescent="0.45">
      <c r="A50" s="5" t="s">
        <v>47</v>
      </c>
      <c r="B50" s="5" t="s">
        <v>27</v>
      </c>
      <c r="C50" s="2">
        <v>0</v>
      </c>
      <c r="D50" s="2"/>
      <c r="E50" s="6">
        <f t="shared" si="0"/>
        <v>0</v>
      </c>
    </row>
    <row r="51" spans="1:5" ht="15" hidden="1" x14ac:dyDescent="0.45">
      <c r="A51" s="5" t="s">
        <v>47</v>
      </c>
      <c r="B51" s="5" t="s">
        <v>3</v>
      </c>
      <c r="C51" s="2">
        <v>0</v>
      </c>
      <c r="D51" s="2"/>
      <c r="E51" s="6">
        <f t="shared" si="0"/>
        <v>0</v>
      </c>
    </row>
    <row r="52" spans="1:5" ht="15" hidden="1" x14ac:dyDescent="0.45">
      <c r="A52" s="5" t="s">
        <v>107</v>
      </c>
      <c r="B52" s="5" t="s">
        <v>18</v>
      </c>
      <c r="C52" s="2">
        <v>0</v>
      </c>
      <c r="D52" s="2"/>
      <c r="E52" s="6">
        <f t="shared" si="0"/>
        <v>0</v>
      </c>
    </row>
    <row r="53" spans="1:5" ht="15" x14ac:dyDescent="0.45">
      <c r="A53" s="5" t="s">
        <v>48</v>
      </c>
      <c r="B53" s="5" t="s">
        <v>3</v>
      </c>
      <c r="C53" s="2">
        <v>5</v>
      </c>
      <c r="D53" s="2">
        <v>5500</v>
      </c>
      <c r="E53" s="6">
        <f t="shared" si="0"/>
        <v>27500</v>
      </c>
    </row>
    <row r="54" spans="1:5" ht="15" x14ac:dyDescent="0.45">
      <c r="A54" s="5" t="s">
        <v>49</v>
      </c>
      <c r="B54" s="5" t="s">
        <v>3</v>
      </c>
      <c r="C54" s="2">
        <v>30</v>
      </c>
      <c r="D54" s="2">
        <v>8000</v>
      </c>
      <c r="E54" s="6">
        <f t="shared" si="0"/>
        <v>240000</v>
      </c>
    </row>
    <row r="55" spans="1:5" ht="15" hidden="1" x14ac:dyDescent="0.45">
      <c r="A55" s="5" t="s">
        <v>49</v>
      </c>
      <c r="B55" s="5" t="s">
        <v>32</v>
      </c>
      <c r="C55" s="2">
        <v>0</v>
      </c>
      <c r="D55" s="2"/>
      <c r="E55" s="6">
        <f t="shared" si="0"/>
        <v>0</v>
      </c>
    </row>
    <row r="56" spans="1:5" ht="15" x14ac:dyDescent="0.45">
      <c r="A56" s="5" t="s">
        <v>50</v>
      </c>
      <c r="B56" s="5" t="s">
        <v>3</v>
      </c>
      <c r="C56" s="2">
        <v>7</v>
      </c>
      <c r="D56" s="2">
        <v>21000</v>
      </c>
      <c r="E56" s="6">
        <f t="shared" si="0"/>
        <v>147000</v>
      </c>
    </row>
    <row r="57" spans="1:5" ht="15" x14ac:dyDescent="0.45">
      <c r="A57" s="5" t="s">
        <v>51</v>
      </c>
      <c r="B57" s="5" t="s">
        <v>3</v>
      </c>
      <c r="C57" s="2">
        <v>475</v>
      </c>
      <c r="D57" s="2">
        <v>5500</v>
      </c>
      <c r="E57" s="6">
        <f t="shared" si="0"/>
        <v>2612500</v>
      </c>
    </row>
    <row r="58" spans="1:5" ht="15" hidden="1" x14ac:dyDescent="0.45">
      <c r="A58" s="5" t="s">
        <v>51</v>
      </c>
      <c r="B58" s="5" t="s">
        <v>52</v>
      </c>
      <c r="C58" s="2">
        <v>0</v>
      </c>
      <c r="D58" s="2"/>
      <c r="E58" s="6">
        <f t="shared" si="0"/>
        <v>0</v>
      </c>
    </row>
    <row r="59" spans="1:5" ht="15" x14ac:dyDescent="0.45">
      <c r="A59" s="5" t="s">
        <v>53</v>
      </c>
      <c r="B59" s="5" t="s">
        <v>3</v>
      </c>
      <c r="C59" s="2">
        <v>3</v>
      </c>
      <c r="D59" s="2">
        <v>20000</v>
      </c>
      <c r="E59" s="6">
        <f t="shared" si="0"/>
        <v>60000</v>
      </c>
    </row>
    <row r="60" spans="1:5" ht="15" x14ac:dyDescent="0.45">
      <c r="A60" s="5" t="s">
        <v>54</v>
      </c>
      <c r="B60" s="5" t="s">
        <v>32</v>
      </c>
      <c r="C60" s="2">
        <v>200</v>
      </c>
      <c r="D60" s="2">
        <v>1350</v>
      </c>
      <c r="E60" s="6">
        <f t="shared" si="0"/>
        <v>270000</v>
      </c>
    </row>
    <row r="61" spans="1:5" ht="15" x14ac:dyDescent="0.45">
      <c r="A61" s="5" t="s">
        <v>55</v>
      </c>
      <c r="B61" s="5" t="s">
        <v>3</v>
      </c>
      <c r="C61" s="2">
        <v>1990</v>
      </c>
      <c r="D61" s="2">
        <v>26000</v>
      </c>
      <c r="E61" s="6">
        <f t="shared" si="0"/>
        <v>51740000</v>
      </c>
    </row>
    <row r="62" spans="1:5" ht="15" x14ac:dyDescent="0.45">
      <c r="A62" s="5" t="s">
        <v>56</v>
      </c>
      <c r="B62" s="5" t="s">
        <v>3</v>
      </c>
      <c r="C62" s="2">
        <v>290</v>
      </c>
      <c r="D62" s="2">
        <v>26000</v>
      </c>
      <c r="E62" s="6">
        <f t="shared" si="0"/>
        <v>7540000</v>
      </c>
    </row>
    <row r="63" spans="1:5" ht="15" x14ac:dyDescent="0.45">
      <c r="A63" s="5" t="s">
        <v>57</v>
      </c>
      <c r="B63" s="5" t="s">
        <v>3</v>
      </c>
      <c r="C63" s="2">
        <v>240</v>
      </c>
      <c r="D63" s="2">
        <v>17000</v>
      </c>
      <c r="E63" s="6">
        <f t="shared" si="0"/>
        <v>4080000</v>
      </c>
    </row>
    <row r="64" spans="1:5" ht="15" x14ac:dyDescent="0.45">
      <c r="A64" s="5" t="s">
        <v>58</v>
      </c>
      <c r="B64" s="5" t="s">
        <v>3</v>
      </c>
      <c r="C64" s="2">
        <v>30</v>
      </c>
      <c r="D64" s="2">
        <v>22000</v>
      </c>
      <c r="E64" s="6">
        <f t="shared" si="0"/>
        <v>660000</v>
      </c>
    </row>
    <row r="65" spans="1:5" ht="15" hidden="1" x14ac:dyDescent="0.45">
      <c r="A65" s="5" t="s">
        <v>59</v>
      </c>
      <c r="B65" s="5" t="s">
        <v>32</v>
      </c>
      <c r="C65" s="2">
        <v>0</v>
      </c>
      <c r="D65" s="2"/>
      <c r="E65" s="6">
        <f t="shared" si="0"/>
        <v>0</v>
      </c>
    </row>
    <row r="66" spans="1:5" ht="15" x14ac:dyDescent="0.45">
      <c r="A66" s="5" t="s">
        <v>61</v>
      </c>
      <c r="B66" s="5" t="s">
        <v>3</v>
      </c>
      <c r="C66" s="2">
        <v>280</v>
      </c>
      <c r="D66" s="2">
        <v>14000</v>
      </c>
      <c r="E66" s="6">
        <f t="shared" si="0"/>
        <v>3920000</v>
      </c>
    </row>
    <row r="67" spans="1:5" ht="15" hidden="1" x14ac:dyDescent="0.45">
      <c r="A67" s="5" t="s">
        <v>61</v>
      </c>
      <c r="B67" s="5" t="s">
        <v>32</v>
      </c>
      <c r="C67" s="2">
        <v>0</v>
      </c>
      <c r="D67" s="2"/>
      <c r="E67" s="6">
        <f t="shared" si="0"/>
        <v>0</v>
      </c>
    </row>
    <row r="68" spans="1:5" ht="15" hidden="1" x14ac:dyDescent="0.45">
      <c r="A68" s="5" t="s">
        <v>62</v>
      </c>
      <c r="B68" s="5" t="s">
        <v>32</v>
      </c>
      <c r="C68" s="2">
        <v>0</v>
      </c>
      <c r="D68" s="2"/>
      <c r="E68" s="6">
        <f t="shared" ref="E68:E112" si="1">C68*D68</f>
        <v>0</v>
      </c>
    </row>
    <row r="69" spans="1:5" ht="15" x14ac:dyDescent="0.45">
      <c r="A69" s="5" t="s">
        <v>63</v>
      </c>
      <c r="B69" s="5" t="s">
        <v>3</v>
      </c>
      <c r="C69" s="2">
        <v>7</v>
      </c>
      <c r="D69" s="2">
        <v>11000</v>
      </c>
      <c r="E69" s="6">
        <f t="shared" si="1"/>
        <v>77000</v>
      </c>
    </row>
    <row r="70" spans="1:5" ht="15" hidden="1" x14ac:dyDescent="0.45">
      <c r="A70" s="5" t="s">
        <v>64</v>
      </c>
      <c r="B70" s="5" t="s">
        <v>32</v>
      </c>
      <c r="C70" s="2">
        <v>0</v>
      </c>
      <c r="D70" s="2"/>
      <c r="E70" s="6">
        <f t="shared" si="1"/>
        <v>0</v>
      </c>
    </row>
    <row r="71" spans="1:5" ht="15" hidden="1" x14ac:dyDescent="0.45">
      <c r="A71" s="5" t="s">
        <v>65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x14ac:dyDescent="0.45">
      <c r="A72" s="5" t="s">
        <v>65</v>
      </c>
      <c r="B72" s="5" t="s">
        <v>32</v>
      </c>
      <c r="C72" s="2">
        <v>30</v>
      </c>
      <c r="D72" s="2">
        <v>7000</v>
      </c>
      <c r="E72" s="6">
        <f t="shared" si="1"/>
        <v>210000</v>
      </c>
    </row>
    <row r="73" spans="1:5" ht="15" hidden="1" x14ac:dyDescent="0.45">
      <c r="A73" s="5" t="s">
        <v>66</v>
      </c>
      <c r="B73" s="5" t="s">
        <v>3</v>
      </c>
      <c r="C73" s="2">
        <v>0</v>
      </c>
      <c r="D73" s="2"/>
      <c r="E73" s="6">
        <f t="shared" si="1"/>
        <v>0</v>
      </c>
    </row>
    <row r="74" spans="1:5" ht="15" hidden="1" x14ac:dyDescent="0.45">
      <c r="A74" s="5" t="s">
        <v>68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hidden="1" x14ac:dyDescent="0.45">
      <c r="A75" s="5" t="s">
        <v>132</v>
      </c>
      <c r="B75" s="5" t="s">
        <v>3</v>
      </c>
      <c r="C75" s="2">
        <v>0</v>
      </c>
      <c r="D75" s="2"/>
      <c r="E75" s="6">
        <f t="shared" si="1"/>
        <v>0</v>
      </c>
    </row>
    <row r="76" spans="1:5" ht="15" hidden="1" x14ac:dyDescent="0.45">
      <c r="A76" s="5" t="s">
        <v>69</v>
      </c>
      <c r="B76" s="5" t="s">
        <v>3</v>
      </c>
      <c r="C76" s="2">
        <v>0</v>
      </c>
      <c r="D76" s="2"/>
      <c r="E76" s="6">
        <f t="shared" si="1"/>
        <v>0</v>
      </c>
    </row>
    <row r="77" spans="1:5" ht="15" x14ac:dyDescent="0.45">
      <c r="A77" s="5" t="s">
        <v>70</v>
      </c>
      <c r="B77" s="5" t="s">
        <v>3</v>
      </c>
      <c r="C77" s="2">
        <v>20</v>
      </c>
      <c r="D77" s="2">
        <v>11000</v>
      </c>
      <c r="E77" s="6">
        <f t="shared" si="1"/>
        <v>220000</v>
      </c>
    </row>
    <row r="78" spans="1:5" ht="15" x14ac:dyDescent="0.45">
      <c r="A78" s="5" t="s">
        <v>70</v>
      </c>
      <c r="B78" s="5" t="s">
        <v>18</v>
      </c>
      <c r="C78" s="2">
        <v>511</v>
      </c>
      <c r="D78" s="2">
        <v>6500</v>
      </c>
      <c r="E78" s="6">
        <f t="shared" si="1"/>
        <v>3321500</v>
      </c>
    </row>
    <row r="79" spans="1:5" ht="15" hidden="1" x14ac:dyDescent="0.45">
      <c r="A79" s="5" t="s">
        <v>71</v>
      </c>
      <c r="B79" s="5" t="s">
        <v>3</v>
      </c>
      <c r="C79" s="2">
        <v>0</v>
      </c>
      <c r="D79" s="2"/>
      <c r="E79" s="6">
        <f t="shared" si="1"/>
        <v>0</v>
      </c>
    </row>
    <row r="80" spans="1:5" ht="15" x14ac:dyDescent="0.45">
      <c r="A80" s="5" t="s">
        <v>72</v>
      </c>
      <c r="B80" s="5" t="s">
        <v>3</v>
      </c>
      <c r="C80" s="2">
        <v>20</v>
      </c>
      <c r="D80" s="2">
        <v>14000</v>
      </c>
      <c r="E80" s="6">
        <f t="shared" si="1"/>
        <v>280000</v>
      </c>
    </row>
    <row r="81" spans="1:5" ht="15" x14ac:dyDescent="0.45">
      <c r="A81" s="5" t="s">
        <v>73</v>
      </c>
      <c r="B81" s="5" t="s">
        <v>3</v>
      </c>
      <c r="C81" s="2">
        <v>20</v>
      </c>
      <c r="D81" s="2">
        <v>10000</v>
      </c>
      <c r="E81" s="6">
        <f t="shared" si="1"/>
        <v>200000</v>
      </c>
    </row>
    <row r="82" spans="1:5" ht="15" hidden="1" x14ac:dyDescent="0.45">
      <c r="A82" s="5" t="s">
        <v>73</v>
      </c>
      <c r="B82" s="5" t="s">
        <v>44</v>
      </c>
      <c r="C82" s="2">
        <v>0</v>
      </c>
      <c r="D82" s="2"/>
      <c r="E82" s="6">
        <f t="shared" si="1"/>
        <v>0</v>
      </c>
    </row>
    <row r="83" spans="1:5" ht="15" hidden="1" x14ac:dyDescent="0.45">
      <c r="A83" s="5" t="s">
        <v>74</v>
      </c>
      <c r="B83" s="5" t="s">
        <v>32</v>
      </c>
      <c r="C83" s="2">
        <v>0</v>
      </c>
      <c r="D83" s="2"/>
      <c r="E83" s="6">
        <f t="shared" si="1"/>
        <v>0</v>
      </c>
    </row>
    <row r="84" spans="1:5" ht="15" hidden="1" x14ac:dyDescent="0.45">
      <c r="A84" s="5" t="s">
        <v>75</v>
      </c>
      <c r="B84" s="5" t="s">
        <v>3</v>
      </c>
      <c r="C84" s="2">
        <v>0</v>
      </c>
      <c r="D84" s="2"/>
      <c r="E84" s="6">
        <f t="shared" si="1"/>
        <v>0</v>
      </c>
    </row>
    <row r="85" spans="1:5" ht="15" x14ac:dyDescent="0.45">
      <c r="A85" s="5" t="s">
        <v>76</v>
      </c>
      <c r="B85" s="5" t="s">
        <v>27</v>
      </c>
      <c r="C85" s="2">
        <v>270</v>
      </c>
      <c r="D85" s="2">
        <v>39000</v>
      </c>
      <c r="E85" s="6">
        <f t="shared" si="1"/>
        <v>10530000</v>
      </c>
    </row>
    <row r="86" spans="1:5" ht="15" x14ac:dyDescent="0.45">
      <c r="A86" s="5" t="s">
        <v>76</v>
      </c>
      <c r="B86" s="5" t="s">
        <v>3</v>
      </c>
      <c r="C86" s="2">
        <v>135</v>
      </c>
      <c r="D86" s="2">
        <v>59000</v>
      </c>
      <c r="E86" s="6">
        <f t="shared" si="1"/>
        <v>7965000</v>
      </c>
    </row>
    <row r="87" spans="1:5" ht="15" hidden="1" x14ac:dyDescent="0.45">
      <c r="A87" s="5" t="s">
        <v>78</v>
      </c>
      <c r="B87" s="5" t="s">
        <v>3</v>
      </c>
      <c r="C87" s="2">
        <v>0</v>
      </c>
      <c r="D87" s="2"/>
      <c r="E87" s="6">
        <f t="shared" si="1"/>
        <v>0</v>
      </c>
    </row>
    <row r="88" spans="1:5" ht="15" hidden="1" x14ac:dyDescent="0.45">
      <c r="A88" s="5" t="s">
        <v>79</v>
      </c>
      <c r="B88" s="5" t="s">
        <v>18</v>
      </c>
      <c r="C88" s="2">
        <v>0</v>
      </c>
      <c r="D88" s="2"/>
      <c r="E88" s="6">
        <f t="shared" si="1"/>
        <v>0</v>
      </c>
    </row>
    <row r="89" spans="1:5" ht="15" hidden="1" x14ac:dyDescent="0.45">
      <c r="A89" s="5" t="s">
        <v>80</v>
      </c>
      <c r="B89" s="5" t="s">
        <v>27</v>
      </c>
      <c r="C89" s="2">
        <v>0</v>
      </c>
      <c r="D89" s="2"/>
      <c r="E89" s="6">
        <f t="shared" si="1"/>
        <v>0</v>
      </c>
    </row>
    <row r="90" spans="1:5" ht="15" hidden="1" x14ac:dyDescent="0.45">
      <c r="A90" s="5" t="s">
        <v>81</v>
      </c>
      <c r="B90" s="5" t="s">
        <v>3</v>
      </c>
      <c r="C90" s="2">
        <v>0</v>
      </c>
      <c r="D90" s="2"/>
      <c r="E90" s="6">
        <f t="shared" si="1"/>
        <v>0</v>
      </c>
    </row>
    <row r="91" spans="1:5" ht="15" hidden="1" x14ac:dyDescent="0.45">
      <c r="A91" s="5" t="s">
        <v>81</v>
      </c>
      <c r="B91" s="5" t="s">
        <v>11</v>
      </c>
      <c r="C91" s="2">
        <v>0</v>
      </c>
      <c r="D91" s="2"/>
      <c r="E91" s="6">
        <f t="shared" si="1"/>
        <v>0</v>
      </c>
    </row>
    <row r="92" spans="1:5" ht="15" x14ac:dyDescent="0.45">
      <c r="A92" s="5" t="s">
        <v>83</v>
      </c>
      <c r="B92" s="5" t="s">
        <v>3</v>
      </c>
      <c r="C92" s="2">
        <v>20</v>
      </c>
      <c r="D92" s="2">
        <v>28000</v>
      </c>
      <c r="E92" s="6">
        <f t="shared" si="1"/>
        <v>560000</v>
      </c>
    </row>
    <row r="93" spans="1:5" ht="15" hidden="1" x14ac:dyDescent="0.45">
      <c r="A93" s="5" t="s">
        <v>83</v>
      </c>
      <c r="B93" s="5" t="s">
        <v>11</v>
      </c>
      <c r="C93" s="2">
        <v>0</v>
      </c>
      <c r="D93" s="2"/>
      <c r="E93" s="6">
        <f t="shared" si="1"/>
        <v>0</v>
      </c>
    </row>
    <row r="94" spans="1:5" ht="15" x14ac:dyDescent="0.45">
      <c r="A94" s="5" t="s">
        <v>85</v>
      </c>
      <c r="B94" s="5" t="s">
        <v>3</v>
      </c>
      <c r="C94" s="2">
        <v>32</v>
      </c>
      <c r="D94" s="2">
        <v>25000</v>
      </c>
      <c r="E94" s="6">
        <f t="shared" si="1"/>
        <v>800000</v>
      </c>
    </row>
    <row r="95" spans="1:5" ht="15" hidden="1" x14ac:dyDescent="0.45">
      <c r="A95" s="5" t="s">
        <v>85</v>
      </c>
      <c r="B95" s="5" t="s">
        <v>11</v>
      </c>
      <c r="C95" s="2">
        <v>0</v>
      </c>
      <c r="D95" s="2"/>
      <c r="E95" s="6">
        <f t="shared" si="1"/>
        <v>0</v>
      </c>
    </row>
    <row r="96" spans="1:5" ht="15" hidden="1" x14ac:dyDescent="0.45">
      <c r="A96" s="5" t="s">
        <v>86</v>
      </c>
      <c r="B96" s="5" t="s">
        <v>3</v>
      </c>
      <c r="C96" s="2">
        <v>0</v>
      </c>
      <c r="D96" s="2"/>
      <c r="E96" s="6">
        <f t="shared" si="1"/>
        <v>0</v>
      </c>
    </row>
    <row r="97" spans="1:5" ht="15" x14ac:dyDescent="0.45">
      <c r="A97" s="5" t="s">
        <v>86</v>
      </c>
      <c r="B97" s="5" t="s">
        <v>32</v>
      </c>
      <c r="C97" s="2">
        <v>22</v>
      </c>
      <c r="D97" s="2">
        <v>17000</v>
      </c>
      <c r="E97" s="6">
        <f t="shared" si="1"/>
        <v>374000</v>
      </c>
    </row>
    <row r="98" spans="1:5" ht="15" hidden="1" x14ac:dyDescent="0.45">
      <c r="A98" s="5" t="s">
        <v>109</v>
      </c>
      <c r="B98" s="5" t="s">
        <v>3</v>
      </c>
      <c r="C98" s="2">
        <v>0</v>
      </c>
      <c r="D98" s="2"/>
      <c r="E98" s="6">
        <f t="shared" si="1"/>
        <v>0</v>
      </c>
    </row>
    <row r="99" spans="1:5" ht="15" hidden="1" x14ac:dyDescent="0.45">
      <c r="A99" s="5" t="s">
        <v>87</v>
      </c>
      <c r="B99" s="5" t="s">
        <v>32</v>
      </c>
      <c r="C99" s="2">
        <v>0</v>
      </c>
      <c r="D99" s="2"/>
      <c r="E99" s="6">
        <f t="shared" si="1"/>
        <v>0</v>
      </c>
    </row>
    <row r="100" spans="1:5" ht="15" hidden="1" x14ac:dyDescent="0.45">
      <c r="A100" s="5" t="s">
        <v>133</v>
      </c>
      <c r="B100" s="5" t="s">
        <v>3</v>
      </c>
      <c r="C100" s="2">
        <v>0</v>
      </c>
      <c r="D100" s="2"/>
      <c r="E100" s="6">
        <f t="shared" si="1"/>
        <v>0</v>
      </c>
    </row>
    <row r="101" spans="1:5" ht="15" hidden="1" x14ac:dyDescent="0.45">
      <c r="A101" s="5" t="s">
        <v>91</v>
      </c>
      <c r="B101" s="5" t="s">
        <v>3</v>
      </c>
      <c r="C101" s="2">
        <v>0</v>
      </c>
      <c r="D101" s="2"/>
      <c r="E101" s="6">
        <f t="shared" si="1"/>
        <v>0</v>
      </c>
    </row>
    <row r="102" spans="1:5" ht="15" hidden="1" x14ac:dyDescent="0.45">
      <c r="A102" s="5" t="s">
        <v>122</v>
      </c>
      <c r="B102" s="5" t="s">
        <v>27</v>
      </c>
      <c r="C102" s="2">
        <v>0</v>
      </c>
      <c r="D102" s="2"/>
      <c r="E102" s="6">
        <f t="shared" si="1"/>
        <v>0</v>
      </c>
    </row>
    <row r="103" spans="1:5" ht="15" x14ac:dyDescent="0.45">
      <c r="A103" s="5" t="s">
        <v>92</v>
      </c>
      <c r="B103" s="5" t="s">
        <v>3</v>
      </c>
      <c r="C103" s="2">
        <v>53</v>
      </c>
      <c r="D103" s="2">
        <v>5000</v>
      </c>
      <c r="E103" s="6">
        <f t="shared" si="1"/>
        <v>265000</v>
      </c>
    </row>
    <row r="104" spans="1:5" ht="15" hidden="1" x14ac:dyDescent="0.45">
      <c r="A104" s="5" t="s">
        <v>134</v>
      </c>
      <c r="B104" s="5" t="s">
        <v>135</v>
      </c>
      <c r="C104" s="2">
        <v>0</v>
      </c>
      <c r="D104" s="2"/>
      <c r="E104" s="6">
        <f t="shared" si="1"/>
        <v>0</v>
      </c>
    </row>
    <row r="105" spans="1:5" ht="15" hidden="1" x14ac:dyDescent="0.45">
      <c r="A105" s="5" t="s">
        <v>94</v>
      </c>
      <c r="B105" s="5" t="s">
        <v>3</v>
      </c>
      <c r="C105" s="2">
        <v>0</v>
      </c>
      <c r="D105" s="2"/>
      <c r="E105" s="6">
        <f t="shared" si="1"/>
        <v>0</v>
      </c>
    </row>
    <row r="106" spans="1:5" ht="15" hidden="1" x14ac:dyDescent="0.45">
      <c r="A106" s="5" t="s">
        <v>95</v>
      </c>
      <c r="B106" s="5" t="s">
        <v>3</v>
      </c>
      <c r="C106" s="2">
        <v>0</v>
      </c>
      <c r="D106" s="2"/>
      <c r="E106" s="6">
        <f t="shared" si="1"/>
        <v>0</v>
      </c>
    </row>
    <row r="107" spans="1:5" ht="15" hidden="1" x14ac:dyDescent="0.45">
      <c r="A107" s="5" t="s">
        <v>96</v>
      </c>
      <c r="B107" s="5" t="s">
        <v>3</v>
      </c>
      <c r="C107" s="2">
        <v>0</v>
      </c>
      <c r="D107" s="2"/>
      <c r="E107" s="6">
        <f t="shared" si="1"/>
        <v>0</v>
      </c>
    </row>
    <row r="108" spans="1:5" ht="15" hidden="1" x14ac:dyDescent="0.45">
      <c r="A108" s="5" t="s">
        <v>97</v>
      </c>
      <c r="B108" s="5" t="s">
        <v>44</v>
      </c>
      <c r="C108" s="2">
        <v>0</v>
      </c>
      <c r="D108" s="2"/>
      <c r="E108" s="6">
        <f t="shared" si="1"/>
        <v>0</v>
      </c>
    </row>
    <row r="109" spans="1:5" ht="15" hidden="1" x14ac:dyDescent="0.45">
      <c r="A109" s="5" t="s">
        <v>98</v>
      </c>
      <c r="B109" s="5" t="s">
        <v>3</v>
      </c>
      <c r="C109" s="2">
        <v>0</v>
      </c>
      <c r="D109" s="2"/>
      <c r="E109" s="6">
        <f t="shared" si="1"/>
        <v>0</v>
      </c>
    </row>
    <row r="110" spans="1:5" ht="15" hidden="1" x14ac:dyDescent="0.45">
      <c r="A110" s="5" t="s">
        <v>99</v>
      </c>
      <c r="B110" s="5" t="s">
        <v>44</v>
      </c>
      <c r="C110" s="2">
        <v>0</v>
      </c>
      <c r="D110" s="2"/>
      <c r="E110" s="6">
        <f t="shared" si="1"/>
        <v>0</v>
      </c>
    </row>
    <row r="111" spans="1:5" ht="15" x14ac:dyDescent="0.45">
      <c r="A111" s="5" t="s">
        <v>100</v>
      </c>
      <c r="B111" s="5" t="s">
        <v>3</v>
      </c>
      <c r="C111" s="2">
        <v>5</v>
      </c>
      <c r="D111" s="2">
        <v>25000</v>
      </c>
      <c r="E111" s="6">
        <f t="shared" si="1"/>
        <v>125000</v>
      </c>
    </row>
    <row r="112" spans="1:5" ht="15" hidden="1" x14ac:dyDescent="0.45">
      <c r="A112" s="5" t="s">
        <v>101</v>
      </c>
      <c r="B112" s="5" t="s">
        <v>44</v>
      </c>
      <c r="C112" s="2">
        <v>0</v>
      </c>
      <c r="D112" s="2"/>
      <c r="E112" s="6">
        <f t="shared" si="1"/>
        <v>0</v>
      </c>
    </row>
    <row r="113" spans="5:5" x14ac:dyDescent="0.45">
      <c r="E113" s="8">
        <f>SUM(E3:E111)</f>
        <v>115791500</v>
      </c>
    </row>
  </sheetData>
  <autoFilter ref="A2:E112" xr:uid="{00000000-0009-0000-0000-000008000000}">
    <filterColumn colId="2">
      <filters>
        <filter val="1,990"/>
        <filter val="10"/>
        <filter val="135"/>
        <filter val="140"/>
        <filter val="17"/>
        <filter val="18"/>
        <filter val="2"/>
        <filter val="20"/>
        <filter val="200"/>
        <filter val="22"/>
        <filter val="23"/>
        <filter val="240"/>
        <filter val="25"/>
        <filter val="270"/>
        <filter val="280"/>
        <filter val="290"/>
        <filter val="3"/>
        <filter val="30"/>
        <filter val="32"/>
        <filter val="35"/>
        <filter val="390"/>
        <filter val="4"/>
        <filter val="40"/>
        <filter val="47"/>
        <filter val="475"/>
        <filter val="5"/>
        <filter val="511"/>
        <filter val="53"/>
        <filter val="6"/>
        <filter val="611"/>
        <filter val="625"/>
        <filter val="65"/>
        <filter val="7"/>
        <filter val="8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18"/>
  <sheetViews>
    <sheetView topLeftCell="A46" workbookViewId="0">
      <selection activeCell="E61" sqref="E61:E62"/>
    </sheetView>
  </sheetViews>
  <sheetFormatPr defaultRowHeight="14.25" x14ac:dyDescent="0.45"/>
  <cols>
    <col min="1" max="1" width="27.796875" customWidth="1"/>
    <col min="4" max="4" width="14" customWidth="1"/>
    <col min="5" max="5" width="18.46484375" customWidth="1"/>
  </cols>
  <sheetData>
    <row r="1" spans="1:5" x14ac:dyDescent="0.45">
      <c r="A1" t="s">
        <v>137</v>
      </c>
    </row>
    <row r="2" spans="1:5" ht="67.25" customHeight="1" x14ac:dyDescent="0.45">
      <c r="A2" s="1" t="s">
        <v>0</v>
      </c>
      <c r="B2" s="1" t="s">
        <v>1</v>
      </c>
      <c r="C2" s="2" t="s">
        <v>103</v>
      </c>
      <c r="D2" s="3" t="s">
        <v>104</v>
      </c>
      <c r="E2" s="4" t="s">
        <v>105</v>
      </c>
    </row>
    <row r="3" spans="1:5" ht="15" x14ac:dyDescent="0.45">
      <c r="A3" s="5" t="s">
        <v>2</v>
      </c>
      <c r="B3" s="5" t="s">
        <v>3</v>
      </c>
      <c r="C3" s="2">
        <v>24</v>
      </c>
      <c r="D3" s="6">
        <v>12000</v>
      </c>
      <c r="E3" s="7">
        <f>C3*D3</f>
        <v>288000</v>
      </c>
    </row>
    <row r="4" spans="1:5" ht="15" x14ac:dyDescent="0.45">
      <c r="A4" s="5" t="s">
        <v>4</v>
      </c>
      <c r="B4" s="5" t="s">
        <v>3</v>
      </c>
      <c r="C4" s="2">
        <v>370</v>
      </c>
      <c r="D4" s="6">
        <v>7000</v>
      </c>
      <c r="E4" s="7">
        <f t="shared" ref="E4:E67" si="0">C4*D4</f>
        <v>2590000</v>
      </c>
    </row>
    <row r="5" spans="1:5" ht="15" x14ac:dyDescent="0.45">
      <c r="A5" s="5" t="s">
        <v>5</v>
      </c>
      <c r="B5" s="5" t="s">
        <v>3</v>
      </c>
      <c r="C5" s="2">
        <v>150</v>
      </c>
      <c r="D5" s="6">
        <v>4000</v>
      </c>
      <c r="E5" s="7">
        <f t="shared" si="0"/>
        <v>600000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6"/>
      <c r="E6" s="7">
        <f t="shared" si="0"/>
        <v>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6"/>
      <c r="E7" s="7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1441</v>
      </c>
      <c r="D8" s="6">
        <v>7000</v>
      </c>
      <c r="E8" s="7">
        <f t="shared" si="0"/>
        <v>10087000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6"/>
      <c r="E9" s="7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10</v>
      </c>
      <c r="D10" s="6">
        <v>7000</v>
      </c>
      <c r="E10" s="7">
        <f t="shared" si="0"/>
        <v>70000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6"/>
      <c r="E11" s="7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97</v>
      </c>
      <c r="D12" s="6">
        <v>10000</v>
      </c>
      <c r="E12" s="7">
        <f t="shared" si="0"/>
        <v>970000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6"/>
      <c r="E13" s="7">
        <f t="shared" si="0"/>
        <v>0</v>
      </c>
    </row>
    <row r="14" spans="1:5" ht="15" x14ac:dyDescent="0.45">
      <c r="A14" s="5" t="s">
        <v>13</v>
      </c>
      <c r="B14" s="5" t="s">
        <v>3</v>
      </c>
      <c r="C14" s="2">
        <v>103</v>
      </c>
      <c r="D14" s="6">
        <v>35000</v>
      </c>
      <c r="E14" s="7">
        <f t="shared" si="0"/>
        <v>3605000</v>
      </c>
    </row>
    <row r="15" spans="1:5" ht="15" hidden="1" x14ac:dyDescent="0.45">
      <c r="A15" s="5" t="s">
        <v>116</v>
      </c>
      <c r="B15" s="5" t="s">
        <v>3</v>
      </c>
      <c r="C15" s="2">
        <v>0</v>
      </c>
      <c r="D15" s="6"/>
      <c r="E15" s="7">
        <f t="shared" si="0"/>
        <v>0</v>
      </c>
    </row>
    <row r="16" spans="1:5" ht="15" x14ac:dyDescent="0.45">
      <c r="A16" s="5" t="s">
        <v>14</v>
      </c>
      <c r="B16" s="5" t="s">
        <v>3</v>
      </c>
      <c r="C16" s="2">
        <v>5</v>
      </c>
      <c r="D16" s="6">
        <v>12000</v>
      </c>
      <c r="E16" s="7">
        <f t="shared" si="0"/>
        <v>60000</v>
      </c>
    </row>
    <row r="17" spans="1:5" ht="15" hidden="1" x14ac:dyDescent="0.45">
      <c r="A17" s="5" t="s">
        <v>15</v>
      </c>
      <c r="B17" s="5" t="s">
        <v>3</v>
      </c>
      <c r="C17" s="2">
        <v>0</v>
      </c>
      <c r="D17" s="6"/>
      <c r="E17" s="7">
        <f t="shared" si="0"/>
        <v>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6"/>
      <c r="E18" s="7">
        <f t="shared" si="0"/>
        <v>0</v>
      </c>
    </row>
    <row r="19" spans="1:5" ht="15" x14ac:dyDescent="0.45">
      <c r="A19" s="5" t="s">
        <v>17</v>
      </c>
      <c r="B19" s="5" t="s">
        <v>18</v>
      </c>
      <c r="C19" s="2">
        <v>4</v>
      </c>
      <c r="D19" s="6">
        <v>6000</v>
      </c>
      <c r="E19" s="7">
        <f t="shared" si="0"/>
        <v>24000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6"/>
      <c r="E20" s="7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240</v>
      </c>
      <c r="D21" s="6">
        <v>15000</v>
      </c>
      <c r="E21" s="7">
        <f t="shared" si="0"/>
        <v>3600000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6"/>
      <c r="E22" s="7">
        <f t="shared" si="0"/>
        <v>0</v>
      </c>
    </row>
    <row r="23" spans="1:5" ht="15" hidden="1" x14ac:dyDescent="0.45">
      <c r="A23" s="5" t="s">
        <v>22</v>
      </c>
      <c r="B23" s="5" t="s">
        <v>3</v>
      </c>
      <c r="C23" s="2">
        <v>0</v>
      </c>
      <c r="D23" s="6"/>
      <c r="E23" s="7">
        <f t="shared" si="0"/>
        <v>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6"/>
      <c r="E24" s="7">
        <f t="shared" si="0"/>
        <v>0</v>
      </c>
    </row>
    <row r="25" spans="1:5" ht="15" hidden="1" x14ac:dyDescent="0.45">
      <c r="A25" s="5" t="s">
        <v>24</v>
      </c>
      <c r="B25" s="5" t="s">
        <v>3</v>
      </c>
      <c r="C25" s="2">
        <v>0</v>
      </c>
      <c r="D25" s="6"/>
      <c r="E25" s="7">
        <f t="shared" si="0"/>
        <v>0</v>
      </c>
    </row>
    <row r="26" spans="1:5" ht="15" hidden="1" x14ac:dyDescent="0.45">
      <c r="A26" s="5" t="s">
        <v>24</v>
      </c>
      <c r="B26" s="5" t="s">
        <v>25</v>
      </c>
      <c r="C26" s="2">
        <v>0</v>
      </c>
      <c r="D26" s="6"/>
      <c r="E26" s="7">
        <f t="shared" si="0"/>
        <v>0</v>
      </c>
    </row>
    <row r="27" spans="1:5" ht="15" x14ac:dyDescent="0.45">
      <c r="A27" s="5" t="s">
        <v>26</v>
      </c>
      <c r="B27" s="5" t="s">
        <v>27</v>
      </c>
      <c r="C27" s="2">
        <v>30</v>
      </c>
      <c r="D27" s="6">
        <v>10500</v>
      </c>
      <c r="E27" s="7">
        <f t="shared" si="0"/>
        <v>315000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6"/>
      <c r="E28" s="7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45</v>
      </c>
      <c r="D29" s="6">
        <v>7500</v>
      </c>
      <c r="E29" s="7">
        <f t="shared" si="0"/>
        <v>337500</v>
      </c>
    </row>
    <row r="30" spans="1:5" ht="15" x14ac:dyDescent="0.45">
      <c r="A30" s="5" t="s">
        <v>30</v>
      </c>
      <c r="B30" s="5" t="s">
        <v>3</v>
      </c>
      <c r="C30" s="2">
        <v>60</v>
      </c>
      <c r="D30" s="6">
        <v>9000</v>
      </c>
      <c r="E30" s="7">
        <f t="shared" si="0"/>
        <v>540000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6"/>
      <c r="E31" s="7">
        <f t="shared" si="0"/>
        <v>0</v>
      </c>
    </row>
    <row r="32" spans="1:5" ht="15" x14ac:dyDescent="0.45">
      <c r="A32" s="5" t="s">
        <v>31</v>
      </c>
      <c r="B32" s="5" t="s">
        <v>32</v>
      </c>
      <c r="C32" s="2">
        <v>130</v>
      </c>
      <c r="D32" s="6">
        <v>6000</v>
      </c>
      <c r="E32" s="7">
        <f t="shared" si="0"/>
        <v>780000</v>
      </c>
    </row>
    <row r="33" spans="1:5" ht="15" x14ac:dyDescent="0.45">
      <c r="A33" s="5" t="s">
        <v>33</v>
      </c>
      <c r="B33" s="5" t="s">
        <v>3</v>
      </c>
      <c r="C33" s="2">
        <v>65</v>
      </c>
      <c r="D33" s="6">
        <v>11000</v>
      </c>
      <c r="E33" s="7">
        <f t="shared" si="0"/>
        <v>715000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6"/>
      <c r="E34" s="7">
        <f t="shared" si="0"/>
        <v>0</v>
      </c>
    </row>
    <row r="35" spans="1:5" ht="15" hidden="1" x14ac:dyDescent="0.45">
      <c r="A35" s="5" t="s">
        <v>34</v>
      </c>
      <c r="B35" s="5" t="s">
        <v>3</v>
      </c>
      <c r="C35" s="2">
        <v>0</v>
      </c>
      <c r="D35" s="6"/>
      <c r="E35" s="7">
        <f t="shared" si="0"/>
        <v>0</v>
      </c>
    </row>
    <row r="36" spans="1:5" ht="15" x14ac:dyDescent="0.45">
      <c r="A36" s="5" t="s">
        <v>34</v>
      </c>
      <c r="B36" s="5" t="s">
        <v>18</v>
      </c>
      <c r="C36" s="2">
        <v>14</v>
      </c>
      <c r="D36" s="6">
        <v>5500</v>
      </c>
      <c r="E36" s="7">
        <f t="shared" si="0"/>
        <v>77000</v>
      </c>
    </row>
    <row r="37" spans="1:5" ht="15" x14ac:dyDescent="0.45">
      <c r="A37" s="5" t="s">
        <v>35</v>
      </c>
      <c r="B37" s="5" t="s">
        <v>3</v>
      </c>
      <c r="C37" s="2">
        <v>30</v>
      </c>
      <c r="D37" s="6">
        <v>8000</v>
      </c>
      <c r="E37" s="7">
        <f t="shared" si="0"/>
        <v>240000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6"/>
      <c r="E38" s="7">
        <f t="shared" si="0"/>
        <v>0</v>
      </c>
    </row>
    <row r="39" spans="1:5" ht="15" x14ac:dyDescent="0.45">
      <c r="A39" s="5" t="s">
        <v>37</v>
      </c>
      <c r="B39" s="5" t="s">
        <v>3</v>
      </c>
      <c r="C39" s="2">
        <v>60</v>
      </c>
      <c r="D39" s="6">
        <v>25000</v>
      </c>
      <c r="E39" s="7">
        <f t="shared" si="0"/>
        <v>1500000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6"/>
      <c r="E40" s="7">
        <f t="shared" si="0"/>
        <v>0</v>
      </c>
    </row>
    <row r="41" spans="1:5" ht="15" hidden="1" x14ac:dyDescent="0.45">
      <c r="A41" s="5" t="s">
        <v>38</v>
      </c>
      <c r="B41" s="5" t="s">
        <v>3</v>
      </c>
      <c r="C41" s="2">
        <v>0</v>
      </c>
      <c r="D41" s="6"/>
      <c r="E41" s="7">
        <f t="shared" si="0"/>
        <v>0</v>
      </c>
    </row>
    <row r="42" spans="1:5" ht="15" x14ac:dyDescent="0.45">
      <c r="A42" s="5" t="s">
        <v>38</v>
      </c>
      <c r="B42" s="5" t="s">
        <v>32</v>
      </c>
      <c r="C42" s="2">
        <v>6</v>
      </c>
      <c r="D42" s="6">
        <v>3000</v>
      </c>
      <c r="E42" s="7">
        <f t="shared" si="0"/>
        <v>18000</v>
      </c>
    </row>
    <row r="43" spans="1:5" ht="15" hidden="1" x14ac:dyDescent="0.45">
      <c r="A43" s="5" t="s">
        <v>39</v>
      </c>
      <c r="B43" s="5" t="s">
        <v>32</v>
      </c>
      <c r="C43" s="2">
        <v>0</v>
      </c>
      <c r="D43" s="6"/>
      <c r="E43" s="7">
        <f t="shared" si="0"/>
        <v>0</v>
      </c>
    </row>
    <row r="44" spans="1:5" ht="15" x14ac:dyDescent="0.45">
      <c r="A44" s="5" t="s">
        <v>40</v>
      </c>
      <c r="B44" s="5" t="s">
        <v>3</v>
      </c>
      <c r="C44" s="2">
        <v>130</v>
      </c>
      <c r="D44" s="6">
        <v>5000</v>
      </c>
      <c r="E44" s="7">
        <f t="shared" si="0"/>
        <v>650000</v>
      </c>
    </row>
    <row r="45" spans="1:5" ht="15" hidden="1" x14ac:dyDescent="0.45">
      <c r="A45" s="5" t="s">
        <v>41</v>
      </c>
      <c r="B45" s="5" t="s">
        <v>3</v>
      </c>
      <c r="C45" s="2">
        <v>0</v>
      </c>
      <c r="D45" s="6"/>
      <c r="E45" s="7">
        <f t="shared" si="0"/>
        <v>0</v>
      </c>
    </row>
    <row r="46" spans="1:5" ht="15" x14ac:dyDescent="0.45">
      <c r="A46" s="5" t="s">
        <v>43</v>
      </c>
      <c r="B46" s="5" t="s">
        <v>3</v>
      </c>
      <c r="C46" s="2">
        <v>40</v>
      </c>
      <c r="D46" s="6">
        <v>12000</v>
      </c>
      <c r="E46" s="7">
        <f t="shared" si="0"/>
        <v>480000</v>
      </c>
    </row>
    <row r="47" spans="1:5" ht="15" hidden="1" x14ac:dyDescent="0.45">
      <c r="A47" s="5" t="s">
        <v>43</v>
      </c>
      <c r="B47" s="5" t="s">
        <v>44</v>
      </c>
      <c r="C47" s="2">
        <v>0</v>
      </c>
      <c r="D47" s="6"/>
      <c r="E47" s="7">
        <f t="shared" si="0"/>
        <v>0</v>
      </c>
    </row>
    <row r="48" spans="1:5" ht="15" x14ac:dyDescent="0.45">
      <c r="A48" s="5" t="s">
        <v>45</v>
      </c>
      <c r="B48" s="5" t="s">
        <v>3</v>
      </c>
      <c r="C48" s="2">
        <v>1</v>
      </c>
      <c r="D48" s="6">
        <v>29000</v>
      </c>
      <c r="E48" s="7">
        <f t="shared" si="0"/>
        <v>29000</v>
      </c>
    </row>
    <row r="49" spans="1:5" ht="15" x14ac:dyDescent="0.45">
      <c r="A49" s="5" t="s">
        <v>46</v>
      </c>
      <c r="B49" s="5" t="s">
        <v>3</v>
      </c>
      <c r="C49" s="2">
        <v>5</v>
      </c>
      <c r="D49" s="6">
        <v>14000</v>
      </c>
      <c r="E49" s="7">
        <f t="shared" si="0"/>
        <v>70000</v>
      </c>
    </row>
    <row r="50" spans="1:5" ht="15" x14ac:dyDescent="0.45">
      <c r="A50" s="5" t="s">
        <v>47</v>
      </c>
      <c r="B50" s="5" t="s">
        <v>27</v>
      </c>
      <c r="C50" s="2">
        <v>8</v>
      </c>
      <c r="D50" s="6">
        <v>10000</v>
      </c>
      <c r="E50" s="7">
        <f t="shared" si="0"/>
        <v>80000</v>
      </c>
    </row>
    <row r="51" spans="1:5" ht="15" hidden="1" x14ac:dyDescent="0.45">
      <c r="A51" s="5" t="s">
        <v>47</v>
      </c>
      <c r="B51" s="5" t="s">
        <v>3</v>
      </c>
      <c r="C51" s="2">
        <v>0</v>
      </c>
      <c r="D51" s="6"/>
      <c r="E51" s="7">
        <f t="shared" si="0"/>
        <v>0</v>
      </c>
    </row>
    <row r="52" spans="1:5" ht="15" x14ac:dyDescent="0.45">
      <c r="A52" s="5" t="s">
        <v>48</v>
      </c>
      <c r="B52" s="5" t="s">
        <v>3</v>
      </c>
      <c r="C52" s="2">
        <v>1</v>
      </c>
      <c r="D52" s="6">
        <v>6000</v>
      </c>
      <c r="E52" s="7">
        <f t="shared" si="0"/>
        <v>6000</v>
      </c>
    </row>
    <row r="53" spans="1:5" ht="15" x14ac:dyDescent="0.45">
      <c r="A53" s="5" t="s">
        <v>49</v>
      </c>
      <c r="B53" s="5" t="s">
        <v>3</v>
      </c>
      <c r="C53" s="2">
        <v>60</v>
      </c>
      <c r="D53" s="6">
        <v>8000</v>
      </c>
      <c r="E53" s="7">
        <f t="shared" si="0"/>
        <v>480000</v>
      </c>
    </row>
    <row r="54" spans="1:5" ht="15" hidden="1" x14ac:dyDescent="0.45">
      <c r="A54" s="5" t="s">
        <v>49</v>
      </c>
      <c r="B54" s="5" t="s">
        <v>32</v>
      </c>
      <c r="C54" s="2">
        <v>0</v>
      </c>
      <c r="D54" s="6"/>
      <c r="E54" s="7">
        <f t="shared" si="0"/>
        <v>0</v>
      </c>
    </row>
    <row r="55" spans="1:5" ht="15" x14ac:dyDescent="0.45">
      <c r="A55" s="5" t="s">
        <v>50</v>
      </c>
      <c r="B55" s="5" t="s">
        <v>3</v>
      </c>
      <c r="C55" s="2">
        <v>7</v>
      </c>
      <c r="D55" s="6">
        <v>21000</v>
      </c>
      <c r="E55" s="7">
        <f t="shared" si="0"/>
        <v>147000</v>
      </c>
    </row>
    <row r="56" spans="1:5" ht="15" x14ac:dyDescent="0.45">
      <c r="A56" s="5" t="s">
        <v>51</v>
      </c>
      <c r="B56" s="5" t="s">
        <v>3</v>
      </c>
      <c r="C56" s="2">
        <v>400</v>
      </c>
      <c r="D56" s="6">
        <v>5500</v>
      </c>
      <c r="E56" s="7">
        <f t="shared" si="0"/>
        <v>2200000</v>
      </c>
    </row>
    <row r="57" spans="1:5" ht="15" hidden="1" x14ac:dyDescent="0.45">
      <c r="A57" s="5" t="s">
        <v>51</v>
      </c>
      <c r="B57" s="5" t="s">
        <v>52</v>
      </c>
      <c r="C57" s="2">
        <v>0</v>
      </c>
      <c r="D57" s="6"/>
      <c r="E57" s="7">
        <f t="shared" si="0"/>
        <v>0</v>
      </c>
    </row>
    <row r="58" spans="1:5" ht="15" x14ac:dyDescent="0.45">
      <c r="A58" s="5" t="s">
        <v>53</v>
      </c>
      <c r="B58" s="5" t="s">
        <v>3</v>
      </c>
      <c r="C58" s="2">
        <v>80</v>
      </c>
      <c r="D58" s="6">
        <v>20000</v>
      </c>
      <c r="E58" s="7">
        <f t="shared" si="0"/>
        <v>1600000</v>
      </c>
    </row>
    <row r="59" spans="1:5" ht="15" hidden="1" x14ac:dyDescent="0.45">
      <c r="A59" s="5" t="s">
        <v>54</v>
      </c>
      <c r="B59" s="5" t="s">
        <v>3</v>
      </c>
      <c r="C59" s="2">
        <v>0</v>
      </c>
      <c r="D59" s="6"/>
      <c r="E59" s="7">
        <f t="shared" si="0"/>
        <v>0</v>
      </c>
    </row>
    <row r="60" spans="1:5" ht="15" x14ac:dyDescent="0.45">
      <c r="A60" s="5" t="s">
        <v>54</v>
      </c>
      <c r="B60" s="5" t="s">
        <v>32</v>
      </c>
      <c r="C60" s="2">
        <v>200</v>
      </c>
      <c r="D60" s="6">
        <v>1350</v>
      </c>
      <c r="E60" s="7">
        <f t="shared" si="0"/>
        <v>270000</v>
      </c>
    </row>
    <row r="61" spans="1:5" ht="15" x14ac:dyDescent="0.45">
      <c r="A61" s="5" t="s">
        <v>55</v>
      </c>
      <c r="B61" s="5" t="s">
        <v>3</v>
      </c>
      <c r="C61" s="2">
        <v>1800</v>
      </c>
      <c r="D61" s="6">
        <v>26000</v>
      </c>
      <c r="E61" s="7">
        <f t="shared" si="0"/>
        <v>46800000</v>
      </c>
    </row>
    <row r="62" spans="1:5" ht="15" x14ac:dyDescent="0.45">
      <c r="A62" s="5" t="s">
        <v>56</v>
      </c>
      <c r="B62" s="5" t="s">
        <v>3</v>
      </c>
      <c r="C62" s="2">
        <v>258</v>
      </c>
      <c r="D62" s="6">
        <v>26000</v>
      </c>
      <c r="E62" s="7">
        <f t="shared" si="0"/>
        <v>6708000</v>
      </c>
    </row>
    <row r="63" spans="1:5" ht="15" hidden="1" x14ac:dyDescent="0.45">
      <c r="A63" s="5" t="s">
        <v>56</v>
      </c>
      <c r="B63" s="5" t="s">
        <v>32</v>
      </c>
      <c r="C63" s="2">
        <v>0</v>
      </c>
      <c r="D63" s="6"/>
      <c r="E63" s="7">
        <f t="shared" si="0"/>
        <v>0</v>
      </c>
    </row>
    <row r="64" spans="1:5" ht="15" x14ac:dyDescent="0.45">
      <c r="A64" s="5" t="s">
        <v>57</v>
      </c>
      <c r="B64" s="5" t="s">
        <v>3</v>
      </c>
      <c r="C64" s="2">
        <v>50</v>
      </c>
      <c r="D64" s="6">
        <v>17000</v>
      </c>
      <c r="E64" s="7">
        <f t="shared" si="0"/>
        <v>850000</v>
      </c>
    </row>
    <row r="65" spans="1:5" ht="15" x14ac:dyDescent="0.45">
      <c r="A65" s="5" t="s">
        <v>58</v>
      </c>
      <c r="B65" s="5" t="s">
        <v>3</v>
      </c>
      <c r="C65" s="2">
        <v>60</v>
      </c>
      <c r="D65" s="6">
        <v>22000</v>
      </c>
      <c r="E65" s="7">
        <f t="shared" si="0"/>
        <v>1320000</v>
      </c>
    </row>
    <row r="66" spans="1:5" ht="15" hidden="1" x14ac:dyDescent="0.45">
      <c r="A66" s="5" t="s">
        <v>59</v>
      </c>
      <c r="B66" s="5" t="s">
        <v>3</v>
      </c>
      <c r="C66" s="2">
        <v>0</v>
      </c>
      <c r="D66" s="6"/>
      <c r="E66" s="7">
        <f t="shared" si="0"/>
        <v>0</v>
      </c>
    </row>
    <row r="67" spans="1:5" ht="15" hidden="1" x14ac:dyDescent="0.45">
      <c r="A67" s="5" t="s">
        <v>59</v>
      </c>
      <c r="B67" s="5" t="s">
        <v>32</v>
      </c>
      <c r="C67" s="2">
        <v>0</v>
      </c>
      <c r="D67" s="6"/>
      <c r="E67" s="7">
        <f t="shared" si="0"/>
        <v>0</v>
      </c>
    </row>
    <row r="68" spans="1:5" ht="15" hidden="1" x14ac:dyDescent="0.45">
      <c r="A68" s="5" t="s">
        <v>60</v>
      </c>
      <c r="B68" s="5" t="s">
        <v>3</v>
      </c>
      <c r="C68" s="2">
        <v>0</v>
      </c>
      <c r="D68" s="6"/>
      <c r="E68" s="7">
        <f t="shared" ref="E68:E117" si="1">C68*D68</f>
        <v>0</v>
      </c>
    </row>
    <row r="69" spans="1:5" ht="15" hidden="1" x14ac:dyDescent="0.45">
      <c r="A69" s="5" t="s">
        <v>61</v>
      </c>
      <c r="B69" s="5" t="s">
        <v>3</v>
      </c>
      <c r="C69" s="2">
        <v>0</v>
      </c>
      <c r="D69" s="6"/>
      <c r="E69" s="7">
        <f t="shared" si="1"/>
        <v>0</v>
      </c>
    </row>
    <row r="70" spans="1:5" ht="15" hidden="1" x14ac:dyDescent="0.45">
      <c r="A70" s="5" t="s">
        <v>61</v>
      </c>
      <c r="B70" s="5" t="s">
        <v>32</v>
      </c>
      <c r="C70" s="2">
        <v>0</v>
      </c>
      <c r="D70" s="6"/>
      <c r="E70" s="7">
        <f t="shared" si="1"/>
        <v>0</v>
      </c>
    </row>
    <row r="71" spans="1:5" ht="15" x14ac:dyDescent="0.45">
      <c r="A71" s="5" t="s">
        <v>62</v>
      </c>
      <c r="B71" s="5" t="s">
        <v>32</v>
      </c>
      <c r="C71" s="2">
        <v>136</v>
      </c>
      <c r="D71" s="6">
        <v>5000</v>
      </c>
      <c r="E71" s="7">
        <f t="shared" si="1"/>
        <v>680000</v>
      </c>
    </row>
    <row r="72" spans="1:5" ht="15" hidden="1" x14ac:dyDescent="0.45">
      <c r="A72" s="5" t="s">
        <v>63</v>
      </c>
      <c r="B72" s="5" t="s">
        <v>3</v>
      </c>
      <c r="C72" s="2">
        <v>0</v>
      </c>
      <c r="D72" s="6"/>
      <c r="E72" s="7">
        <f t="shared" si="1"/>
        <v>0</v>
      </c>
    </row>
    <row r="73" spans="1:5" ht="15" x14ac:dyDescent="0.45">
      <c r="A73" s="5" t="s">
        <v>64</v>
      </c>
      <c r="B73" s="5" t="s">
        <v>32</v>
      </c>
      <c r="C73" s="2">
        <v>19</v>
      </c>
      <c r="D73" s="6">
        <v>8000</v>
      </c>
      <c r="E73" s="7">
        <f t="shared" si="1"/>
        <v>152000</v>
      </c>
    </row>
    <row r="74" spans="1:5" ht="15" hidden="1" x14ac:dyDescent="0.45">
      <c r="A74" s="5" t="s">
        <v>65</v>
      </c>
      <c r="B74" s="5" t="s">
        <v>3</v>
      </c>
      <c r="C74" s="2">
        <v>0</v>
      </c>
      <c r="D74" s="6"/>
      <c r="E74" s="7">
        <f t="shared" si="1"/>
        <v>0</v>
      </c>
    </row>
    <row r="75" spans="1:5" ht="15" x14ac:dyDescent="0.45">
      <c r="A75" s="5" t="s">
        <v>65</v>
      </c>
      <c r="B75" s="5" t="s">
        <v>32</v>
      </c>
      <c r="C75" s="2">
        <v>6</v>
      </c>
      <c r="D75" s="6">
        <v>7000</v>
      </c>
      <c r="E75" s="7">
        <f t="shared" si="1"/>
        <v>42000</v>
      </c>
    </row>
    <row r="76" spans="1:5" ht="15" hidden="1" x14ac:dyDescent="0.45">
      <c r="A76" s="5" t="s">
        <v>66</v>
      </c>
      <c r="B76" s="5" t="s">
        <v>3</v>
      </c>
      <c r="C76" s="2">
        <v>0</v>
      </c>
      <c r="D76" s="6"/>
      <c r="E76" s="7">
        <f t="shared" si="1"/>
        <v>0</v>
      </c>
    </row>
    <row r="77" spans="1:5" ht="15" hidden="1" x14ac:dyDescent="0.45">
      <c r="A77" s="5" t="s">
        <v>68</v>
      </c>
      <c r="B77" s="5" t="s">
        <v>3</v>
      </c>
      <c r="C77" s="2">
        <v>0</v>
      </c>
      <c r="D77" s="6"/>
      <c r="E77" s="7">
        <f t="shared" si="1"/>
        <v>0</v>
      </c>
    </row>
    <row r="78" spans="1:5" ht="15" hidden="1" x14ac:dyDescent="0.45">
      <c r="A78" s="5" t="s">
        <v>69</v>
      </c>
      <c r="B78" s="5" t="s">
        <v>3</v>
      </c>
      <c r="C78" s="2">
        <v>0</v>
      </c>
      <c r="D78" s="6"/>
      <c r="E78" s="7">
        <f t="shared" si="1"/>
        <v>0</v>
      </c>
    </row>
    <row r="79" spans="1:5" ht="15" hidden="1" x14ac:dyDescent="0.45">
      <c r="A79" s="5" t="s">
        <v>70</v>
      </c>
      <c r="B79" s="5" t="s">
        <v>3</v>
      </c>
      <c r="C79" s="2">
        <v>0</v>
      </c>
      <c r="D79" s="6"/>
      <c r="E79" s="7">
        <f t="shared" si="1"/>
        <v>0</v>
      </c>
    </row>
    <row r="80" spans="1:5" ht="15" x14ac:dyDescent="0.45">
      <c r="A80" s="5" t="s">
        <v>70</v>
      </c>
      <c r="B80" s="5" t="s">
        <v>18</v>
      </c>
      <c r="C80" s="2">
        <v>689</v>
      </c>
      <c r="D80" s="6">
        <v>5000</v>
      </c>
      <c r="E80" s="7">
        <f t="shared" si="1"/>
        <v>3445000</v>
      </c>
    </row>
    <row r="81" spans="1:5" ht="15" hidden="1" x14ac:dyDescent="0.45">
      <c r="A81" s="5" t="s">
        <v>71</v>
      </c>
      <c r="B81" s="5" t="s">
        <v>3</v>
      </c>
      <c r="C81" s="2">
        <v>0</v>
      </c>
      <c r="D81" s="6"/>
      <c r="E81" s="7">
        <f t="shared" si="1"/>
        <v>0</v>
      </c>
    </row>
    <row r="82" spans="1:5" ht="15" x14ac:dyDescent="0.45">
      <c r="A82" s="5" t="s">
        <v>72</v>
      </c>
      <c r="B82" s="5" t="s">
        <v>3</v>
      </c>
      <c r="C82" s="2">
        <v>32</v>
      </c>
      <c r="D82" s="6">
        <v>14000</v>
      </c>
      <c r="E82" s="7">
        <f t="shared" si="1"/>
        <v>448000</v>
      </c>
    </row>
    <row r="83" spans="1:5" ht="15" x14ac:dyDescent="0.45">
      <c r="A83" s="5" t="s">
        <v>73</v>
      </c>
      <c r="B83" s="5" t="s">
        <v>3</v>
      </c>
      <c r="C83" s="2">
        <v>8</v>
      </c>
      <c r="D83" s="6">
        <v>10000</v>
      </c>
      <c r="E83" s="7">
        <f t="shared" si="1"/>
        <v>80000</v>
      </c>
    </row>
    <row r="84" spans="1:5" ht="15" hidden="1" x14ac:dyDescent="0.45">
      <c r="A84" s="5" t="s">
        <v>73</v>
      </c>
      <c r="B84" s="5" t="s">
        <v>44</v>
      </c>
      <c r="C84" s="2">
        <v>0</v>
      </c>
      <c r="D84" s="6"/>
      <c r="E84" s="7">
        <f t="shared" si="1"/>
        <v>0</v>
      </c>
    </row>
    <row r="85" spans="1:5" ht="15" hidden="1" x14ac:dyDescent="0.45">
      <c r="A85" s="5" t="s">
        <v>74</v>
      </c>
      <c r="B85" s="5" t="s">
        <v>32</v>
      </c>
      <c r="C85" s="2">
        <v>0</v>
      </c>
      <c r="D85" s="6"/>
      <c r="E85" s="7">
        <f t="shared" si="1"/>
        <v>0</v>
      </c>
    </row>
    <row r="86" spans="1:5" ht="15" hidden="1" x14ac:dyDescent="0.45">
      <c r="A86" s="5" t="s">
        <v>75</v>
      </c>
      <c r="B86" s="5" t="s">
        <v>3</v>
      </c>
      <c r="C86" s="2">
        <v>0</v>
      </c>
      <c r="D86" s="6"/>
      <c r="E86" s="7">
        <f t="shared" si="1"/>
        <v>0</v>
      </c>
    </row>
    <row r="87" spans="1:5" ht="15" hidden="1" x14ac:dyDescent="0.45">
      <c r="A87" s="5" t="s">
        <v>76</v>
      </c>
      <c r="B87" s="5" t="s">
        <v>27</v>
      </c>
      <c r="C87" s="2">
        <v>0</v>
      </c>
      <c r="D87" s="6"/>
      <c r="E87" s="7">
        <f t="shared" si="1"/>
        <v>0</v>
      </c>
    </row>
    <row r="88" spans="1:5" ht="15" x14ac:dyDescent="0.45">
      <c r="A88" s="5" t="s">
        <v>76</v>
      </c>
      <c r="B88" s="5" t="s">
        <v>3</v>
      </c>
      <c r="C88" s="2">
        <v>352</v>
      </c>
      <c r="D88" s="6">
        <v>57000</v>
      </c>
      <c r="E88" s="7">
        <f t="shared" si="1"/>
        <v>20064000</v>
      </c>
    </row>
    <row r="89" spans="1:5" ht="15" hidden="1" x14ac:dyDescent="0.45">
      <c r="A89" s="5" t="s">
        <v>76</v>
      </c>
      <c r="B89" s="5" t="s">
        <v>112</v>
      </c>
      <c r="C89" s="2">
        <v>0</v>
      </c>
      <c r="D89" s="6"/>
      <c r="E89" s="7">
        <f t="shared" si="1"/>
        <v>0</v>
      </c>
    </row>
    <row r="90" spans="1:5" ht="15" hidden="1" x14ac:dyDescent="0.45">
      <c r="A90" s="5" t="s">
        <v>79</v>
      </c>
      <c r="B90" s="5" t="s">
        <v>18</v>
      </c>
      <c r="C90" s="2">
        <v>0</v>
      </c>
      <c r="D90" s="6"/>
      <c r="E90" s="7">
        <f t="shared" si="1"/>
        <v>0</v>
      </c>
    </row>
    <row r="91" spans="1:5" ht="15" hidden="1" x14ac:dyDescent="0.45">
      <c r="A91" s="5" t="s">
        <v>80</v>
      </c>
      <c r="B91" s="5" t="s">
        <v>27</v>
      </c>
      <c r="C91" s="2">
        <v>0</v>
      </c>
      <c r="D91" s="6"/>
      <c r="E91" s="7">
        <f t="shared" si="1"/>
        <v>0</v>
      </c>
    </row>
    <row r="92" spans="1:5" ht="15" hidden="1" x14ac:dyDescent="0.45">
      <c r="A92" s="5" t="s">
        <v>80</v>
      </c>
      <c r="B92" s="5" t="s">
        <v>3</v>
      </c>
      <c r="C92" s="2">
        <v>0</v>
      </c>
      <c r="D92" s="6"/>
      <c r="E92" s="7">
        <f t="shared" si="1"/>
        <v>0</v>
      </c>
    </row>
    <row r="93" spans="1:5" ht="15" x14ac:dyDescent="0.45">
      <c r="A93" s="5" t="s">
        <v>81</v>
      </c>
      <c r="B93" s="5" t="s">
        <v>3</v>
      </c>
      <c r="C93" s="2">
        <v>40</v>
      </c>
      <c r="D93" s="6">
        <v>40000</v>
      </c>
      <c r="E93" s="7">
        <f t="shared" si="1"/>
        <v>1600000</v>
      </c>
    </row>
    <row r="94" spans="1:5" ht="15" hidden="1" x14ac:dyDescent="0.45">
      <c r="A94" s="5" t="s">
        <v>81</v>
      </c>
      <c r="B94" s="5" t="s">
        <v>11</v>
      </c>
      <c r="C94" s="2">
        <v>0</v>
      </c>
      <c r="D94" s="6"/>
      <c r="E94" s="7">
        <f t="shared" si="1"/>
        <v>0</v>
      </c>
    </row>
    <row r="95" spans="1:5" ht="15" hidden="1" x14ac:dyDescent="0.45">
      <c r="A95" s="5" t="s">
        <v>83</v>
      </c>
      <c r="B95" s="5" t="s">
        <v>3</v>
      </c>
      <c r="C95" s="2">
        <v>0</v>
      </c>
      <c r="D95" s="6"/>
      <c r="E95" s="7">
        <f t="shared" si="1"/>
        <v>0</v>
      </c>
    </row>
    <row r="96" spans="1:5" ht="15" hidden="1" x14ac:dyDescent="0.45">
      <c r="A96" s="5" t="s">
        <v>83</v>
      </c>
      <c r="B96" s="5" t="s">
        <v>11</v>
      </c>
      <c r="C96" s="2">
        <v>0</v>
      </c>
      <c r="D96" s="6"/>
      <c r="E96" s="7">
        <f t="shared" si="1"/>
        <v>0</v>
      </c>
    </row>
    <row r="97" spans="1:5" ht="15" x14ac:dyDescent="0.45">
      <c r="A97" s="5" t="s">
        <v>84</v>
      </c>
      <c r="B97" s="5" t="s">
        <v>3</v>
      </c>
      <c r="C97" s="2">
        <v>20</v>
      </c>
      <c r="D97" s="6">
        <v>30000</v>
      </c>
      <c r="E97" s="7">
        <f t="shared" si="1"/>
        <v>600000</v>
      </c>
    </row>
    <row r="98" spans="1:5" ht="15" x14ac:dyDescent="0.45">
      <c r="A98" s="5" t="s">
        <v>85</v>
      </c>
      <c r="B98" s="5" t="s">
        <v>3</v>
      </c>
      <c r="C98" s="2">
        <v>20</v>
      </c>
      <c r="D98" s="6">
        <v>30000</v>
      </c>
      <c r="E98" s="7">
        <f t="shared" si="1"/>
        <v>600000</v>
      </c>
    </row>
    <row r="99" spans="1:5" ht="15" hidden="1" x14ac:dyDescent="0.45">
      <c r="A99" s="5" t="s">
        <v>85</v>
      </c>
      <c r="B99" s="5" t="s">
        <v>11</v>
      </c>
      <c r="C99" s="2">
        <v>0</v>
      </c>
      <c r="D99" s="6"/>
      <c r="E99" s="7">
        <f t="shared" si="1"/>
        <v>0</v>
      </c>
    </row>
    <row r="100" spans="1:5" ht="15" x14ac:dyDescent="0.45">
      <c r="A100" s="5" t="s">
        <v>113</v>
      </c>
      <c r="B100" s="5" t="s">
        <v>3</v>
      </c>
      <c r="C100" s="2">
        <v>20</v>
      </c>
      <c r="D100" s="6">
        <v>20000</v>
      </c>
      <c r="E100" s="7">
        <f t="shared" si="1"/>
        <v>400000</v>
      </c>
    </row>
    <row r="101" spans="1:5" ht="15" hidden="1" x14ac:dyDescent="0.45">
      <c r="A101" s="5" t="s">
        <v>86</v>
      </c>
      <c r="B101" s="5" t="s">
        <v>3</v>
      </c>
      <c r="C101" s="2">
        <v>0</v>
      </c>
      <c r="D101" s="6"/>
      <c r="E101" s="7">
        <f t="shared" si="1"/>
        <v>0</v>
      </c>
    </row>
    <row r="102" spans="1:5" ht="15" x14ac:dyDescent="0.45">
      <c r="A102" s="5" t="s">
        <v>86</v>
      </c>
      <c r="B102" s="5" t="s">
        <v>32</v>
      </c>
      <c r="C102" s="2">
        <v>50</v>
      </c>
      <c r="D102" s="6">
        <v>17000</v>
      </c>
      <c r="E102" s="7">
        <f t="shared" si="1"/>
        <v>850000</v>
      </c>
    </row>
    <row r="103" spans="1:5" ht="15" hidden="1" x14ac:dyDescent="0.45">
      <c r="A103" s="5" t="s">
        <v>87</v>
      </c>
      <c r="B103" s="5" t="s">
        <v>32</v>
      </c>
      <c r="C103" s="2">
        <v>0</v>
      </c>
      <c r="D103" s="6"/>
      <c r="E103" s="7">
        <f t="shared" si="1"/>
        <v>0</v>
      </c>
    </row>
    <row r="104" spans="1:5" ht="15" hidden="1" x14ac:dyDescent="0.45">
      <c r="A104" s="5" t="s">
        <v>133</v>
      </c>
      <c r="B104" s="5" t="s">
        <v>3</v>
      </c>
      <c r="C104" s="2">
        <v>0</v>
      </c>
      <c r="D104" s="6"/>
      <c r="E104" s="7">
        <f t="shared" si="1"/>
        <v>0</v>
      </c>
    </row>
    <row r="105" spans="1:5" ht="15" hidden="1" x14ac:dyDescent="0.45">
      <c r="A105" s="5" t="s">
        <v>125</v>
      </c>
      <c r="B105" s="5" t="s">
        <v>3</v>
      </c>
      <c r="C105" s="2">
        <v>0</v>
      </c>
      <c r="D105" s="6"/>
      <c r="E105" s="7">
        <f t="shared" si="1"/>
        <v>0</v>
      </c>
    </row>
    <row r="106" spans="1:5" ht="15" x14ac:dyDescent="0.45">
      <c r="A106" s="5" t="s">
        <v>91</v>
      </c>
      <c r="B106" s="5" t="s">
        <v>3</v>
      </c>
      <c r="C106" s="2">
        <v>10</v>
      </c>
      <c r="D106" s="6">
        <v>18000</v>
      </c>
      <c r="E106" s="7">
        <f t="shared" si="1"/>
        <v>180000</v>
      </c>
    </row>
    <row r="107" spans="1:5" ht="15" x14ac:dyDescent="0.45">
      <c r="A107" s="5" t="s">
        <v>92</v>
      </c>
      <c r="B107" s="5" t="s">
        <v>3</v>
      </c>
      <c r="C107" s="2">
        <v>80</v>
      </c>
      <c r="D107" s="6">
        <v>5000</v>
      </c>
      <c r="E107" s="7">
        <f t="shared" si="1"/>
        <v>400000</v>
      </c>
    </row>
    <row r="108" spans="1:5" ht="15" hidden="1" x14ac:dyDescent="0.45">
      <c r="A108" s="5" t="s">
        <v>93</v>
      </c>
      <c r="B108" s="5" t="s">
        <v>3</v>
      </c>
      <c r="C108" s="2">
        <v>0</v>
      </c>
      <c r="D108" s="6"/>
      <c r="E108" s="7">
        <f t="shared" si="1"/>
        <v>0</v>
      </c>
    </row>
    <row r="109" spans="1:5" ht="15" x14ac:dyDescent="0.45">
      <c r="A109" s="5" t="s">
        <v>94</v>
      </c>
      <c r="B109" s="5" t="s">
        <v>3</v>
      </c>
      <c r="C109" s="2">
        <v>8</v>
      </c>
      <c r="D109" s="6">
        <v>14000</v>
      </c>
      <c r="E109" s="7">
        <f t="shared" si="1"/>
        <v>112000</v>
      </c>
    </row>
    <row r="110" spans="1:5" ht="15" hidden="1" x14ac:dyDescent="0.45">
      <c r="A110" s="5" t="s">
        <v>96</v>
      </c>
      <c r="B110" s="5" t="s">
        <v>3</v>
      </c>
      <c r="C110" s="2">
        <v>0</v>
      </c>
      <c r="D110" s="6"/>
      <c r="E110" s="7">
        <f t="shared" si="1"/>
        <v>0</v>
      </c>
    </row>
    <row r="111" spans="1:5" ht="15" x14ac:dyDescent="0.45">
      <c r="A111" s="5" t="s">
        <v>97</v>
      </c>
      <c r="B111" s="5" t="s">
        <v>44</v>
      </c>
      <c r="C111" s="2">
        <v>40</v>
      </c>
      <c r="D111" s="6">
        <v>6800</v>
      </c>
      <c r="E111" s="7">
        <f t="shared" si="1"/>
        <v>272000</v>
      </c>
    </row>
    <row r="112" spans="1:5" ht="15" hidden="1" x14ac:dyDescent="0.45">
      <c r="A112" s="5" t="s">
        <v>98</v>
      </c>
      <c r="B112" s="5" t="s">
        <v>3</v>
      </c>
      <c r="C112" s="2">
        <v>0</v>
      </c>
      <c r="D112" s="6"/>
      <c r="E112" s="7">
        <f t="shared" si="1"/>
        <v>0</v>
      </c>
    </row>
    <row r="113" spans="1:5" ht="15" hidden="1" x14ac:dyDescent="0.45">
      <c r="A113" s="5" t="s">
        <v>99</v>
      </c>
      <c r="B113" s="5" t="s">
        <v>44</v>
      </c>
      <c r="C113" s="2">
        <v>0</v>
      </c>
      <c r="D113" s="6"/>
      <c r="E113" s="7">
        <f t="shared" si="1"/>
        <v>0</v>
      </c>
    </row>
    <row r="114" spans="1:5" ht="15" hidden="1" x14ac:dyDescent="0.45">
      <c r="A114" s="5" t="s">
        <v>126</v>
      </c>
      <c r="B114" s="5" t="s">
        <v>3</v>
      </c>
      <c r="C114" s="2">
        <v>0</v>
      </c>
      <c r="D114" s="6"/>
      <c r="E114" s="7">
        <f t="shared" si="1"/>
        <v>0</v>
      </c>
    </row>
    <row r="115" spans="1:5" ht="15" hidden="1" x14ac:dyDescent="0.45">
      <c r="A115" s="5" t="s">
        <v>114</v>
      </c>
      <c r="B115" s="5" t="s">
        <v>3</v>
      </c>
      <c r="C115" s="2">
        <v>0</v>
      </c>
      <c r="D115" s="6"/>
      <c r="E115" s="7">
        <f t="shared" si="1"/>
        <v>0</v>
      </c>
    </row>
    <row r="116" spans="1:5" ht="15" hidden="1" x14ac:dyDescent="0.45">
      <c r="A116" s="5" t="s">
        <v>100</v>
      </c>
      <c r="B116" s="5" t="s">
        <v>3</v>
      </c>
      <c r="C116" s="2">
        <v>0</v>
      </c>
      <c r="D116" s="6"/>
      <c r="E116" s="7">
        <f t="shared" si="1"/>
        <v>0</v>
      </c>
    </row>
    <row r="117" spans="1:5" ht="15" hidden="1" x14ac:dyDescent="0.45">
      <c r="A117" s="5" t="s">
        <v>101</v>
      </c>
      <c r="B117" s="5" t="s">
        <v>44</v>
      </c>
      <c r="C117" s="2">
        <v>0</v>
      </c>
      <c r="D117" s="6"/>
      <c r="E117" s="7">
        <f t="shared" si="1"/>
        <v>0</v>
      </c>
    </row>
    <row r="118" spans="1:5" x14ac:dyDescent="0.45">
      <c r="E118" s="8">
        <f>SUM(E3:E111)</f>
        <v>118031500</v>
      </c>
    </row>
  </sheetData>
  <autoFilter ref="A2:E117" xr:uid="{00000000-0009-0000-0000-000009000000}">
    <filterColumn colId="2">
      <filters>
        <filter val="1"/>
        <filter val="1,441"/>
        <filter val="1,800"/>
        <filter val="10"/>
        <filter val="103"/>
        <filter val="130"/>
        <filter val="136"/>
        <filter val="14"/>
        <filter val="150"/>
        <filter val="19"/>
        <filter val="20"/>
        <filter val="200"/>
        <filter val="24"/>
        <filter val="240"/>
        <filter val="258"/>
        <filter val="30"/>
        <filter val="32"/>
        <filter val="352"/>
        <filter val="370"/>
        <filter val="4"/>
        <filter val="40"/>
        <filter val="400"/>
        <filter val="45"/>
        <filter val="5"/>
        <filter val="50"/>
        <filter val="6"/>
        <filter val="60"/>
        <filter val="65"/>
        <filter val="689"/>
        <filter val="7"/>
        <filter val="8"/>
        <filter val="80"/>
        <filter val="97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119"/>
  <sheetViews>
    <sheetView workbookViewId="0">
      <selection activeCell="E12" activeCellId="1" sqref="E46 E12"/>
    </sheetView>
  </sheetViews>
  <sheetFormatPr defaultRowHeight="14.25" x14ac:dyDescent="0.45"/>
  <cols>
    <col min="1" max="1" width="26.19921875" customWidth="1"/>
    <col min="3" max="3" width="7.6640625" customWidth="1"/>
    <col min="4" max="4" width="11" customWidth="1"/>
    <col min="5" max="5" width="17.46484375" customWidth="1"/>
  </cols>
  <sheetData>
    <row r="1" spans="1:5" x14ac:dyDescent="0.45">
      <c r="A1" t="s">
        <v>144</v>
      </c>
    </row>
    <row r="2" spans="1:5" x14ac:dyDescent="0.45">
      <c r="A2" t="s">
        <v>0</v>
      </c>
      <c r="B2" t="s">
        <v>1</v>
      </c>
      <c r="C2" t="s">
        <v>103</v>
      </c>
      <c r="D2" t="s">
        <v>104</v>
      </c>
      <c r="E2" t="s">
        <v>105</v>
      </c>
    </row>
    <row r="3" spans="1:5" x14ac:dyDescent="0.45">
      <c r="A3" t="s">
        <v>33</v>
      </c>
      <c r="B3" t="s">
        <v>3</v>
      </c>
      <c r="C3">
        <v>95</v>
      </c>
      <c r="D3">
        <v>11000</v>
      </c>
      <c r="E3">
        <f>C3*D3</f>
        <v>1045000</v>
      </c>
    </row>
    <row r="4" spans="1:5" hidden="1" x14ac:dyDescent="0.45">
      <c r="A4" t="s">
        <v>33</v>
      </c>
      <c r="B4" t="s">
        <v>32</v>
      </c>
      <c r="C4">
        <v>0</v>
      </c>
      <c r="E4">
        <f t="shared" ref="E4:E67" si="0">C4*D4</f>
        <v>0</v>
      </c>
    </row>
    <row r="5" spans="1:5" x14ac:dyDescent="0.45">
      <c r="A5" t="s">
        <v>34</v>
      </c>
      <c r="B5" t="s">
        <v>18</v>
      </c>
      <c r="C5">
        <v>20</v>
      </c>
      <c r="D5">
        <v>5500</v>
      </c>
      <c r="E5">
        <f t="shared" si="0"/>
        <v>110000</v>
      </c>
    </row>
    <row r="6" spans="1:5" x14ac:dyDescent="0.45">
      <c r="A6" t="s">
        <v>47</v>
      </c>
      <c r="B6" t="s">
        <v>27</v>
      </c>
      <c r="C6">
        <v>3</v>
      </c>
      <c r="D6">
        <v>10000</v>
      </c>
      <c r="E6">
        <f t="shared" si="0"/>
        <v>30000</v>
      </c>
    </row>
    <row r="7" spans="1:5" x14ac:dyDescent="0.45">
      <c r="A7" t="s">
        <v>49</v>
      </c>
      <c r="B7" t="s">
        <v>3</v>
      </c>
      <c r="C7">
        <v>20</v>
      </c>
      <c r="D7">
        <v>8000</v>
      </c>
      <c r="E7">
        <f t="shared" si="0"/>
        <v>160000</v>
      </c>
    </row>
    <row r="8" spans="1:5" hidden="1" x14ac:dyDescent="0.45">
      <c r="A8" t="s">
        <v>49</v>
      </c>
      <c r="B8" t="s">
        <v>32</v>
      </c>
      <c r="C8">
        <v>0</v>
      </c>
      <c r="E8">
        <f t="shared" si="0"/>
        <v>0</v>
      </c>
    </row>
    <row r="9" spans="1:5" x14ac:dyDescent="0.45">
      <c r="A9" t="s">
        <v>51</v>
      </c>
      <c r="B9" t="s">
        <v>3</v>
      </c>
      <c r="C9">
        <v>410</v>
      </c>
      <c r="D9">
        <v>5500</v>
      </c>
      <c r="E9">
        <f t="shared" si="0"/>
        <v>2255000</v>
      </c>
    </row>
    <row r="10" spans="1:5" hidden="1" x14ac:dyDescent="0.45">
      <c r="A10" t="s">
        <v>51</v>
      </c>
      <c r="B10" t="s">
        <v>52</v>
      </c>
      <c r="C10">
        <v>0</v>
      </c>
      <c r="E10">
        <f t="shared" si="0"/>
        <v>0</v>
      </c>
    </row>
    <row r="11" spans="1:5" x14ac:dyDescent="0.45">
      <c r="A11" t="s">
        <v>54</v>
      </c>
      <c r="B11" t="s">
        <v>32</v>
      </c>
      <c r="C11">
        <v>60</v>
      </c>
      <c r="D11">
        <v>1350</v>
      </c>
      <c r="E11">
        <f t="shared" si="0"/>
        <v>81000</v>
      </c>
    </row>
    <row r="12" spans="1:5" x14ac:dyDescent="0.45">
      <c r="A12" t="s">
        <v>56</v>
      </c>
      <c r="B12" t="s">
        <v>3</v>
      </c>
      <c r="C12">
        <v>650</v>
      </c>
      <c r="D12">
        <v>26000</v>
      </c>
      <c r="E12">
        <f t="shared" si="0"/>
        <v>16900000</v>
      </c>
    </row>
    <row r="13" spans="1:5" hidden="1" x14ac:dyDescent="0.45">
      <c r="A13" t="s">
        <v>57</v>
      </c>
      <c r="B13" t="s">
        <v>3</v>
      </c>
      <c r="C13">
        <v>0</v>
      </c>
      <c r="E13">
        <f t="shared" si="0"/>
        <v>0</v>
      </c>
    </row>
    <row r="14" spans="1:5" x14ac:dyDescent="0.45">
      <c r="A14" t="s">
        <v>61</v>
      </c>
      <c r="B14" t="s">
        <v>3</v>
      </c>
      <c r="C14">
        <v>520</v>
      </c>
      <c r="D14">
        <v>12500</v>
      </c>
      <c r="E14">
        <f t="shared" si="0"/>
        <v>6500000</v>
      </c>
    </row>
    <row r="15" spans="1:5" hidden="1" x14ac:dyDescent="0.45">
      <c r="A15" t="s">
        <v>61</v>
      </c>
      <c r="B15" t="s">
        <v>32</v>
      </c>
      <c r="C15">
        <v>0</v>
      </c>
      <c r="E15">
        <f t="shared" si="0"/>
        <v>0</v>
      </c>
    </row>
    <row r="16" spans="1:5" hidden="1" x14ac:dyDescent="0.45">
      <c r="A16" t="s">
        <v>17</v>
      </c>
      <c r="B16" t="s">
        <v>18</v>
      </c>
      <c r="C16">
        <v>0</v>
      </c>
      <c r="E16">
        <f t="shared" si="0"/>
        <v>0</v>
      </c>
    </row>
    <row r="17" spans="1:5" x14ac:dyDescent="0.45">
      <c r="A17" t="s">
        <v>5</v>
      </c>
      <c r="B17" t="s">
        <v>3</v>
      </c>
      <c r="C17">
        <v>900</v>
      </c>
      <c r="D17">
        <v>4000</v>
      </c>
      <c r="E17">
        <f t="shared" si="0"/>
        <v>3600000</v>
      </c>
    </row>
    <row r="18" spans="1:5" hidden="1" x14ac:dyDescent="0.45">
      <c r="A18" t="s">
        <v>37</v>
      </c>
      <c r="B18" t="s">
        <v>3</v>
      </c>
      <c r="C18">
        <v>0</v>
      </c>
      <c r="E18">
        <f t="shared" si="0"/>
        <v>0</v>
      </c>
    </row>
    <row r="19" spans="1:5" hidden="1" x14ac:dyDescent="0.45">
      <c r="A19" t="s">
        <v>37</v>
      </c>
      <c r="B19" t="s">
        <v>32</v>
      </c>
      <c r="C19">
        <v>0</v>
      </c>
      <c r="E19">
        <f t="shared" si="0"/>
        <v>0</v>
      </c>
    </row>
    <row r="20" spans="1:5" hidden="1" x14ac:dyDescent="0.45">
      <c r="A20" t="s">
        <v>39</v>
      </c>
      <c r="B20" t="s">
        <v>32</v>
      </c>
      <c r="C20">
        <v>0</v>
      </c>
      <c r="E20">
        <f t="shared" si="0"/>
        <v>0</v>
      </c>
    </row>
    <row r="21" spans="1:5" x14ac:dyDescent="0.45">
      <c r="A21" t="s">
        <v>40</v>
      </c>
      <c r="B21" t="s">
        <v>3</v>
      </c>
      <c r="C21">
        <v>170</v>
      </c>
      <c r="D21">
        <v>4500</v>
      </c>
      <c r="E21">
        <f t="shared" si="0"/>
        <v>765000</v>
      </c>
    </row>
    <row r="22" spans="1:5" x14ac:dyDescent="0.45">
      <c r="A22" t="s">
        <v>43</v>
      </c>
      <c r="B22" t="s">
        <v>3</v>
      </c>
      <c r="C22">
        <v>40</v>
      </c>
      <c r="D22">
        <v>12000</v>
      </c>
      <c r="E22">
        <f t="shared" si="0"/>
        <v>480000</v>
      </c>
    </row>
    <row r="23" spans="1:5" hidden="1" x14ac:dyDescent="0.45">
      <c r="A23" t="s">
        <v>43</v>
      </c>
      <c r="B23" t="s">
        <v>44</v>
      </c>
      <c r="C23">
        <v>0</v>
      </c>
      <c r="E23">
        <f t="shared" si="0"/>
        <v>0</v>
      </c>
    </row>
    <row r="24" spans="1:5" x14ac:dyDescent="0.45">
      <c r="A24" t="s">
        <v>8</v>
      </c>
      <c r="B24" t="s">
        <v>3</v>
      </c>
      <c r="C24">
        <v>1011</v>
      </c>
      <c r="D24">
        <v>7000</v>
      </c>
      <c r="E24">
        <f t="shared" si="0"/>
        <v>7077000</v>
      </c>
    </row>
    <row r="25" spans="1:5" hidden="1" x14ac:dyDescent="0.45">
      <c r="A25" t="s">
        <v>10</v>
      </c>
      <c r="B25" t="s">
        <v>3</v>
      </c>
      <c r="C25">
        <v>0</v>
      </c>
      <c r="E25">
        <f t="shared" si="0"/>
        <v>0</v>
      </c>
    </row>
    <row r="26" spans="1:5" hidden="1" x14ac:dyDescent="0.45">
      <c r="A26" t="s">
        <v>10</v>
      </c>
      <c r="B26" t="s">
        <v>11</v>
      </c>
      <c r="C26">
        <v>0</v>
      </c>
      <c r="E26">
        <f t="shared" si="0"/>
        <v>0</v>
      </c>
    </row>
    <row r="27" spans="1:5" x14ac:dyDescent="0.45">
      <c r="A27" t="s">
        <v>12</v>
      </c>
      <c r="B27" t="s">
        <v>3</v>
      </c>
      <c r="C27">
        <v>106</v>
      </c>
      <c r="D27">
        <v>10000</v>
      </c>
      <c r="E27">
        <f t="shared" si="0"/>
        <v>1060000</v>
      </c>
    </row>
    <row r="28" spans="1:5" hidden="1" x14ac:dyDescent="0.45">
      <c r="A28" t="s">
        <v>12</v>
      </c>
      <c r="B28" t="s">
        <v>11</v>
      </c>
      <c r="C28">
        <v>0</v>
      </c>
      <c r="E28">
        <f t="shared" si="0"/>
        <v>0</v>
      </c>
    </row>
    <row r="29" spans="1:5" x14ac:dyDescent="0.45">
      <c r="A29" t="s">
        <v>20</v>
      </c>
      <c r="B29" t="s">
        <v>3</v>
      </c>
      <c r="C29">
        <v>290</v>
      </c>
      <c r="D29">
        <v>15000</v>
      </c>
      <c r="E29">
        <f t="shared" si="0"/>
        <v>4350000</v>
      </c>
    </row>
    <row r="30" spans="1:5" hidden="1" x14ac:dyDescent="0.45">
      <c r="A30" t="s">
        <v>20</v>
      </c>
      <c r="B30" t="s">
        <v>18</v>
      </c>
      <c r="C30">
        <v>0</v>
      </c>
      <c r="E30">
        <f t="shared" si="0"/>
        <v>0</v>
      </c>
    </row>
    <row r="31" spans="1:5" hidden="1" x14ac:dyDescent="0.45">
      <c r="A31" t="s">
        <v>20</v>
      </c>
      <c r="B31" t="s">
        <v>21</v>
      </c>
      <c r="C31">
        <v>0</v>
      </c>
      <c r="E31">
        <f t="shared" si="0"/>
        <v>0</v>
      </c>
    </row>
    <row r="32" spans="1:5" x14ac:dyDescent="0.45">
      <c r="A32" t="s">
        <v>30</v>
      </c>
      <c r="B32" t="s">
        <v>3</v>
      </c>
      <c r="C32">
        <v>200</v>
      </c>
      <c r="D32">
        <v>9000</v>
      </c>
      <c r="E32">
        <f t="shared" si="0"/>
        <v>1800000</v>
      </c>
    </row>
    <row r="33" spans="1:5" hidden="1" x14ac:dyDescent="0.45">
      <c r="A33" t="s">
        <v>30</v>
      </c>
      <c r="B33" t="s">
        <v>18</v>
      </c>
      <c r="C33">
        <v>0</v>
      </c>
      <c r="E33">
        <f t="shared" si="0"/>
        <v>0</v>
      </c>
    </row>
    <row r="34" spans="1:5" x14ac:dyDescent="0.45">
      <c r="A34" t="s">
        <v>31</v>
      </c>
      <c r="B34" t="s">
        <v>32</v>
      </c>
      <c r="C34">
        <v>120</v>
      </c>
      <c r="D34">
        <v>6000</v>
      </c>
      <c r="E34">
        <f t="shared" si="0"/>
        <v>720000</v>
      </c>
    </row>
    <row r="35" spans="1:5" x14ac:dyDescent="0.45">
      <c r="A35" t="s">
        <v>70</v>
      </c>
      <c r="B35" t="s">
        <v>3</v>
      </c>
      <c r="C35">
        <v>20</v>
      </c>
      <c r="D35">
        <v>11000</v>
      </c>
      <c r="E35">
        <f t="shared" si="0"/>
        <v>220000</v>
      </c>
    </row>
    <row r="36" spans="1:5" x14ac:dyDescent="0.45">
      <c r="A36" t="s">
        <v>70</v>
      </c>
      <c r="B36" t="s">
        <v>18</v>
      </c>
      <c r="C36">
        <v>689</v>
      </c>
      <c r="D36">
        <v>6500</v>
      </c>
      <c r="E36">
        <f t="shared" si="0"/>
        <v>4478500</v>
      </c>
    </row>
    <row r="37" spans="1:5" x14ac:dyDescent="0.45">
      <c r="A37" t="s">
        <v>72</v>
      </c>
      <c r="B37" t="s">
        <v>3</v>
      </c>
      <c r="C37">
        <v>16</v>
      </c>
      <c r="D37">
        <v>14000</v>
      </c>
      <c r="E37">
        <f t="shared" si="0"/>
        <v>224000</v>
      </c>
    </row>
    <row r="38" spans="1:5" x14ac:dyDescent="0.45">
      <c r="A38" t="s">
        <v>81</v>
      </c>
      <c r="B38" t="s">
        <v>3</v>
      </c>
      <c r="C38">
        <v>70</v>
      </c>
      <c r="D38">
        <v>40000</v>
      </c>
      <c r="E38">
        <f t="shared" si="0"/>
        <v>2800000</v>
      </c>
    </row>
    <row r="39" spans="1:5" hidden="1" x14ac:dyDescent="0.45">
      <c r="A39" t="s">
        <v>81</v>
      </c>
      <c r="B39" t="s">
        <v>11</v>
      </c>
      <c r="C39">
        <v>0</v>
      </c>
      <c r="E39">
        <f t="shared" si="0"/>
        <v>0</v>
      </c>
    </row>
    <row r="40" spans="1:5" hidden="1" x14ac:dyDescent="0.45">
      <c r="A40" t="s">
        <v>83</v>
      </c>
      <c r="B40" t="s">
        <v>3</v>
      </c>
      <c r="C40">
        <v>0</v>
      </c>
      <c r="E40">
        <f t="shared" si="0"/>
        <v>0</v>
      </c>
    </row>
    <row r="41" spans="1:5" hidden="1" x14ac:dyDescent="0.45">
      <c r="A41" t="s">
        <v>83</v>
      </c>
      <c r="B41" t="s">
        <v>11</v>
      </c>
      <c r="C41">
        <v>0</v>
      </c>
      <c r="E41">
        <f t="shared" si="0"/>
        <v>0</v>
      </c>
    </row>
    <row r="42" spans="1:5" hidden="1" x14ac:dyDescent="0.45">
      <c r="A42" t="s">
        <v>85</v>
      </c>
      <c r="B42" t="s">
        <v>3</v>
      </c>
      <c r="C42">
        <v>0</v>
      </c>
      <c r="E42">
        <f t="shared" si="0"/>
        <v>0</v>
      </c>
    </row>
    <row r="43" spans="1:5" hidden="1" x14ac:dyDescent="0.45">
      <c r="A43" t="s">
        <v>85</v>
      </c>
      <c r="B43" t="s">
        <v>11</v>
      </c>
      <c r="C43">
        <v>0</v>
      </c>
      <c r="E43">
        <f t="shared" si="0"/>
        <v>0</v>
      </c>
    </row>
    <row r="44" spans="1:5" hidden="1" x14ac:dyDescent="0.45">
      <c r="A44" t="s">
        <v>129</v>
      </c>
      <c r="B44" t="s">
        <v>3</v>
      </c>
      <c r="C44">
        <v>0</v>
      </c>
      <c r="E44">
        <f t="shared" si="0"/>
        <v>0</v>
      </c>
    </row>
    <row r="45" spans="1:5" hidden="1" x14ac:dyDescent="0.45">
      <c r="A45" t="s">
        <v>79</v>
      </c>
      <c r="B45" t="s">
        <v>18</v>
      </c>
      <c r="C45">
        <v>0</v>
      </c>
      <c r="E45">
        <f t="shared" si="0"/>
        <v>0</v>
      </c>
    </row>
    <row r="46" spans="1:5" x14ac:dyDescent="0.45">
      <c r="A46" t="s">
        <v>55</v>
      </c>
      <c r="B46" t="s">
        <v>3</v>
      </c>
      <c r="C46">
        <v>2010</v>
      </c>
      <c r="D46">
        <v>26000</v>
      </c>
      <c r="E46">
        <f t="shared" si="0"/>
        <v>52260000</v>
      </c>
    </row>
    <row r="47" spans="1:5" x14ac:dyDescent="0.45">
      <c r="A47" t="s">
        <v>24</v>
      </c>
      <c r="B47" t="s">
        <v>3</v>
      </c>
      <c r="C47">
        <v>13</v>
      </c>
      <c r="D47">
        <v>15000</v>
      </c>
      <c r="E47">
        <f t="shared" si="0"/>
        <v>195000</v>
      </c>
    </row>
    <row r="48" spans="1:5" x14ac:dyDescent="0.45">
      <c r="A48" t="s">
        <v>24</v>
      </c>
      <c r="B48" t="s">
        <v>25</v>
      </c>
      <c r="C48">
        <v>14</v>
      </c>
      <c r="D48">
        <v>4500</v>
      </c>
      <c r="E48">
        <f t="shared" si="0"/>
        <v>63000</v>
      </c>
    </row>
    <row r="49" spans="1:5" hidden="1" x14ac:dyDescent="0.45">
      <c r="A49" t="s">
        <v>138</v>
      </c>
      <c r="B49" t="s">
        <v>3</v>
      </c>
      <c r="C49">
        <v>0</v>
      </c>
      <c r="E49">
        <f t="shared" si="0"/>
        <v>0</v>
      </c>
    </row>
    <row r="50" spans="1:5" hidden="1" x14ac:dyDescent="0.45">
      <c r="A50" t="s">
        <v>139</v>
      </c>
      <c r="B50" t="s">
        <v>3</v>
      </c>
      <c r="C50">
        <v>0</v>
      </c>
      <c r="E50">
        <f t="shared" si="0"/>
        <v>0</v>
      </c>
    </row>
    <row r="51" spans="1:5" x14ac:dyDescent="0.45">
      <c r="A51" t="s">
        <v>2</v>
      </c>
      <c r="B51" t="s">
        <v>3</v>
      </c>
      <c r="C51">
        <v>18</v>
      </c>
      <c r="D51">
        <v>12000</v>
      </c>
      <c r="E51">
        <f t="shared" si="0"/>
        <v>216000</v>
      </c>
    </row>
    <row r="52" spans="1:5" x14ac:dyDescent="0.45">
      <c r="A52" t="s">
        <v>4</v>
      </c>
      <c r="B52" t="s">
        <v>3</v>
      </c>
      <c r="C52">
        <v>320</v>
      </c>
      <c r="D52">
        <v>6000</v>
      </c>
      <c r="E52">
        <f t="shared" si="0"/>
        <v>1920000</v>
      </c>
    </row>
    <row r="53" spans="1:5" hidden="1" x14ac:dyDescent="0.45">
      <c r="A53" t="s">
        <v>14</v>
      </c>
      <c r="B53" t="s">
        <v>3</v>
      </c>
      <c r="C53">
        <v>0</v>
      </c>
      <c r="E53">
        <f t="shared" si="0"/>
        <v>0</v>
      </c>
    </row>
    <row r="54" spans="1:5" x14ac:dyDescent="0.45">
      <c r="A54" t="s">
        <v>140</v>
      </c>
      <c r="B54" t="s">
        <v>3</v>
      </c>
      <c r="C54">
        <v>68</v>
      </c>
      <c r="D54">
        <v>22000</v>
      </c>
      <c r="E54">
        <f t="shared" si="0"/>
        <v>1496000</v>
      </c>
    </row>
    <row r="55" spans="1:5" x14ac:dyDescent="0.45">
      <c r="A55" t="s">
        <v>22</v>
      </c>
      <c r="B55" t="s">
        <v>3</v>
      </c>
      <c r="C55">
        <v>28</v>
      </c>
      <c r="D55">
        <v>7000</v>
      </c>
      <c r="E55">
        <f t="shared" si="0"/>
        <v>196000</v>
      </c>
    </row>
    <row r="56" spans="1:5" hidden="1" x14ac:dyDescent="0.45">
      <c r="A56" t="s">
        <v>22</v>
      </c>
      <c r="B56" t="s">
        <v>23</v>
      </c>
      <c r="C56">
        <v>0</v>
      </c>
      <c r="E56">
        <f t="shared" si="0"/>
        <v>0</v>
      </c>
    </row>
    <row r="57" spans="1:5" x14ac:dyDescent="0.45">
      <c r="A57" t="s">
        <v>26</v>
      </c>
      <c r="B57" t="s">
        <v>27</v>
      </c>
      <c r="C57">
        <v>14</v>
      </c>
      <c r="D57">
        <v>10500</v>
      </c>
      <c r="E57">
        <f t="shared" si="0"/>
        <v>147000</v>
      </c>
    </row>
    <row r="58" spans="1:5" hidden="1" x14ac:dyDescent="0.45">
      <c r="A58" t="s">
        <v>28</v>
      </c>
      <c r="B58" t="s">
        <v>3</v>
      </c>
      <c r="C58">
        <v>0</v>
      </c>
      <c r="E58">
        <f t="shared" si="0"/>
        <v>0</v>
      </c>
    </row>
    <row r="59" spans="1:5" x14ac:dyDescent="0.45">
      <c r="A59" t="s">
        <v>28</v>
      </c>
      <c r="B59" t="s">
        <v>29</v>
      </c>
      <c r="C59">
        <v>210</v>
      </c>
      <c r="D59">
        <v>7500</v>
      </c>
      <c r="E59">
        <f t="shared" si="0"/>
        <v>1575000</v>
      </c>
    </row>
    <row r="60" spans="1:5" x14ac:dyDescent="0.45">
      <c r="A60" t="s">
        <v>35</v>
      </c>
      <c r="B60" t="s">
        <v>3</v>
      </c>
      <c r="C60">
        <v>30</v>
      </c>
      <c r="D60">
        <v>8000</v>
      </c>
      <c r="E60">
        <f t="shared" si="0"/>
        <v>240000</v>
      </c>
    </row>
    <row r="61" spans="1:5" hidden="1" x14ac:dyDescent="0.45">
      <c r="A61" t="s">
        <v>35</v>
      </c>
      <c r="B61" t="s">
        <v>36</v>
      </c>
      <c r="C61">
        <v>0</v>
      </c>
      <c r="E61">
        <f t="shared" si="0"/>
        <v>0</v>
      </c>
    </row>
    <row r="62" spans="1:5" x14ac:dyDescent="0.45">
      <c r="A62" t="s">
        <v>38</v>
      </c>
      <c r="B62" t="s">
        <v>32</v>
      </c>
      <c r="C62">
        <v>3</v>
      </c>
      <c r="D62">
        <v>3000</v>
      </c>
      <c r="E62">
        <f t="shared" si="0"/>
        <v>9000</v>
      </c>
    </row>
    <row r="63" spans="1:5" x14ac:dyDescent="0.45">
      <c r="A63" t="s">
        <v>58</v>
      </c>
      <c r="B63" t="s">
        <v>3</v>
      </c>
      <c r="C63">
        <v>48</v>
      </c>
      <c r="D63">
        <v>22000</v>
      </c>
      <c r="E63">
        <f t="shared" si="0"/>
        <v>1056000</v>
      </c>
    </row>
    <row r="64" spans="1:5" hidden="1" x14ac:dyDescent="0.45">
      <c r="A64" t="s">
        <v>46</v>
      </c>
      <c r="B64" t="s">
        <v>3</v>
      </c>
      <c r="C64">
        <v>0</v>
      </c>
      <c r="E64">
        <f t="shared" si="0"/>
        <v>0</v>
      </c>
    </row>
    <row r="65" spans="1:5" x14ac:dyDescent="0.45">
      <c r="A65" t="s">
        <v>48</v>
      </c>
      <c r="B65" t="s">
        <v>3</v>
      </c>
      <c r="C65">
        <v>10</v>
      </c>
      <c r="D65">
        <v>6000</v>
      </c>
      <c r="E65">
        <f t="shared" si="0"/>
        <v>60000</v>
      </c>
    </row>
    <row r="66" spans="1:5" x14ac:dyDescent="0.45">
      <c r="A66" t="s">
        <v>50</v>
      </c>
      <c r="B66" t="s">
        <v>3</v>
      </c>
      <c r="C66">
        <v>7</v>
      </c>
      <c r="D66">
        <v>21000</v>
      </c>
      <c r="E66">
        <f t="shared" si="0"/>
        <v>147000</v>
      </c>
    </row>
    <row r="67" spans="1:5" x14ac:dyDescent="0.45">
      <c r="A67" t="s">
        <v>63</v>
      </c>
      <c r="B67" t="s">
        <v>3</v>
      </c>
      <c r="C67">
        <v>2</v>
      </c>
      <c r="D67">
        <v>11000</v>
      </c>
      <c r="E67">
        <f t="shared" si="0"/>
        <v>22000</v>
      </c>
    </row>
    <row r="68" spans="1:5" x14ac:dyDescent="0.45">
      <c r="A68" t="s">
        <v>64</v>
      </c>
      <c r="B68" t="s">
        <v>32</v>
      </c>
      <c r="C68">
        <v>10</v>
      </c>
      <c r="D68">
        <v>8000</v>
      </c>
      <c r="E68">
        <f t="shared" ref="E68:E118" si="1">C68*D68</f>
        <v>80000</v>
      </c>
    </row>
    <row r="69" spans="1:5" hidden="1" x14ac:dyDescent="0.45">
      <c r="A69" t="s">
        <v>65</v>
      </c>
      <c r="B69" t="s">
        <v>3</v>
      </c>
      <c r="C69">
        <v>0</v>
      </c>
      <c r="E69">
        <f t="shared" si="1"/>
        <v>0</v>
      </c>
    </row>
    <row r="70" spans="1:5" x14ac:dyDescent="0.45">
      <c r="A70" t="s">
        <v>65</v>
      </c>
      <c r="B70" t="s">
        <v>32</v>
      </c>
      <c r="C70">
        <v>23</v>
      </c>
      <c r="D70">
        <v>6000</v>
      </c>
      <c r="E70">
        <f t="shared" si="1"/>
        <v>138000</v>
      </c>
    </row>
    <row r="71" spans="1:5" hidden="1" x14ac:dyDescent="0.45">
      <c r="A71" t="s">
        <v>66</v>
      </c>
      <c r="B71" t="s">
        <v>3</v>
      </c>
      <c r="C71">
        <v>0</v>
      </c>
      <c r="E71">
        <f t="shared" si="1"/>
        <v>0</v>
      </c>
    </row>
    <row r="72" spans="1:5" hidden="1" x14ac:dyDescent="0.45">
      <c r="A72" t="s">
        <v>68</v>
      </c>
      <c r="B72" t="s">
        <v>3</v>
      </c>
      <c r="C72">
        <v>0</v>
      </c>
      <c r="E72">
        <f t="shared" si="1"/>
        <v>0</v>
      </c>
    </row>
    <row r="73" spans="1:5" hidden="1" x14ac:dyDescent="0.45">
      <c r="A73" t="s">
        <v>69</v>
      </c>
      <c r="B73" t="s">
        <v>3</v>
      </c>
      <c r="C73">
        <v>0</v>
      </c>
      <c r="E73">
        <f t="shared" si="1"/>
        <v>0</v>
      </c>
    </row>
    <row r="74" spans="1:5" x14ac:dyDescent="0.45">
      <c r="A74" t="s">
        <v>73</v>
      </c>
      <c r="B74" t="s">
        <v>3</v>
      </c>
      <c r="C74">
        <v>71</v>
      </c>
      <c r="D74">
        <v>10000</v>
      </c>
      <c r="E74">
        <f t="shared" si="1"/>
        <v>710000</v>
      </c>
    </row>
    <row r="75" spans="1:5" hidden="1" x14ac:dyDescent="0.45">
      <c r="A75" t="s">
        <v>73</v>
      </c>
      <c r="B75" t="s">
        <v>44</v>
      </c>
      <c r="C75">
        <v>0</v>
      </c>
      <c r="E75">
        <f t="shared" si="1"/>
        <v>0</v>
      </c>
    </row>
    <row r="76" spans="1:5" x14ac:dyDescent="0.45">
      <c r="A76" t="s">
        <v>91</v>
      </c>
      <c r="B76" t="s">
        <v>3</v>
      </c>
      <c r="C76">
        <v>8</v>
      </c>
      <c r="D76">
        <v>18000</v>
      </c>
      <c r="E76">
        <f t="shared" si="1"/>
        <v>144000</v>
      </c>
    </row>
    <row r="77" spans="1:5" hidden="1" x14ac:dyDescent="0.45">
      <c r="A77" t="s">
        <v>74</v>
      </c>
      <c r="B77" t="s">
        <v>32</v>
      </c>
      <c r="C77">
        <v>0</v>
      </c>
      <c r="E77">
        <f t="shared" si="1"/>
        <v>0</v>
      </c>
    </row>
    <row r="78" spans="1:5" x14ac:dyDescent="0.45">
      <c r="A78" t="s">
        <v>75</v>
      </c>
      <c r="B78" t="s">
        <v>3</v>
      </c>
      <c r="C78">
        <v>0</v>
      </c>
      <c r="D78">
        <v>14000</v>
      </c>
      <c r="E78">
        <f t="shared" si="1"/>
        <v>0</v>
      </c>
    </row>
    <row r="79" spans="1:5" hidden="1" x14ac:dyDescent="0.45">
      <c r="A79" t="s">
        <v>80</v>
      </c>
      <c r="B79" t="s">
        <v>27</v>
      </c>
      <c r="C79">
        <v>0</v>
      </c>
      <c r="E79">
        <f t="shared" si="1"/>
        <v>0</v>
      </c>
    </row>
    <row r="80" spans="1:5" x14ac:dyDescent="0.45">
      <c r="A80" t="s">
        <v>80</v>
      </c>
      <c r="B80" t="s">
        <v>3</v>
      </c>
      <c r="C80">
        <v>3</v>
      </c>
      <c r="D80">
        <v>40000</v>
      </c>
      <c r="E80">
        <f t="shared" si="1"/>
        <v>120000</v>
      </c>
    </row>
    <row r="81" spans="1:5" hidden="1" x14ac:dyDescent="0.45">
      <c r="A81" t="s">
        <v>86</v>
      </c>
      <c r="B81" t="s">
        <v>3</v>
      </c>
      <c r="C81">
        <v>0</v>
      </c>
      <c r="E81">
        <f t="shared" si="1"/>
        <v>0</v>
      </c>
    </row>
    <row r="82" spans="1:5" hidden="1" x14ac:dyDescent="0.45">
      <c r="A82" t="s">
        <v>86</v>
      </c>
      <c r="B82" t="s">
        <v>32</v>
      </c>
      <c r="C82">
        <v>0</v>
      </c>
      <c r="E82">
        <f t="shared" si="1"/>
        <v>0</v>
      </c>
    </row>
    <row r="83" spans="1:5" x14ac:dyDescent="0.45">
      <c r="A83" t="s">
        <v>92</v>
      </c>
      <c r="B83" t="s">
        <v>3</v>
      </c>
      <c r="C83">
        <v>50</v>
      </c>
      <c r="D83">
        <v>5000</v>
      </c>
      <c r="E83">
        <f t="shared" si="1"/>
        <v>250000</v>
      </c>
    </row>
    <row r="84" spans="1:5" hidden="1" x14ac:dyDescent="0.45">
      <c r="A84" t="s">
        <v>89</v>
      </c>
      <c r="B84" t="s">
        <v>11</v>
      </c>
      <c r="C84">
        <v>0</v>
      </c>
      <c r="E84">
        <f t="shared" si="1"/>
        <v>0</v>
      </c>
    </row>
    <row r="85" spans="1:5" hidden="1" x14ac:dyDescent="0.45">
      <c r="A85" t="s">
        <v>141</v>
      </c>
      <c r="B85" t="s">
        <v>3</v>
      </c>
      <c r="C85">
        <v>0</v>
      </c>
      <c r="E85">
        <f t="shared" si="1"/>
        <v>0</v>
      </c>
    </row>
    <row r="86" spans="1:5" hidden="1" x14ac:dyDescent="0.45">
      <c r="A86" t="s">
        <v>98</v>
      </c>
      <c r="B86" t="s">
        <v>3</v>
      </c>
      <c r="C86">
        <v>0</v>
      </c>
      <c r="E86">
        <f t="shared" si="1"/>
        <v>0</v>
      </c>
    </row>
    <row r="87" spans="1:5" hidden="1" x14ac:dyDescent="0.45">
      <c r="A87" t="s">
        <v>114</v>
      </c>
      <c r="B87" t="s">
        <v>3</v>
      </c>
      <c r="C87">
        <v>0</v>
      </c>
      <c r="E87">
        <f t="shared" si="1"/>
        <v>0</v>
      </c>
    </row>
    <row r="88" spans="1:5" hidden="1" x14ac:dyDescent="0.45">
      <c r="A88" t="s">
        <v>100</v>
      </c>
      <c r="B88" t="s">
        <v>3</v>
      </c>
      <c r="C88">
        <v>0</v>
      </c>
      <c r="E88">
        <f t="shared" si="1"/>
        <v>0</v>
      </c>
    </row>
    <row r="89" spans="1:5" hidden="1" x14ac:dyDescent="0.45">
      <c r="A89" t="s">
        <v>101</v>
      </c>
      <c r="B89" t="s">
        <v>44</v>
      </c>
      <c r="C89">
        <v>0</v>
      </c>
      <c r="E89">
        <f t="shared" si="1"/>
        <v>0</v>
      </c>
    </row>
    <row r="90" spans="1:5" x14ac:dyDescent="0.45">
      <c r="A90" t="s">
        <v>13</v>
      </c>
      <c r="B90" t="s">
        <v>3</v>
      </c>
      <c r="C90">
        <v>52</v>
      </c>
      <c r="D90">
        <v>35000</v>
      </c>
      <c r="E90">
        <f t="shared" si="1"/>
        <v>1820000</v>
      </c>
    </row>
    <row r="91" spans="1:5" hidden="1" x14ac:dyDescent="0.45">
      <c r="A91" t="s">
        <v>120</v>
      </c>
      <c r="B91" t="s">
        <v>44</v>
      </c>
      <c r="C91">
        <v>0</v>
      </c>
      <c r="E91">
        <f t="shared" si="1"/>
        <v>0</v>
      </c>
    </row>
    <row r="92" spans="1:5" hidden="1" x14ac:dyDescent="0.45">
      <c r="A92" t="s">
        <v>19</v>
      </c>
      <c r="B92" t="s">
        <v>3</v>
      </c>
      <c r="C92">
        <v>0</v>
      </c>
      <c r="E92">
        <f t="shared" si="1"/>
        <v>0</v>
      </c>
    </row>
    <row r="93" spans="1:5" hidden="1" x14ac:dyDescent="0.45">
      <c r="A93" t="s">
        <v>99</v>
      </c>
      <c r="B93" t="s">
        <v>44</v>
      </c>
      <c r="C93">
        <v>0</v>
      </c>
      <c r="E93">
        <f t="shared" si="1"/>
        <v>0</v>
      </c>
    </row>
    <row r="94" spans="1:5" x14ac:dyDescent="0.45">
      <c r="A94" t="s">
        <v>97</v>
      </c>
      <c r="B94" t="s">
        <v>44</v>
      </c>
      <c r="C94">
        <v>40</v>
      </c>
      <c r="D94">
        <v>6800</v>
      </c>
      <c r="E94">
        <f t="shared" si="1"/>
        <v>272000</v>
      </c>
    </row>
    <row r="95" spans="1:5" hidden="1" x14ac:dyDescent="0.45">
      <c r="A95" t="s">
        <v>45</v>
      </c>
      <c r="B95" t="s">
        <v>3</v>
      </c>
      <c r="C95">
        <v>0</v>
      </c>
      <c r="E95">
        <f t="shared" si="1"/>
        <v>0</v>
      </c>
    </row>
    <row r="96" spans="1:5" hidden="1" x14ac:dyDescent="0.45">
      <c r="A96" t="s">
        <v>6</v>
      </c>
      <c r="B96" t="s">
        <v>3</v>
      </c>
      <c r="C96">
        <v>0</v>
      </c>
      <c r="E96">
        <f t="shared" si="1"/>
        <v>0</v>
      </c>
    </row>
    <row r="97" spans="1:5" x14ac:dyDescent="0.45">
      <c r="A97" t="s">
        <v>41</v>
      </c>
      <c r="B97" t="s">
        <v>3</v>
      </c>
      <c r="C97">
        <v>1</v>
      </c>
      <c r="D97">
        <v>16000</v>
      </c>
      <c r="E97">
        <f t="shared" si="1"/>
        <v>16000</v>
      </c>
    </row>
    <row r="98" spans="1:5" hidden="1" x14ac:dyDescent="0.45">
      <c r="A98" t="s">
        <v>9</v>
      </c>
      <c r="B98" t="s">
        <v>3</v>
      </c>
      <c r="C98">
        <v>0</v>
      </c>
      <c r="E98">
        <f t="shared" si="1"/>
        <v>0</v>
      </c>
    </row>
    <row r="99" spans="1:5" hidden="1" x14ac:dyDescent="0.45">
      <c r="A99" t="s">
        <v>133</v>
      </c>
      <c r="B99" t="s">
        <v>3</v>
      </c>
      <c r="C99">
        <v>0</v>
      </c>
      <c r="E99">
        <f t="shared" si="1"/>
        <v>0</v>
      </c>
    </row>
    <row r="100" spans="1:5" hidden="1" x14ac:dyDescent="0.45">
      <c r="A100" t="s">
        <v>142</v>
      </c>
      <c r="B100" t="s">
        <v>27</v>
      </c>
      <c r="C100">
        <v>0</v>
      </c>
      <c r="E100">
        <f t="shared" si="1"/>
        <v>0</v>
      </c>
    </row>
    <row r="101" spans="1:5" hidden="1" x14ac:dyDescent="0.45">
      <c r="A101" t="s">
        <v>16</v>
      </c>
      <c r="B101" t="s">
        <v>3</v>
      </c>
      <c r="C101">
        <v>0</v>
      </c>
      <c r="E101">
        <f t="shared" si="1"/>
        <v>0</v>
      </c>
    </row>
    <row r="102" spans="1:5" hidden="1" x14ac:dyDescent="0.45">
      <c r="A102" t="s">
        <v>7</v>
      </c>
      <c r="B102" t="s">
        <v>3</v>
      </c>
      <c r="C102">
        <v>0</v>
      </c>
      <c r="E102">
        <f t="shared" si="1"/>
        <v>0</v>
      </c>
    </row>
    <row r="103" spans="1:5" hidden="1" x14ac:dyDescent="0.45">
      <c r="A103" t="s">
        <v>87</v>
      </c>
      <c r="B103" t="s">
        <v>32</v>
      </c>
      <c r="C103">
        <v>0</v>
      </c>
      <c r="E103">
        <f t="shared" si="1"/>
        <v>0</v>
      </c>
    </row>
    <row r="104" spans="1:5" x14ac:dyDescent="0.45">
      <c r="A104" t="s">
        <v>62</v>
      </c>
      <c r="B104" t="s">
        <v>32</v>
      </c>
      <c r="C104">
        <v>110</v>
      </c>
      <c r="D104">
        <v>5000</v>
      </c>
      <c r="E104">
        <f t="shared" si="1"/>
        <v>550000</v>
      </c>
    </row>
    <row r="105" spans="1:5" hidden="1" x14ac:dyDescent="0.45">
      <c r="A105" t="s">
        <v>116</v>
      </c>
      <c r="B105" t="s">
        <v>3</v>
      </c>
      <c r="C105">
        <v>0</v>
      </c>
      <c r="E105">
        <f t="shared" si="1"/>
        <v>0</v>
      </c>
    </row>
    <row r="106" spans="1:5" x14ac:dyDescent="0.45">
      <c r="A106" t="s">
        <v>143</v>
      </c>
      <c r="B106" t="s">
        <v>3</v>
      </c>
      <c r="C106">
        <v>125</v>
      </c>
      <c r="D106">
        <v>59000</v>
      </c>
      <c r="E106">
        <f t="shared" si="1"/>
        <v>7375000</v>
      </c>
    </row>
    <row r="107" spans="1:5" hidden="1" x14ac:dyDescent="0.45">
      <c r="A107" t="s">
        <v>143</v>
      </c>
      <c r="B107" t="s">
        <v>77</v>
      </c>
      <c r="C107">
        <v>0</v>
      </c>
      <c r="E107">
        <f t="shared" si="1"/>
        <v>0</v>
      </c>
    </row>
    <row r="108" spans="1:5" hidden="1" x14ac:dyDescent="0.45">
      <c r="A108" t="s">
        <v>59</v>
      </c>
      <c r="B108" t="s">
        <v>32</v>
      </c>
      <c r="C108">
        <v>0</v>
      </c>
      <c r="E108">
        <f t="shared" si="1"/>
        <v>0</v>
      </c>
    </row>
    <row r="109" spans="1:5" hidden="1" x14ac:dyDescent="0.45">
      <c r="A109" t="s">
        <v>15</v>
      </c>
      <c r="B109" t="s">
        <v>3</v>
      </c>
      <c r="C109">
        <v>0</v>
      </c>
      <c r="E109">
        <f t="shared" si="1"/>
        <v>0</v>
      </c>
    </row>
    <row r="110" spans="1:5" hidden="1" x14ac:dyDescent="0.45">
      <c r="A110" t="s">
        <v>94</v>
      </c>
      <c r="B110" t="s">
        <v>3</v>
      </c>
      <c r="C110">
        <v>0</v>
      </c>
      <c r="E110">
        <f t="shared" si="1"/>
        <v>0</v>
      </c>
    </row>
    <row r="111" spans="1:5" hidden="1" x14ac:dyDescent="0.45">
      <c r="A111" t="s">
        <v>71</v>
      </c>
      <c r="B111" t="s">
        <v>3</v>
      </c>
      <c r="C111">
        <v>0</v>
      </c>
      <c r="E111">
        <f t="shared" si="1"/>
        <v>0</v>
      </c>
    </row>
    <row r="112" spans="1:5" hidden="1" x14ac:dyDescent="0.45">
      <c r="A112" t="s">
        <v>96</v>
      </c>
      <c r="B112" t="s">
        <v>3</v>
      </c>
      <c r="C112">
        <v>0</v>
      </c>
      <c r="E112">
        <f t="shared" si="1"/>
        <v>0</v>
      </c>
    </row>
    <row r="113" spans="1:5" x14ac:dyDescent="0.45">
      <c r="A113" t="s">
        <v>130</v>
      </c>
      <c r="B113" t="s">
        <v>3</v>
      </c>
      <c r="C113">
        <v>80</v>
      </c>
      <c r="D113">
        <v>15000</v>
      </c>
      <c r="E113">
        <f t="shared" si="1"/>
        <v>1200000</v>
      </c>
    </row>
    <row r="114" spans="1:5" x14ac:dyDescent="0.45">
      <c r="A114" t="s">
        <v>42</v>
      </c>
      <c r="B114" t="s">
        <v>3</v>
      </c>
      <c r="C114">
        <v>120</v>
      </c>
      <c r="D114">
        <v>3500</v>
      </c>
      <c r="E114">
        <f t="shared" si="1"/>
        <v>420000</v>
      </c>
    </row>
    <row r="115" spans="1:5" x14ac:dyDescent="0.45">
      <c r="A115" t="s">
        <v>53</v>
      </c>
      <c r="B115" t="s">
        <v>3</v>
      </c>
      <c r="C115">
        <v>80</v>
      </c>
      <c r="D115">
        <v>20000</v>
      </c>
      <c r="E115">
        <f t="shared" si="1"/>
        <v>1600000</v>
      </c>
    </row>
    <row r="116" spans="1:5" x14ac:dyDescent="0.45">
      <c r="A116" t="s">
        <v>60</v>
      </c>
      <c r="B116" t="s">
        <v>3</v>
      </c>
      <c r="C116">
        <v>2</v>
      </c>
      <c r="D116">
        <v>16000</v>
      </c>
      <c r="E116">
        <f t="shared" si="1"/>
        <v>32000</v>
      </c>
    </row>
    <row r="117" spans="1:5" x14ac:dyDescent="0.45">
      <c r="A117" t="s">
        <v>82</v>
      </c>
      <c r="B117" t="s">
        <v>3</v>
      </c>
      <c r="C117">
        <v>15</v>
      </c>
      <c r="D117">
        <v>30000</v>
      </c>
      <c r="E117">
        <f t="shared" si="1"/>
        <v>450000</v>
      </c>
    </row>
    <row r="118" spans="1:5" x14ac:dyDescent="0.45">
      <c r="A118" t="s">
        <v>109</v>
      </c>
      <c r="B118" t="s">
        <v>3</v>
      </c>
      <c r="C118">
        <v>60</v>
      </c>
      <c r="D118">
        <v>21000</v>
      </c>
      <c r="E118">
        <f t="shared" si="1"/>
        <v>1260000</v>
      </c>
    </row>
    <row r="119" spans="1:5" x14ac:dyDescent="0.45">
      <c r="E119">
        <f>SUM(E3:E118)</f>
        <v>130694500</v>
      </c>
    </row>
  </sheetData>
  <autoFilter ref="A2:F118" xr:uid="{00000000-0009-0000-0000-00000A000000}">
    <filterColumn colId="2">
      <filters>
        <filter val="1"/>
        <filter val="10"/>
        <filter val="1011"/>
        <filter val="106"/>
        <filter val="110"/>
        <filter val="120"/>
        <filter val="125"/>
        <filter val="13"/>
        <filter val="14"/>
        <filter val="15"/>
        <filter val="16"/>
        <filter val="170"/>
        <filter val="18"/>
        <filter val="2"/>
        <filter val="20"/>
        <filter val="200"/>
        <filter val="2010"/>
        <filter val="210"/>
        <filter val="23"/>
        <filter val="28"/>
        <filter val="290"/>
        <filter val="3"/>
        <filter val="30"/>
        <filter val="320"/>
        <filter val="40"/>
        <filter val="410"/>
        <filter val="48"/>
        <filter val="50"/>
        <filter val="52"/>
        <filter val="520"/>
        <filter val="60"/>
        <filter val="650"/>
        <filter val="68"/>
        <filter val="689"/>
        <filter val="7"/>
        <filter val="70"/>
        <filter val="71"/>
        <filter val="8"/>
        <filter val="80"/>
        <filter val="900"/>
        <filter val="95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E110"/>
  <sheetViews>
    <sheetView topLeftCell="A43" workbookViewId="0">
      <selection activeCell="E58" sqref="E58:E59"/>
    </sheetView>
  </sheetViews>
  <sheetFormatPr defaultRowHeight="14.25" x14ac:dyDescent="0.45"/>
  <cols>
    <col min="1" max="1" width="25.46484375" customWidth="1"/>
    <col min="4" max="4" width="10.46484375" customWidth="1"/>
    <col min="5" max="5" width="17.06640625" customWidth="1"/>
  </cols>
  <sheetData>
    <row r="1" spans="1:5" x14ac:dyDescent="0.45">
      <c r="A1" t="s">
        <v>145</v>
      </c>
    </row>
    <row r="2" spans="1:5" ht="42.6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46</v>
      </c>
      <c r="D3" s="2">
        <v>12000</v>
      </c>
      <c r="E3" s="6">
        <f>C3*D3</f>
        <v>552000</v>
      </c>
    </row>
    <row r="4" spans="1:5" ht="15" x14ac:dyDescent="0.45">
      <c r="A4" s="5" t="s">
        <v>4</v>
      </c>
      <c r="B4" s="5" t="s">
        <v>3</v>
      </c>
      <c r="C4" s="2">
        <v>250</v>
      </c>
      <c r="D4" s="2">
        <v>5500</v>
      </c>
      <c r="E4" s="6">
        <f t="shared" ref="E4:E67" si="0">C4*D4</f>
        <v>1375000</v>
      </c>
    </row>
    <row r="5" spans="1:5" ht="15" x14ac:dyDescent="0.45">
      <c r="A5" s="5" t="s">
        <v>5</v>
      </c>
      <c r="B5" s="5" t="s">
        <v>3</v>
      </c>
      <c r="C5" s="2">
        <v>1190</v>
      </c>
      <c r="D5" s="2">
        <v>4000</v>
      </c>
      <c r="E5" s="6">
        <f t="shared" si="0"/>
        <v>4760000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2"/>
      <c r="E7" s="6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1091</v>
      </c>
      <c r="D8" s="2">
        <v>7000</v>
      </c>
      <c r="E8" s="6">
        <f t="shared" si="0"/>
        <v>7637000</v>
      </c>
    </row>
    <row r="9" spans="1:5" ht="15" x14ac:dyDescent="0.45">
      <c r="A9" s="5" t="s">
        <v>10</v>
      </c>
      <c r="B9" s="5" t="s">
        <v>3</v>
      </c>
      <c r="C9" s="2">
        <v>120</v>
      </c>
      <c r="D9" s="2">
        <v>7000</v>
      </c>
      <c r="E9" s="6">
        <f t="shared" si="0"/>
        <v>840000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2"/>
      <c r="E10" s="6">
        <f t="shared" si="0"/>
        <v>0</v>
      </c>
    </row>
    <row r="11" spans="1:5" ht="15" x14ac:dyDescent="0.45">
      <c r="A11" s="5" t="s">
        <v>12</v>
      </c>
      <c r="B11" s="5" t="s">
        <v>3</v>
      </c>
      <c r="C11" s="2">
        <v>110</v>
      </c>
      <c r="D11" s="2">
        <v>10000</v>
      </c>
      <c r="E11" s="6">
        <f t="shared" si="0"/>
        <v>1100000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2"/>
      <c r="E12" s="6">
        <f t="shared" si="0"/>
        <v>0</v>
      </c>
    </row>
    <row r="13" spans="1:5" ht="15" x14ac:dyDescent="0.45">
      <c r="A13" s="5" t="s">
        <v>13</v>
      </c>
      <c r="B13" s="5" t="s">
        <v>3</v>
      </c>
      <c r="C13" s="2">
        <v>39</v>
      </c>
      <c r="D13" s="2">
        <v>35000</v>
      </c>
      <c r="E13" s="6">
        <f t="shared" si="0"/>
        <v>1365000</v>
      </c>
    </row>
    <row r="14" spans="1:5" ht="15" hidden="1" x14ac:dyDescent="0.45">
      <c r="A14" s="5" t="s">
        <v>116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475</v>
      </c>
      <c r="D20" s="2">
        <v>15000</v>
      </c>
      <c r="E20" s="6">
        <f t="shared" si="0"/>
        <v>7125000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hidden="1" x14ac:dyDescent="0.45">
      <c r="A22" s="5" t="s">
        <v>22</v>
      </c>
      <c r="B22" s="5" t="s">
        <v>3</v>
      </c>
      <c r="C22" s="2">
        <v>0</v>
      </c>
      <c r="D22" s="2"/>
      <c r="E22" s="6">
        <f t="shared" si="0"/>
        <v>0</v>
      </c>
    </row>
    <row r="23" spans="1:5" ht="15" hidden="1" x14ac:dyDescent="0.45">
      <c r="A23" s="5" t="s">
        <v>22</v>
      </c>
      <c r="B23" s="5" t="s">
        <v>23</v>
      </c>
      <c r="C23" s="2">
        <v>0</v>
      </c>
      <c r="D23" s="2"/>
      <c r="E23" s="6">
        <f t="shared" si="0"/>
        <v>0</v>
      </c>
    </row>
    <row r="24" spans="1:5" ht="15" x14ac:dyDescent="0.45">
      <c r="A24" s="5" t="s">
        <v>24</v>
      </c>
      <c r="B24" s="5" t="s">
        <v>3</v>
      </c>
      <c r="C24" s="2">
        <v>22</v>
      </c>
      <c r="D24" s="2">
        <v>15000</v>
      </c>
      <c r="E24" s="6">
        <f t="shared" si="0"/>
        <v>330000</v>
      </c>
    </row>
    <row r="25" spans="1:5" ht="15" x14ac:dyDescent="0.45">
      <c r="A25" s="5" t="s">
        <v>24</v>
      </c>
      <c r="B25" s="5" t="s">
        <v>25</v>
      </c>
      <c r="C25" s="2">
        <v>18</v>
      </c>
      <c r="D25" s="2">
        <v>4500</v>
      </c>
      <c r="E25" s="6">
        <f t="shared" si="0"/>
        <v>81000</v>
      </c>
    </row>
    <row r="26" spans="1:5" ht="15" hidden="1" x14ac:dyDescent="0.45">
      <c r="A26" s="5" t="s">
        <v>28</v>
      </c>
      <c r="B26" s="5" t="s">
        <v>3</v>
      </c>
      <c r="C26" s="2">
        <v>0</v>
      </c>
      <c r="D26" s="2"/>
      <c r="E26" s="6">
        <f t="shared" si="0"/>
        <v>0</v>
      </c>
    </row>
    <row r="27" spans="1:5" ht="15" x14ac:dyDescent="0.45">
      <c r="A27" s="5" t="s">
        <v>28</v>
      </c>
      <c r="B27" s="5" t="s">
        <v>29</v>
      </c>
      <c r="C27" s="2">
        <v>246</v>
      </c>
      <c r="D27" s="2">
        <v>7200</v>
      </c>
      <c r="E27" s="6">
        <f t="shared" si="0"/>
        <v>1771200</v>
      </c>
    </row>
    <row r="28" spans="1:5" ht="15" x14ac:dyDescent="0.45">
      <c r="A28" s="5" t="s">
        <v>30</v>
      </c>
      <c r="B28" s="5" t="s">
        <v>3</v>
      </c>
      <c r="C28" s="2">
        <v>410</v>
      </c>
      <c r="D28" s="2">
        <v>8000</v>
      </c>
      <c r="E28" s="6">
        <f t="shared" si="0"/>
        <v>3280000</v>
      </c>
    </row>
    <row r="29" spans="1:5" ht="15" hidden="1" x14ac:dyDescent="0.45">
      <c r="A29" s="5" t="s">
        <v>30</v>
      </c>
      <c r="B29" s="5" t="s">
        <v>18</v>
      </c>
      <c r="C29" s="2">
        <v>0</v>
      </c>
      <c r="D29" s="2"/>
      <c r="E29" s="6">
        <f t="shared" si="0"/>
        <v>0</v>
      </c>
    </row>
    <row r="30" spans="1:5" ht="15" x14ac:dyDescent="0.45">
      <c r="A30" s="5" t="s">
        <v>31</v>
      </c>
      <c r="B30" s="5" t="s">
        <v>32</v>
      </c>
      <c r="C30" s="2">
        <v>80</v>
      </c>
      <c r="D30" s="2">
        <v>5000</v>
      </c>
      <c r="E30" s="6">
        <f t="shared" si="0"/>
        <v>400000</v>
      </c>
    </row>
    <row r="31" spans="1:5" ht="15" hidden="1" x14ac:dyDescent="0.45">
      <c r="A31" s="5" t="s">
        <v>33</v>
      </c>
      <c r="B31" s="5" t="s">
        <v>3</v>
      </c>
      <c r="C31" s="2">
        <v>0</v>
      </c>
      <c r="D31" s="2"/>
      <c r="E31" s="6">
        <f t="shared" si="0"/>
        <v>0</v>
      </c>
    </row>
    <row r="32" spans="1:5" ht="15" x14ac:dyDescent="0.45">
      <c r="A32" s="5" t="s">
        <v>33</v>
      </c>
      <c r="B32" s="5" t="s">
        <v>32</v>
      </c>
      <c r="C32" s="2">
        <v>150</v>
      </c>
      <c r="D32" s="2">
        <v>11000</v>
      </c>
      <c r="E32" s="6">
        <f t="shared" si="0"/>
        <v>1650000</v>
      </c>
    </row>
    <row r="33" spans="1:5" ht="15" x14ac:dyDescent="0.45">
      <c r="A33" s="5" t="s">
        <v>34</v>
      </c>
      <c r="B33" s="5" t="s">
        <v>3</v>
      </c>
      <c r="C33" s="2">
        <v>3</v>
      </c>
      <c r="D33" s="2">
        <v>5500</v>
      </c>
      <c r="E33" s="6">
        <f t="shared" si="0"/>
        <v>16500</v>
      </c>
    </row>
    <row r="34" spans="1:5" ht="15" hidden="1" x14ac:dyDescent="0.45">
      <c r="A34" s="5" t="s">
        <v>34</v>
      </c>
      <c r="B34" s="5" t="s">
        <v>18</v>
      </c>
      <c r="C34" s="2">
        <v>0</v>
      </c>
      <c r="D34" s="2"/>
      <c r="E34" s="6">
        <f t="shared" si="0"/>
        <v>0</v>
      </c>
    </row>
    <row r="35" spans="1:5" ht="15" x14ac:dyDescent="0.45">
      <c r="A35" s="5" t="s">
        <v>35</v>
      </c>
      <c r="B35" s="5" t="s">
        <v>3</v>
      </c>
      <c r="C35" s="2">
        <v>37</v>
      </c>
      <c r="D35" s="2">
        <v>8000</v>
      </c>
      <c r="E35" s="6">
        <f t="shared" si="0"/>
        <v>296000</v>
      </c>
    </row>
    <row r="36" spans="1:5" ht="15" hidden="1" x14ac:dyDescent="0.45">
      <c r="A36" s="5" t="s">
        <v>35</v>
      </c>
      <c r="B36" s="5" t="s">
        <v>36</v>
      </c>
      <c r="C36" s="2">
        <v>0</v>
      </c>
      <c r="D36" s="2"/>
      <c r="E36" s="6">
        <f t="shared" si="0"/>
        <v>0</v>
      </c>
    </row>
    <row r="37" spans="1:5" ht="15" x14ac:dyDescent="0.45">
      <c r="A37" s="5" t="s">
        <v>37</v>
      </c>
      <c r="B37" s="5" t="s">
        <v>3</v>
      </c>
      <c r="C37" s="2">
        <v>3</v>
      </c>
      <c r="D37" s="2">
        <v>25000</v>
      </c>
      <c r="E37" s="6">
        <f t="shared" si="0"/>
        <v>75000</v>
      </c>
    </row>
    <row r="38" spans="1:5" ht="15" hidden="1" x14ac:dyDescent="0.45">
      <c r="A38" s="5" t="s">
        <v>37</v>
      </c>
      <c r="B38" s="5" t="s">
        <v>32</v>
      </c>
      <c r="C38" s="2">
        <v>0</v>
      </c>
      <c r="D38" s="2"/>
      <c r="E38" s="6">
        <f t="shared" si="0"/>
        <v>0</v>
      </c>
    </row>
    <row r="39" spans="1:5" ht="15" x14ac:dyDescent="0.45">
      <c r="A39" s="5" t="s">
        <v>39</v>
      </c>
      <c r="B39" s="5" t="s">
        <v>3</v>
      </c>
      <c r="C39" s="2">
        <v>18</v>
      </c>
      <c r="D39" s="2">
        <v>15000</v>
      </c>
      <c r="E39" s="6">
        <f t="shared" si="0"/>
        <v>270000</v>
      </c>
    </row>
    <row r="40" spans="1:5" ht="15" hidden="1" x14ac:dyDescent="0.45">
      <c r="A40" s="5" t="s">
        <v>39</v>
      </c>
      <c r="B40" s="5" t="s">
        <v>32</v>
      </c>
      <c r="C40" s="2">
        <v>0</v>
      </c>
      <c r="D40" s="2"/>
      <c r="E40" s="6">
        <f t="shared" si="0"/>
        <v>0</v>
      </c>
    </row>
    <row r="41" spans="1:5" ht="15" x14ac:dyDescent="0.45">
      <c r="A41" s="5" t="s">
        <v>40</v>
      </c>
      <c r="B41" s="5" t="s">
        <v>3</v>
      </c>
      <c r="C41" s="2">
        <v>30</v>
      </c>
      <c r="D41" s="2">
        <v>5000</v>
      </c>
      <c r="E41" s="6">
        <f t="shared" si="0"/>
        <v>150000</v>
      </c>
    </row>
    <row r="42" spans="1:5" ht="15" hidden="1" x14ac:dyDescent="0.45">
      <c r="A42" s="5" t="s">
        <v>41</v>
      </c>
      <c r="B42" s="5" t="s">
        <v>3</v>
      </c>
      <c r="C42" s="2">
        <v>0</v>
      </c>
      <c r="D42" s="2"/>
      <c r="E42" s="6">
        <f t="shared" si="0"/>
        <v>0</v>
      </c>
    </row>
    <row r="43" spans="1:5" ht="15" x14ac:dyDescent="0.45">
      <c r="A43" s="5" t="s">
        <v>42</v>
      </c>
      <c r="B43" s="5" t="s">
        <v>3</v>
      </c>
      <c r="C43" s="2">
        <v>200</v>
      </c>
      <c r="D43" s="2">
        <v>3500</v>
      </c>
      <c r="E43" s="6">
        <f t="shared" si="0"/>
        <v>700000</v>
      </c>
    </row>
    <row r="44" spans="1:5" ht="15" x14ac:dyDescent="0.45">
      <c r="A44" s="5" t="s">
        <v>43</v>
      </c>
      <c r="B44" s="5" t="s">
        <v>3</v>
      </c>
      <c r="C44" s="2">
        <v>120</v>
      </c>
      <c r="D44" s="2">
        <v>12000</v>
      </c>
      <c r="E44" s="6">
        <f t="shared" si="0"/>
        <v>1440000</v>
      </c>
    </row>
    <row r="45" spans="1:5" ht="15" hidden="1" x14ac:dyDescent="0.45">
      <c r="A45" s="5" t="s">
        <v>43</v>
      </c>
      <c r="B45" s="5" t="s">
        <v>44</v>
      </c>
      <c r="C45" s="2">
        <v>0</v>
      </c>
      <c r="D45" s="2"/>
      <c r="E45" s="6">
        <f t="shared" si="0"/>
        <v>0</v>
      </c>
    </row>
    <row r="46" spans="1:5" ht="15" hidden="1" x14ac:dyDescent="0.45">
      <c r="A46" s="5" t="s">
        <v>45</v>
      </c>
      <c r="B46" s="5" t="s">
        <v>3</v>
      </c>
      <c r="C46" s="2">
        <v>0</v>
      </c>
      <c r="D46" s="2"/>
      <c r="E46" s="6">
        <f t="shared" si="0"/>
        <v>0</v>
      </c>
    </row>
    <row r="47" spans="1:5" ht="15" x14ac:dyDescent="0.45">
      <c r="A47" s="5" t="s">
        <v>46</v>
      </c>
      <c r="B47" s="5" t="s">
        <v>3</v>
      </c>
      <c r="C47" s="2">
        <v>2</v>
      </c>
      <c r="D47" s="2">
        <v>14000</v>
      </c>
      <c r="E47" s="6">
        <f t="shared" si="0"/>
        <v>28000</v>
      </c>
    </row>
    <row r="48" spans="1:5" ht="15" x14ac:dyDescent="0.45">
      <c r="A48" s="5" t="s">
        <v>47</v>
      </c>
      <c r="B48" s="5" t="s">
        <v>27</v>
      </c>
      <c r="C48" s="2">
        <v>11</v>
      </c>
      <c r="D48" s="2">
        <v>10000</v>
      </c>
      <c r="E48" s="6">
        <f t="shared" si="0"/>
        <v>110000</v>
      </c>
    </row>
    <row r="49" spans="1:5" ht="15" x14ac:dyDescent="0.45">
      <c r="A49" s="5" t="s">
        <v>107</v>
      </c>
      <c r="B49" s="5" t="s">
        <v>3</v>
      </c>
      <c r="C49" s="2">
        <v>1.5</v>
      </c>
      <c r="D49" s="2">
        <v>16000</v>
      </c>
      <c r="E49" s="6">
        <f t="shared" si="0"/>
        <v>24000</v>
      </c>
    </row>
    <row r="50" spans="1:5" ht="15" x14ac:dyDescent="0.45">
      <c r="A50" s="5" t="s">
        <v>48</v>
      </c>
      <c r="B50" s="5" t="s">
        <v>3</v>
      </c>
      <c r="C50" s="2">
        <v>20</v>
      </c>
      <c r="D50" s="2">
        <v>6000</v>
      </c>
      <c r="E50" s="6">
        <f t="shared" si="0"/>
        <v>120000</v>
      </c>
    </row>
    <row r="51" spans="1:5" ht="15" x14ac:dyDescent="0.45">
      <c r="A51" s="5" t="s">
        <v>49</v>
      </c>
      <c r="B51" s="5" t="s">
        <v>3</v>
      </c>
      <c r="C51" s="2">
        <v>65</v>
      </c>
      <c r="D51" s="2">
        <v>8000</v>
      </c>
      <c r="E51" s="6">
        <f t="shared" si="0"/>
        <v>520000</v>
      </c>
    </row>
    <row r="52" spans="1:5" ht="15" hidden="1" x14ac:dyDescent="0.45">
      <c r="A52" s="5" t="s">
        <v>49</v>
      </c>
      <c r="B52" s="5" t="s">
        <v>32</v>
      </c>
      <c r="C52" s="2">
        <v>0</v>
      </c>
      <c r="D52" s="2"/>
      <c r="E52" s="6">
        <f t="shared" si="0"/>
        <v>0</v>
      </c>
    </row>
    <row r="53" spans="1:5" ht="15" x14ac:dyDescent="0.45">
      <c r="A53" s="5" t="s">
        <v>50</v>
      </c>
      <c r="B53" s="5" t="s">
        <v>3</v>
      </c>
      <c r="C53" s="2">
        <v>3</v>
      </c>
      <c r="D53" s="2">
        <v>21000</v>
      </c>
      <c r="E53" s="6">
        <f t="shared" si="0"/>
        <v>63000</v>
      </c>
    </row>
    <row r="54" spans="1:5" ht="15" x14ac:dyDescent="0.45">
      <c r="A54" s="5" t="s">
        <v>51</v>
      </c>
      <c r="B54" s="5" t="s">
        <v>3</v>
      </c>
      <c r="C54" s="2">
        <v>620</v>
      </c>
      <c r="D54" s="2">
        <v>5000</v>
      </c>
      <c r="E54" s="6">
        <f t="shared" si="0"/>
        <v>3100000</v>
      </c>
    </row>
    <row r="55" spans="1:5" ht="15" hidden="1" x14ac:dyDescent="0.45">
      <c r="A55" s="5" t="s">
        <v>51</v>
      </c>
      <c r="B55" s="5" t="s">
        <v>52</v>
      </c>
      <c r="C55" s="2">
        <v>0</v>
      </c>
      <c r="D55" s="2"/>
      <c r="E55" s="6">
        <f t="shared" si="0"/>
        <v>0</v>
      </c>
    </row>
    <row r="56" spans="1:5" ht="15" x14ac:dyDescent="0.45">
      <c r="A56" s="5" t="s">
        <v>53</v>
      </c>
      <c r="B56" s="5" t="s">
        <v>3</v>
      </c>
      <c r="C56" s="2">
        <v>75</v>
      </c>
      <c r="D56" s="2">
        <v>20000</v>
      </c>
      <c r="E56" s="6">
        <f t="shared" si="0"/>
        <v>1500000</v>
      </c>
    </row>
    <row r="57" spans="1:5" ht="15" x14ac:dyDescent="0.45">
      <c r="A57" s="5" t="s">
        <v>54</v>
      </c>
      <c r="B57" s="5" t="s">
        <v>32</v>
      </c>
      <c r="C57" s="2">
        <v>333</v>
      </c>
      <c r="D57" s="2">
        <v>1350</v>
      </c>
      <c r="E57" s="6">
        <f t="shared" si="0"/>
        <v>449550</v>
      </c>
    </row>
    <row r="58" spans="1:5" ht="15" x14ac:dyDescent="0.45">
      <c r="A58" s="5" t="s">
        <v>55</v>
      </c>
      <c r="B58" s="5" t="s">
        <v>3</v>
      </c>
      <c r="C58" s="2">
        <v>1665</v>
      </c>
      <c r="D58" s="2">
        <v>26000</v>
      </c>
      <c r="E58" s="6">
        <f t="shared" si="0"/>
        <v>43290000</v>
      </c>
    </row>
    <row r="59" spans="1:5" ht="15" x14ac:dyDescent="0.45">
      <c r="A59" s="5" t="s">
        <v>56</v>
      </c>
      <c r="B59" s="5" t="s">
        <v>3</v>
      </c>
      <c r="C59" s="2">
        <v>596</v>
      </c>
      <c r="D59" s="2">
        <v>26000</v>
      </c>
      <c r="E59" s="6">
        <f t="shared" si="0"/>
        <v>15496000</v>
      </c>
    </row>
    <row r="60" spans="1:5" ht="15" x14ac:dyDescent="0.45">
      <c r="A60" s="5" t="s">
        <v>57</v>
      </c>
      <c r="B60" s="5" t="s">
        <v>3</v>
      </c>
      <c r="C60" s="2">
        <v>200</v>
      </c>
      <c r="D60" s="2">
        <v>16000</v>
      </c>
      <c r="E60" s="6">
        <f t="shared" si="0"/>
        <v>3200000</v>
      </c>
    </row>
    <row r="61" spans="1:5" ht="15" x14ac:dyDescent="0.45">
      <c r="A61" s="5" t="s">
        <v>58</v>
      </c>
      <c r="B61" s="5" t="s">
        <v>3</v>
      </c>
      <c r="C61" s="2">
        <v>93</v>
      </c>
      <c r="D61" s="2">
        <v>22000</v>
      </c>
      <c r="E61" s="6">
        <f t="shared" si="0"/>
        <v>2046000</v>
      </c>
    </row>
    <row r="62" spans="1:5" ht="15" hidden="1" x14ac:dyDescent="0.45">
      <c r="A62" s="5" t="s">
        <v>59</v>
      </c>
      <c r="B62" s="5" t="s">
        <v>32</v>
      </c>
      <c r="C62" s="2">
        <v>0</v>
      </c>
      <c r="D62" s="2"/>
      <c r="E62" s="6">
        <f t="shared" si="0"/>
        <v>0</v>
      </c>
    </row>
    <row r="63" spans="1:5" ht="15" x14ac:dyDescent="0.45">
      <c r="A63" s="5" t="s">
        <v>61</v>
      </c>
      <c r="B63" s="5" t="s">
        <v>3</v>
      </c>
      <c r="C63" s="2">
        <v>610</v>
      </c>
      <c r="D63" s="2">
        <v>12500</v>
      </c>
      <c r="E63" s="6">
        <f t="shared" si="0"/>
        <v>7625000</v>
      </c>
    </row>
    <row r="64" spans="1:5" ht="15" hidden="1" x14ac:dyDescent="0.45">
      <c r="A64" s="5" t="s">
        <v>61</v>
      </c>
      <c r="B64" s="5" t="s">
        <v>32</v>
      </c>
      <c r="C64" s="2">
        <v>0</v>
      </c>
      <c r="D64" s="2"/>
      <c r="E64" s="6">
        <f t="shared" si="0"/>
        <v>0</v>
      </c>
    </row>
    <row r="65" spans="1:5" ht="15" x14ac:dyDescent="0.45">
      <c r="A65" s="5" t="s">
        <v>62</v>
      </c>
      <c r="B65" s="5" t="s">
        <v>32</v>
      </c>
      <c r="C65" s="2">
        <v>180</v>
      </c>
      <c r="D65" s="2">
        <v>5000</v>
      </c>
      <c r="E65" s="6">
        <f t="shared" si="0"/>
        <v>900000</v>
      </c>
    </row>
    <row r="66" spans="1:5" ht="15" hidden="1" x14ac:dyDescent="0.45">
      <c r="A66" s="5" t="s">
        <v>63</v>
      </c>
      <c r="B66" s="5" t="s">
        <v>3</v>
      </c>
      <c r="C66" s="2">
        <v>0</v>
      </c>
      <c r="D66" s="2"/>
      <c r="E66" s="6">
        <f t="shared" si="0"/>
        <v>0</v>
      </c>
    </row>
    <row r="67" spans="1:5" ht="15" x14ac:dyDescent="0.45">
      <c r="A67" s="5" t="s">
        <v>64</v>
      </c>
      <c r="B67" s="5" t="s">
        <v>32</v>
      </c>
      <c r="C67" s="2">
        <v>10</v>
      </c>
      <c r="D67" s="2">
        <v>6000</v>
      </c>
      <c r="E67" s="6">
        <f t="shared" si="0"/>
        <v>60000</v>
      </c>
    </row>
    <row r="68" spans="1:5" ht="15" hidden="1" x14ac:dyDescent="0.45">
      <c r="A68" s="5" t="s">
        <v>65</v>
      </c>
      <c r="B68" s="5" t="s">
        <v>3</v>
      </c>
      <c r="C68" s="2">
        <v>0</v>
      </c>
      <c r="D68" s="2"/>
      <c r="E68" s="6">
        <f t="shared" ref="E68:E109" si="1">C68*D68</f>
        <v>0</v>
      </c>
    </row>
    <row r="69" spans="1:5" ht="15" x14ac:dyDescent="0.45">
      <c r="A69" s="5" t="s">
        <v>65</v>
      </c>
      <c r="B69" s="5" t="s">
        <v>32</v>
      </c>
      <c r="C69" s="2">
        <v>27</v>
      </c>
      <c r="D69" s="2">
        <v>6000</v>
      </c>
      <c r="E69" s="6">
        <f t="shared" si="1"/>
        <v>162000</v>
      </c>
    </row>
    <row r="70" spans="1:5" ht="15" hidden="1" x14ac:dyDescent="0.45">
      <c r="A70" s="5" t="s">
        <v>66</v>
      </c>
      <c r="B70" s="5" t="s">
        <v>3</v>
      </c>
      <c r="C70" s="2">
        <v>0</v>
      </c>
      <c r="D70" s="2"/>
      <c r="E70" s="6">
        <f t="shared" si="1"/>
        <v>0</v>
      </c>
    </row>
    <row r="71" spans="1:5" ht="15" hidden="1" x14ac:dyDescent="0.45">
      <c r="A71" s="5" t="s">
        <v>68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hidden="1" x14ac:dyDescent="0.45">
      <c r="A72" s="5" t="s">
        <v>69</v>
      </c>
      <c r="B72" s="5" t="s">
        <v>3</v>
      </c>
      <c r="C72" s="2">
        <v>0</v>
      </c>
      <c r="D72" s="2"/>
      <c r="E72" s="6">
        <f t="shared" si="1"/>
        <v>0</v>
      </c>
    </row>
    <row r="73" spans="1:5" ht="15" x14ac:dyDescent="0.45">
      <c r="A73" s="5" t="s">
        <v>70</v>
      </c>
      <c r="B73" s="5" t="s">
        <v>3</v>
      </c>
      <c r="C73" s="2">
        <v>35</v>
      </c>
      <c r="D73" s="2">
        <v>10000</v>
      </c>
      <c r="E73" s="6">
        <f t="shared" si="1"/>
        <v>350000</v>
      </c>
    </row>
    <row r="74" spans="1:5" ht="15" x14ac:dyDescent="0.45">
      <c r="A74" s="5" t="s">
        <v>70</v>
      </c>
      <c r="B74" s="5" t="s">
        <v>18</v>
      </c>
      <c r="C74" s="2">
        <v>1351</v>
      </c>
      <c r="D74" s="2">
        <v>4500</v>
      </c>
      <c r="E74" s="6">
        <f t="shared" si="1"/>
        <v>6079500</v>
      </c>
    </row>
    <row r="75" spans="1:5" ht="15" x14ac:dyDescent="0.45">
      <c r="A75" s="5" t="s">
        <v>71</v>
      </c>
      <c r="B75" s="5" t="s">
        <v>3</v>
      </c>
      <c r="C75" s="2">
        <v>7</v>
      </c>
      <c r="D75" s="2">
        <v>14000</v>
      </c>
      <c r="E75" s="6">
        <f t="shared" si="1"/>
        <v>98000</v>
      </c>
    </row>
    <row r="76" spans="1:5" ht="15" x14ac:dyDescent="0.45">
      <c r="A76" s="5" t="s">
        <v>72</v>
      </c>
      <c r="B76" s="5" t="s">
        <v>3</v>
      </c>
      <c r="C76" s="2">
        <v>30</v>
      </c>
      <c r="D76" s="2">
        <v>14000</v>
      </c>
      <c r="E76" s="6">
        <f t="shared" si="1"/>
        <v>420000</v>
      </c>
    </row>
    <row r="77" spans="1:5" ht="15" x14ac:dyDescent="0.45">
      <c r="A77" s="5" t="s">
        <v>73</v>
      </c>
      <c r="B77" s="5" t="s">
        <v>3</v>
      </c>
      <c r="C77" s="2">
        <v>115</v>
      </c>
      <c r="D77" s="2">
        <v>10000</v>
      </c>
      <c r="E77" s="6">
        <f t="shared" si="1"/>
        <v>1150000</v>
      </c>
    </row>
    <row r="78" spans="1:5" ht="15" hidden="1" x14ac:dyDescent="0.45">
      <c r="A78" s="5" t="s">
        <v>73</v>
      </c>
      <c r="B78" s="5" t="s">
        <v>44</v>
      </c>
      <c r="C78" s="2">
        <v>0</v>
      </c>
      <c r="D78" s="2"/>
      <c r="E78" s="6">
        <f t="shared" si="1"/>
        <v>0</v>
      </c>
    </row>
    <row r="79" spans="1:5" ht="15" hidden="1" x14ac:dyDescent="0.45">
      <c r="A79" s="5" t="s">
        <v>74</v>
      </c>
      <c r="B79" s="5" t="s">
        <v>3</v>
      </c>
      <c r="C79" s="2">
        <v>0</v>
      </c>
      <c r="D79" s="2"/>
      <c r="E79" s="6">
        <f t="shared" si="1"/>
        <v>0</v>
      </c>
    </row>
    <row r="80" spans="1:5" ht="15" hidden="1" x14ac:dyDescent="0.45">
      <c r="A80" s="5" t="s">
        <v>74</v>
      </c>
      <c r="B80" s="5" t="s">
        <v>32</v>
      </c>
      <c r="C80" s="2">
        <v>0</v>
      </c>
      <c r="D80" s="2"/>
      <c r="E80" s="6">
        <f t="shared" si="1"/>
        <v>0</v>
      </c>
    </row>
    <row r="81" spans="1:5" ht="15" hidden="1" x14ac:dyDescent="0.45">
      <c r="A81" s="5" t="s">
        <v>75</v>
      </c>
      <c r="B81" s="5" t="s">
        <v>3</v>
      </c>
      <c r="C81" s="2">
        <v>0</v>
      </c>
      <c r="D81" s="2"/>
      <c r="E81" s="6">
        <f t="shared" si="1"/>
        <v>0</v>
      </c>
    </row>
    <row r="82" spans="1:5" ht="15" hidden="1" x14ac:dyDescent="0.45">
      <c r="A82" s="5" t="s">
        <v>76</v>
      </c>
      <c r="B82" s="5" t="s">
        <v>27</v>
      </c>
      <c r="C82" s="2">
        <v>0</v>
      </c>
      <c r="D82" s="2"/>
      <c r="E82" s="6">
        <f t="shared" si="1"/>
        <v>0</v>
      </c>
    </row>
    <row r="83" spans="1:5" ht="15" x14ac:dyDescent="0.45">
      <c r="A83" s="5" t="s">
        <v>76</v>
      </c>
      <c r="B83" s="5" t="s">
        <v>3</v>
      </c>
      <c r="C83" s="2">
        <v>150</v>
      </c>
      <c r="D83" s="11">
        <v>59000</v>
      </c>
      <c r="E83" s="6">
        <f t="shared" si="1"/>
        <v>8850000</v>
      </c>
    </row>
    <row r="84" spans="1:5" ht="15" hidden="1" x14ac:dyDescent="0.45">
      <c r="A84" s="5" t="s">
        <v>76</v>
      </c>
      <c r="B84" s="5" t="s">
        <v>77</v>
      </c>
      <c r="C84" s="2">
        <v>0</v>
      </c>
      <c r="D84" s="2"/>
      <c r="E84" s="6">
        <f t="shared" si="1"/>
        <v>0</v>
      </c>
    </row>
    <row r="85" spans="1:5" ht="15" hidden="1" x14ac:dyDescent="0.45">
      <c r="A85" s="5" t="s">
        <v>76</v>
      </c>
      <c r="B85" s="5" t="s">
        <v>112</v>
      </c>
      <c r="C85" s="2">
        <v>0</v>
      </c>
      <c r="D85" s="2"/>
      <c r="E85" s="6">
        <f t="shared" si="1"/>
        <v>0</v>
      </c>
    </row>
    <row r="86" spans="1:5" ht="15" hidden="1" x14ac:dyDescent="0.45">
      <c r="A86" s="5" t="s">
        <v>79</v>
      </c>
      <c r="B86" s="5" t="s">
        <v>18</v>
      </c>
      <c r="C86" s="2">
        <v>0</v>
      </c>
      <c r="D86" s="2"/>
      <c r="E86" s="6">
        <f t="shared" si="1"/>
        <v>0</v>
      </c>
    </row>
    <row r="87" spans="1:5" ht="15" hidden="1" x14ac:dyDescent="0.45">
      <c r="A87" s="5" t="s">
        <v>80</v>
      </c>
      <c r="B87" s="5" t="s">
        <v>27</v>
      </c>
      <c r="C87" s="2">
        <v>0</v>
      </c>
      <c r="D87" s="2"/>
      <c r="E87" s="6">
        <f t="shared" si="1"/>
        <v>0</v>
      </c>
    </row>
    <row r="88" spans="1:5" ht="15" x14ac:dyDescent="0.45">
      <c r="A88" s="5" t="s">
        <v>81</v>
      </c>
      <c r="B88" s="5" t="s">
        <v>3</v>
      </c>
      <c r="C88" s="2">
        <v>30</v>
      </c>
      <c r="D88" s="2">
        <v>40000</v>
      </c>
      <c r="E88" s="6">
        <f t="shared" si="1"/>
        <v>1200000</v>
      </c>
    </row>
    <row r="89" spans="1:5" ht="15" hidden="1" x14ac:dyDescent="0.45">
      <c r="A89" s="5" t="s">
        <v>81</v>
      </c>
      <c r="B89" s="5" t="s">
        <v>11</v>
      </c>
      <c r="C89" s="2">
        <v>0</v>
      </c>
      <c r="D89" s="2"/>
      <c r="E89" s="6">
        <f t="shared" si="1"/>
        <v>0</v>
      </c>
    </row>
    <row r="90" spans="1:5" ht="15" x14ac:dyDescent="0.45">
      <c r="A90" s="5" t="s">
        <v>82</v>
      </c>
      <c r="B90" s="5" t="s">
        <v>3</v>
      </c>
      <c r="C90" s="2">
        <v>18</v>
      </c>
      <c r="D90" s="2">
        <v>30000</v>
      </c>
      <c r="E90" s="6">
        <f t="shared" si="1"/>
        <v>540000</v>
      </c>
    </row>
    <row r="91" spans="1:5" ht="15" x14ac:dyDescent="0.45">
      <c r="A91" s="5" t="s">
        <v>83</v>
      </c>
      <c r="B91" s="5" t="s">
        <v>3</v>
      </c>
      <c r="C91" s="2">
        <v>12</v>
      </c>
      <c r="D91" s="2">
        <v>40000</v>
      </c>
      <c r="E91" s="6">
        <f t="shared" si="1"/>
        <v>480000</v>
      </c>
    </row>
    <row r="92" spans="1:5" ht="15" hidden="1" x14ac:dyDescent="0.45">
      <c r="A92" s="5" t="s">
        <v>83</v>
      </c>
      <c r="B92" s="5" t="s">
        <v>11</v>
      </c>
      <c r="C92" s="2">
        <v>0</v>
      </c>
      <c r="D92" s="2"/>
      <c r="E92" s="6">
        <f t="shared" si="1"/>
        <v>0</v>
      </c>
    </row>
    <row r="93" spans="1:5" ht="15" x14ac:dyDescent="0.45">
      <c r="A93" s="5" t="s">
        <v>85</v>
      </c>
      <c r="B93" s="5" t="s">
        <v>3</v>
      </c>
      <c r="C93" s="2">
        <v>44</v>
      </c>
      <c r="D93" s="2">
        <v>30000</v>
      </c>
      <c r="E93" s="6">
        <f t="shared" si="1"/>
        <v>1320000</v>
      </c>
    </row>
    <row r="94" spans="1:5" ht="15" hidden="1" x14ac:dyDescent="0.45">
      <c r="A94" s="5" t="s">
        <v>85</v>
      </c>
      <c r="B94" s="5" t="s">
        <v>11</v>
      </c>
      <c r="C94" s="2">
        <v>0</v>
      </c>
      <c r="D94" s="2"/>
      <c r="E94" s="6">
        <f t="shared" si="1"/>
        <v>0</v>
      </c>
    </row>
    <row r="95" spans="1:5" ht="15" hidden="1" x14ac:dyDescent="0.45">
      <c r="A95" s="5" t="s">
        <v>86</v>
      </c>
      <c r="B95" s="5" t="s">
        <v>3</v>
      </c>
      <c r="C95" s="2">
        <v>0</v>
      </c>
      <c r="D95" s="2"/>
      <c r="E95" s="6">
        <f t="shared" si="1"/>
        <v>0</v>
      </c>
    </row>
    <row r="96" spans="1:5" ht="15" hidden="1" x14ac:dyDescent="0.45">
      <c r="A96" s="5" t="s">
        <v>86</v>
      </c>
      <c r="B96" s="5" t="s">
        <v>32</v>
      </c>
      <c r="C96" s="2">
        <v>0</v>
      </c>
      <c r="D96" s="2"/>
      <c r="E96" s="6">
        <f t="shared" si="1"/>
        <v>0</v>
      </c>
    </row>
    <row r="97" spans="1:5" ht="15" x14ac:dyDescent="0.45">
      <c r="A97" s="5" t="s">
        <v>109</v>
      </c>
      <c r="B97" s="5" t="s">
        <v>3</v>
      </c>
      <c r="C97" s="2">
        <v>127</v>
      </c>
      <c r="D97" s="2">
        <v>21000</v>
      </c>
      <c r="E97" s="6">
        <f t="shared" si="1"/>
        <v>2667000</v>
      </c>
    </row>
    <row r="98" spans="1:5" ht="15" hidden="1" x14ac:dyDescent="0.45">
      <c r="A98" s="5" t="s">
        <v>87</v>
      </c>
      <c r="B98" s="5" t="s">
        <v>32</v>
      </c>
      <c r="C98" s="2">
        <v>0</v>
      </c>
      <c r="D98" s="2"/>
      <c r="E98" s="6">
        <f t="shared" si="1"/>
        <v>0</v>
      </c>
    </row>
    <row r="99" spans="1:5" ht="15" hidden="1" x14ac:dyDescent="0.45">
      <c r="A99" s="5" t="s">
        <v>133</v>
      </c>
      <c r="B99" s="5" t="s">
        <v>3</v>
      </c>
      <c r="C99" s="2">
        <v>0</v>
      </c>
      <c r="D99" s="2"/>
      <c r="E99" s="6">
        <f t="shared" si="1"/>
        <v>0</v>
      </c>
    </row>
    <row r="100" spans="1:5" ht="15" x14ac:dyDescent="0.45">
      <c r="A100" s="5" t="s">
        <v>91</v>
      </c>
      <c r="B100" s="5" t="s">
        <v>3</v>
      </c>
      <c r="C100" s="2">
        <v>15</v>
      </c>
      <c r="D100" s="2">
        <v>18000</v>
      </c>
      <c r="E100" s="6">
        <f t="shared" si="1"/>
        <v>270000</v>
      </c>
    </row>
    <row r="101" spans="1:5" ht="15" x14ac:dyDescent="0.45">
      <c r="A101" s="5" t="s">
        <v>92</v>
      </c>
      <c r="B101" s="5" t="s">
        <v>3</v>
      </c>
      <c r="C101" s="2">
        <v>127</v>
      </c>
      <c r="D101" s="2">
        <v>5000</v>
      </c>
      <c r="E101" s="6">
        <f t="shared" si="1"/>
        <v>635000</v>
      </c>
    </row>
    <row r="102" spans="1:5" ht="15" x14ac:dyDescent="0.45">
      <c r="A102" s="5" t="s">
        <v>94</v>
      </c>
      <c r="B102" s="5" t="s">
        <v>3</v>
      </c>
      <c r="C102" s="2">
        <v>11</v>
      </c>
      <c r="D102" s="2">
        <v>14000</v>
      </c>
      <c r="E102" s="6">
        <f t="shared" si="1"/>
        <v>154000</v>
      </c>
    </row>
    <row r="103" spans="1:5" ht="15" hidden="1" x14ac:dyDescent="0.45">
      <c r="A103" s="5" t="s">
        <v>95</v>
      </c>
      <c r="B103" s="5" t="s">
        <v>3</v>
      </c>
      <c r="C103" s="2">
        <v>0</v>
      </c>
      <c r="D103" s="2"/>
      <c r="E103" s="6">
        <f t="shared" si="1"/>
        <v>0</v>
      </c>
    </row>
    <row r="104" spans="1:5" ht="15" hidden="1" x14ac:dyDescent="0.45">
      <c r="A104" s="5" t="s">
        <v>96</v>
      </c>
      <c r="B104" s="5" t="s">
        <v>3</v>
      </c>
      <c r="C104" s="2">
        <v>0</v>
      </c>
      <c r="D104" s="2"/>
      <c r="E104" s="6">
        <f t="shared" si="1"/>
        <v>0</v>
      </c>
    </row>
    <row r="105" spans="1:5" ht="15" x14ac:dyDescent="0.45">
      <c r="A105" s="5" t="s">
        <v>97</v>
      </c>
      <c r="B105" s="5" t="s">
        <v>44</v>
      </c>
      <c r="C105" s="2">
        <v>53</v>
      </c>
      <c r="D105" s="2">
        <v>6800</v>
      </c>
      <c r="E105" s="6">
        <f t="shared" si="1"/>
        <v>360400</v>
      </c>
    </row>
    <row r="106" spans="1:5" ht="15" hidden="1" x14ac:dyDescent="0.45">
      <c r="A106" s="5" t="s">
        <v>98</v>
      </c>
      <c r="B106" s="5" t="s">
        <v>3</v>
      </c>
      <c r="C106" s="2">
        <v>0</v>
      </c>
      <c r="D106" s="2"/>
      <c r="E106" s="6">
        <f t="shared" si="1"/>
        <v>0</v>
      </c>
    </row>
    <row r="107" spans="1:5" ht="15" hidden="1" x14ac:dyDescent="0.45">
      <c r="A107" s="5" t="s">
        <v>99</v>
      </c>
      <c r="B107" s="5" t="s">
        <v>44</v>
      </c>
      <c r="C107" s="2">
        <v>0</v>
      </c>
      <c r="D107" s="2"/>
      <c r="E107" s="6">
        <f t="shared" si="1"/>
        <v>0</v>
      </c>
    </row>
    <row r="108" spans="1:5" ht="15" x14ac:dyDescent="0.45">
      <c r="A108" s="5" t="s">
        <v>100</v>
      </c>
      <c r="B108" s="5" t="s">
        <v>3</v>
      </c>
      <c r="C108" s="2">
        <v>25</v>
      </c>
      <c r="D108" s="2">
        <v>25000</v>
      </c>
      <c r="E108" s="6">
        <f t="shared" si="1"/>
        <v>625000</v>
      </c>
    </row>
    <row r="109" spans="1:5" ht="15" hidden="1" x14ac:dyDescent="0.45">
      <c r="A109" s="5" t="s">
        <v>101</v>
      </c>
      <c r="B109" s="5" t="s">
        <v>44</v>
      </c>
      <c r="C109" s="2">
        <v>0</v>
      </c>
      <c r="D109" s="2"/>
      <c r="E109" s="6">
        <f t="shared" si="1"/>
        <v>0</v>
      </c>
    </row>
    <row r="110" spans="1:5" x14ac:dyDescent="0.45">
      <c r="E110" s="8">
        <f>SUM(E3:E108)</f>
        <v>139106150</v>
      </c>
    </row>
  </sheetData>
  <autoFilter ref="A2:E109" xr:uid="{00000000-0009-0000-0000-00000B000000}">
    <filterColumn colId="2">
      <filters>
        <filter val="1,091"/>
        <filter val="1,190"/>
        <filter val="1,351"/>
        <filter val="1,665"/>
        <filter val="10"/>
        <filter val="11"/>
        <filter val="110"/>
        <filter val="115"/>
        <filter val="12"/>
        <filter val="120"/>
        <filter val="127"/>
        <filter val="15"/>
        <filter val="150"/>
        <filter val="18"/>
        <filter val="180"/>
        <filter val="2"/>
        <filter val="20"/>
        <filter val="200"/>
        <filter val="22"/>
        <filter val="246"/>
        <filter val="25"/>
        <filter val="250"/>
        <filter val="27"/>
        <filter val="3"/>
        <filter val="30"/>
        <filter val="333"/>
        <filter val="35"/>
        <filter val="37"/>
        <filter val="39"/>
        <filter val="410"/>
        <filter val="44"/>
        <filter val="46"/>
        <filter val="475"/>
        <filter val="53"/>
        <filter val="596"/>
        <filter val="610"/>
        <filter val="620"/>
        <filter val="65"/>
        <filter val="7"/>
        <filter val="75"/>
        <filter val="80"/>
        <filter val="93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E123"/>
  <sheetViews>
    <sheetView tabSelected="1" topLeftCell="A44" zoomScale="132" workbookViewId="0">
      <selection activeCell="E61" sqref="E61:E62"/>
    </sheetView>
  </sheetViews>
  <sheetFormatPr defaultColWidth="8.86328125" defaultRowHeight="14.25" x14ac:dyDescent="0.45"/>
  <cols>
    <col min="1" max="1" width="28.19921875" style="12" customWidth="1"/>
    <col min="2" max="3" width="8.86328125" style="12"/>
    <col min="4" max="4" width="12.86328125" style="12" customWidth="1"/>
    <col min="5" max="5" width="17.46484375" style="12" customWidth="1"/>
    <col min="6" max="16384" width="8.86328125" style="12"/>
  </cols>
  <sheetData>
    <row r="1" spans="1:5" x14ac:dyDescent="0.45">
      <c r="A1" s="12" t="s">
        <v>148</v>
      </c>
    </row>
    <row r="2" spans="1:5" ht="49.25" customHeight="1" x14ac:dyDescent="0.45">
      <c r="A2" s="13" t="s">
        <v>0</v>
      </c>
      <c r="B2" s="13" t="s">
        <v>1</v>
      </c>
      <c r="C2" s="14" t="s">
        <v>103</v>
      </c>
      <c r="D2" s="14" t="s">
        <v>149</v>
      </c>
      <c r="E2" s="15" t="s">
        <v>105</v>
      </c>
    </row>
    <row r="3" spans="1:5" customFormat="1" ht="15" hidden="1" x14ac:dyDescent="0.45">
      <c r="A3" s="5" t="s">
        <v>2</v>
      </c>
      <c r="B3" s="5" t="s">
        <v>3</v>
      </c>
      <c r="C3" s="2">
        <v>0</v>
      </c>
      <c r="D3" s="2"/>
      <c r="E3" s="6">
        <f>C3*D3</f>
        <v>0</v>
      </c>
    </row>
    <row r="4" spans="1:5" ht="15" x14ac:dyDescent="0.45">
      <c r="A4" s="16" t="s">
        <v>4</v>
      </c>
      <c r="B4" s="16" t="s">
        <v>3</v>
      </c>
      <c r="C4" s="14">
        <v>360</v>
      </c>
      <c r="D4" s="14">
        <v>7000</v>
      </c>
      <c r="E4" s="17">
        <f t="shared" ref="E4:E67" si="0">C4*D4</f>
        <v>2520000</v>
      </c>
    </row>
    <row r="5" spans="1:5" ht="15" x14ac:dyDescent="0.45">
      <c r="A5" s="16" t="s">
        <v>5</v>
      </c>
      <c r="B5" s="16" t="s">
        <v>3</v>
      </c>
      <c r="C5" s="14">
        <v>640</v>
      </c>
      <c r="D5" s="14">
        <v>4000</v>
      </c>
      <c r="E5" s="17">
        <f t="shared" si="0"/>
        <v>2560000</v>
      </c>
    </row>
    <row r="6" spans="1:5" ht="15" x14ac:dyDescent="0.45">
      <c r="A6" s="16" t="s">
        <v>6</v>
      </c>
      <c r="B6" s="16" t="s">
        <v>3</v>
      </c>
      <c r="C6" s="14">
        <v>3</v>
      </c>
      <c r="D6" s="14">
        <v>10000</v>
      </c>
      <c r="E6" s="17">
        <f t="shared" si="0"/>
        <v>30000</v>
      </c>
    </row>
    <row r="7" spans="1:5" customFormat="1" ht="15" hidden="1" x14ac:dyDescent="0.45">
      <c r="A7" s="5" t="s">
        <v>7</v>
      </c>
      <c r="B7" s="5" t="s">
        <v>3</v>
      </c>
      <c r="C7" s="2">
        <v>0</v>
      </c>
      <c r="D7" s="2"/>
      <c r="E7" s="6">
        <f t="shared" si="0"/>
        <v>0</v>
      </c>
    </row>
    <row r="8" spans="1:5" ht="15" x14ac:dyDescent="0.45">
      <c r="A8" s="16" t="s">
        <v>8</v>
      </c>
      <c r="B8" s="16" t="s">
        <v>3</v>
      </c>
      <c r="C8" s="14">
        <v>939</v>
      </c>
      <c r="D8" s="14">
        <v>7000</v>
      </c>
      <c r="E8" s="17">
        <f t="shared" si="0"/>
        <v>6573000</v>
      </c>
    </row>
    <row r="9" spans="1:5" customFormat="1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5" ht="15" x14ac:dyDescent="0.45">
      <c r="A10" s="16" t="s">
        <v>10</v>
      </c>
      <c r="B10" s="16" t="s">
        <v>3</v>
      </c>
      <c r="C10" s="14">
        <v>60</v>
      </c>
      <c r="D10" s="14">
        <v>7500</v>
      </c>
      <c r="E10" s="17">
        <f t="shared" si="0"/>
        <v>450000</v>
      </c>
    </row>
    <row r="11" spans="1:5" customFormat="1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5" ht="15" x14ac:dyDescent="0.45">
      <c r="A12" s="16" t="s">
        <v>12</v>
      </c>
      <c r="B12" s="16" t="s">
        <v>3</v>
      </c>
      <c r="C12" s="14">
        <v>105</v>
      </c>
      <c r="D12" s="14">
        <v>10000</v>
      </c>
      <c r="E12" s="17">
        <f t="shared" si="0"/>
        <v>1050000</v>
      </c>
    </row>
    <row r="13" spans="1:5" customFormat="1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5" ht="15" x14ac:dyDescent="0.45">
      <c r="A14" s="16" t="s">
        <v>13</v>
      </c>
      <c r="B14" s="16" t="s">
        <v>3</v>
      </c>
      <c r="C14" s="14">
        <v>20</v>
      </c>
      <c r="D14" s="14">
        <v>35000</v>
      </c>
      <c r="E14" s="17">
        <f t="shared" si="0"/>
        <v>700000</v>
      </c>
    </row>
    <row r="15" spans="1:5" customFormat="1" ht="15" hidden="1" x14ac:dyDescent="0.45">
      <c r="A15" s="5" t="s">
        <v>116</v>
      </c>
      <c r="B15" s="5" t="s">
        <v>3</v>
      </c>
      <c r="C15" s="2">
        <v>0</v>
      </c>
      <c r="D15" s="2"/>
      <c r="E15" s="6">
        <f t="shared" si="0"/>
        <v>0</v>
      </c>
    </row>
    <row r="16" spans="1:5" customFormat="1" ht="15" hidden="1" x14ac:dyDescent="0.45">
      <c r="A16" s="5" t="s">
        <v>14</v>
      </c>
      <c r="B16" s="5" t="s">
        <v>3</v>
      </c>
      <c r="C16" s="2">
        <v>0</v>
      </c>
      <c r="D16" s="2"/>
      <c r="E16" s="6">
        <f t="shared" si="0"/>
        <v>0</v>
      </c>
    </row>
    <row r="17" spans="1:5" customFormat="1" ht="15" hidden="1" x14ac:dyDescent="0.45">
      <c r="A17" s="5" t="s">
        <v>15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x14ac:dyDescent="0.45">
      <c r="A18" s="16" t="s">
        <v>16</v>
      </c>
      <c r="B18" s="16" t="s">
        <v>3</v>
      </c>
      <c r="C18" s="14">
        <v>55</v>
      </c>
      <c r="D18" s="14">
        <v>30000</v>
      </c>
      <c r="E18" s="17">
        <f t="shared" si="0"/>
        <v>1650000</v>
      </c>
    </row>
    <row r="19" spans="1:5" customFormat="1" ht="15" hidden="1" x14ac:dyDescent="0.45">
      <c r="A19" s="5" t="s">
        <v>17</v>
      </c>
      <c r="B19" s="5" t="s">
        <v>18</v>
      </c>
      <c r="C19" s="2">
        <v>0</v>
      </c>
      <c r="D19" s="2"/>
      <c r="E19" s="6">
        <f t="shared" si="0"/>
        <v>0</v>
      </c>
    </row>
    <row r="20" spans="1:5" customFormat="1" ht="15" hidden="1" x14ac:dyDescent="0.45">
      <c r="A20" s="5" t="s">
        <v>19</v>
      </c>
      <c r="B20" s="5" t="s">
        <v>3</v>
      </c>
      <c r="C20" s="2">
        <v>0</v>
      </c>
      <c r="D20" s="2"/>
      <c r="E20" s="6">
        <f t="shared" si="0"/>
        <v>0</v>
      </c>
    </row>
    <row r="21" spans="1:5" ht="15" x14ac:dyDescent="0.45">
      <c r="A21" s="16" t="s">
        <v>20</v>
      </c>
      <c r="B21" s="16" t="s">
        <v>3</v>
      </c>
      <c r="C21" s="14">
        <v>250</v>
      </c>
      <c r="D21" s="14">
        <v>12000</v>
      </c>
      <c r="E21" s="17">
        <f t="shared" si="0"/>
        <v>3000000</v>
      </c>
    </row>
    <row r="22" spans="1:5" customFormat="1" ht="15" hidden="1" x14ac:dyDescent="0.45">
      <c r="A22" s="5" t="s">
        <v>20</v>
      </c>
      <c r="B22" s="5" t="s">
        <v>21</v>
      </c>
      <c r="C22" s="2">
        <v>0</v>
      </c>
      <c r="D22" s="2"/>
      <c r="E22" s="6">
        <f t="shared" si="0"/>
        <v>0</v>
      </c>
    </row>
    <row r="23" spans="1:5" ht="15" x14ac:dyDescent="0.45">
      <c r="A23" s="16" t="s">
        <v>22</v>
      </c>
      <c r="B23" s="16" t="s">
        <v>3</v>
      </c>
      <c r="C23" s="14">
        <v>2</v>
      </c>
      <c r="D23" s="14">
        <v>10000</v>
      </c>
      <c r="E23" s="17">
        <f t="shared" si="0"/>
        <v>20000</v>
      </c>
    </row>
    <row r="24" spans="1:5" customFormat="1" ht="15" hidden="1" x14ac:dyDescent="0.45">
      <c r="A24" s="5" t="s">
        <v>22</v>
      </c>
      <c r="B24" s="5" t="s">
        <v>23</v>
      </c>
      <c r="C24" s="2">
        <v>0</v>
      </c>
      <c r="D24" s="2"/>
      <c r="E24" s="6">
        <f t="shared" si="0"/>
        <v>0</v>
      </c>
    </row>
    <row r="25" spans="1:5" ht="15" x14ac:dyDescent="0.45">
      <c r="A25" s="16" t="s">
        <v>24</v>
      </c>
      <c r="B25" s="16" t="s">
        <v>3</v>
      </c>
      <c r="C25" s="14">
        <v>24</v>
      </c>
      <c r="D25" s="14">
        <v>15000</v>
      </c>
      <c r="E25" s="17">
        <f t="shared" si="0"/>
        <v>360000</v>
      </c>
    </row>
    <row r="26" spans="1:5" ht="15" x14ac:dyDescent="0.45">
      <c r="A26" s="16" t="s">
        <v>24</v>
      </c>
      <c r="B26" s="16" t="s">
        <v>25</v>
      </c>
      <c r="C26" s="14">
        <v>7</v>
      </c>
      <c r="D26" s="14">
        <v>4500</v>
      </c>
      <c r="E26" s="17">
        <f t="shared" si="0"/>
        <v>31500</v>
      </c>
    </row>
    <row r="27" spans="1:5" ht="15" x14ac:dyDescent="0.45">
      <c r="A27" s="16" t="s">
        <v>26</v>
      </c>
      <c r="B27" s="16" t="s">
        <v>27</v>
      </c>
      <c r="C27" s="14">
        <v>18</v>
      </c>
      <c r="D27" s="14">
        <v>10500</v>
      </c>
      <c r="E27" s="17">
        <f t="shared" si="0"/>
        <v>189000</v>
      </c>
    </row>
    <row r="28" spans="1:5" customFormat="1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16" t="s">
        <v>28</v>
      </c>
      <c r="B29" s="16" t="s">
        <v>29</v>
      </c>
      <c r="C29" s="14">
        <v>336</v>
      </c>
      <c r="D29" s="14">
        <v>7500</v>
      </c>
      <c r="E29" s="17">
        <f t="shared" si="0"/>
        <v>2520000</v>
      </c>
    </row>
    <row r="30" spans="1:5" ht="15" x14ac:dyDescent="0.45">
      <c r="A30" s="16" t="s">
        <v>30</v>
      </c>
      <c r="B30" s="16" t="s">
        <v>3</v>
      </c>
      <c r="C30" s="14">
        <v>137</v>
      </c>
      <c r="D30" s="14">
        <v>8000</v>
      </c>
      <c r="E30" s="17">
        <f t="shared" si="0"/>
        <v>1096000</v>
      </c>
    </row>
    <row r="31" spans="1:5" customFormat="1" ht="15" hidden="1" x14ac:dyDescent="0.45">
      <c r="A31" s="5" t="s">
        <v>30</v>
      </c>
      <c r="B31" s="5" t="s">
        <v>18</v>
      </c>
      <c r="C31" s="2">
        <v>0</v>
      </c>
      <c r="D31" s="2"/>
      <c r="E31" s="6">
        <f t="shared" si="0"/>
        <v>0</v>
      </c>
    </row>
    <row r="32" spans="1:5" customFormat="1" ht="15" hidden="1" x14ac:dyDescent="0.45">
      <c r="A32" s="5" t="s">
        <v>31</v>
      </c>
      <c r="B32" s="5" t="s">
        <v>32</v>
      </c>
      <c r="C32" s="2">
        <v>0</v>
      </c>
      <c r="D32" s="2"/>
      <c r="E32" s="6">
        <f t="shared" si="0"/>
        <v>0</v>
      </c>
    </row>
    <row r="33" spans="1:5" ht="15" x14ac:dyDescent="0.45">
      <c r="A33" s="16" t="s">
        <v>33</v>
      </c>
      <c r="B33" s="16" t="s">
        <v>3</v>
      </c>
      <c r="C33" s="14">
        <v>165</v>
      </c>
      <c r="D33" s="14">
        <v>12000</v>
      </c>
      <c r="E33" s="17">
        <f t="shared" si="0"/>
        <v>1980000</v>
      </c>
    </row>
    <row r="34" spans="1:5" customFormat="1" ht="15" hidden="1" x14ac:dyDescent="0.45">
      <c r="A34" s="5" t="s">
        <v>33</v>
      </c>
      <c r="B34" s="5" t="s">
        <v>32</v>
      </c>
      <c r="C34" s="2">
        <v>0</v>
      </c>
      <c r="D34" s="2"/>
      <c r="E34" s="6">
        <f t="shared" si="0"/>
        <v>0</v>
      </c>
    </row>
    <row r="35" spans="1:5" customFormat="1" ht="15" hidden="1" x14ac:dyDescent="0.45">
      <c r="A35" s="5" t="s">
        <v>34</v>
      </c>
      <c r="B35" s="5" t="s">
        <v>3</v>
      </c>
      <c r="C35" s="2">
        <v>0</v>
      </c>
      <c r="D35" s="2"/>
      <c r="E35" s="6">
        <f t="shared" si="0"/>
        <v>0</v>
      </c>
    </row>
    <row r="36" spans="1:5" ht="15" x14ac:dyDescent="0.45">
      <c r="A36" s="16" t="s">
        <v>34</v>
      </c>
      <c r="B36" s="16" t="s">
        <v>18</v>
      </c>
      <c r="C36" s="14">
        <v>12</v>
      </c>
      <c r="D36" s="14">
        <v>5500</v>
      </c>
      <c r="E36" s="17">
        <f t="shared" si="0"/>
        <v>66000</v>
      </c>
    </row>
    <row r="37" spans="1:5" ht="15" x14ac:dyDescent="0.45">
      <c r="A37" s="16" t="s">
        <v>35</v>
      </c>
      <c r="B37" s="16" t="s">
        <v>3</v>
      </c>
      <c r="C37" s="14">
        <v>40</v>
      </c>
      <c r="D37" s="14">
        <v>8000</v>
      </c>
      <c r="E37" s="17">
        <f t="shared" si="0"/>
        <v>320000</v>
      </c>
    </row>
    <row r="38" spans="1:5" customFormat="1" ht="15" hidden="1" x14ac:dyDescent="0.45">
      <c r="A38" s="5" t="s">
        <v>35</v>
      </c>
      <c r="B38" s="5" t="s">
        <v>36</v>
      </c>
      <c r="C38" s="2">
        <v>0</v>
      </c>
      <c r="D38" s="2"/>
      <c r="E38" s="6">
        <f t="shared" si="0"/>
        <v>0</v>
      </c>
    </row>
    <row r="39" spans="1:5" customFormat="1" ht="15" hidden="1" x14ac:dyDescent="0.45">
      <c r="A39" s="5" t="s">
        <v>37</v>
      </c>
      <c r="B39" s="5" t="s">
        <v>3</v>
      </c>
      <c r="C39" s="2">
        <v>0</v>
      </c>
      <c r="D39" s="2"/>
      <c r="E39" s="6">
        <f t="shared" si="0"/>
        <v>0</v>
      </c>
    </row>
    <row r="40" spans="1:5" customFormat="1" ht="15" hidden="1" x14ac:dyDescent="0.45">
      <c r="A40" s="5" t="s">
        <v>37</v>
      </c>
      <c r="B40" s="5" t="s">
        <v>32</v>
      </c>
      <c r="C40" s="2">
        <v>0</v>
      </c>
      <c r="D40" s="2"/>
      <c r="E40" s="6">
        <f t="shared" si="0"/>
        <v>0</v>
      </c>
    </row>
    <row r="41" spans="1:5" customFormat="1" ht="15" hidden="1" x14ac:dyDescent="0.45">
      <c r="A41" s="5" t="s">
        <v>38</v>
      </c>
      <c r="B41" s="5" t="s">
        <v>3</v>
      </c>
      <c r="C41" s="2">
        <v>0</v>
      </c>
      <c r="D41" s="2"/>
      <c r="E41" s="6">
        <f t="shared" si="0"/>
        <v>0</v>
      </c>
    </row>
    <row r="42" spans="1:5" ht="15" x14ac:dyDescent="0.45">
      <c r="A42" s="16" t="s">
        <v>38</v>
      </c>
      <c r="B42" s="16" t="s">
        <v>32</v>
      </c>
      <c r="C42" s="14">
        <v>1</v>
      </c>
      <c r="D42" s="14">
        <v>3000</v>
      </c>
      <c r="E42" s="17">
        <f t="shared" si="0"/>
        <v>3000</v>
      </c>
    </row>
    <row r="43" spans="1:5" ht="15" x14ac:dyDescent="0.45">
      <c r="A43" s="16" t="s">
        <v>39</v>
      </c>
      <c r="B43" s="16" t="s">
        <v>32</v>
      </c>
      <c r="C43" s="14">
        <v>32</v>
      </c>
      <c r="D43" s="14">
        <v>5000</v>
      </c>
      <c r="E43" s="17">
        <f t="shared" si="0"/>
        <v>160000</v>
      </c>
    </row>
    <row r="44" spans="1:5" ht="15" x14ac:dyDescent="0.45">
      <c r="A44" s="16" t="s">
        <v>40</v>
      </c>
      <c r="B44" s="16" t="s">
        <v>3</v>
      </c>
      <c r="C44" s="14">
        <v>986</v>
      </c>
      <c r="D44" s="14">
        <v>4500</v>
      </c>
      <c r="E44" s="17">
        <f t="shared" si="0"/>
        <v>4437000</v>
      </c>
    </row>
    <row r="45" spans="1:5" customFormat="1" ht="15" hidden="1" x14ac:dyDescent="0.45">
      <c r="A45" s="5" t="s">
        <v>41</v>
      </c>
      <c r="B45" s="5" t="s">
        <v>3</v>
      </c>
      <c r="C45" s="2">
        <v>0</v>
      </c>
      <c r="D45" s="2"/>
      <c r="E45" s="6">
        <f t="shared" si="0"/>
        <v>0</v>
      </c>
    </row>
    <row r="46" spans="1:5" ht="15" x14ac:dyDescent="0.45">
      <c r="A46" s="16" t="s">
        <v>43</v>
      </c>
      <c r="B46" s="16" t="s">
        <v>3</v>
      </c>
      <c r="C46" s="14">
        <v>15</v>
      </c>
      <c r="D46" s="14">
        <v>12000</v>
      </c>
      <c r="E46" s="17">
        <f t="shared" si="0"/>
        <v>180000</v>
      </c>
    </row>
    <row r="47" spans="1:5" customFormat="1" ht="15" hidden="1" x14ac:dyDescent="0.45">
      <c r="A47" s="5" t="s">
        <v>43</v>
      </c>
      <c r="B47" s="5" t="s">
        <v>44</v>
      </c>
      <c r="C47" s="2">
        <v>0</v>
      </c>
      <c r="D47" s="2"/>
      <c r="E47" s="6">
        <f t="shared" si="0"/>
        <v>0</v>
      </c>
    </row>
    <row r="48" spans="1:5" ht="15" x14ac:dyDescent="0.45">
      <c r="A48" s="16" t="s">
        <v>45</v>
      </c>
      <c r="B48" s="16" t="s">
        <v>3</v>
      </c>
      <c r="C48" s="14">
        <v>2</v>
      </c>
      <c r="D48" s="14">
        <v>29000</v>
      </c>
      <c r="E48" s="17">
        <f t="shared" si="0"/>
        <v>58000</v>
      </c>
    </row>
    <row r="49" spans="1:5" customFormat="1" ht="15" hidden="1" x14ac:dyDescent="0.45">
      <c r="A49" s="5" t="s">
        <v>46</v>
      </c>
      <c r="B49" s="5" t="s">
        <v>3</v>
      </c>
      <c r="C49" s="2">
        <v>0</v>
      </c>
      <c r="D49" s="2"/>
      <c r="E49" s="6">
        <f t="shared" si="0"/>
        <v>0</v>
      </c>
    </row>
    <row r="50" spans="1:5" ht="15" x14ac:dyDescent="0.45">
      <c r="A50" s="16" t="s">
        <v>47</v>
      </c>
      <c r="B50" s="16" t="s">
        <v>27</v>
      </c>
      <c r="C50" s="14">
        <v>8</v>
      </c>
      <c r="D50" s="14">
        <v>10000</v>
      </c>
      <c r="E50" s="17">
        <f t="shared" si="0"/>
        <v>80000</v>
      </c>
    </row>
    <row r="51" spans="1:5" customFormat="1" ht="15" hidden="1" x14ac:dyDescent="0.45">
      <c r="A51" s="5" t="s">
        <v>47</v>
      </c>
      <c r="B51" s="5" t="s">
        <v>3</v>
      </c>
      <c r="C51" s="2">
        <v>0</v>
      </c>
      <c r="D51" s="2"/>
      <c r="E51" s="6">
        <f t="shared" si="0"/>
        <v>0</v>
      </c>
    </row>
    <row r="52" spans="1:5" ht="15" x14ac:dyDescent="0.45">
      <c r="A52" s="16" t="s">
        <v>107</v>
      </c>
      <c r="B52" s="16" t="s">
        <v>3</v>
      </c>
      <c r="C52" s="14">
        <v>2</v>
      </c>
      <c r="D52" s="14">
        <v>16000</v>
      </c>
      <c r="E52" s="17">
        <f t="shared" si="0"/>
        <v>32000</v>
      </c>
    </row>
    <row r="53" spans="1:5" customFormat="1" ht="15" hidden="1" x14ac:dyDescent="0.45">
      <c r="A53" s="5" t="s">
        <v>48</v>
      </c>
      <c r="B53" s="5" t="s">
        <v>3</v>
      </c>
      <c r="C53" s="2">
        <v>0</v>
      </c>
      <c r="D53" s="2"/>
      <c r="E53" s="6">
        <f t="shared" si="0"/>
        <v>0</v>
      </c>
    </row>
    <row r="54" spans="1:5" ht="15" x14ac:dyDescent="0.45">
      <c r="A54" s="16" t="s">
        <v>49</v>
      </c>
      <c r="B54" s="16" t="s">
        <v>3</v>
      </c>
      <c r="C54" s="14">
        <v>22</v>
      </c>
      <c r="D54" s="14">
        <v>8000</v>
      </c>
      <c r="E54" s="17">
        <f t="shared" si="0"/>
        <v>176000</v>
      </c>
    </row>
    <row r="55" spans="1:5" customFormat="1" ht="15" hidden="1" x14ac:dyDescent="0.45">
      <c r="A55" s="5" t="s">
        <v>49</v>
      </c>
      <c r="B55" s="5" t="s">
        <v>32</v>
      </c>
      <c r="C55" s="2">
        <v>0</v>
      </c>
      <c r="D55" s="2"/>
      <c r="E55" s="6">
        <f t="shared" si="0"/>
        <v>0</v>
      </c>
    </row>
    <row r="56" spans="1:5" ht="15" x14ac:dyDescent="0.45">
      <c r="A56" s="16" t="s">
        <v>50</v>
      </c>
      <c r="B56" s="16" t="s">
        <v>3</v>
      </c>
      <c r="C56" s="14">
        <v>20</v>
      </c>
      <c r="D56" s="14">
        <v>21000</v>
      </c>
      <c r="E56" s="17">
        <f t="shared" si="0"/>
        <v>420000</v>
      </c>
    </row>
    <row r="57" spans="1:5" ht="15" x14ac:dyDescent="0.45">
      <c r="A57" s="16" t="s">
        <v>51</v>
      </c>
      <c r="B57" s="16" t="s">
        <v>3</v>
      </c>
      <c r="C57" s="14">
        <v>490</v>
      </c>
      <c r="D57" s="14">
        <v>5000</v>
      </c>
      <c r="E57" s="17">
        <f t="shared" si="0"/>
        <v>2450000</v>
      </c>
    </row>
    <row r="58" spans="1:5" customFormat="1" ht="15" hidden="1" x14ac:dyDescent="0.45">
      <c r="A58" s="5" t="s">
        <v>51</v>
      </c>
      <c r="B58" s="5" t="s">
        <v>52</v>
      </c>
      <c r="C58" s="2">
        <v>0</v>
      </c>
      <c r="D58" s="2"/>
      <c r="E58" s="6">
        <f t="shared" si="0"/>
        <v>0</v>
      </c>
    </row>
    <row r="59" spans="1:5" ht="15" x14ac:dyDescent="0.45">
      <c r="A59" s="16" t="s">
        <v>53</v>
      </c>
      <c r="B59" s="16" t="s">
        <v>3</v>
      </c>
      <c r="C59" s="14">
        <v>60</v>
      </c>
      <c r="D59" s="14">
        <v>20000</v>
      </c>
      <c r="E59" s="17">
        <f t="shared" si="0"/>
        <v>1200000</v>
      </c>
    </row>
    <row r="60" spans="1:5" customFormat="1" ht="15" hidden="1" x14ac:dyDescent="0.45">
      <c r="A60" s="5" t="s">
        <v>54</v>
      </c>
      <c r="B60" s="5" t="s">
        <v>32</v>
      </c>
      <c r="C60" s="2">
        <v>0</v>
      </c>
      <c r="D60" s="2"/>
      <c r="E60" s="6">
        <f t="shared" si="0"/>
        <v>0</v>
      </c>
    </row>
    <row r="61" spans="1:5" ht="15" x14ac:dyDescent="0.45">
      <c r="A61" s="16" t="s">
        <v>55</v>
      </c>
      <c r="B61" s="16" t="s">
        <v>3</v>
      </c>
      <c r="C61" s="14">
        <v>1485</v>
      </c>
      <c r="D61" s="14">
        <v>26000</v>
      </c>
      <c r="E61" s="17">
        <f t="shared" si="0"/>
        <v>38610000</v>
      </c>
    </row>
    <row r="62" spans="1:5" ht="15" x14ac:dyDescent="0.45">
      <c r="A62" s="16" t="s">
        <v>56</v>
      </c>
      <c r="B62" s="16" t="s">
        <v>3</v>
      </c>
      <c r="C62" s="14">
        <v>480</v>
      </c>
      <c r="D62" s="14">
        <v>26000</v>
      </c>
      <c r="E62" s="17">
        <f t="shared" si="0"/>
        <v>12480000</v>
      </c>
    </row>
    <row r="63" spans="1:5" customFormat="1" ht="15" hidden="1" x14ac:dyDescent="0.45">
      <c r="A63" s="5" t="s">
        <v>56</v>
      </c>
      <c r="B63" s="5" t="s">
        <v>32</v>
      </c>
      <c r="C63" s="2">
        <v>0</v>
      </c>
      <c r="D63" s="2"/>
      <c r="E63" s="6">
        <f t="shared" si="0"/>
        <v>0</v>
      </c>
    </row>
    <row r="64" spans="1:5" ht="15" x14ac:dyDescent="0.45">
      <c r="A64" s="16" t="s">
        <v>57</v>
      </c>
      <c r="B64" s="16" t="s">
        <v>3</v>
      </c>
      <c r="C64" s="14">
        <v>240</v>
      </c>
      <c r="D64" s="14">
        <v>16000</v>
      </c>
      <c r="E64" s="17">
        <f t="shared" si="0"/>
        <v>3840000</v>
      </c>
    </row>
    <row r="65" spans="1:5" ht="15" x14ac:dyDescent="0.45">
      <c r="A65" s="16" t="s">
        <v>58</v>
      </c>
      <c r="B65" s="16" t="s">
        <v>3</v>
      </c>
      <c r="C65" s="14">
        <v>85</v>
      </c>
      <c r="D65" s="14">
        <v>22000</v>
      </c>
      <c r="E65" s="17">
        <f t="shared" si="0"/>
        <v>1870000</v>
      </c>
    </row>
    <row r="66" spans="1:5" ht="15" x14ac:dyDescent="0.45">
      <c r="A66" s="16" t="s">
        <v>61</v>
      </c>
      <c r="B66" s="16" t="s">
        <v>3</v>
      </c>
      <c r="C66" s="14">
        <v>300</v>
      </c>
      <c r="D66" s="14">
        <v>11300</v>
      </c>
      <c r="E66" s="17">
        <f t="shared" si="0"/>
        <v>3390000</v>
      </c>
    </row>
    <row r="67" spans="1:5" customFormat="1" ht="15" hidden="1" x14ac:dyDescent="0.45">
      <c r="A67" s="5" t="s">
        <v>61</v>
      </c>
      <c r="B67" s="5" t="s">
        <v>32</v>
      </c>
      <c r="C67" s="2">
        <v>0</v>
      </c>
      <c r="D67" s="2"/>
      <c r="E67" s="6">
        <f t="shared" si="0"/>
        <v>0</v>
      </c>
    </row>
    <row r="68" spans="1:5" ht="15" x14ac:dyDescent="0.45">
      <c r="A68" s="16" t="s">
        <v>62</v>
      </c>
      <c r="B68" s="16" t="s">
        <v>32</v>
      </c>
      <c r="C68" s="14">
        <v>40</v>
      </c>
      <c r="D68" s="14">
        <v>5000</v>
      </c>
      <c r="E68" s="17">
        <f t="shared" ref="E68:E122" si="1">C68*D68</f>
        <v>200000</v>
      </c>
    </row>
    <row r="69" spans="1:5" ht="15" x14ac:dyDescent="0.45">
      <c r="A69" s="16" t="s">
        <v>63</v>
      </c>
      <c r="B69" s="16" t="s">
        <v>3</v>
      </c>
      <c r="C69" s="14">
        <v>5</v>
      </c>
      <c r="D69" s="14">
        <v>11000</v>
      </c>
      <c r="E69" s="17">
        <f t="shared" si="1"/>
        <v>55000</v>
      </c>
    </row>
    <row r="70" spans="1:5" customFormat="1" ht="15" hidden="1" x14ac:dyDescent="0.45">
      <c r="A70" s="5" t="s">
        <v>64</v>
      </c>
      <c r="B70" s="5" t="s">
        <v>32</v>
      </c>
      <c r="C70" s="2">
        <v>0</v>
      </c>
      <c r="D70" s="2"/>
      <c r="E70" s="6">
        <f t="shared" si="1"/>
        <v>0</v>
      </c>
    </row>
    <row r="71" spans="1:5" customFormat="1" ht="15" hidden="1" x14ac:dyDescent="0.45">
      <c r="A71" s="5" t="s">
        <v>65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x14ac:dyDescent="0.45">
      <c r="A72" s="16" t="s">
        <v>65</v>
      </c>
      <c r="B72" s="16" t="s">
        <v>32</v>
      </c>
      <c r="C72" s="14">
        <v>21</v>
      </c>
      <c r="D72" s="14">
        <v>6000</v>
      </c>
      <c r="E72" s="17">
        <f t="shared" si="1"/>
        <v>126000</v>
      </c>
    </row>
    <row r="73" spans="1:5" ht="15" x14ac:dyDescent="0.45">
      <c r="A73" s="16" t="s">
        <v>66</v>
      </c>
      <c r="B73" s="16" t="s">
        <v>3</v>
      </c>
      <c r="C73" s="14">
        <v>1</v>
      </c>
      <c r="D73" s="14">
        <v>80000</v>
      </c>
      <c r="E73" s="17">
        <f t="shared" si="1"/>
        <v>80000</v>
      </c>
    </row>
    <row r="74" spans="1:5" customFormat="1" ht="15" hidden="1" x14ac:dyDescent="0.45">
      <c r="A74" s="5" t="s">
        <v>67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x14ac:dyDescent="0.45">
      <c r="A75" s="16" t="s">
        <v>68</v>
      </c>
      <c r="B75" s="16" t="s">
        <v>3</v>
      </c>
      <c r="C75" s="14">
        <v>1</v>
      </c>
      <c r="D75" s="14">
        <v>70000</v>
      </c>
      <c r="E75" s="17">
        <f t="shared" si="1"/>
        <v>70000</v>
      </c>
    </row>
    <row r="76" spans="1:5" customFormat="1" ht="15" hidden="1" x14ac:dyDescent="0.45">
      <c r="A76" s="5" t="s">
        <v>132</v>
      </c>
      <c r="B76" s="5" t="s">
        <v>29</v>
      </c>
      <c r="C76" s="2">
        <v>0</v>
      </c>
      <c r="D76" s="2"/>
      <c r="E76" s="6">
        <f t="shared" si="1"/>
        <v>0</v>
      </c>
    </row>
    <row r="77" spans="1:5" ht="15" x14ac:dyDescent="0.45">
      <c r="A77" s="16" t="s">
        <v>69</v>
      </c>
      <c r="B77" s="16" t="s">
        <v>3</v>
      </c>
      <c r="C77" s="14">
        <v>1</v>
      </c>
      <c r="D77" s="14">
        <v>70000</v>
      </c>
      <c r="E77" s="17">
        <f t="shared" si="1"/>
        <v>70000</v>
      </c>
    </row>
    <row r="78" spans="1:5" customFormat="1" ht="15" hidden="1" x14ac:dyDescent="0.45">
      <c r="A78" s="5" t="s">
        <v>70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x14ac:dyDescent="0.45">
      <c r="A79" s="16" t="s">
        <v>70</v>
      </c>
      <c r="B79" s="16" t="s">
        <v>18</v>
      </c>
      <c r="C79" s="14">
        <v>858</v>
      </c>
      <c r="D79" s="14">
        <v>4500</v>
      </c>
      <c r="E79" s="17">
        <f t="shared" si="1"/>
        <v>3861000</v>
      </c>
    </row>
    <row r="80" spans="1:5" customFormat="1" ht="15" hidden="1" x14ac:dyDescent="0.45">
      <c r="A80" s="5" t="s">
        <v>71</v>
      </c>
      <c r="B80" s="5" t="s">
        <v>3</v>
      </c>
      <c r="C80" s="2">
        <v>0</v>
      </c>
      <c r="D80" s="2"/>
      <c r="E80" s="6">
        <f t="shared" si="1"/>
        <v>0</v>
      </c>
    </row>
    <row r="81" spans="1:5" ht="15" x14ac:dyDescent="0.45">
      <c r="A81" s="16" t="s">
        <v>72</v>
      </c>
      <c r="B81" s="16" t="s">
        <v>3</v>
      </c>
      <c r="C81" s="14">
        <v>13</v>
      </c>
      <c r="D81" s="14">
        <v>14000</v>
      </c>
      <c r="E81" s="17">
        <f t="shared" si="1"/>
        <v>182000</v>
      </c>
    </row>
    <row r="82" spans="1:5" ht="15" x14ac:dyDescent="0.45">
      <c r="A82" s="16" t="s">
        <v>73</v>
      </c>
      <c r="B82" s="16" t="s">
        <v>3</v>
      </c>
      <c r="C82" s="14">
        <v>35</v>
      </c>
      <c r="D82" s="14">
        <v>10000</v>
      </c>
      <c r="E82" s="17">
        <f t="shared" si="1"/>
        <v>350000</v>
      </c>
    </row>
    <row r="83" spans="1:5" customFormat="1" ht="15" hidden="1" x14ac:dyDescent="0.45">
      <c r="A83" s="5" t="s">
        <v>73</v>
      </c>
      <c r="B83" s="5" t="s">
        <v>44</v>
      </c>
      <c r="C83" s="2">
        <v>0</v>
      </c>
      <c r="D83" s="2"/>
      <c r="E83" s="6">
        <f t="shared" si="1"/>
        <v>0</v>
      </c>
    </row>
    <row r="84" spans="1:5" customFormat="1" ht="15" hidden="1" x14ac:dyDescent="0.45">
      <c r="A84" s="5" t="s">
        <v>74</v>
      </c>
      <c r="B84" s="5" t="s">
        <v>32</v>
      </c>
      <c r="C84" s="2">
        <v>0</v>
      </c>
      <c r="D84" s="2"/>
      <c r="E84" s="6">
        <f t="shared" si="1"/>
        <v>0</v>
      </c>
    </row>
    <row r="85" spans="1:5" customFormat="1" ht="15" hidden="1" x14ac:dyDescent="0.45">
      <c r="A85" s="5" t="s">
        <v>75</v>
      </c>
      <c r="B85" s="5" t="s">
        <v>3</v>
      </c>
      <c r="C85" s="2">
        <v>0</v>
      </c>
      <c r="D85" s="2"/>
      <c r="E85" s="6">
        <f t="shared" si="1"/>
        <v>0</v>
      </c>
    </row>
    <row r="86" spans="1:5" customFormat="1" ht="15" hidden="1" x14ac:dyDescent="0.45">
      <c r="A86" s="5" t="s">
        <v>76</v>
      </c>
      <c r="B86" s="5" t="s">
        <v>27</v>
      </c>
      <c r="C86" s="2">
        <v>0</v>
      </c>
      <c r="D86" s="2"/>
      <c r="E86" s="6">
        <f t="shared" si="1"/>
        <v>0</v>
      </c>
    </row>
    <row r="87" spans="1:5" ht="15" x14ac:dyDescent="0.45">
      <c r="A87" s="16" t="s">
        <v>76</v>
      </c>
      <c r="B87" s="16" t="s">
        <v>3</v>
      </c>
      <c r="C87" s="14">
        <v>2</v>
      </c>
      <c r="D87" s="14">
        <v>59000</v>
      </c>
      <c r="E87" s="17">
        <f t="shared" si="1"/>
        <v>118000</v>
      </c>
    </row>
    <row r="88" spans="1:5" customFormat="1" ht="15" hidden="1" x14ac:dyDescent="0.45">
      <c r="A88" s="5" t="s">
        <v>76</v>
      </c>
      <c r="B88" s="5" t="s">
        <v>77</v>
      </c>
      <c r="C88" s="2">
        <v>0</v>
      </c>
      <c r="D88" s="2"/>
      <c r="E88" s="6">
        <f t="shared" si="1"/>
        <v>0</v>
      </c>
    </row>
    <row r="89" spans="1:5" customFormat="1" ht="15" hidden="1" x14ac:dyDescent="0.45">
      <c r="A89" s="5" t="s">
        <v>76</v>
      </c>
      <c r="B89" s="5" t="s">
        <v>112</v>
      </c>
      <c r="C89" s="2">
        <v>0</v>
      </c>
      <c r="D89" s="2"/>
      <c r="E89" s="6">
        <f t="shared" si="1"/>
        <v>0</v>
      </c>
    </row>
    <row r="90" spans="1:5" customFormat="1" ht="15" hidden="1" x14ac:dyDescent="0.45">
      <c r="A90" s="5" t="s">
        <v>78</v>
      </c>
      <c r="B90" s="5" t="s">
        <v>3</v>
      </c>
      <c r="C90" s="2">
        <v>0</v>
      </c>
      <c r="D90" s="2"/>
      <c r="E90" s="6">
        <f t="shared" si="1"/>
        <v>0</v>
      </c>
    </row>
    <row r="91" spans="1:5" customFormat="1" ht="15" hidden="1" x14ac:dyDescent="0.45">
      <c r="A91" s="5" t="s">
        <v>79</v>
      </c>
      <c r="B91" s="5" t="s">
        <v>18</v>
      </c>
      <c r="C91" s="2">
        <v>0</v>
      </c>
      <c r="D91" s="2"/>
      <c r="E91" s="6">
        <f t="shared" si="1"/>
        <v>0</v>
      </c>
    </row>
    <row r="92" spans="1:5" customFormat="1" ht="15" hidden="1" x14ac:dyDescent="0.45">
      <c r="A92" s="5" t="s">
        <v>80</v>
      </c>
      <c r="B92" s="5" t="s">
        <v>27</v>
      </c>
      <c r="C92" s="2">
        <v>0</v>
      </c>
      <c r="D92" s="2"/>
      <c r="E92" s="6">
        <f t="shared" si="1"/>
        <v>0</v>
      </c>
    </row>
    <row r="93" spans="1:5" customFormat="1" ht="15" hidden="1" x14ac:dyDescent="0.45">
      <c r="A93" s="5" t="s">
        <v>80</v>
      </c>
      <c r="B93" s="5" t="s">
        <v>3</v>
      </c>
      <c r="C93" s="2">
        <v>0</v>
      </c>
      <c r="D93" s="2"/>
      <c r="E93" s="6">
        <f t="shared" si="1"/>
        <v>0</v>
      </c>
    </row>
    <row r="94" spans="1:5" ht="15" x14ac:dyDescent="0.45">
      <c r="A94" s="16" t="s">
        <v>81</v>
      </c>
      <c r="B94" s="16" t="s">
        <v>3</v>
      </c>
      <c r="C94" s="14">
        <v>25</v>
      </c>
      <c r="D94" s="14">
        <v>40000</v>
      </c>
      <c r="E94" s="17">
        <f t="shared" si="1"/>
        <v>1000000</v>
      </c>
    </row>
    <row r="95" spans="1:5" customFormat="1" ht="15" hidden="1" x14ac:dyDescent="0.45">
      <c r="A95" s="5" t="s">
        <v>81</v>
      </c>
      <c r="B95" s="5" t="s">
        <v>11</v>
      </c>
      <c r="C95" s="2">
        <v>0</v>
      </c>
      <c r="D95" s="2"/>
      <c r="E95" s="6">
        <f t="shared" si="1"/>
        <v>0</v>
      </c>
    </row>
    <row r="96" spans="1:5" ht="15" x14ac:dyDescent="0.45">
      <c r="A96" s="16" t="s">
        <v>82</v>
      </c>
      <c r="B96" s="16" t="s">
        <v>3</v>
      </c>
      <c r="C96" s="14">
        <v>20</v>
      </c>
      <c r="D96" s="14">
        <v>30000</v>
      </c>
      <c r="E96" s="17">
        <f t="shared" si="1"/>
        <v>600000</v>
      </c>
    </row>
    <row r="97" spans="1:5" customFormat="1" ht="15" hidden="1" x14ac:dyDescent="0.45">
      <c r="A97" s="5" t="s">
        <v>83</v>
      </c>
      <c r="B97" s="5" t="s">
        <v>3</v>
      </c>
      <c r="C97" s="2">
        <v>0</v>
      </c>
      <c r="D97" s="2"/>
      <c r="E97" s="6">
        <f t="shared" si="1"/>
        <v>0</v>
      </c>
    </row>
    <row r="98" spans="1:5" customFormat="1" ht="15" hidden="1" x14ac:dyDescent="0.45">
      <c r="A98" s="5" t="s">
        <v>83</v>
      </c>
      <c r="B98" s="5" t="s">
        <v>11</v>
      </c>
      <c r="C98" s="2">
        <v>0</v>
      </c>
      <c r="D98" s="2"/>
      <c r="E98" s="6">
        <f t="shared" si="1"/>
        <v>0</v>
      </c>
    </row>
    <row r="99" spans="1:5" ht="15" x14ac:dyDescent="0.45">
      <c r="A99" s="16" t="s">
        <v>84</v>
      </c>
      <c r="B99" s="16" t="s">
        <v>3</v>
      </c>
      <c r="C99" s="14">
        <v>20</v>
      </c>
      <c r="D99" s="14">
        <v>30000</v>
      </c>
      <c r="E99" s="17">
        <f t="shared" si="1"/>
        <v>600000</v>
      </c>
    </row>
    <row r="100" spans="1:5" ht="15" x14ac:dyDescent="0.45">
      <c r="A100" s="16" t="s">
        <v>85</v>
      </c>
      <c r="B100" s="16" t="s">
        <v>3</v>
      </c>
      <c r="C100" s="14">
        <v>13</v>
      </c>
      <c r="D100" s="14">
        <v>30000</v>
      </c>
      <c r="E100" s="17">
        <f t="shared" si="1"/>
        <v>390000</v>
      </c>
    </row>
    <row r="101" spans="1:5" customFormat="1" ht="15" hidden="1" x14ac:dyDescent="0.45">
      <c r="A101" s="5" t="s">
        <v>85</v>
      </c>
      <c r="B101" s="5" t="s">
        <v>11</v>
      </c>
      <c r="C101" s="2">
        <v>0</v>
      </c>
      <c r="D101" s="2"/>
      <c r="E101" s="6">
        <f t="shared" si="1"/>
        <v>0</v>
      </c>
    </row>
    <row r="102" spans="1:5" ht="15" x14ac:dyDescent="0.45">
      <c r="A102" s="16" t="s">
        <v>113</v>
      </c>
      <c r="B102" s="16" t="s">
        <v>3</v>
      </c>
      <c r="C102" s="14">
        <v>20</v>
      </c>
      <c r="D102" s="14">
        <v>25000</v>
      </c>
      <c r="E102" s="17">
        <f t="shared" si="1"/>
        <v>500000</v>
      </c>
    </row>
    <row r="103" spans="1:5" customFormat="1" ht="15" hidden="1" x14ac:dyDescent="0.45">
      <c r="A103" s="5" t="s">
        <v>146</v>
      </c>
      <c r="B103" s="5" t="s">
        <v>3</v>
      </c>
      <c r="C103" s="2">
        <v>0</v>
      </c>
      <c r="D103" s="2"/>
      <c r="E103" s="6">
        <f t="shared" si="1"/>
        <v>0</v>
      </c>
    </row>
    <row r="104" spans="1:5" customFormat="1" ht="15" hidden="1" x14ac:dyDescent="0.45">
      <c r="A104" s="5" t="s">
        <v>86</v>
      </c>
      <c r="B104" s="5" t="s">
        <v>3</v>
      </c>
      <c r="C104" s="2">
        <v>0</v>
      </c>
      <c r="D104" s="2"/>
      <c r="E104" s="6">
        <f t="shared" si="1"/>
        <v>0</v>
      </c>
    </row>
    <row r="105" spans="1:5" ht="15" x14ac:dyDescent="0.45">
      <c r="A105" s="16" t="s">
        <v>86</v>
      </c>
      <c r="B105" s="16" t="s">
        <v>32</v>
      </c>
      <c r="C105" s="14">
        <v>30</v>
      </c>
      <c r="D105" s="14">
        <v>17000</v>
      </c>
      <c r="E105" s="17">
        <f t="shared" si="1"/>
        <v>510000</v>
      </c>
    </row>
    <row r="106" spans="1:5" ht="15" x14ac:dyDescent="0.45">
      <c r="A106" s="16" t="s">
        <v>109</v>
      </c>
      <c r="B106" s="16" t="s">
        <v>3</v>
      </c>
      <c r="C106" s="14">
        <v>75</v>
      </c>
      <c r="D106" s="14">
        <v>21000</v>
      </c>
      <c r="E106" s="17">
        <f t="shared" si="1"/>
        <v>1575000</v>
      </c>
    </row>
    <row r="107" spans="1:5" customFormat="1" ht="15" hidden="1" x14ac:dyDescent="0.45">
      <c r="A107" s="5" t="s">
        <v>87</v>
      </c>
      <c r="B107" s="5" t="s">
        <v>32</v>
      </c>
      <c r="C107" s="2">
        <v>0</v>
      </c>
      <c r="D107" s="2"/>
      <c r="E107" s="6">
        <f t="shared" si="1"/>
        <v>0</v>
      </c>
    </row>
    <row r="108" spans="1:5" customFormat="1" ht="15" hidden="1" x14ac:dyDescent="0.45">
      <c r="A108" s="5" t="s">
        <v>125</v>
      </c>
      <c r="B108" s="5" t="s">
        <v>3</v>
      </c>
      <c r="C108" s="2">
        <v>0</v>
      </c>
      <c r="D108" s="2"/>
      <c r="E108" s="6">
        <f t="shared" si="1"/>
        <v>0</v>
      </c>
    </row>
    <row r="109" spans="1:5" ht="15" x14ac:dyDescent="0.45">
      <c r="A109" s="16" t="s">
        <v>91</v>
      </c>
      <c r="B109" s="16" t="s">
        <v>3</v>
      </c>
      <c r="C109" s="14">
        <v>5</v>
      </c>
      <c r="D109" s="14">
        <v>18000</v>
      </c>
      <c r="E109" s="17">
        <f t="shared" si="1"/>
        <v>90000</v>
      </c>
    </row>
    <row r="110" spans="1:5" customFormat="1" ht="15" hidden="1" x14ac:dyDescent="0.45">
      <c r="A110" s="5" t="s">
        <v>122</v>
      </c>
      <c r="B110" s="5" t="s">
        <v>27</v>
      </c>
      <c r="C110" s="2">
        <v>0</v>
      </c>
      <c r="D110" s="2"/>
      <c r="E110" s="6">
        <f t="shared" si="1"/>
        <v>0</v>
      </c>
    </row>
    <row r="111" spans="1:5" ht="15" x14ac:dyDescent="0.45">
      <c r="A111" s="16" t="s">
        <v>92</v>
      </c>
      <c r="B111" s="16" t="s">
        <v>3</v>
      </c>
      <c r="C111" s="14">
        <v>32</v>
      </c>
      <c r="D111" s="14">
        <v>5000</v>
      </c>
      <c r="E111" s="17">
        <f t="shared" si="1"/>
        <v>160000</v>
      </c>
    </row>
    <row r="112" spans="1:5" customFormat="1" ht="15" hidden="1" x14ac:dyDescent="0.45">
      <c r="A112" s="5" t="s">
        <v>134</v>
      </c>
      <c r="B112" s="5" t="s">
        <v>147</v>
      </c>
      <c r="C112" s="2">
        <v>0</v>
      </c>
      <c r="D112" s="2"/>
      <c r="E112" s="6">
        <f t="shared" si="1"/>
        <v>0</v>
      </c>
    </row>
    <row r="113" spans="1:5" customFormat="1" ht="15" hidden="1" x14ac:dyDescent="0.45">
      <c r="A113" s="5" t="s">
        <v>93</v>
      </c>
      <c r="B113" s="5" t="s">
        <v>3</v>
      </c>
      <c r="C113" s="2">
        <v>0</v>
      </c>
      <c r="D113" s="2"/>
      <c r="E113" s="6">
        <f t="shared" si="1"/>
        <v>0</v>
      </c>
    </row>
    <row r="114" spans="1:5" customFormat="1" ht="15" hidden="1" x14ac:dyDescent="0.45">
      <c r="A114" s="5" t="s">
        <v>94</v>
      </c>
      <c r="B114" s="5" t="s">
        <v>3</v>
      </c>
      <c r="C114" s="2">
        <v>0</v>
      </c>
      <c r="D114" s="2"/>
      <c r="E114" s="6">
        <f t="shared" si="1"/>
        <v>0</v>
      </c>
    </row>
    <row r="115" spans="1:5" ht="15" x14ac:dyDescent="0.45">
      <c r="A115" s="16" t="s">
        <v>96</v>
      </c>
      <c r="B115" s="16" t="s">
        <v>3</v>
      </c>
      <c r="C115" s="14">
        <v>5</v>
      </c>
      <c r="D115" s="14">
        <v>25000</v>
      </c>
      <c r="E115" s="17">
        <f t="shared" si="1"/>
        <v>125000</v>
      </c>
    </row>
    <row r="116" spans="1:5" ht="15" x14ac:dyDescent="0.45">
      <c r="A116" s="16" t="s">
        <v>97</v>
      </c>
      <c r="B116" s="16" t="s">
        <v>44</v>
      </c>
      <c r="C116" s="14">
        <v>40</v>
      </c>
      <c r="D116" s="14">
        <v>6800</v>
      </c>
      <c r="E116" s="17">
        <f t="shared" si="1"/>
        <v>272000</v>
      </c>
    </row>
    <row r="117" spans="1:5" customFormat="1" ht="15" hidden="1" x14ac:dyDescent="0.45">
      <c r="A117" s="5" t="s">
        <v>98</v>
      </c>
      <c r="B117" s="5" t="s">
        <v>3</v>
      </c>
      <c r="C117" s="2">
        <v>0</v>
      </c>
      <c r="D117" s="2"/>
      <c r="E117" s="6">
        <f t="shared" si="1"/>
        <v>0</v>
      </c>
    </row>
    <row r="118" spans="1:5" customFormat="1" ht="15" hidden="1" x14ac:dyDescent="0.45">
      <c r="A118" s="5" t="s">
        <v>99</v>
      </c>
      <c r="B118" s="5" t="s">
        <v>44</v>
      </c>
      <c r="C118" s="2">
        <v>0</v>
      </c>
      <c r="D118" s="2"/>
      <c r="E118" s="6">
        <f t="shared" si="1"/>
        <v>0</v>
      </c>
    </row>
    <row r="119" spans="1:5" customFormat="1" ht="15" hidden="1" x14ac:dyDescent="0.45">
      <c r="A119" s="5" t="s">
        <v>126</v>
      </c>
      <c r="B119" s="5" t="s">
        <v>3</v>
      </c>
      <c r="C119" s="2">
        <v>0</v>
      </c>
      <c r="D119" s="2"/>
      <c r="E119" s="6">
        <f t="shared" si="1"/>
        <v>0</v>
      </c>
    </row>
    <row r="120" spans="1:5" customFormat="1" ht="15" hidden="1" x14ac:dyDescent="0.45">
      <c r="A120" s="5" t="s">
        <v>114</v>
      </c>
      <c r="B120" s="5" t="s">
        <v>3</v>
      </c>
      <c r="C120" s="2">
        <v>0</v>
      </c>
      <c r="D120" s="2"/>
      <c r="E120" s="6">
        <f t="shared" si="1"/>
        <v>0</v>
      </c>
    </row>
    <row r="121" spans="1:5" ht="15" x14ac:dyDescent="0.45">
      <c r="A121" s="16" t="s">
        <v>100</v>
      </c>
      <c r="B121" s="16" t="s">
        <v>3</v>
      </c>
      <c r="C121" s="14">
        <v>24</v>
      </c>
      <c r="D121" s="14">
        <v>25000</v>
      </c>
      <c r="E121" s="17">
        <f t="shared" si="1"/>
        <v>600000</v>
      </c>
    </row>
    <row r="122" spans="1:5" ht="15" x14ac:dyDescent="0.45">
      <c r="A122" s="16" t="s">
        <v>101</v>
      </c>
      <c r="B122" s="16" t="s">
        <v>44</v>
      </c>
      <c r="C122" s="14">
        <v>10</v>
      </c>
      <c r="D122" s="14">
        <v>6800</v>
      </c>
      <c r="E122" s="17">
        <f t="shared" si="1"/>
        <v>68000</v>
      </c>
    </row>
    <row r="123" spans="1:5" x14ac:dyDescent="0.45">
      <c r="E123" s="18">
        <f>SUM(E4:E122)</f>
        <v>106103500</v>
      </c>
    </row>
  </sheetData>
  <autoFilter ref="A2:E122" xr:uid="{00000000-0009-0000-0000-00000C000000}">
    <filterColumn colId="2">
      <filters>
        <filter val="1"/>
        <filter val="1,485"/>
        <filter val="10"/>
        <filter val="105"/>
        <filter val="12"/>
        <filter val="13"/>
        <filter val="137"/>
        <filter val="15"/>
        <filter val="165"/>
        <filter val="18"/>
        <filter val="2"/>
        <filter val="20"/>
        <filter val="21"/>
        <filter val="22"/>
        <filter val="24"/>
        <filter val="240"/>
        <filter val="25"/>
        <filter val="250"/>
        <filter val="3"/>
        <filter val="30"/>
        <filter val="300"/>
        <filter val="32"/>
        <filter val="336"/>
        <filter val="35"/>
        <filter val="360"/>
        <filter val="40"/>
        <filter val="480"/>
        <filter val="490"/>
        <filter val="5"/>
        <filter val="55"/>
        <filter val="60"/>
        <filter val="640"/>
        <filter val="7"/>
        <filter val="75"/>
        <filter val="8"/>
        <filter val="85"/>
        <filter val="858"/>
        <filter val="939"/>
        <filter val="986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117"/>
  <sheetViews>
    <sheetView topLeftCell="A33" zoomScaleNormal="100" workbookViewId="0">
      <selection activeCell="E63" sqref="E63:E64"/>
    </sheetView>
  </sheetViews>
  <sheetFormatPr defaultColWidth="8.86328125" defaultRowHeight="15.4" x14ac:dyDescent="0.45"/>
  <cols>
    <col min="1" max="1" width="29.86328125" style="20" customWidth="1"/>
    <col min="2" max="2" width="12.796875" style="20" customWidth="1"/>
    <col min="3" max="3" width="13.06640625" style="20" customWidth="1"/>
    <col min="4" max="4" width="18" style="23" customWidth="1"/>
    <col min="5" max="5" width="16.46484375" style="23" customWidth="1"/>
    <col min="6" max="16384" width="8.86328125" style="20"/>
  </cols>
  <sheetData>
    <row r="1" spans="1:5" ht="60" x14ac:dyDescent="0.45">
      <c r="A1" s="19" t="s">
        <v>0</v>
      </c>
      <c r="B1" s="19" t="s">
        <v>1</v>
      </c>
      <c r="C1" s="14" t="s">
        <v>150</v>
      </c>
      <c r="D1" s="24" t="s">
        <v>151</v>
      </c>
      <c r="E1" s="24" t="s">
        <v>152</v>
      </c>
    </row>
    <row r="2" spans="1:5" x14ac:dyDescent="0.45">
      <c r="A2" s="21" t="s">
        <v>2</v>
      </c>
      <c r="B2" s="21" t="s">
        <v>3</v>
      </c>
      <c r="C2" s="14">
        <v>30</v>
      </c>
      <c r="D2" s="22">
        <v>12000</v>
      </c>
      <c r="E2" s="22">
        <f>+D2*C2</f>
        <v>360000</v>
      </c>
    </row>
    <row r="3" spans="1:5" x14ac:dyDescent="0.45">
      <c r="A3" s="21" t="s">
        <v>4</v>
      </c>
      <c r="B3" s="21" t="s">
        <v>3</v>
      </c>
      <c r="C3" s="14">
        <v>380</v>
      </c>
      <c r="D3" s="22">
        <v>7000</v>
      </c>
      <c r="E3" s="22">
        <f>+D3*C3</f>
        <v>2660000</v>
      </c>
    </row>
    <row r="4" spans="1:5" x14ac:dyDescent="0.45">
      <c r="A4" s="21" t="s">
        <v>5</v>
      </c>
      <c r="B4" s="21" t="s">
        <v>3</v>
      </c>
      <c r="C4" s="14">
        <v>3100</v>
      </c>
      <c r="D4" s="22">
        <v>3500</v>
      </c>
      <c r="E4" s="22">
        <f>+D4*C4</f>
        <v>10850000</v>
      </c>
    </row>
    <row r="5" spans="1:5" hidden="1" x14ac:dyDescent="0.45">
      <c r="A5" s="21" t="s">
        <v>6</v>
      </c>
      <c r="B5" s="21" t="s">
        <v>3</v>
      </c>
      <c r="C5" s="14">
        <v>0</v>
      </c>
      <c r="D5" s="22">
        <v>10000</v>
      </c>
      <c r="E5" s="22">
        <f>+D5*C5</f>
        <v>0</v>
      </c>
    </row>
    <row r="6" spans="1:5" x14ac:dyDescent="0.45">
      <c r="A6" s="21" t="s">
        <v>7</v>
      </c>
      <c r="B6" s="21" t="s">
        <v>3</v>
      </c>
      <c r="C6" s="14">
        <v>5</v>
      </c>
      <c r="D6" s="22">
        <v>5700</v>
      </c>
      <c r="E6" s="22">
        <f>+D6*C6</f>
        <v>28500</v>
      </c>
    </row>
    <row r="7" spans="1:5" x14ac:dyDescent="0.45">
      <c r="A7" s="21" t="s">
        <v>8</v>
      </c>
      <c r="B7" s="21" t="s">
        <v>3</v>
      </c>
      <c r="C7" s="14">
        <v>420</v>
      </c>
      <c r="D7" s="22">
        <v>7000</v>
      </c>
      <c r="E7" s="22">
        <f>+D7*C7</f>
        <v>2940000</v>
      </c>
    </row>
    <row r="8" spans="1:5" hidden="1" x14ac:dyDescent="0.45">
      <c r="A8" s="21" t="s">
        <v>9</v>
      </c>
      <c r="B8" s="21" t="s">
        <v>3</v>
      </c>
      <c r="C8" s="14">
        <v>0</v>
      </c>
      <c r="D8" s="22"/>
      <c r="E8" s="22">
        <f>+D8*C8</f>
        <v>0</v>
      </c>
    </row>
    <row r="9" spans="1:5" x14ac:dyDescent="0.45">
      <c r="A9" s="21" t="s">
        <v>10</v>
      </c>
      <c r="B9" s="21" t="s">
        <v>3</v>
      </c>
      <c r="C9" s="14">
        <v>150</v>
      </c>
      <c r="D9" s="22">
        <v>8000</v>
      </c>
      <c r="E9" s="22">
        <f>+D9*C9</f>
        <v>1200000</v>
      </c>
    </row>
    <row r="10" spans="1:5" hidden="1" x14ac:dyDescent="0.45">
      <c r="A10" s="21" t="s">
        <v>10</v>
      </c>
      <c r="B10" s="21" t="s">
        <v>11</v>
      </c>
      <c r="C10" s="14">
        <v>0</v>
      </c>
      <c r="D10" s="22">
        <v>8000</v>
      </c>
      <c r="E10" s="22">
        <f>+D10*C10</f>
        <v>0</v>
      </c>
    </row>
    <row r="11" spans="1:5" x14ac:dyDescent="0.45">
      <c r="A11" s="21" t="s">
        <v>12</v>
      </c>
      <c r="B11" s="21" t="s">
        <v>3</v>
      </c>
      <c r="C11" s="14">
        <v>111</v>
      </c>
      <c r="D11" s="22">
        <v>10000</v>
      </c>
      <c r="E11" s="22">
        <f>+D11*C11</f>
        <v>1110000</v>
      </c>
    </row>
    <row r="12" spans="1:5" hidden="1" x14ac:dyDescent="0.45">
      <c r="A12" s="21" t="s">
        <v>12</v>
      </c>
      <c r="B12" s="21" t="s">
        <v>11</v>
      </c>
      <c r="C12" s="14">
        <v>0</v>
      </c>
      <c r="D12" s="22">
        <v>10000</v>
      </c>
      <c r="E12" s="22">
        <f>+D12*C12</f>
        <v>0</v>
      </c>
    </row>
    <row r="13" spans="1:5" hidden="1" x14ac:dyDescent="0.45">
      <c r="A13" s="21" t="s">
        <v>129</v>
      </c>
      <c r="B13" s="21" t="s">
        <v>3</v>
      </c>
      <c r="C13" s="14">
        <v>0</v>
      </c>
      <c r="D13" s="22"/>
      <c r="E13" s="22">
        <f>+D13*C13</f>
        <v>0</v>
      </c>
    </row>
    <row r="14" spans="1:5" x14ac:dyDescent="0.45">
      <c r="A14" s="21" t="s">
        <v>13</v>
      </c>
      <c r="B14" s="21" t="s">
        <v>3</v>
      </c>
      <c r="C14" s="14">
        <v>35</v>
      </c>
      <c r="D14" s="22">
        <v>30000</v>
      </c>
      <c r="E14" s="22">
        <f>+D14*C14</f>
        <v>1050000</v>
      </c>
    </row>
    <row r="15" spans="1:5" hidden="1" x14ac:dyDescent="0.45">
      <c r="A15" s="21" t="s">
        <v>116</v>
      </c>
      <c r="B15" s="21" t="s">
        <v>3</v>
      </c>
      <c r="C15" s="14">
        <v>0</v>
      </c>
      <c r="D15" s="22">
        <v>90000</v>
      </c>
      <c r="E15" s="22">
        <f>+D15*C15</f>
        <v>0</v>
      </c>
    </row>
    <row r="16" spans="1:5" hidden="1" x14ac:dyDescent="0.45">
      <c r="A16" s="21" t="s">
        <v>14</v>
      </c>
      <c r="B16" s="21" t="s">
        <v>3</v>
      </c>
      <c r="C16" s="14">
        <v>0</v>
      </c>
      <c r="D16" s="22">
        <v>12000</v>
      </c>
      <c r="E16" s="22">
        <f>+D16*C16</f>
        <v>0</v>
      </c>
    </row>
    <row r="17" spans="1:5" hidden="1" x14ac:dyDescent="0.45">
      <c r="A17" s="21" t="s">
        <v>140</v>
      </c>
      <c r="B17" s="21" t="s">
        <v>3</v>
      </c>
      <c r="C17" s="14">
        <v>0</v>
      </c>
      <c r="D17" s="22"/>
      <c r="E17" s="22">
        <f>+D17*C17</f>
        <v>0</v>
      </c>
    </row>
    <row r="18" spans="1:5" hidden="1" x14ac:dyDescent="0.45">
      <c r="A18" s="21" t="s">
        <v>15</v>
      </c>
      <c r="B18" s="21" t="s">
        <v>3</v>
      </c>
      <c r="C18" s="14">
        <v>0</v>
      </c>
      <c r="D18" s="22">
        <v>20000</v>
      </c>
      <c r="E18" s="22">
        <f>+D18*C18</f>
        <v>0</v>
      </c>
    </row>
    <row r="19" spans="1:5" x14ac:dyDescent="0.45">
      <c r="A19" s="21" t="s">
        <v>16</v>
      </c>
      <c r="B19" s="21" t="s">
        <v>3</v>
      </c>
      <c r="C19" s="14">
        <v>30</v>
      </c>
      <c r="D19" s="22">
        <v>28000</v>
      </c>
      <c r="E19" s="22">
        <f>+D19*C19</f>
        <v>840000</v>
      </c>
    </row>
    <row r="20" spans="1:5" hidden="1" x14ac:dyDescent="0.45">
      <c r="A20" s="21" t="s">
        <v>17</v>
      </c>
      <c r="B20" s="21" t="s">
        <v>18</v>
      </c>
      <c r="C20" s="14">
        <v>0</v>
      </c>
      <c r="D20" s="22">
        <v>7000</v>
      </c>
      <c r="E20" s="22">
        <f>+D20*C20</f>
        <v>0</v>
      </c>
    </row>
    <row r="21" spans="1:5" hidden="1" x14ac:dyDescent="0.45">
      <c r="A21" s="21" t="s">
        <v>120</v>
      </c>
      <c r="B21" s="21" t="s">
        <v>44</v>
      </c>
      <c r="C21" s="14">
        <v>0</v>
      </c>
      <c r="D21" s="22"/>
      <c r="E21" s="22">
        <f>+D21*C21</f>
        <v>0</v>
      </c>
    </row>
    <row r="22" spans="1:5" x14ac:dyDescent="0.45">
      <c r="A22" s="21" t="s">
        <v>19</v>
      </c>
      <c r="B22" s="21" t="s">
        <v>3</v>
      </c>
      <c r="C22" s="14">
        <v>25</v>
      </c>
      <c r="D22" s="22">
        <v>26000</v>
      </c>
      <c r="E22" s="22">
        <f>+D22*C22</f>
        <v>650000</v>
      </c>
    </row>
    <row r="23" spans="1:5" x14ac:dyDescent="0.45">
      <c r="A23" s="21" t="s">
        <v>20</v>
      </c>
      <c r="B23" s="21" t="s">
        <v>3</v>
      </c>
      <c r="C23" s="14">
        <v>365</v>
      </c>
      <c r="D23" s="22">
        <v>10000</v>
      </c>
      <c r="E23" s="22">
        <f>+D23*C23</f>
        <v>3650000</v>
      </c>
    </row>
    <row r="24" spans="1:5" hidden="1" x14ac:dyDescent="0.45">
      <c r="A24" s="21" t="s">
        <v>20</v>
      </c>
      <c r="B24" s="21" t="s">
        <v>18</v>
      </c>
      <c r="C24" s="14">
        <v>0</v>
      </c>
      <c r="D24" s="22">
        <v>10000</v>
      </c>
      <c r="E24" s="22">
        <f>+D24*C24</f>
        <v>0</v>
      </c>
    </row>
    <row r="25" spans="1:5" hidden="1" x14ac:dyDescent="0.45">
      <c r="A25" s="21" t="s">
        <v>20</v>
      </c>
      <c r="B25" s="21" t="s">
        <v>21</v>
      </c>
      <c r="C25" s="14">
        <v>0</v>
      </c>
      <c r="D25" s="22">
        <v>10000</v>
      </c>
      <c r="E25" s="22">
        <f>+D25*C25</f>
        <v>0</v>
      </c>
    </row>
    <row r="26" spans="1:5" hidden="1" x14ac:dyDescent="0.45">
      <c r="A26" s="21" t="s">
        <v>22</v>
      </c>
      <c r="B26" s="21" t="s">
        <v>3</v>
      </c>
      <c r="C26" s="14">
        <v>0</v>
      </c>
      <c r="D26" s="22">
        <v>6000</v>
      </c>
      <c r="E26" s="22">
        <f>+D26*C26</f>
        <v>0</v>
      </c>
    </row>
    <row r="27" spans="1:5" hidden="1" x14ac:dyDescent="0.45">
      <c r="A27" s="21" t="s">
        <v>22</v>
      </c>
      <c r="B27" s="21" t="s">
        <v>23</v>
      </c>
      <c r="C27" s="14">
        <v>0</v>
      </c>
      <c r="D27" s="22">
        <v>6000</v>
      </c>
      <c r="E27" s="22">
        <f>+D27*C27</f>
        <v>0</v>
      </c>
    </row>
    <row r="28" spans="1:5" x14ac:dyDescent="0.45">
      <c r="A28" s="21" t="s">
        <v>24</v>
      </c>
      <c r="B28" s="21" t="s">
        <v>3</v>
      </c>
      <c r="C28" s="14">
        <v>10</v>
      </c>
      <c r="D28" s="22">
        <v>4500</v>
      </c>
      <c r="E28" s="22">
        <f>+D28*C28</f>
        <v>45000</v>
      </c>
    </row>
    <row r="29" spans="1:5" x14ac:dyDescent="0.45">
      <c r="A29" s="21" t="s">
        <v>24</v>
      </c>
      <c r="B29" s="21" t="s">
        <v>25</v>
      </c>
      <c r="C29" s="14">
        <v>28</v>
      </c>
      <c r="D29" s="22">
        <v>4500</v>
      </c>
      <c r="E29" s="22">
        <f>+D29*C29</f>
        <v>126000</v>
      </c>
    </row>
    <row r="30" spans="1:5" x14ac:dyDescent="0.45">
      <c r="A30" s="21" t="s">
        <v>26</v>
      </c>
      <c r="B30" s="21" t="s">
        <v>27</v>
      </c>
      <c r="C30" s="14">
        <v>32</v>
      </c>
      <c r="D30" s="22">
        <v>12000</v>
      </c>
      <c r="E30" s="22">
        <f>+D30*C30</f>
        <v>384000</v>
      </c>
    </row>
    <row r="31" spans="1:5" hidden="1" x14ac:dyDescent="0.45">
      <c r="A31" s="21" t="s">
        <v>28</v>
      </c>
      <c r="B31" s="21" t="s">
        <v>3</v>
      </c>
      <c r="C31" s="14">
        <v>0</v>
      </c>
      <c r="D31" s="22">
        <v>8000</v>
      </c>
      <c r="E31" s="22">
        <f>+D31*C31</f>
        <v>0</v>
      </c>
    </row>
    <row r="32" spans="1:5" x14ac:dyDescent="0.45">
      <c r="A32" s="21" t="s">
        <v>28</v>
      </c>
      <c r="B32" s="21" t="s">
        <v>29</v>
      </c>
      <c r="C32" s="14">
        <v>200</v>
      </c>
      <c r="D32" s="22">
        <v>8000</v>
      </c>
      <c r="E32" s="22">
        <f>+D32*C32</f>
        <v>1600000</v>
      </c>
    </row>
    <row r="33" spans="1:5" x14ac:dyDescent="0.45">
      <c r="A33" s="21" t="s">
        <v>30</v>
      </c>
      <c r="B33" s="21" t="s">
        <v>3</v>
      </c>
      <c r="C33" s="14">
        <v>310</v>
      </c>
      <c r="D33" s="22">
        <v>8000</v>
      </c>
      <c r="E33" s="22">
        <f>+D33*C33</f>
        <v>2480000</v>
      </c>
    </row>
    <row r="34" spans="1:5" hidden="1" x14ac:dyDescent="0.45">
      <c r="A34" s="21" t="s">
        <v>30</v>
      </c>
      <c r="B34" s="21" t="s">
        <v>18</v>
      </c>
      <c r="C34" s="14">
        <v>0</v>
      </c>
      <c r="D34" s="22">
        <v>8000</v>
      </c>
      <c r="E34" s="22">
        <f>+D34*C34</f>
        <v>0</v>
      </c>
    </row>
    <row r="35" spans="1:5" hidden="1" x14ac:dyDescent="0.45">
      <c r="A35" s="21" t="s">
        <v>31</v>
      </c>
      <c r="B35" s="21" t="s">
        <v>32</v>
      </c>
      <c r="C35" s="14">
        <v>0</v>
      </c>
      <c r="D35" s="22">
        <v>5000</v>
      </c>
      <c r="E35" s="22">
        <f>+D35*C35</f>
        <v>0</v>
      </c>
    </row>
    <row r="36" spans="1:5" x14ac:dyDescent="0.45">
      <c r="A36" s="21" t="s">
        <v>33</v>
      </c>
      <c r="B36" s="21" t="s">
        <v>3</v>
      </c>
      <c r="C36" s="14">
        <v>115</v>
      </c>
      <c r="D36" s="22">
        <v>13000</v>
      </c>
      <c r="E36" s="22">
        <f>+D36*C36</f>
        <v>1495000</v>
      </c>
    </row>
    <row r="37" spans="1:5" hidden="1" x14ac:dyDescent="0.45">
      <c r="A37" s="21" t="s">
        <v>33</v>
      </c>
      <c r="B37" s="21" t="s">
        <v>32</v>
      </c>
      <c r="C37" s="14">
        <v>0</v>
      </c>
      <c r="D37" s="22">
        <v>13000</v>
      </c>
      <c r="E37" s="22">
        <f>+D37*C37</f>
        <v>0</v>
      </c>
    </row>
    <row r="38" spans="1:5" x14ac:dyDescent="0.45">
      <c r="A38" s="21" t="s">
        <v>34</v>
      </c>
      <c r="B38" s="21" t="s">
        <v>3</v>
      </c>
      <c r="C38" s="14">
        <v>1</v>
      </c>
      <c r="D38" s="22">
        <v>5500</v>
      </c>
      <c r="E38" s="22">
        <f>+D38*C38</f>
        <v>5500</v>
      </c>
    </row>
    <row r="39" spans="1:5" hidden="1" x14ac:dyDescent="0.45">
      <c r="A39" s="21" t="s">
        <v>34</v>
      </c>
      <c r="B39" s="21" t="s">
        <v>18</v>
      </c>
      <c r="C39" s="14">
        <v>0</v>
      </c>
      <c r="D39" s="22">
        <v>5500</v>
      </c>
      <c r="E39" s="22">
        <f>+D39*C39</f>
        <v>0</v>
      </c>
    </row>
    <row r="40" spans="1:5" x14ac:dyDescent="0.45">
      <c r="A40" s="21" t="s">
        <v>35</v>
      </c>
      <c r="B40" s="21" t="s">
        <v>3</v>
      </c>
      <c r="C40" s="14">
        <v>45</v>
      </c>
      <c r="D40" s="22">
        <v>8000</v>
      </c>
      <c r="E40" s="22">
        <f>+D40*C40</f>
        <v>360000</v>
      </c>
    </row>
    <row r="41" spans="1:5" hidden="1" x14ac:dyDescent="0.45">
      <c r="A41" s="21" t="s">
        <v>35</v>
      </c>
      <c r="B41" s="21" t="s">
        <v>36</v>
      </c>
      <c r="C41" s="14">
        <v>0</v>
      </c>
      <c r="D41" s="22">
        <v>8000</v>
      </c>
      <c r="E41" s="22">
        <f>+D41*C41</f>
        <v>0</v>
      </c>
    </row>
    <row r="42" spans="1:5" x14ac:dyDescent="0.45">
      <c r="A42" s="21" t="s">
        <v>37</v>
      </c>
      <c r="B42" s="21" t="s">
        <v>3</v>
      </c>
      <c r="C42" s="14">
        <v>40</v>
      </c>
      <c r="D42" s="22">
        <v>25000</v>
      </c>
      <c r="E42" s="22">
        <f>+D42*C42</f>
        <v>1000000</v>
      </c>
    </row>
    <row r="43" spans="1:5" hidden="1" x14ac:dyDescent="0.45">
      <c r="A43" s="21" t="s">
        <v>37</v>
      </c>
      <c r="B43" s="21" t="s">
        <v>32</v>
      </c>
      <c r="C43" s="14">
        <v>0</v>
      </c>
      <c r="D43" s="22">
        <v>25000</v>
      </c>
      <c r="E43" s="22">
        <f>+D43*C43</f>
        <v>0</v>
      </c>
    </row>
    <row r="44" spans="1:5" hidden="1" x14ac:dyDescent="0.45">
      <c r="A44" s="21" t="s">
        <v>38</v>
      </c>
      <c r="B44" s="21" t="s">
        <v>32</v>
      </c>
      <c r="C44" s="14">
        <v>0</v>
      </c>
      <c r="D44" s="22">
        <v>3000</v>
      </c>
      <c r="E44" s="22">
        <f>+D44*C44</f>
        <v>0</v>
      </c>
    </row>
    <row r="45" spans="1:5" x14ac:dyDescent="0.45">
      <c r="A45" s="21" t="s">
        <v>39</v>
      </c>
      <c r="B45" s="21" t="s">
        <v>3</v>
      </c>
      <c r="C45" s="14">
        <v>13</v>
      </c>
      <c r="D45" s="22">
        <v>15000</v>
      </c>
      <c r="E45" s="22">
        <f>+D45*C45</f>
        <v>195000</v>
      </c>
    </row>
    <row r="46" spans="1:5" hidden="1" x14ac:dyDescent="0.45">
      <c r="A46" s="21" t="s">
        <v>39</v>
      </c>
      <c r="B46" s="21" t="s">
        <v>32</v>
      </c>
      <c r="C46" s="14">
        <v>0</v>
      </c>
      <c r="D46" s="22">
        <v>15000</v>
      </c>
      <c r="E46" s="22">
        <f>+D46*C46</f>
        <v>0</v>
      </c>
    </row>
    <row r="47" spans="1:5" hidden="1" x14ac:dyDescent="0.45">
      <c r="A47" s="21" t="s">
        <v>40</v>
      </c>
      <c r="B47" s="21" t="s">
        <v>3</v>
      </c>
      <c r="C47" s="14">
        <v>0</v>
      </c>
      <c r="D47" s="22">
        <v>5000</v>
      </c>
      <c r="E47" s="22">
        <f>+D47*C47</f>
        <v>0</v>
      </c>
    </row>
    <row r="48" spans="1:5" hidden="1" x14ac:dyDescent="0.45">
      <c r="A48" s="21" t="s">
        <v>41</v>
      </c>
      <c r="B48" s="21" t="s">
        <v>3</v>
      </c>
      <c r="C48" s="14">
        <v>0</v>
      </c>
      <c r="D48" s="22"/>
      <c r="E48" s="22">
        <f>+D48*C48</f>
        <v>0</v>
      </c>
    </row>
    <row r="49" spans="1:5" x14ac:dyDescent="0.45">
      <c r="A49" s="21" t="s">
        <v>42</v>
      </c>
      <c r="B49" s="21" t="s">
        <v>3</v>
      </c>
      <c r="C49" s="14">
        <v>200</v>
      </c>
      <c r="D49" s="22">
        <v>3500</v>
      </c>
      <c r="E49" s="22">
        <f>+D49*C49</f>
        <v>700000</v>
      </c>
    </row>
    <row r="50" spans="1:5" x14ac:dyDescent="0.45">
      <c r="A50" s="21" t="s">
        <v>43</v>
      </c>
      <c r="B50" s="21" t="s">
        <v>3</v>
      </c>
      <c r="C50" s="14">
        <v>30</v>
      </c>
      <c r="D50" s="22">
        <v>11500</v>
      </c>
      <c r="E50" s="22">
        <f>+D50*C50</f>
        <v>345000</v>
      </c>
    </row>
    <row r="51" spans="1:5" hidden="1" x14ac:dyDescent="0.45">
      <c r="A51" s="21" t="s">
        <v>43</v>
      </c>
      <c r="B51" s="21" t="s">
        <v>44</v>
      </c>
      <c r="C51" s="14">
        <v>0</v>
      </c>
      <c r="D51" s="22">
        <v>11500</v>
      </c>
      <c r="E51" s="22">
        <f>+D51*C51</f>
        <v>0</v>
      </c>
    </row>
    <row r="52" spans="1:5" hidden="1" x14ac:dyDescent="0.45">
      <c r="A52" s="21" t="s">
        <v>45</v>
      </c>
      <c r="B52" s="21" t="s">
        <v>3</v>
      </c>
      <c r="C52" s="14">
        <v>0</v>
      </c>
      <c r="D52" s="22">
        <v>29000</v>
      </c>
      <c r="E52" s="22">
        <f>+D52*C52</f>
        <v>0</v>
      </c>
    </row>
    <row r="53" spans="1:5" hidden="1" x14ac:dyDescent="0.45">
      <c r="A53" s="21" t="s">
        <v>46</v>
      </c>
      <c r="B53" s="21" t="s">
        <v>3</v>
      </c>
      <c r="C53" s="14">
        <v>0</v>
      </c>
      <c r="D53" s="22">
        <v>13000</v>
      </c>
      <c r="E53" s="22">
        <f>+D53*C53</f>
        <v>0</v>
      </c>
    </row>
    <row r="54" spans="1:5" hidden="1" x14ac:dyDescent="0.45">
      <c r="A54" s="21" t="s">
        <v>47</v>
      </c>
      <c r="B54" s="21" t="s">
        <v>27</v>
      </c>
      <c r="C54" s="14">
        <v>0</v>
      </c>
      <c r="D54" s="22">
        <v>11000</v>
      </c>
      <c r="E54" s="22">
        <f>+D54*C54</f>
        <v>0</v>
      </c>
    </row>
    <row r="55" spans="1:5" x14ac:dyDescent="0.45">
      <c r="A55" s="21" t="s">
        <v>48</v>
      </c>
      <c r="B55" s="21" t="s">
        <v>3</v>
      </c>
      <c r="C55" s="14">
        <v>15</v>
      </c>
      <c r="D55" s="22">
        <v>5000</v>
      </c>
      <c r="E55" s="22">
        <f>+D55*C55</f>
        <v>75000</v>
      </c>
    </row>
    <row r="56" spans="1:5" hidden="1" x14ac:dyDescent="0.45">
      <c r="A56" s="21" t="s">
        <v>49</v>
      </c>
      <c r="B56" s="21" t="s">
        <v>3</v>
      </c>
      <c r="C56" s="14">
        <v>0</v>
      </c>
      <c r="D56" s="22">
        <v>8000</v>
      </c>
      <c r="E56" s="22">
        <f>+D56*C56</f>
        <v>0</v>
      </c>
    </row>
    <row r="57" spans="1:5" hidden="1" x14ac:dyDescent="0.45">
      <c r="A57" s="21" t="s">
        <v>49</v>
      </c>
      <c r="B57" s="21" t="s">
        <v>32</v>
      </c>
      <c r="C57" s="14">
        <v>0</v>
      </c>
      <c r="D57" s="22">
        <v>8000</v>
      </c>
      <c r="E57" s="22">
        <f>+D57*C57</f>
        <v>0</v>
      </c>
    </row>
    <row r="58" spans="1:5" x14ac:dyDescent="0.45">
      <c r="A58" s="21" t="s">
        <v>50</v>
      </c>
      <c r="B58" s="21" t="s">
        <v>3</v>
      </c>
      <c r="C58" s="14">
        <v>21</v>
      </c>
      <c r="D58" s="22">
        <v>22000</v>
      </c>
      <c r="E58" s="22">
        <f>+D58*C58</f>
        <v>462000</v>
      </c>
    </row>
    <row r="59" spans="1:5" x14ac:dyDescent="0.45">
      <c r="A59" s="21" t="s">
        <v>51</v>
      </c>
      <c r="B59" s="21" t="s">
        <v>3</v>
      </c>
      <c r="C59" s="14">
        <v>800</v>
      </c>
      <c r="D59" s="22">
        <v>5000</v>
      </c>
      <c r="E59" s="22">
        <f>+D59*C59</f>
        <v>4000000</v>
      </c>
    </row>
    <row r="60" spans="1:5" hidden="1" x14ac:dyDescent="0.45">
      <c r="A60" s="21" t="s">
        <v>51</v>
      </c>
      <c r="B60" s="21" t="s">
        <v>52</v>
      </c>
      <c r="C60" s="14">
        <v>0</v>
      </c>
      <c r="D60" s="22">
        <v>5000</v>
      </c>
      <c r="E60" s="22">
        <f>+D60*C60</f>
        <v>0</v>
      </c>
    </row>
    <row r="61" spans="1:5" x14ac:dyDescent="0.45">
      <c r="A61" s="21" t="s">
        <v>53</v>
      </c>
      <c r="B61" s="21" t="s">
        <v>3</v>
      </c>
      <c r="C61" s="14">
        <v>30</v>
      </c>
      <c r="D61" s="22">
        <v>20000</v>
      </c>
      <c r="E61" s="22">
        <f>+D61*C61</f>
        <v>600000</v>
      </c>
    </row>
    <row r="62" spans="1:5" x14ac:dyDescent="0.45">
      <c r="A62" s="21" t="s">
        <v>54</v>
      </c>
      <c r="B62" s="21" t="s">
        <v>32</v>
      </c>
      <c r="C62" s="14">
        <v>333</v>
      </c>
      <c r="D62" s="22">
        <v>1200</v>
      </c>
      <c r="E62" s="22">
        <f>+D62*C62</f>
        <v>399600</v>
      </c>
    </row>
    <row r="63" spans="1:5" x14ac:dyDescent="0.45">
      <c r="A63" s="21" t="s">
        <v>55</v>
      </c>
      <c r="B63" s="21" t="s">
        <v>3</v>
      </c>
      <c r="C63" s="40">
        <v>2350</v>
      </c>
      <c r="D63" s="22">
        <v>20000</v>
      </c>
      <c r="E63" s="22">
        <f>+D63*C63</f>
        <v>47000000</v>
      </c>
    </row>
    <row r="64" spans="1:5" x14ac:dyDescent="0.45">
      <c r="A64" s="21" t="s">
        <v>56</v>
      </c>
      <c r="B64" s="21" t="s">
        <v>3</v>
      </c>
      <c r="C64" s="40">
        <v>1050</v>
      </c>
      <c r="D64" s="22">
        <v>26000</v>
      </c>
      <c r="E64" s="22">
        <f>+D64*C64</f>
        <v>27300000</v>
      </c>
    </row>
    <row r="65" spans="1:5" x14ac:dyDescent="0.45">
      <c r="A65" s="21" t="s">
        <v>57</v>
      </c>
      <c r="B65" s="21" t="s">
        <v>3</v>
      </c>
      <c r="C65" s="14">
        <v>320</v>
      </c>
      <c r="D65" s="22">
        <v>16000</v>
      </c>
      <c r="E65" s="22">
        <f>+D65*C65</f>
        <v>5120000</v>
      </c>
    </row>
    <row r="66" spans="1:5" x14ac:dyDescent="0.45">
      <c r="A66" s="21" t="s">
        <v>58</v>
      </c>
      <c r="B66" s="21" t="s">
        <v>3</v>
      </c>
      <c r="C66" s="14">
        <v>75</v>
      </c>
      <c r="D66" s="22">
        <v>22000</v>
      </c>
      <c r="E66" s="22">
        <f>+D66*C66</f>
        <v>1650000</v>
      </c>
    </row>
    <row r="67" spans="1:5" hidden="1" x14ac:dyDescent="0.45">
      <c r="A67" s="21" t="s">
        <v>138</v>
      </c>
      <c r="B67" s="21" t="s">
        <v>3</v>
      </c>
      <c r="C67" s="14">
        <v>0</v>
      </c>
      <c r="D67" s="22"/>
      <c r="E67" s="22">
        <f>+D67*C67</f>
        <v>0</v>
      </c>
    </row>
    <row r="68" spans="1:5" hidden="1" x14ac:dyDescent="0.45">
      <c r="A68" s="21" t="s">
        <v>59</v>
      </c>
      <c r="B68" s="21" t="s">
        <v>32</v>
      </c>
      <c r="C68" s="14">
        <v>0</v>
      </c>
      <c r="D68" s="22"/>
      <c r="E68" s="22">
        <f>+D68*C68</f>
        <v>0</v>
      </c>
    </row>
    <row r="69" spans="1:5" x14ac:dyDescent="0.45">
      <c r="A69" s="21" t="s">
        <v>61</v>
      </c>
      <c r="B69" s="21" t="s">
        <v>3</v>
      </c>
      <c r="C69" s="14">
        <v>600</v>
      </c>
      <c r="D69" s="22">
        <v>12500</v>
      </c>
      <c r="E69" s="22">
        <f>+D69*C69</f>
        <v>7500000</v>
      </c>
    </row>
    <row r="70" spans="1:5" hidden="1" x14ac:dyDescent="0.45">
      <c r="A70" s="21" t="s">
        <v>61</v>
      </c>
      <c r="B70" s="21" t="s">
        <v>32</v>
      </c>
      <c r="C70" s="14">
        <v>0</v>
      </c>
      <c r="D70" s="22">
        <v>12500</v>
      </c>
      <c r="E70" s="22">
        <f>+D70*C70</f>
        <v>0</v>
      </c>
    </row>
    <row r="71" spans="1:5" x14ac:dyDescent="0.45">
      <c r="A71" s="21" t="s">
        <v>62</v>
      </c>
      <c r="B71" s="21" t="s">
        <v>32</v>
      </c>
      <c r="C71" s="14">
        <v>60</v>
      </c>
      <c r="D71" s="22">
        <v>4500</v>
      </c>
      <c r="E71" s="22">
        <f>+D71*C71</f>
        <v>270000</v>
      </c>
    </row>
    <row r="72" spans="1:5" hidden="1" x14ac:dyDescent="0.45">
      <c r="A72" s="21" t="s">
        <v>63</v>
      </c>
      <c r="B72" s="21" t="s">
        <v>3</v>
      </c>
      <c r="C72" s="14">
        <v>0</v>
      </c>
      <c r="D72" s="22">
        <v>11000</v>
      </c>
      <c r="E72" s="22">
        <f>+D72*C72</f>
        <v>0</v>
      </c>
    </row>
    <row r="73" spans="1:5" hidden="1" x14ac:dyDescent="0.45">
      <c r="A73" s="21" t="s">
        <v>64</v>
      </c>
      <c r="B73" s="21" t="s">
        <v>32</v>
      </c>
      <c r="C73" s="14">
        <v>0</v>
      </c>
      <c r="D73" s="22"/>
      <c r="E73" s="22">
        <f>+D73*C73</f>
        <v>0</v>
      </c>
    </row>
    <row r="74" spans="1:5" hidden="1" x14ac:dyDescent="0.45">
      <c r="A74" s="21" t="s">
        <v>65</v>
      </c>
      <c r="B74" s="21" t="s">
        <v>3</v>
      </c>
      <c r="C74" s="14">
        <v>0</v>
      </c>
      <c r="D74" s="22">
        <v>9000</v>
      </c>
      <c r="E74" s="22">
        <f>+D74*C74</f>
        <v>0</v>
      </c>
    </row>
    <row r="75" spans="1:5" x14ac:dyDescent="0.45">
      <c r="A75" s="21" t="s">
        <v>65</v>
      </c>
      <c r="B75" s="21" t="s">
        <v>32</v>
      </c>
      <c r="C75" s="14">
        <v>46</v>
      </c>
      <c r="D75" s="22">
        <v>9000</v>
      </c>
      <c r="E75" s="22">
        <f>+D75*C75</f>
        <v>414000</v>
      </c>
    </row>
    <row r="76" spans="1:5" x14ac:dyDescent="0.45">
      <c r="A76" s="21" t="s">
        <v>66</v>
      </c>
      <c r="B76" s="21" t="s">
        <v>3</v>
      </c>
      <c r="C76" s="14">
        <v>1</v>
      </c>
      <c r="D76" s="22">
        <v>80000</v>
      </c>
      <c r="E76" s="22">
        <f>+D76*C76</f>
        <v>80000</v>
      </c>
    </row>
    <row r="77" spans="1:5" x14ac:dyDescent="0.45">
      <c r="A77" s="21" t="s">
        <v>68</v>
      </c>
      <c r="B77" s="21" t="s">
        <v>3</v>
      </c>
      <c r="C77" s="14">
        <v>1</v>
      </c>
      <c r="D77" s="22">
        <v>70000</v>
      </c>
      <c r="E77" s="22">
        <f>+D77*C77</f>
        <v>70000</v>
      </c>
    </row>
    <row r="78" spans="1:5" x14ac:dyDescent="0.45">
      <c r="A78" s="21" t="s">
        <v>69</v>
      </c>
      <c r="B78" s="21" t="s">
        <v>3</v>
      </c>
      <c r="C78" s="14">
        <v>1</v>
      </c>
      <c r="D78" s="22">
        <v>70000</v>
      </c>
      <c r="E78" s="22">
        <f>+D78*C78</f>
        <v>70000</v>
      </c>
    </row>
    <row r="79" spans="1:5" hidden="1" x14ac:dyDescent="0.45">
      <c r="A79" s="21" t="s">
        <v>70</v>
      </c>
      <c r="B79" s="21" t="s">
        <v>3</v>
      </c>
      <c r="C79" s="14">
        <v>0</v>
      </c>
      <c r="D79" s="22">
        <v>4500</v>
      </c>
      <c r="E79" s="22">
        <f>+D79*C79</f>
        <v>0</v>
      </c>
    </row>
    <row r="80" spans="1:5" x14ac:dyDescent="0.45">
      <c r="A80" s="21" t="s">
        <v>70</v>
      </c>
      <c r="B80" s="21" t="s">
        <v>18</v>
      </c>
      <c r="C80" s="14">
        <v>882</v>
      </c>
      <c r="D80" s="22">
        <v>4500</v>
      </c>
      <c r="E80" s="22">
        <f>+D80*C80</f>
        <v>3969000</v>
      </c>
    </row>
    <row r="81" spans="1:5" hidden="1" x14ac:dyDescent="0.45">
      <c r="A81" s="21" t="s">
        <v>71</v>
      </c>
      <c r="B81" s="21" t="s">
        <v>3</v>
      </c>
      <c r="C81" s="14">
        <v>0</v>
      </c>
      <c r="D81" s="22">
        <v>9000</v>
      </c>
      <c r="E81" s="22">
        <f>+D81*C81</f>
        <v>0</v>
      </c>
    </row>
    <row r="82" spans="1:5" x14ac:dyDescent="0.45">
      <c r="A82" s="21" t="s">
        <v>72</v>
      </c>
      <c r="B82" s="21" t="s">
        <v>3</v>
      </c>
      <c r="C82" s="14">
        <v>25</v>
      </c>
      <c r="D82" s="22">
        <v>6000</v>
      </c>
      <c r="E82" s="22">
        <f>+D82*C82</f>
        <v>150000</v>
      </c>
    </row>
    <row r="83" spans="1:5" x14ac:dyDescent="0.45">
      <c r="A83" s="21" t="s">
        <v>73</v>
      </c>
      <c r="B83" s="21" t="s">
        <v>3</v>
      </c>
      <c r="C83" s="14">
        <v>37</v>
      </c>
      <c r="D83" s="22">
        <v>10000</v>
      </c>
      <c r="E83" s="22">
        <f>+D83*C83</f>
        <v>370000</v>
      </c>
    </row>
    <row r="84" spans="1:5" hidden="1" x14ac:dyDescent="0.45">
      <c r="A84" s="21" t="s">
        <v>73</v>
      </c>
      <c r="B84" s="21" t="s">
        <v>44</v>
      </c>
      <c r="C84" s="14">
        <v>0</v>
      </c>
      <c r="D84" s="22">
        <v>10000</v>
      </c>
      <c r="E84" s="22">
        <f>+D84*C84</f>
        <v>0</v>
      </c>
    </row>
    <row r="85" spans="1:5" hidden="1" x14ac:dyDescent="0.45">
      <c r="A85" s="21" t="s">
        <v>139</v>
      </c>
      <c r="B85" s="21" t="s">
        <v>3</v>
      </c>
      <c r="C85" s="14">
        <v>0</v>
      </c>
      <c r="D85" s="22"/>
      <c r="E85" s="22">
        <f>+D85*C85</f>
        <v>0</v>
      </c>
    </row>
    <row r="86" spans="1:5" hidden="1" x14ac:dyDescent="0.45">
      <c r="A86" s="21" t="s">
        <v>74</v>
      </c>
      <c r="B86" s="21" t="s">
        <v>32</v>
      </c>
      <c r="C86" s="14">
        <v>0</v>
      </c>
      <c r="D86" s="22">
        <v>2100</v>
      </c>
      <c r="E86" s="22">
        <f>+D86*C86</f>
        <v>0</v>
      </c>
    </row>
    <row r="87" spans="1:5" hidden="1" x14ac:dyDescent="0.45">
      <c r="A87" s="21" t="s">
        <v>75</v>
      </c>
      <c r="B87" s="21" t="s">
        <v>3</v>
      </c>
      <c r="C87" s="14">
        <v>0</v>
      </c>
      <c r="D87" s="22">
        <v>14000</v>
      </c>
      <c r="E87" s="22">
        <f>+D87*C87</f>
        <v>0</v>
      </c>
    </row>
    <row r="88" spans="1:5" x14ac:dyDescent="0.45">
      <c r="A88" s="21" t="s">
        <v>76</v>
      </c>
      <c r="B88" s="21" t="s">
        <v>3</v>
      </c>
      <c r="C88" s="14">
        <v>10</v>
      </c>
      <c r="D88" s="22">
        <v>80000</v>
      </c>
      <c r="E88" s="22">
        <f>+D88*C88</f>
        <v>800000</v>
      </c>
    </row>
    <row r="89" spans="1:5" hidden="1" x14ac:dyDescent="0.45">
      <c r="A89" s="21" t="s">
        <v>76</v>
      </c>
      <c r="B89" s="21" t="s">
        <v>77</v>
      </c>
      <c r="C89" s="14">
        <v>0</v>
      </c>
      <c r="D89" s="22">
        <v>80000</v>
      </c>
      <c r="E89" s="22">
        <f>+D89*C89</f>
        <v>0</v>
      </c>
    </row>
    <row r="90" spans="1:5" hidden="1" x14ac:dyDescent="0.45">
      <c r="A90" s="21" t="s">
        <v>79</v>
      </c>
      <c r="B90" s="21" t="s">
        <v>18</v>
      </c>
      <c r="C90" s="14">
        <v>0</v>
      </c>
      <c r="D90" s="22"/>
      <c r="E90" s="22">
        <f>+D90*C90</f>
        <v>0</v>
      </c>
    </row>
    <row r="91" spans="1:5" hidden="1" x14ac:dyDescent="0.45">
      <c r="A91" s="21" t="s">
        <v>80</v>
      </c>
      <c r="B91" s="21" t="s">
        <v>27</v>
      </c>
      <c r="C91" s="14">
        <v>0</v>
      </c>
      <c r="D91" s="22"/>
      <c r="E91" s="22">
        <f>+D91*C91</f>
        <v>0</v>
      </c>
    </row>
    <row r="92" spans="1:5" x14ac:dyDescent="0.45">
      <c r="A92" s="21" t="s">
        <v>80</v>
      </c>
      <c r="B92" s="21" t="s">
        <v>3</v>
      </c>
      <c r="C92" s="14">
        <v>1.5</v>
      </c>
      <c r="D92" s="22">
        <v>38000</v>
      </c>
      <c r="E92" s="22">
        <f>+D92*C92</f>
        <v>57000</v>
      </c>
    </row>
    <row r="93" spans="1:5" x14ac:dyDescent="0.45">
      <c r="A93" s="21" t="s">
        <v>81</v>
      </c>
      <c r="B93" s="21" t="s">
        <v>3</v>
      </c>
      <c r="C93" s="14">
        <v>20</v>
      </c>
      <c r="D93" s="22">
        <v>40000</v>
      </c>
      <c r="E93" s="22">
        <f>+D93*C93</f>
        <v>800000</v>
      </c>
    </row>
    <row r="94" spans="1:5" hidden="1" x14ac:dyDescent="0.45">
      <c r="A94" s="21" t="s">
        <v>81</v>
      </c>
      <c r="B94" s="21" t="s">
        <v>11</v>
      </c>
      <c r="C94" s="14">
        <v>0</v>
      </c>
      <c r="D94" s="22">
        <v>40000</v>
      </c>
      <c r="E94" s="22">
        <f>+D94*C94</f>
        <v>0</v>
      </c>
    </row>
    <row r="95" spans="1:5" x14ac:dyDescent="0.45">
      <c r="A95" s="21" t="s">
        <v>82</v>
      </c>
      <c r="B95" s="21" t="s">
        <v>3</v>
      </c>
      <c r="C95" s="14">
        <v>20</v>
      </c>
      <c r="D95" s="22">
        <v>30000</v>
      </c>
      <c r="E95" s="22">
        <f>+D95*C95</f>
        <v>600000</v>
      </c>
    </row>
    <row r="96" spans="1:5" x14ac:dyDescent="0.45">
      <c r="A96" s="21" t="s">
        <v>83</v>
      </c>
      <c r="B96" s="21" t="s">
        <v>3</v>
      </c>
      <c r="C96" s="14">
        <v>10</v>
      </c>
      <c r="D96" s="22">
        <v>40000</v>
      </c>
      <c r="E96" s="22">
        <f>+D96*C96</f>
        <v>400000</v>
      </c>
    </row>
    <row r="97" spans="1:5" hidden="1" x14ac:dyDescent="0.45">
      <c r="A97" s="21" t="s">
        <v>83</v>
      </c>
      <c r="B97" s="21" t="s">
        <v>11</v>
      </c>
      <c r="C97" s="14">
        <v>0</v>
      </c>
      <c r="D97" s="22">
        <v>40000</v>
      </c>
      <c r="E97" s="22">
        <f>+D97*C97</f>
        <v>0</v>
      </c>
    </row>
    <row r="98" spans="1:5" x14ac:dyDescent="0.45">
      <c r="A98" s="21" t="s">
        <v>84</v>
      </c>
      <c r="B98" s="21" t="s">
        <v>3</v>
      </c>
      <c r="C98" s="14">
        <v>20</v>
      </c>
      <c r="D98" s="22">
        <v>30000</v>
      </c>
      <c r="E98" s="22">
        <f>+D98*C98</f>
        <v>600000</v>
      </c>
    </row>
    <row r="99" spans="1:5" hidden="1" x14ac:dyDescent="0.45">
      <c r="A99" s="21" t="s">
        <v>85</v>
      </c>
      <c r="B99" s="21" t="s">
        <v>3</v>
      </c>
      <c r="C99" s="14">
        <v>0</v>
      </c>
      <c r="D99" s="22">
        <v>30000</v>
      </c>
      <c r="E99" s="22">
        <f>+D99*C99</f>
        <v>0</v>
      </c>
    </row>
    <row r="100" spans="1:5" hidden="1" x14ac:dyDescent="0.45">
      <c r="A100" s="21" t="s">
        <v>85</v>
      </c>
      <c r="B100" s="21" t="s">
        <v>11</v>
      </c>
      <c r="C100" s="14">
        <v>0</v>
      </c>
      <c r="D100" s="22">
        <v>30000</v>
      </c>
      <c r="E100" s="22">
        <f>+D100*C100</f>
        <v>0</v>
      </c>
    </row>
    <row r="101" spans="1:5" x14ac:dyDescent="0.45">
      <c r="A101" s="21" t="s">
        <v>113</v>
      </c>
      <c r="B101" s="21" t="s">
        <v>3</v>
      </c>
      <c r="C101" s="14">
        <v>20</v>
      </c>
      <c r="D101" s="22">
        <v>25000</v>
      </c>
      <c r="E101" s="22">
        <f>+D101*C101</f>
        <v>500000</v>
      </c>
    </row>
    <row r="102" spans="1:5" hidden="1" x14ac:dyDescent="0.45">
      <c r="A102" s="21" t="s">
        <v>86</v>
      </c>
      <c r="B102" s="21" t="s">
        <v>32</v>
      </c>
      <c r="C102" s="14">
        <v>0</v>
      </c>
      <c r="D102" s="22">
        <v>17000</v>
      </c>
      <c r="E102" s="22">
        <f>+D102*C102</f>
        <v>0</v>
      </c>
    </row>
    <row r="103" spans="1:5" x14ac:dyDescent="0.45">
      <c r="A103" s="21" t="s">
        <v>109</v>
      </c>
      <c r="B103" s="21" t="s">
        <v>3</v>
      </c>
      <c r="C103" s="14">
        <v>32</v>
      </c>
      <c r="D103" s="22">
        <v>21000</v>
      </c>
      <c r="E103" s="22">
        <f>+D103*C103</f>
        <v>672000</v>
      </c>
    </row>
    <row r="104" spans="1:5" hidden="1" x14ac:dyDescent="0.45">
      <c r="A104" s="21" t="s">
        <v>87</v>
      </c>
      <c r="B104" s="21" t="s">
        <v>32</v>
      </c>
      <c r="C104" s="14">
        <v>0</v>
      </c>
      <c r="D104" s="22">
        <v>35000</v>
      </c>
      <c r="E104" s="22">
        <f>+D104*C104</f>
        <v>0</v>
      </c>
    </row>
    <row r="105" spans="1:5" hidden="1" x14ac:dyDescent="0.45">
      <c r="A105" s="21" t="s">
        <v>89</v>
      </c>
      <c r="B105" s="21" t="s">
        <v>11</v>
      </c>
      <c r="C105" s="14">
        <v>0</v>
      </c>
      <c r="D105" s="22"/>
      <c r="E105" s="22">
        <f>+D105*C105</f>
        <v>0</v>
      </c>
    </row>
    <row r="106" spans="1:5" hidden="1" x14ac:dyDescent="0.45">
      <c r="A106" s="21" t="s">
        <v>141</v>
      </c>
      <c r="B106" s="21" t="s">
        <v>3</v>
      </c>
      <c r="C106" s="14">
        <v>0</v>
      </c>
      <c r="D106" s="22"/>
      <c r="E106" s="22">
        <f>+D106*C106</f>
        <v>0</v>
      </c>
    </row>
    <row r="107" spans="1:5" x14ac:dyDescent="0.45">
      <c r="A107" s="21" t="s">
        <v>91</v>
      </c>
      <c r="B107" s="21" t="s">
        <v>3</v>
      </c>
      <c r="C107" s="14">
        <v>9</v>
      </c>
      <c r="D107" s="22">
        <v>18000</v>
      </c>
      <c r="E107" s="22">
        <f>+D107*C107</f>
        <v>162000</v>
      </c>
    </row>
    <row r="108" spans="1:5" x14ac:dyDescent="0.45">
      <c r="A108" s="21" t="s">
        <v>92</v>
      </c>
      <c r="B108" s="21" t="s">
        <v>3</v>
      </c>
      <c r="C108" s="14">
        <v>15</v>
      </c>
      <c r="D108" s="22">
        <v>8000</v>
      </c>
      <c r="E108" s="22">
        <f>+D108*C108</f>
        <v>120000</v>
      </c>
    </row>
    <row r="109" spans="1:5" hidden="1" x14ac:dyDescent="0.45">
      <c r="A109" s="21" t="s">
        <v>94</v>
      </c>
      <c r="B109" s="21" t="s">
        <v>3</v>
      </c>
      <c r="C109" s="14">
        <v>0</v>
      </c>
      <c r="D109" s="22">
        <v>14000</v>
      </c>
      <c r="E109" s="22">
        <f>+D109*C109</f>
        <v>0</v>
      </c>
    </row>
    <row r="110" spans="1:5" hidden="1" x14ac:dyDescent="0.45">
      <c r="A110" s="21" t="s">
        <v>96</v>
      </c>
      <c r="B110" s="21" t="s">
        <v>3</v>
      </c>
      <c r="C110" s="14">
        <v>0</v>
      </c>
      <c r="D110" s="22">
        <v>26000</v>
      </c>
      <c r="E110" s="22">
        <f>+D110*C110</f>
        <v>0</v>
      </c>
    </row>
    <row r="111" spans="1:5" hidden="1" x14ac:dyDescent="0.45">
      <c r="A111" s="21" t="s">
        <v>97</v>
      </c>
      <c r="B111" s="21" t="s">
        <v>44</v>
      </c>
      <c r="C111" s="14">
        <v>0</v>
      </c>
      <c r="D111" s="22">
        <v>6800</v>
      </c>
      <c r="E111" s="22">
        <f>+D111*C111</f>
        <v>0</v>
      </c>
    </row>
    <row r="112" spans="1:5" x14ac:dyDescent="0.45">
      <c r="A112" s="21" t="s">
        <v>98</v>
      </c>
      <c r="B112" s="21" t="s">
        <v>3</v>
      </c>
      <c r="C112" s="14">
        <v>3</v>
      </c>
      <c r="D112" s="22">
        <v>28000</v>
      </c>
      <c r="E112" s="22">
        <f>+D112*C112</f>
        <v>84000</v>
      </c>
    </row>
    <row r="113" spans="1:5" hidden="1" x14ac:dyDescent="0.45">
      <c r="A113" s="21" t="s">
        <v>99</v>
      </c>
      <c r="B113" s="21" t="s">
        <v>44</v>
      </c>
      <c r="C113" s="14">
        <v>0</v>
      </c>
      <c r="D113" s="22">
        <v>6800</v>
      </c>
      <c r="E113" s="22">
        <f>+D113*C113</f>
        <v>0</v>
      </c>
    </row>
    <row r="114" spans="1:5" hidden="1" x14ac:dyDescent="0.45">
      <c r="A114" s="21" t="s">
        <v>114</v>
      </c>
      <c r="B114" s="21" t="s">
        <v>3</v>
      </c>
      <c r="C114" s="14">
        <v>0</v>
      </c>
      <c r="D114" s="22"/>
      <c r="E114" s="22">
        <f>+D114*C114</f>
        <v>0</v>
      </c>
    </row>
    <row r="115" spans="1:5" hidden="1" x14ac:dyDescent="0.45">
      <c r="A115" s="21" t="s">
        <v>100</v>
      </c>
      <c r="B115" s="21" t="s">
        <v>3</v>
      </c>
      <c r="C115" s="14">
        <v>0</v>
      </c>
      <c r="D115" s="22"/>
      <c r="E115" s="22">
        <f>+D115*C115</f>
        <v>0</v>
      </c>
    </row>
    <row r="116" spans="1:5" x14ac:dyDescent="0.45">
      <c r="A116" s="21" t="s">
        <v>101</v>
      </c>
      <c r="B116" s="21" t="s">
        <v>44</v>
      </c>
      <c r="C116" s="14">
        <v>85</v>
      </c>
      <c r="D116" s="22">
        <v>6800</v>
      </c>
      <c r="E116" s="22">
        <f>+D116*C116</f>
        <v>578000</v>
      </c>
    </row>
    <row r="117" spans="1:5" x14ac:dyDescent="0.45">
      <c r="A117" s="21" t="e">
        <v>#N/A</v>
      </c>
      <c r="B117" s="21">
        <v>0</v>
      </c>
      <c r="C117" s="14">
        <v>12567.5</v>
      </c>
      <c r="D117" s="22"/>
      <c r="E117" s="25">
        <f>SUM(E2:E116)</f>
        <v>138946600</v>
      </c>
    </row>
  </sheetData>
  <autoFilter ref="A1:E117" xr:uid="{00000000-0009-0000-0000-00000D000000}">
    <filterColumn colId="2">
      <filters>
        <filter val="1"/>
        <filter val="1,050"/>
        <filter val="10"/>
        <filter val="111"/>
        <filter val="115"/>
        <filter val="12,568"/>
        <filter val="13"/>
        <filter val="15"/>
        <filter val="150"/>
        <filter val="2"/>
        <filter val="2,350"/>
        <filter val="20"/>
        <filter val="200"/>
        <filter val="21"/>
        <filter val="25"/>
        <filter val="28"/>
        <filter val="3"/>
        <filter val="3,100"/>
        <filter val="30"/>
        <filter val="310"/>
        <filter val="32"/>
        <filter val="320"/>
        <filter val="333"/>
        <filter val="35"/>
        <filter val="365"/>
        <filter val="37"/>
        <filter val="380"/>
        <filter val="40"/>
        <filter val="420"/>
        <filter val="45"/>
        <filter val="46"/>
        <filter val="5"/>
        <filter val="60"/>
        <filter val="600"/>
        <filter val="75"/>
        <filter val="800"/>
        <filter val="85"/>
        <filter val="882"/>
        <filter val="9"/>
      </filters>
    </filterColumn>
    <sortState xmlns:xlrd2="http://schemas.microsoft.com/office/spreadsheetml/2017/richdata2" ref="A2:E117">
      <sortCondition ref="A1:A117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E129"/>
  <sheetViews>
    <sheetView workbookViewId="0">
      <pane xSplit="1" ySplit="1" topLeftCell="B51" activePane="bottomRight" state="frozen"/>
      <selection pane="topRight" activeCell="B1" sqref="B1"/>
      <selection pane="bottomLeft" activeCell="A2" sqref="A2"/>
      <selection pane="bottomRight" activeCell="E65" sqref="E65:E66"/>
    </sheetView>
  </sheetViews>
  <sheetFormatPr defaultColWidth="8.86328125" defaultRowHeight="15.4" x14ac:dyDescent="0.45"/>
  <cols>
    <col min="1" max="1" width="27.06640625" style="31" bestFit="1" customWidth="1"/>
    <col min="2" max="2" width="14" style="31" customWidth="1"/>
    <col min="3" max="3" width="11.06640625" style="31" customWidth="1"/>
    <col min="4" max="4" width="14.265625" style="34" customWidth="1"/>
    <col min="5" max="5" width="14.46484375" style="31" customWidth="1"/>
    <col min="6" max="6" width="8.86328125" style="31" customWidth="1"/>
    <col min="7" max="16384" width="8.86328125" style="31"/>
  </cols>
  <sheetData>
    <row r="1" spans="1:5" ht="60" x14ac:dyDescent="0.45">
      <c r="A1" s="19" t="s">
        <v>0</v>
      </c>
      <c r="B1" s="19" t="s">
        <v>1</v>
      </c>
      <c r="C1" s="14" t="s">
        <v>150</v>
      </c>
      <c r="D1" s="24" t="s">
        <v>151</v>
      </c>
      <c r="E1" s="24" t="s">
        <v>152</v>
      </c>
    </row>
    <row r="2" spans="1:5" x14ac:dyDescent="0.45">
      <c r="A2" s="21" t="s">
        <v>2</v>
      </c>
      <c r="B2" s="21" t="s">
        <v>3</v>
      </c>
      <c r="C2" s="14">
        <v>35</v>
      </c>
      <c r="D2" s="33">
        <v>10000</v>
      </c>
      <c r="E2" s="32">
        <f>+D2*C2</f>
        <v>350000</v>
      </c>
    </row>
    <row r="3" spans="1:5" x14ac:dyDescent="0.45">
      <c r="A3" s="21" t="s">
        <v>4</v>
      </c>
      <c r="B3" s="21" t="s">
        <v>3</v>
      </c>
      <c r="C3" s="14">
        <v>435</v>
      </c>
      <c r="D3" s="33">
        <v>7000</v>
      </c>
      <c r="E3" s="32">
        <f>+D3*C3</f>
        <v>3045000</v>
      </c>
    </row>
    <row r="4" spans="1:5" x14ac:dyDescent="0.45">
      <c r="A4" s="21" t="s">
        <v>5</v>
      </c>
      <c r="B4" s="21" t="s">
        <v>3</v>
      </c>
      <c r="C4" s="14">
        <v>2115</v>
      </c>
      <c r="D4" s="33">
        <v>3500</v>
      </c>
      <c r="E4" s="32">
        <f>+D4*C4</f>
        <v>7402500</v>
      </c>
    </row>
    <row r="5" spans="1:5" x14ac:dyDescent="0.45">
      <c r="A5" s="21" t="s">
        <v>6</v>
      </c>
      <c r="B5" s="21" t="s">
        <v>3</v>
      </c>
      <c r="C5" s="14">
        <v>5</v>
      </c>
      <c r="D5" s="33">
        <v>5000</v>
      </c>
      <c r="E5" s="32">
        <f>+D5*C5</f>
        <v>25000</v>
      </c>
    </row>
    <row r="6" spans="1:5" x14ac:dyDescent="0.45">
      <c r="A6" s="21" t="s">
        <v>7</v>
      </c>
      <c r="B6" s="21" t="s">
        <v>3</v>
      </c>
      <c r="C6" s="14">
        <v>10</v>
      </c>
      <c r="D6" s="33">
        <v>5700</v>
      </c>
      <c r="E6" s="32">
        <f>+D6*C6</f>
        <v>57000</v>
      </c>
    </row>
    <row r="7" spans="1:5" x14ac:dyDescent="0.45">
      <c r="A7" s="21" t="s">
        <v>8</v>
      </c>
      <c r="B7" s="21" t="s">
        <v>3</v>
      </c>
      <c r="C7" s="14">
        <v>610</v>
      </c>
      <c r="D7" s="33">
        <v>7000</v>
      </c>
      <c r="E7" s="32">
        <f>+D7*C7</f>
        <v>4270000</v>
      </c>
    </row>
    <row r="8" spans="1:5" hidden="1" x14ac:dyDescent="0.45">
      <c r="A8" s="21" t="s">
        <v>9</v>
      </c>
      <c r="B8" s="21" t="s">
        <v>3</v>
      </c>
      <c r="C8" s="14">
        <v>0</v>
      </c>
      <c r="D8" s="33">
        <v>11000</v>
      </c>
      <c r="E8" s="32">
        <f>+D8*C8</f>
        <v>0</v>
      </c>
    </row>
    <row r="9" spans="1:5" x14ac:dyDescent="0.45">
      <c r="A9" s="21" t="s">
        <v>10</v>
      </c>
      <c r="B9" s="21" t="s">
        <v>3</v>
      </c>
      <c r="C9" s="14">
        <v>125</v>
      </c>
      <c r="D9" s="33">
        <v>7500</v>
      </c>
      <c r="E9" s="32">
        <f>+D9*C9</f>
        <v>937500</v>
      </c>
    </row>
    <row r="10" spans="1:5" hidden="1" x14ac:dyDescent="0.45">
      <c r="A10" s="21" t="s">
        <v>10</v>
      </c>
      <c r="B10" s="21" t="s">
        <v>11</v>
      </c>
      <c r="C10" s="14">
        <v>0</v>
      </c>
      <c r="D10" s="33">
        <v>7500</v>
      </c>
      <c r="E10" s="32">
        <f>+D10*C10</f>
        <v>0</v>
      </c>
    </row>
    <row r="11" spans="1:5" x14ac:dyDescent="0.45">
      <c r="A11" s="21" t="s">
        <v>12</v>
      </c>
      <c r="B11" s="21" t="s">
        <v>3</v>
      </c>
      <c r="C11" s="14">
        <v>110</v>
      </c>
      <c r="D11" s="33">
        <v>10000</v>
      </c>
      <c r="E11" s="32">
        <f>+D11*C11</f>
        <v>1100000</v>
      </c>
    </row>
    <row r="12" spans="1:5" hidden="1" x14ac:dyDescent="0.45">
      <c r="A12" s="21" t="s">
        <v>12</v>
      </c>
      <c r="B12" s="21" t="s">
        <v>11</v>
      </c>
      <c r="C12" s="14">
        <v>0</v>
      </c>
      <c r="D12" s="33">
        <v>10000</v>
      </c>
      <c r="E12" s="32">
        <f>+D12*C12</f>
        <v>0</v>
      </c>
    </row>
    <row r="13" spans="1:5" hidden="1" x14ac:dyDescent="0.45">
      <c r="A13" s="21" t="s">
        <v>129</v>
      </c>
      <c r="B13" s="21" t="s">
        <v>3</v>
      </c>
      <c r="C13" s="14">
        <v>0</v>
      </c>
      <c r="D13" s="33"/>
      <c r="E13" s="32">
        <f>+D13*C13</f>
        <v>0</v>
      </c>
    </row>
    <row r="14" spans="1:5" x14ac:dyDescent="0.45">
      <c r="A14" s="21" t="s">
        <v>13</v>
      </c>
      <c r="B14" s="21" t="s">
        <v>3</v>
      </c>
      <c r="C14" s="14">
        <v>185</v>
      </c>
      <c r="D14" s="33">
        <v>35000</v>
      </c>
      <c r="E14" s="32">
        <f>+D14*C14</f>
        <v>6475000</v>
      </c>
    </row>
    <row r="15" spans="1:5" hidden="1" x14ac:dyDescent="0.45">
      <c r="A15" s="21" t="s">
        <v>116</v>
      </c>
      <c r="B15" s="21" t="s">
        <v>3</v>
      </c>
      <c r="C15" s="14">
        <v>0</v>
      </c>
      <c r="D15" s="33">
        <v>90000</v>
      </c>
      <c r="E15" s="32">
        <f>+D15*C15</f>
        <v>0</v>
      </c>
    </row>
    <row r="16" spans="1:5" hidden="1" x14ac:dyDescent="0.45">
      <c r="A16" s="21" t="s">
        <v>14</v>
      </c>
      <c r="B16" s="21" t="s">
        <v>3</v>
      </c>
      <c r="C16" s="14">
        <v>0</v>
      </c>
      <c r="D16" s="33">
        <v>12000</v>
      </c>
      <c r="E16" s="32">
        <f>+D16*C16</f>
        <v>0</v>
      </c>
    </row>
    <row r="17" spans="1:5" hidden="1" x14ac:dyDescent="0.45">
      <c r="A17" s="21" t="s">
        <v>140</v>
      </c>
      <c r="B17" s="21" t="s">
        <v>3</v>
      </c>
      <c r="C17" s="14">
        <v>0</v>
      </c>
      <c r="D17" s="33"/>
      <c r="E17" s="32">
        <f>+D17*C17</f>
        <v>0</v>
      </c>
    </row>
    <row r="18" spans="1:5" hidden="1" x14ac:dyDescent="0.45">
      <c r="A18" s="21" t="s">
        <v>15</v>
      </c>
      <c r="B18" s="21" t="s">
        <v>3</v>
      </c>
      <c r="C18" s="14">
        <v>0</v>
      </c>
      <c r="D18" s="33">
        <v>18000</v>
      </c>
      <c r="E18" s="32">
        <f>+D18*C18</f>
        <v>0</v>
      </c>
    </row>
    <row r="19" spans="1:5" x14ac:dyDescent="0.45">
      <c r="A19" s="21" t="s">
        <v>16</v>
      </c>
      <c r="B19" s="21" t="s">
        <v>3</v>
      </c>
      <c r="C19" s="14">
        <v>20</v>
      </c>
      <c r="D19" s="33">
        <v>26000</v>
      </c>
      <c r="E19" s="32">
        <f>+D19*C19</f>
        <v>520000</v>
      </c>
    </row>
    <row r="20" spans="1:5" hidden="1" x14ac:dyDescent="0.45">
      <c r="A20" s="21" t="s">
        <v>17</v>
      </c>
      <c r="B20" s="21" t="s">
        <v>18</v>
      </c>
      <c r="C20" s="14">
        <v>0</v>
      </c>
      <c r="D20" s="33">
        <v>7000</v>
      </c>
      <c r="E20" s="32">
        <f>+D20*C20</f>
        <v>0</v>
      </c>
    </row>
    <row r="21" spans="1:5" hidden="1" x14ac:dyDescent="0.45">
      <c r="A21" s="21" t="s">
        <v>120</v>
      </c>
      <c r="B21" s="21" t="s">
        <v>44</v>
      </c>
      <c r="C21" s="14">
        <v>0</v>
      </c>
      <c r="D21" s="33"/>
      <c r="E21" s="32">
        <f>+D21*C21</f>
        <v>0</v>
      </c>
    </row>
    <row r="22" spans="1:5" hidden="1" x14ac:dyDescent="0.45">
      <c r="A22" s="21" t="s">
        <v>19</v>
      </c>
      <c r="B22" s="21" t="s">
        <v>3</v>
      </c>
      <c r="C22" s="14">
        <v>0</v>
      </c>
      <c r="D22" s="33">
        <v>24000</v>
      </c>
      <c r="E22" s="32">
        <f>+D22*C22</f>
        <v>0</v>
      </c>
    </row>
    <row r="23" spans="1:5" x14ac:dyDescent="0.45">
      <c r="A23" s="21" t="s">
        <v>20</v>
      </c>
      <c r="B23" s="21" t="s">
        <v>3</v>
      </c>
      <c r="C23" s="14">
        <v>115</v>
      </c>
      <c r="D23" s="33">
        <v>15000</v>
      </c>
      <c r="E23" s="32">
        <f>+D23*C23</f>
        <v>1725000</v>
      </c>
    </row>
    <row r="24" spans="1:5" hidden="1" x14ac:dyDescent="0.45">
      <c r="A24" s="21" t="s">
        <v>20</v>
      </c>
      <c r="B24" s="21" t="s">
        <v>18</v>
      </c>
      <c r="C24" s="14">
        <v>0</v>
      </c>
      <c r="D24" s="33">
        <v>15000</v>
      </c>
      <c r="E24" s="32">
        <f>+D24*C24</f>
        <v>0</v>
      </c>
    </row>
    <row r="25" spans="1:5" hidden="1" x14ac:dyDescent="0.45">
      <c r="A25" s="21" t="s">
        <v>20</v>
      </c>
      <c r="B25" s="21" t="s">
        <v>21</v>
      </c>
      <c r="C25" s="14">
        <v>0</v>
      </c>
      <c r="D25" s="33">
        <v>15000</v>
      </c>
      <c r="E25" s="32">
        <f>+D25*C25</f>
        <v>0</v>
      </c>
    </row>
    <row r="26" spans="1:5" hidden="1" x14ac:dyDescent="0.45">
      <c r="A26" s="21" t="s">
        <v>22</v>
      </c>
      <c r="B26" s="21" t="s">
        <v>3</v>
      </c>
      <c r="C26" s="14">
        <v>0</v>
      </c>
      <c r="D26" s="33">
        <v>5500</v>
      </c>
      <c r="E26" s="32">
        <f>+D26*C26</f>
        <v>0</v>
      </c>
    </row>
    <row r="27" spans="1:5" hidden="1" x14ac:dyDescent="0.45">
      <c r="A27" s="21" t="s">
        <v>22</v>
      </c>
      <c r="B27" s="21" t="s">
        <v>23</v>
      </c>
      <c r="C27" s="14">
        <v>0</v>
      </c>
      <c r="D27" s="33">
        <v>5500</v>
      </c>
      <c r="E27" s="32">
        <f>+D27*C27</f>
        <v>0</v>
      </c>
    </row>
    <row r="28" spans="1:5" x14ac:dyDescent="0.45">
      <c r="A28" s="21" t="s">
        <v>24</v>
      </c>
      <c r="B28" s="21" t="s">
        <v>25</v>
      </c>
      <c r="C28" s="14">
        <v>15</v>
      </c>
      <c r="D28" s="33">
        <v>4500</v>
      </c>
      <c r="E28" s="32">
        <f>+D28*C28</f>
        <v>67500</v>
      </c>
    </row>
    <row r="29" spans="1:5" x14ac:dyDescent="0.45">
      <c r="A29" s="21" t="s">
        <v>24</v>
      </c>
      <c r="B29" s="21" t="s">
        <v>3</v>
      </c>
      <c r="C29" s="14">
        <v>12</v>
      </c>
      <c r="D29" s="33">
        <v>4500</v>
      </c>
      <c r="E29" s="32">
        <f>+D29*C29</f>
        <v>54000</v>
      </c>
    </row>
    <row r="30" spans="1:5" x14ac:dyDescent="0.45">
      <c r="A30" s="21" t="s">
        <v>26</v>
      </c>
      <c r="B30" s="21" t="s">
        <v>27</v>
      </c>
      <c r="C30" s="14">
        <v>33</v>
      </c>
      <c r="D30" s="33">
        <v>12000</v>
      </c>
      <c r="E30" s="32">
        <f>+D30*C30</f>
        <v>396000</v>
      </c>
    </row>
    <row r="31" spans="1:5" hidden="1" x14ac:dyDescent="0.45">
      <c r="A31" s="21" t="s">
        <v>28</v>
      </c>
      <c r="B31" s="21" t="s">
        <v>3</v>
      </c>
      <c r="C31" s="14">
        <v>0</v>
      </c>
      <c r="D31" s="33">
        <v>20000</v>
      </c>
      <c r="E31" s="32">
        <f>+D31*C31</f>
        <v>0</v>
      </c>
    </row>
    <row r="32" spans="1:5" x14ac:dyDescent="0.45">
      <c r="A32" s="21" t="s">
        <v>28</v>
      </c>
      <c r="B32" s="21" t="s">
        <v>29</v>
      </c>
      <c r="C32" s="14">
        <v>168</v>
      </c>
      <c r="D32" s="33">
        <v>20000</v>
      </c>
      <c r="E32" s="32">
        <f>+D32*C32</f>
        <v>3360000</v>
      </c>
    </row>
    <row r="33" spans="1:5" x14ac:dyDescent="0.45">
      <c r="A33" s="21" t="s">
        <v>28</v>
      </c>
      <c r="B33" s="21" t="s">
        <v>25</v>
      </c>
      <c r="C33" s="14">
        <v>8</v>
      </c>
      <c r="D33" s="33">
        <v>20000</v>
      </c>
      <c r="E33" s="32">
        <f>+D33*C33</f>
        <v>160000</v>
      </c>
    </row>
    <row r="34" spans="1:5" x14ac:dyDescent="0.45">
      <c r="A34" s="21" t="s">
        <v>30</v>
      </c>
      <c r="B34" s="21" t="s">
        <v>3</v>
      </c>
      <c r="C34" s="14">
        <v>430</v>
      </c>
      <c r="D34" s="33">
        <v>8500</v>
      </c>
      <c r="E34" s="32">
        <f>+D34*C34</f>
        <v>3655000</v>
      </c>
    </row>
    <row r="35" spans="1:5" hidden="1" x14ac:dyDescent="0.45">
      <c r="A35" s="21" t="s">
        <v>30</v>
      </c>
      <c r="B35" s="21" t="s">
        <v>18</v>
      </c>
      <c r="C35" s="14">
        <v>0</v>
      </c>
      <c r="D35" s="33">
        <v>8500</v>
      </c>
      <c r="E35" s="32">
        <f>+D35*C35</f>
        <v>0</v>
      </c>
    </row>
    <row r="36" spans="1:5" x14ac:dyDescent="0.45">
      <c r="A36" s="21" t="s">
        <v>31</v>
      </c>
      <c r="B36" s="21" t="s">
        <v>32</v>
      </c>
      <c r="C36" s="14">
        <v>55</v>
      </c>
      <c r="D36" s="33">
        <v>6000</v>
      </c>
      <c r="E36" s="32">
        <f>+D36*C36</f>
        <v>330000</v>
      </c>
    </row>
    <row r="37" spans="1:5" x14ac:dyDescent="0.45">
      <c r="A37" s="21" t="s">
        <v>33</v>
      </c>
      <c r="B37" s="21" t="s">
        <v>3</v>
      </c>
      <c r="C37" s="14">
        <v>220</v>
      </c>
      <c r="D37" s="33">
        <v>13000</v>
      </c>
      <c r="E37" s="32">
        <f>+D37*C37</f>
        <v>2860000</v>
      </c>
    </row>
    <row r="38" spans="1:5" hidden="1" x14ac:dyDescent="0.45">
      <c r="A38" s="21" t="s">
        <v>33</v>
      </c>
      <c r="B38" s="21" t="s">
        <v>32</v>
      </c>
      <c r="C38" s="14">
        <v>0</v>
      </c>
      <c r="D38" s="33">
        <v>13000</v>
      </c>
      <c r="E38" s="32">
        <f>+D38*C38</f>
        <v>0</v>
      </c>
    </row>
    <row r="39" spans="1:5" hidden="1" x14ac:dyDescent="0.45">
      <c r="A39" s="21" t="s">
        <v>34</v>
      </c>
      <c r="B39" s="21" t="s">
        <v>3</v>
      </c>
      <c r="C39" s="14">
        <v>0</v>
      </c>
      <c r="D39" s="33">
        <v>5500</v>
      </c>
      <c r="E39" s="32">
        <f>+D39*C39</f>
        <v>0</v>
      </c>
    </row>
    <row r="40" spans="1:5" hidden="1" x14ac:dyDescent="0.45">
      <c r="A40" s="21" t="s">
        <v>34</v>
      </c>
      <c r="B40" s="21" t="s">
        <v>18</v>
      </c>
      <c r="C40" s="14">
        <v>0</v>
      </c>
      <c r="D40" s="33">
        <v>5500</v>
      </c>
      <c r="E40" s="32">
        <f>+D40*C40</f>
        <v>0</v>
      </c>
    </row>
    <row r="41" spans="1:5" x14ac:dyDescent="0.45">
      <c r="A41" s="21" t="s">
        <v>35</v>
      </c>
      <c r="B41" s="21" t="s">
        <v>3</v>
      </c>
      <c r="C41" s="14">
        <v>60</v>
      </c>
      <c r="D41" s="33">
        <v>8000</v>
      </c>
      <c r="E41" s="32">
        <f>+D41*C41</f>
        <v>480000</v>
      </c>
    </row>
    <row r="42" spans="1:5" hidden="1" x14ac:dyDescent="0.45">
      <c r="A42" s="21" t="s">
        <v>35</v>
      </c>
      <c r="B42" s="21" t="s">
        <v>36</v>
      </c>
      <c r="C42" s="14">
        <v>0</v>
      </c>
      <c r="D42" s="33">
        <v>8000</v>
      </c>
      <c r="E42" s="32">
        <f>+D42*C42</f>
        <v>0</v>
      </c>
    </row>
    <row r="43" spans="1:5" x14ac:dyDescent="0.45">
      <c r="A43" s="21" t="s">
        <v>37</v>
      </c>
      <c r="B43" s="21" t="s">
        <v>3</v>
      </c>
      <c r="C43" s="14">
        <v>39</v>
      </c>
      <c r="D43" s="33">
        <v>25000</v>
      </c>
      <c r="E43" s="32">
        <f>+D43*C43</f>
        <v>975000</v>
      </c>
    </row>
    <row r="44" spans="1:5" hidden="1" x14ac:dyDescent="0.45">
      <c r="A44" s="21" t="s">
        <v>37</v>
      </c>
      <c r="B44" s="21" t="s">
        <v>32</v>
      </c>
      <c r="C44" s="14">
        <v>0</v>
      </c>
      <c r="D44" s="33">
        <v>25000</v>
      </c>
      <c r="E44" s="32">
        <f>+D44*C44</f>
        <v>0</v>
      </c>
    </row>
    <row r="45" spans="1:5" hidden="1" x14ac:dyDescent="0.45">
      <c r="A45" s="21" t="s">
        <v>38</v>
      </c>
      <c r="B45" s="21" t="s">
        <v>3</v>
      </c>
      <c r="C45" s="14">
        <v>0</v>
      </c>
      <c r="D45" s="33">
        <v>3000</v>
      </c>
      <c r="E45" s="32">
        <f>+D45*C45</f>
        <v>0</v>
      </c>
    </row>
    <row r="46" spans="1:5" x14ac:dyDescent="0.45">
      <c r="A46" s="21" t="s">
        <v>38</v>
      </c>
      <c r="B46" s="21" t="s">
        <v>32</v>
      </c>
      <c r="C46" s="14">
        <v>3</v>
      </c>
      <c r="D46" s="33">
        <v>3000</v>
      </c>
      <c r="E46" s="32">
        <f>+D46*C46</f>
        <v>9000</v>
      </c>
    </row>
    <row r="47" spans="1:5" x14ac:dyDescent="0.45">
      <c r="A47" s="21" t="s">
        <v>39</v>
      </c>
      <c r="B47" s="21" t="s">
        <v>32</v>
      </c>
      <c r="C47" s="14">
        <v>12</v>
      </c>
      <c r="D47" s="33">
        <v>15000</v>
      </c>
      <c r="E47" s="32">
        <f>+D47*C47</f>
        <v>180000</v>
      </c>
    </row>
    <row r="48" spans="1:5" x14ac:dyDescent="0.45">
      <c r="A48" s="21" t="s">
        <v>40</v>
      </c>
      <c r="B48" s="21" t="s">
        <v>3</v>
      </c>
      <c r="C48" s="14">
        <v>310</v>
      </c>
      <c r="D48" s="33">
        <v>4000</v>
      </c>
      <c r="E48" s="32">
        <f>+D48*C48</f>
        <v>1240000</v>
      </c>
    </row>
    <row r="49" spans="1:5" hidden="1" x14ac:dyDescent="0.45">
      <c r="A49" s="21" t="s">
        <v>41</v>
      </c>
      <c r="B49" s="21" t="s">
        <v>3</v>
      </c>
      <c r="C49" s="14">
        <v>0</v>
      </c>
      <c r="D49" s="33">
        <v>16000</v>
      </c>
      <c r="E49" s="32">
        <f>+D49*C49</f>
        <v>0</v>
      </c>
    </row>
    <row r="50" spans="1:5" hidden="1" x14ac:dyDescent="0.45">
      <c r="A50" s="21" t="s">
        <v>42</v>
      </c>
      <c r="B50" s="21" t="s">
        <v>3</v>
      </c>
      <c r="C50" s="14">
        <v>0</v>
      </c>
      <c r="D50" s="33"/>
      <c r="E50" s="32">
        <f>+D50*C50</f>
        <v>0</v>
      </c>
    </row>
    <row r="51" spans="1:5" x14ac:dyDescent="0.45">
      <c r="A51" s="21" t="s">
        <v>43</v>
      </c>
      <c r="B51" s="21" t="s">
        <v>3</v>
      </c>
      <c r="C51" s="14">
        <v>30</v>
      </c>
      <c r="D51" s="33">
        <v>11500</v>
      </c>
      <c r="E51" s="32">
        <f>+D51*C51</f>
        <v>345000</v>
      </c>
    </row>
    <row r="52" spans="1:5" hidden="1" x14ac:dyDescent="0.45">
      <c r="A52" s="21" t="s">
        <v>43</v>
      </c>
      <c r="B52" s="21" t="s">
        <v>44</v>
      </c>
      <c r="C52" s="14">
        <v>0</v>
      </c>
      <c r="D52" s="33">
        <v>11500</v>
      </c>
      <c r="E52" s="32">
        <f>+D52*C52</f>
        <v>0</v>
      </c>
    </row>
    <row r="53" spans="1:5" hidden="1" x14ac:dyDescent="0.45">
      <c r="A53" s="21" t="s">
        <v>45</v>
      </c>
      <c r="B53" s="21" t="s">
        <v>3</v>
      </c>
      <c r="C53" s="14">
        <v>0</v>
      </c>
      <c r="D53" s="33">
        <v>29000</v>
      </c>
      <c r="E53" s="32">
        <f>+D53*C53</f>
        <v>0</v>
      </c>
    </row>
    <row r="54" spans="1:5" hidden="1" x14ac:dyDescent="0.45">
      <c r="A54" s="21" t="s">
        <v>46</v>
      </c>
      <c r="B54" s="21" t="s">
        <v>3</v>
      </c>
      <c r="C54" s="14">
        <v>0</v>
      </c>
      <c r="D54" s="33">
        <v>14000</v>
      </c>
      <c r="E54" s="32">
        <f>+D54*C54</f>
        <v>0</v>
      </c>
    </row>
    <row r="55" spans="1:5" hidden="1" x14ac:dyDescent="0.45">
      <c r="A55" s="21" t="s">
        <v>47</v>
      </c>
      <c r="B55" s="21" t="s">
        <v>27</v>
      </c>
      <c r="C55" s="14">
        <v>0</v>
      </c>
      <c r="D55" s="33">
        <v>11000</v>
      </c>
      <c r="E55" s="32">
        <f>+D55*C55</f>
        <v>0</v>
      </c>
    </row>
    <row r="56" spans="1:5" hidden="1" x14ac:dyDescent="0.45">
      <c r="A56" s="21" t="s">
        <v>47</v>
      </c>
      <c r="B56" s="21" t="s">
        <v>3</v>
      </c>
      <c r="C56" s="14">
        <v>0</v>
      </c>
      <c r="D56" s="33">
        <v>11000</v>
      </c>
      <c r="E56" s="32">
        <f>+D56*C56</f>
        <v>0</v>
      </c>
    </row>
    <row r="57" spans="1:5" hidden="1" x14ac:dyDescent="0.45">
      <c r="A57" s="21" t="s">
        <v>48</v>
      </c>
      <c r="B57" s="21" t="s">
        <v>3</v>
      </c>
      <c r="C57" s="14">
        <v>0</v>
      </c>
      <c r="D57" s="33">
        <v>5000</v>
      </c>
      <c r="E57" s="32">
        <f>+D57*C57</f>
        <v>0</v>
      </c>
    </row>
    <row r="58" spans="1:5" x14ac:dyDescent="0.45">
      <c r="A58" s="21" t="s">
        <v>49</v>
      </c>
      <c r="B58" s="21" t="s">
        <v>3</v>
      </c>
      <c r="C58" s="14">
        <v>30</v>
      </c>
      <c r="D58" s="33">
        <v>8000</v>
      </c>
      <c r="E58" s="32">
        <f>+D58*C58</f>
        <v>240000</v>
      </c>
    </row>
    <row r="59" spans="1:5" hidden="1" x14ac:dyDescent="0.45">
      <c r="A59" s="21" t="s">
        <v>49</v>
      </c>
      <c r="B59" s="21" t="s">
        <v>32</v>
      </c>
      <c r="C59" s="14">
        <v>0</v>
      </c>
      <c r="D59" s="33">
        <v>8000</v>
      </c>
      <c r="E59" s="32">
        <f>+D59*C59</f>
        <v>0</v>
      </c>
    </row>
    <row r="60" spans="1:5" hidden="1" x14ac:dyDescent="0.45">
      <c r="A60" s="21" t="s">
        <v>50</v>
      </c>
      <c r="B60" s="21" t="s">
        <v>3</v>
      </c>
      <c r="C60" s="14">
        <v>0</v>
      </c>
      <c r="D60" s="33"/>
      <c r="E60" s="32">
        <f>+D60*C60</f>
        <v>0</v>
      </c>
    </row>
    <row r="61" spans="1:5" x14ac:dyDescent="0.45">
      <c r="A61" s="21" t="s">
        <v>51</v>
      </c>
      <c r="B61" s="21" t="s">
        <v>3</v>
      </c>
      <c r="C61" s="14">
        <v>620</v>
      </c>
      <c r="D61" s="33">
        <v>5000</v>
      </c>
      <c r="E61" s="32">
        <f>+D61*C61</f>
        <v>3100000</v>
      </c>
    </row>
    <row r="62" spans="1:5" hidden="1" x14ac:dyDescent="0.45">
      <c r="A62" s="21" t="s">
        <v>51</v>
      </c>
      <c r="B62" s="21" t="s">
        <v>52</v>
      </c>
      <c r="C62" s="14">
        <v>0</v>
      </c>
      <c r="D62" s="33">
        <v>5000</v>
      </c>
      <c r="E62" s="32">
        <f>+D62*C62</f>
        <v>0</v>
      </c>
    </row>
    <row r="63" spans="1:5" x14ac:dyDescent="0.45">
      <c r="A63" s="21" t="s">
        <v>53</v>
      </c>
      <c r="B63" s="21" t="s">
        <v>3</v>
      </c>
      <c r="C63" s="14">
        <v>30</v>
      </c>
      <c r="D63" s="33">
        <v>20000</v>
      </c>
      <c r="E63" s="32">
        <f>+D63*C63</f>
        <v>600000</v>
      </c>
    </row>
    <row r="64" spans="1:5" x14ac:dyDescent="0.45">
      <c r="A64" s="21" t="s">
        <v>54</v>
      </c>
      <c r="B64" s="21" t="s">
        <v>32</v>
      </c>
      <c r="C64" s="14">
        <v>200</v>
      </c>
      <c r="D64" s="33">
        <v>1200</v>
      </c>
      <c r="E64" s="32">
        <f>+D64*C64</f>
        <v>240000</v>
      </c>
    </row>
    <row r="65" spans="1:5" x14ac:dyDescent="0.45">
      <c r="A65" s="21" t="s">
        <v>55</v>
      </c>
      <c r="B65" s="21" t="s">
        <v>3</v>
      </c>
      <c r="C65" s="40">
        <v>2150</v>
      </c>
      <c r="D65" s="33">
        <v>20000</v>
      </c>
      <c r="E65" s="42">
        <f>+D65*C65</f>
        <v>43000000</v>
      </c>
    </row>
    <row r="66" spans="1:5" x14ac:dyDescent="0.45">
      <c r="A66" s="21" t="s">
        <v>56</v>
      </c>
      <c r="B66" s="21" t="s">
        <v>3</v>
      </c>
      <c r="C66" s="40">
        <v>934</v>
      </c>
      <c r="D66" s="33">
        <v>26000</v>
      </c>
      <c r="E66" s="42">
        <f>+D66*C66</f>
        <v>24284000</v>
      </c>
    </row>
    <row r="67" spans="1:5" hidden="1" x14ac:dyDescent="0.45">
      <c r="A67" s="21" t="s">
        <v>56</v>
      </c>
      <c r="B67" s="21" t="s">
        <v>32</v>
      </c>
      <c r="C67" s="14">
        <v>0</v>
      </c>
      <c r="D67" s="33"/>
      <c r="E67" s="32">
        <f>+D67*C67</f>
        <v>0</v>
      </c>
    </row>
    <row r="68" spans="1:5" x14ac:dyDescent="0.45">
      <c r="A68" s="21" t="s">
        <v>57</v>
      </c>
      <c r="B68" s="21" t="s">
        <v>3</v>
      </c>
      <c r="C68" s="14">
        <v>135</v>
      </c>
      <c r="D68" s="33">
        <v>16000</v>
      </c>
      <c r="E68" s="32">
        <f>+D68*C68</f>
        <v>2160000</v>
      </c>
    </row>
    <row r="69" spans="1:5" x14ac:dyDescent="0.45">
      <c r="A69" s="21" t="s">
        <v>58</v>
      </c>
      <c r="B69" s="21" t="s">
        <v>3</v>
      </c>
      <c r="C69" s="14">
        <v>45</v>
      </c>
      <c r="D69" s="33">
        <v>22000</v>
      </c>
      <c r="E69" s="32">
        <f>+D69*C69</f>
        <v>990000</v>
      </c>
    </row>
    <row r="70" spans="1:5" hidden="1" x14ac:dyDescent="0.45">
      <c r="A70" s="21" t="s">
        <v>138</v>
      </c>
      <c r="B70" s="21" t="s">
        <v>3</v>
      </c>
      <c r="C70" s="14">
        <v>0</v>
      </c>
      <c r="D70" s="33"/>
      <c r="E70" s="32">
        <f>+D70*C70</f>
        <v>0</v>
      </c>
    </row>
    <row r="71" spans="1:5" hidden="1" x14ac:dyDescent="0.45">
      <c r="A71" s="21" t="s">
        <v>59</v>
      </c>
      <c r="B71" s="21" t="s">
        <v>3</v>
      </c>
      <c r="C71" s="14">
        <v>0</v>
      </c>
      <c r="D71" s="33"/>
      <c r="E71" s="32">
        <f>+D71*C71</f>
        <v>0</v>
      </c>
    </row>
    <row r="72" spans="1:5" x14ac:dyDescent="0.45">
      <c r="A72" s="21" t="s">
        <v>61</v>
      </c>
      <c r="B72" s="21" t="s">
        <v>3</v>
      </c>
      <c r="C72" s="14">
        <v>460</v>
      </c>
      <c r="D72" s="33">
        <v>14000</v>
      </c>
      <c r="E72" s="32">
        <f>+D72*C72</f>
        <v>6440000</v>
      </c>
    </row>
    <row r="73" spans="1:5" hidden="1" x14ac:dyDescent="0.45">
      <c r="A73" s="21" t="s">
        <v>61</v>
      </c>
      <c r="B73" s="21" t="s">
        <v>32</v>
      </c>
      <c r="C73" s="14">
        <v>0</v>
      </c>
      <c r="D73" s="33">
        <v>14000</v>
      </c>
      <c r="E73" s="32">
        <f>+D73*C73</f>
        <v>0</v>
      </c>
    </row>
    <row r="74" spans="1:5" hidden="1" x14ac:dyDescent="0.45">
      <c r="A74" s="21" t="s">
        <v>62</v>
      </c>
      <c r="B74" s="21" t="s">
        <v>32</v>
      </c>
      <c r="C74" s="14">
        <v>0</v>
      </c>
      <c r="D74" s="33">
        <v>9000</v>
      </c>
      <c r="E74" s="32">
        <f>+D74*C74</f>
        <v>0</v>
      </c>
    </row>
    <row r="75" spans="1:5" x14ac:dyDescent="0.45">
      <c r="A75" s="21" t="s">
        <v>63</v>
      </c>
      <c r="B75" s="21" t="s">
        <v>3</v>
      </c>
      <c r="C75" s="14">
        <v>10</v>
      </c>
      <c r="D75" s="33">
        <v>11000</v>
      </c>
      <c r="E75" s="32">
        <f>+D75*C75</f>
        <v>110000</v>
      </c>
    </row>
    <row r="76" spans="1:5" x14ac:dyDescent="0.45">
      <c r="A76" s="21" t="s">
        <v>64</v>
      </c>
      <c r="B76" s="21" t="s">
        <v>32</v>
      </c>
      <c r="C76" s="14">
        <v>56</v>
      </c>
      <c r="D76" s="33">
        <v>25000</v>
      </c>
      <c r="E76" s="32">
        <f>+D76*C76</f>
        <v>1400000</v>
      </c>
    </row>
    <row r="77" spans="1:5" hidden="1" x14ac:dyDescent="0.45">
      <c r="A77" s="21" t="s">
        <v>65</v>
      </c>
      <c r="B77" s="21" t="s">
        <v>3</v>
      </c>
      <c r="C77" s="14">
        <v>0</v>
      </c>
      <c r="D77" s="33">
        <v>9000</v>
      </c>
      <c r="E77" s="32">
        <f>+D77*C77</f>
        <v>0</v>
      </c>
    </row>
    <row r="78" spans="1:5" x14ac:dyDescent="0.45">
      <c r="A78" s="21" t="s">
        <v>65</v>
      </c>
      <c r="B78" s="21" t="s">
        <v>32</v>
      </c>
      <c r="C78" s="14">
        <v>46</v>
      </c>
      <c r="D78" s="33">
        <v>9000</v>
      </c>
      <c r="E78" s="32">
        <f>+D78*C78</f>
        <v>414000</v>
      </c>
    </row>
    <row r="79" spans="1:5" x14ac:dyDescent="0.45">
      <c r="A79" s="21" t="s">
        <v>66</v>
      </c>
      <c r="B79" s="21" t="s">
        <v>3</v>
      </c>
      <c r="C79" s="14">
        <v>1</v>
      </c>
      <c r="D79" s="33">
        <v>80000</v>
      </c>
      <c r="E79" s="32">
        <f>+D79*C79</f>
        <v>80000</v>
      </c>
    </row>
    <row r="80" spans="1:5" hidden="1" x14ac:dyDescent="0.45">
      <c r="A80" s="21" t="s">
        <v>67</v>
      </c>
      <c r="B80" s="21" t="s">
        <v>3</v>
      </c>
      <c r="C80" s="14">
        <v>0</v>
      </c>
      <c r="D80" s="33"/>
      <c r="E80" s="32">
        <f>+D80*C80</f>
        <v>0</v>
      </c>
    </row>
    <row r="81" spans="1:5" x14ac:dyDescent="0.45">
      <c r="A81" s="21" t="s">
        <v>68</v>
      </c>
      <c r="B81" s="21" t="s">
        <v>3</v>
      </c>
      <c r="C81" s="14">
        <v>1</v>
      </c>
      <c r="D81" s="33">
        <v>70000</v>
      </c>
      <c r="E81" s="32">
        <f>+D81*C81</f>
        <v>70000</v>
      </c>
    </row>
    <row r="82" spans="1:5" x14ac:dyDescent="0.45">
      <c r="A82" s="21" t="s">
        <v>69</v>
      </c>
      <c r="B82" s="21" t="s">
        <v>3</v>
      </c>
      <c r="C82" s="14">
        <v>1</v>
      </c>
      <c r="D82" s="33">
        <v>70000</v>
      </c>
      <c r="E82" s="32">
        <f>+D82*C82</f>
        <v>70000</v>
      </c>
    </row>
    <row r="83" spans="1:5" hidden="1" x14ac:dyDescent="0.45">
      <c r="A83" s="21" t="s">
        <v>111</v>
      </c>
      <c r="B83" s="21" t="s">
        <v>32</v>
      </c>
      <c r="C83" s="14">
        <v>0</v>
      </c>
      <c r="D83" s="33"/>
      <c r="E83" s="32">
        <f>+D83*C83</f>
        <v>0</v>
      </c>
    </row>
    <row r="84" spans="1:5" hidden="1" x14ac:dyDescent="0.45">
      <c r="A84" s="21" t="s">
        <v>70</v>
      </c>
      <c r="B84" s="21" t="s">
        <v>3</v>
      </c>
      <c r="C84" s="14">
        <v>0</v>
      </c>
      <c r="D84" s="33">
        <v>6500</v>
      </c>
      <c r="E84" s="32">
        <f>+D84*C84</f>
        <v>0</v>
      </c>
    </row>
    <row r="85" spans="1:5" x14ac:dyDescent="0.45">
      <c r="A85" s="21" t="s">
        <v>70</v>
      </c>
      <c r="B85" s="21" t="s">
        <v>18</v>
      </c>
      <c r="C85" s="14">
        <v>480</v>
      </c>
      <c r="D85" s="33">
        <v>6500</v>
      </c>
      <c r="E85" s="32">
        <f>+D85*C85</f>
        <v>3120000</v>
      </c>
    </row>
    <row r="86" spans="1:5" hidden="1" x14ac:dyDescent="0.45">
      <c r="A86" s="21" t="s">
        <v>71</v>
      </c>
      <c r="B86" s="21" t="s">
        <v>3</v>
      </c>
      <c r="C86" s="14">
        <v>0</v>
      </c>
      <c r="D86" s="33">
        <v>9000</v>
      </c>
      <c r="E86" s="32">
        <f>+D86*C86</f>
        <v>0</v>
      </c>
    </row>
    <row r="87" spans="1:5" x14ac:dyDescent="0.45">
      <c r="A87" s="21" t="s">
        <v>72</v>
      </c>
      <c r="B87" s="21" t="s">
        <v>3</v>
      </c>
      <c r="C87" s="14">
        <v>28</v>
      </c>
      <c r="D87" s="33">
        <v>6000</v>
      </c>
      <c r="E87" s="32">
        <f>+D87*C87</f>
        <v>168000</v>
      </c>
    </row>
    <row r="88" spans="1:5" hidden="1" x14ac:dyDescent="0.45">
      <c r="A88" s="21" t="s">
        <v>73</v>
      </c>
      <c r="B88" s="21" t="s">
        <v>3</v>
      </c>
      <c r="C88" s="14">
        <v>0</v>
      </c>
      <c r="D88" s="33">
        <v>10000</v>
      </c>
      <c r="E88" s="32">
        <f>+D88*C88</f>
        <v>0</v>
      </c>
    </row>
    <row r="89" spans="1:5" hidden="1" x14ac:dyDescent="0.45">
      <c r="A89" s="21" t="s">
        <v>73</v>
      </c>
      <c r="B89" s="21" t="s">
        <v>44</v>
      </c>
      <c r="C89" s="14">
        <v>0</v>
      </c>
      <c r="D89" s="33">
        <v>10000</v>
      </c>
      <c r="E89" s="32">
        <f>+D89*C89</f>
        <v>0</v>
      </c>
    </row>
    <row r="90" spans="1:5" hidden="1" x14ac:dyDescent="0.45">
      <c r="A90" s="21" t="s">
        <v>139</v>
      </c>
      <c r="B90" s="21" t="s">
        <v>3</v>
      </c>
      <c r="C90" s="14">
        <v>0</v>
      </c>
      <c r="D90" s="33"/>
      <c r="E90" s="32">
        <f>+D90*C90</f>
        <v>0</v>
      </c>
    </row>
    <row r="91" spans="1:5" hidden="1" x14ac:dyDescent="0.45">
      <c r="A91" s="21" t="s">
        <v>74</v>
      </c>
      <c r="B91" s="21" t="s">
        <v>32</v>
      </c>
      <c r="C91" s="14">
        <v>0</v>
      </c>
      <c r="D91" s="33">
        <v>1900</v>
      </c>
      <c r="E91" s="32">
        <f>+D91*C91</f>
        <v>0</v>
      </c>
    </row>
    <row r="92" spans="1:5" x14ac:dyDescent="0.45">
      <c r="A92" s="21" t="s">
        <v>75</v>
      </c>
      <c r="B92" s="21" t="s">
        <v>3</v>
      </c>
      <c r="C92" s="14">
        <v>14</v>
      </c>
      <c r="D92" s="33">
        <v>14000</v>
      </c>
      <c r="E92" s="32">
        <f>+D92*C92</f>
        <v>196000</v>
      </c>
    </row>
    <row r="93" spans="1:5" hidden="1" x14ac:dyDescent="0.45">
      <c r="A93" s="21" t="s">
        <v>76</v>
      </c>
      <c r="B93" s="21" t="s">
        <v>27</v>
      </c>
      <c r="C93" s="14">
        <v>0</v>
      </c>
      <c r="D93" s="33">
        <v>72000</v>
      </c>
      <c r="E93" s="32">
        <f>+D93*C93</f>
        <v>0</v>
      </c>
    </row>
    <row r="94" spans="1:5" x14ac:dyDescent="0.45">
      <c r="A94" s="21" t="s">
        <v>76</v>
      </c>
      <c r="B94" s="21" t="s">
        <v>3</v>
      </c>
      <c r="C94" s="14">
        <v>60</v>
      </c>
      <c r="D94" s="33">
        <v>72000</v>
      </c>
      <c r="E94" s="32">
        <f>+D94*C94</f>
        <v>4320000</v>
      </c>
    </row>
    <row r="95" spans="1:5" hidden="1" x14ac:dyDescent="0.45">
      <c r="A95" s="21" t="s">
        <v>76</v>
      </c>
      <c r="B95" s="21" t="s">
        <v>77</v>
      </c>
      <c r="C95" s="14">
        <v>0</v>
      </c>
      <c r="D95" s="33">
        <v>72000</v>
      </c>
      <c r="E95" s="32">
        <f>+D95*C95</f>
        <v>0</v>
      </c>
    </row>
    <row r="96" spans="1:5" hidden="1" x14ac:dyDescent="0.45">
      <c r="A96" s="21" t="s">
        <v>79</v>
      </c>
      <c r="B96" s="21" t="s">
        <v>18</v>
      </c>
      <c r="C96" s="14">
        <v>0</v>
      </c>
      <c r="D96" s="33"/>
      <c r="E96" s="32">
        <f>+D96*C96</f>
        <v>0</v>
      </c>
    </row>
    <row r="97" spans="1:5" hidden="1" x14ac:dyDescent="0.45">
      <c r="A97" s="21" t="s">
        <v>80</v>
      </c>
      <c r="B97" s="21" t="s">
        <v>27</v>
      </c>
      <c r="C97" s="14">
        <v>0</v>
      </c>
      <c r="D97" s="33"/>
      <c r="E97" s="32">
        <f>+D97*C97</f>
        <v>0</v>
      </c>
    </row>
    <row r="98" spans="1:5" x14ac:dyDescent="0.45">
      <c r="A98" s="21" t="s">
        <v>80</v>
      </c>
      <c r="B98" s="21" t="s">
        <v>3</v>
      </c>
      <c r="C98" s="14">
        <v>3</v>
      </c>
      <c r="D98" s="33">
        <v>40000</v>
      </c>
      <c r="E98" s="32">
        <f>+D98*C98</f>
        <v>120000</v>
      </c>
    </row>
    <row r="99" spans="1:5" x14ac:dyDescent="0.45">
      <c r="A99" s="21" t="s">
        <v>81</v>
      </c>
      <c r="B99" s="21" t="s">
        <v>3</v>
      </c>
      <c r="C99" s="14">
        <v>140</v>
      </c>
      <c r="D99" s="33">
        <v>38000</v>
      </c>
      <c r="E99" s="32">
        <f>+D99*C99</f>
        <v>5320000</v>
      </c>
    </row>
    <row r="100" spans="1:5" hidden="1" x14ac:dyDescent="0.45">
      <c r="A100" s="21" t="s">
        <v>81</v>
      </c>
      <c r="B100" s="21" t="s">
        <v>11</v>
      </c>
      <c r="C100" s="14">
        <v>0</v>
      </c>
      <c r="D100" s="33">
        <v>38000</v>
      </c>
      <c r="E100" s="32">
        <f>+D100*C100</f>
        <v>0</v>
      </c>
    </row>
    <row r="101" spans="1:5" x14ac:dyDescent="0.45">
      <c r="A101" s="21" t="s">
        <v>82</v>
      </c>
      <c r="B101" s="21" t="s">
        <v>3</v>
      </c>
      <c r="C101" s="14">
        <v>40</v>
      </c>
      <c r="D101" s="33">
        <v>30000</v>
      </c>
      <c r="E101" s="32">
        <f>+D101*C101</f>
        <v>1200000</v>
      </c>
    </row>
    <row r="102" spans="1:5" x14ac:dyDescent="0.45">
      <c r="A102" s="21" t="s">
        <v>83</v>
      </c>
      <c r="B102" s="21" t="s">
        <v>3</v>
      </c>
      <c r="C102" s="14">
        <v>40</v>
      </c>
      <c r="D102" s="33">
        <v>39000</v>
      </c>
      <c r="E102" s="32">
        <f>+D102*C102</f>
        <v>1560000</v>
      </c>
    </row>
    <row r="103" spans="1:5" hidden="1" x14ac:dyDescent="0.45">
      <c r="A103" s="21" t="s">
        <v>83</v>
      </c>
      <c r="B103" s="21" t="s">
        <v>11</v>
      </c>
      <c r="C103" s="14">
        <v>0</v>
      </c>
      <c r="D103" s="33">
        <v>39000</v>
      </c>
      <c r="E103" s="32">
        <f>+D103*C103</f>
        <v>0</v>
      </c>
    </row>
    <row r="104" spans="1:5" x14ac:dyDescent="0.45">
      <c r="A104" s="21" t="s">
        <v>84</v>
      </c>
      <c r="B104" s="21" t="s">
        <v>3</v>
      </c>
      <c r="C104" s="14">
        <v>20</v>
      </c>
      <c r="D104" s="33">
        <v>30000</v>
      </c>
      <c r="E104" s="32">
        <f>+D104*C104</f>
        <v>600000</v>
      </c>
    </row>
    <row r="105" spans="1:5" x14ac:dyDescent="0.45">
      <c r="A105" s="21" t="s">
        <v>85</v>
      </c>
      <c r="B105" s="21" t="s">
        <v>3</v>
      </c>
      <c r="C105" s="14">
        <v>122</v>
      </c>
      <c r="D105" s="33">
        <v>27000</v>
      </c>
      <c r="E105" s="32">
        <f>+D105*C105</f>
        <v>3294000</v>
      </c>
    </row>
    <row r="106" spans="1:5" hidden="1" x14ac:dyDescent="0.45">
      <c r="A106" s="21" t="s">
        <v>85</v>
      </c>
      <c r="B106" s="21" t="s">
        <v>11</v>
      </c>
      <c r="C106" s="14">
        <v>0</v>
      </c>
      <c r="D106" s="33">
        <v>27000</v>
      </c>
      <c r="E106" s="32">
        <f>+D106*C106</f>
        <v>0</v>
      </c>
    </row>
    <row r="107" spans="1:5" x14ac:dyDescent="0.45">
      <c r="A107" s="21" t="s">
        <v>113</v>
      </c>
      <c r="B107" s="21" t="s">
        <v>3</v>
      </c>
      <c r="C107" s="14">
        <v>20</v>
      </c>
      <c r="D107" s="33">
        <v>25000</v>
      </c>
      <c r="E107" s="32">
        <f>+D107*C107</f>
        <v>500000</v>
      </c>
    </row>
    <row r="108" spans="1:5" hidden="1" x14ac:dyDescent="0.45">
      <c r="A108" s="21" t="s">
        <v>86</v>
      </c>
      <c r="B108" s="21" t="s">
        <v>3</v>
      </c>
      <c r="C108" s="14">
        <v>0</v>
      </c>
      <c r="D108" s="33">
        <v>17500</v>
      </c>
      <c r="E108" s="32">
        <f>+D108*C108</f>
        <v>0</v>
      </c>
    </row>
    <row r="109" spans="1:5" x14ac:dyDescent="0.45">
      <c r="A109" s="21" t="s">
        <v>86</v>
      </c>
      <c r="B109" s="21" t="s">
        <v>32</v>
      </c>
      <c r="C109" s="14">
        <v>31</v>
      </c>
      <c r="D109" s="33">
        <v>17500</v>
      </c>
      <c r="E109" s="32">
        <f>+D109*C109</f>
        <v>542500</v>
      </c>
    </row>
    <row r="110" spans="1:5" hidden="1" x14ac:dyDescent="0.45">
      <c r="A110" s="21" t="s">
        <v>109</v>
      </c>
      <c r="B110" s="21" t="s">
        <v>3</v>
      </c>
      <c r="C110" s="14">
        <v>0</v>
      </c>
      <c r="D110" s="33"/>
      <c r="E110" s="32">
        <f>+D110*C110</f>
        <v>0</v>
      </c>
    </row>
    <row r="111" spans="1:5" hidden="1" x14ac:dyDescent="0.45">
      <c r="A111" s="21" t="s">
        <v>87</v>
      </c>
      <c r="B111" s="21" t="s">
        <v>32</v>
      </c>
      <c r="C111" s="14">
        <v>0</v>
      </c>
      <c r="D111" s="33">
        <v>35000</v>
      </c>
      <c r="E111" s="32">
        <f>+D111*C111</f>
        <v>0</v>
      </c>
    </row>
    <row r="112" spans="1:5" hidden="1" x14ac:dyDescent="0.45">
      <c r="A112" s="21" t="s">
        <v>88</v>
      </c>
      <c r="B112" s="21" t="s">
        <v>3</v>
      </c>
      <c r="C112" s="14">
        <v>0</v>
      </c>
      <c r="D112" s="33"/>
      <c r="E112" s="32">
        <f>+D112*C112</f>
        <v>0</v>
      </c>
    </row>
    <row r="113" spans="1:5" hidden="1" x14ac:dyDescent="0.45">
      <c r="A113" s="21" t="s">
        <v>89</v>
      </c>
      <c r="B113" s="21" t="s">
        <v>11</v>
      </c>
      <c r="C113" s="14">
        <v>0</v>
      </c>
      <c r="D113" s="33"/>
      <c r="E113" s="32">
        <f>+D113*C113</f>
        <v>0</v>
      </c>
    </row>
    <row r="114" spans="1:5" hidden="1" x14ac:dyDescent="0.45">
      <c r="A114" s="21" t="s">
        <v>141</v>
      </c>
      <c r="B114" s="21" t="s">
        <v>3</v>
      </c>
      <c r="C114" s="14">
        <v>0</v>
      </c>
      <c r="D114" s="33"/>
      <c r="E114" s="32">
        <f>+D114*C114</f>
        <v>0</v>
      </c>
    </row>
    <row r="115" spans="1:5" hidden="1" x14ac:dyDescent="0.45">
      <c r="A115" s="21" t="s">
        <v>125</v>
      </c>
      <c r="B115" s="21" t="s">
        <v>3</v>
      </c>
      <c r="C115" s="14">
        <v>0</v>
      </c>
      <c r="D115" s="33"/>
      <c r="E115" s="32">
        <f>+D115*C115</f>
        <v>0</v>
      </c>
    </row>
    <row r="116" spans="1:5" hidden="1" x14ac:dyDescent="0.45">
      <c r="A116" s="21" t="s">
        <v>91</v>
      </c>
      <c r="B116" s="21" t="s">
        <v>3</v>
      </c>
      <c r="C116" s="14">
        <v>0</v>
      </c>
      <c r="D116" s="33">
        <v>9000</v>
      </c>
      <c r="E116" s="32">
        <f>+D116*C116</f>
        <v>0</v>
      </c>
    </row>
    <row r="117" spans="1:5" x14ac:dyDescent="0.45">
      <c r="A117" s="21" t="s">
        <v>92</v>
      </c>
      <c r="B117" s="21" t="s">
        <v>3</v>
      </c>
      <c r="C117" s="14">
        <v>55</v>
      </c>
      <c r="D117" s="33">
        <v>2500</v>
      </c>
      <c r="E117" s="32">
        <f>+D117*C117</f>
        <v>137500</v>
      </c>
    </row>
    <row r="118" spans="1:5" hidden="1" x14ac:dyDescent="0.45">
      <c r="A118" s="21" t="s">
        <v>93</v>
      </c>
      <c r="B118" s="21" t="s">
        <v>3</v>
      </c>
      <c r="C118" s="14">
        <v>0</v>
      </c>
      <c r="D118" s="33"/>
      <c r="E118" s="32">
        <f>+D118*C118</f>
        <v>0</v>
      </c>
    </row>
    <row r="119" spans="1:5" x14ac:dyDescent="0.45">
      <c r="A119" s="21" t="s">
        <v>94</v>
      </c>
      <c r="B119" s="21" t="s">
        <v>3</v>
      </c>
      <c r="C119" s="14">
        <v>20</v>
      </c>
      <c r="D119" s="33">
        <v>12000</v>
      </c>
      <c r="E119" s="32">
        <f>+D119*C119</f>
        <v>240000</v>
      </c>
    </row>
    <row r="120" spans="1:5" hidden="1" x14ac:dyDescent="0.45">
      <c r="A120" s="21" t="s">
        <v>95</v>
      </c>
      <c r="B120" s="21" t="s">
        <v>3</v>
      </c>
      <c r="C120" s="14">
        <v>0</v>
      </c>
      <c r="D120" s="33"/>
      <c r="E120" s="32">
        <f>+D120*C120</f>
        <v>0</v>
      </c>
    </row>
    <row r="121" spans="1:5" hidden="1" x14ac:dyDescent="0.45">
      <c r="A121" s="21" t="s">
        <v>96</v>
      </c>
      <c r="B121" s="21" t="s">
        <v>3</v>
      </c>
      <c r="C121" s="14">
        <v>0</v>
      </c>
      <c r="D121" s="33">
        <v>26000</v>
      </c>
      <c r="E121" s="32">
        <f>+D121*C121</f>
        <v>0</v>
      </c>
    </row>
    <row r="122" spans="1:5" hidden="1" x14ac:dyDescent="0.45">
      <c r="A122" s="21" t="s">
        <v>97</v>
      </c>
      <c r="B122" s="21" t="s">
        <v>44</v>
      </c>
      <c r="C122" s="14">
        <v>0</v>
      </c>
      <c r="D122" s="33">
        <v>6800</v>
      </c>
      <c r="E122" s="32">
        <f>+D122*C122</f>
        <v>0</v>
      </c>
    </row>
    <row r="123" spans="1:5" hidden="1" x14ac:dyDescent="0.45">
      <c r="A123" s="21" t="s">
        <v>98</v>
      </c>
      <c r="B123" s="21" t="s">
        <v>3</v>
      </c>
      <c r="C123" s="14">
        <v>0</v>
      </c>
      <c r="D123" s="33">
        <v>26000</v>
      </c>
      <c r="E123" s="32">
        <f>+D123*C123</f>
        <v>0</v>
      </c>
    </row>
    <row r="124" spans="1:5" hidden="1" x14ac:dyDescent="0.45">
      <c r="A124" s="21" t="s">
        <v>99</v>
      </c>
      <c r="B124" s="21" t="s">
        <v>44</v>
      </c>
      <c r="C124" s="14">
        <v>0</v>
      </c>
      <c r="D124" s="33">
        <v>6800</v>
      </c>
      <c r="E124" s="32">
        <f>+D124*C124</f>
        <v>0</v>
      </c>
    </row>
    <row r="125" spans="1:5" hidden="1" x14ac:dyDescent="0.45">
      <c r="A125" s="21" t="s">
        <v>126</v>
      </c>
      <c r="B125" s="21" t="s">
        <v>3</v>
      </c>
      <c r="C125" s="14">
        <v>0</v>
      </c>
      <c r="D125" s="33">
        <v>80000</v>
      </c>
      <c r="E125" s="32">
        <f>+D125*C125</f>
        <v>0</v>
      </c>
    </row>
    <row r="126" spans="1:5" hidden="1" x14ac:dyDescent="0.45">
      <c r="A126" s="21" t="s">
        <v>114</v>
      </c>
      <c r="B126" s="21" t="s">
        <v>3</v>
      </c>
      <c r="C126" s="14">
        <v>0</v>
      </c>
      <c r="D126" s="33"/>
      <c r="E126" s="32">
        <f>+D126*C126</f>
        <v>0</v>
      </c>
    </row>
    <row r="127" spans="1:5" hidden="1" x14ac:dyDescent="0.45">
      <c r="A127" s="21" t="s">
        <v>100</v>
      </c>
      <c r="B127" s="21" t="s">
        <v>3</v>
      </c>
      <c r="C127" s="14">
        <v>0</v>
      </c>
      <c r="D127" s="33">
        <v>25000</v>
      </c>
      <c r="E127" s="32">
        <f>+D127*C127</f>
        <v>0</v>
      </c>
    </row>
    <row r="128" spans="1:5" x14ac:dyDescent="0.45">
      <c r="A128" s="21" t="s">
        <v>101</v>
      </c>
      <c r="B128" s="21" t="s">
        <v>44</v>
      </c>
      <c r="C128" s="14">
        <v>55</v>
      </c>
      <c r="D128" s="33">
        <v>5500</v>
      </c>
      <c r="E128" s="32">
        <f>+D128*C128</f>
        <v>302500</v>
      </c>
    </row>
    <row r="129" spans="1:5" x14ac:dyDescent="0.45">
      <c r="A129" s="21" t="e">
        <v>#N/A</v>
      </c>
      <c r="B129" s="21">
        <v>0</v>
      </c>
      <c r="C129" s="14">
        <v>11007</v>
      </c>
      <c r="D129" s="33"/>
      <c r="E129" s="35">
        <f>SUM(E128:E128)</f>
        <v>302500</v>
      </c>
    </row>
  </sheetData>
  <autoFilter ref="A1:E129" xr:uid="{00000000-0009-0000-0000-00000E000000}">
    <filterColumn colId="2">
      <filters>
        <filter val="1"/>
        <filter val="10"/>
        <filter val="11,007"/>
        <filter val="110"/>
        <filter val="115"/>
        <filter val="12"/>
        <filter val="122"/>
        <filter val="125"/>
        <filter val="135"/>
        <filter val="14"/>
        <filter val="140"/>
        <filter val="15"/>
        <filter val="168"/>
        <filter val="185"/>
        <filter val="2,115"/>
        <filter val="2,150"/>
        <filter val="20"/>
        <filter val="200"/>
        <filter val="220"/>
        <filter val="28"/>
        <filter val="3"/>
        <filter val="30"/>
        <filter val="31"/>
        <filter val="310"/>
        <filter val="33"/>
        <filter val="35"/>
        <filter val="39"/>
        <filter val="40"/>
        <filter val="430"/>
        <filter val="435"/>
        <filter val="45"/>
        <filter val="46"/>
        <filter val="460"/>
        <filter val="480"/>
        <filter val="5"/>
        <filter val="55"/>
        <filter val="56"/>
        <filter val="60"/>
        <filter val="610"/>
        <filter val="620"/>
        <filter val="8"/>
        <filter val="934"/>
      </filters>
    </filterColumn>
    <sortState xmlns:xlrd2="http://schemas.microsoft.com/office/spreadsheetml/2017/richdata2" ref="A2:E129">
      <sortCondition ref="A1:A129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AK114"/>
  <sheetViews>
    <sheetView zoomScale="107" zoomScaleNormal="10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2" sqref="E62:E63"/>
    </sheetView>
  </sheetViews>
  <sheetFormatPr defaultColWidth="8.86328125" defaultRowHeight="15.4" x14ac:dyDescent="0.45"/>
  <cols>
    <col min="1" max="1" width="26.19921875" style="20" bestFit="1" customWidth="1"/>
    <col min="2" max="2" width="14.19921875" style="20" customWidth="1"/>
    <col min="3" max="3" width="10" style="20" customWidth="1"/>
    <col min="4" max="4" width="17.6640625" style="23" customWidth="1"/>
    <col min="5" max="5" width="16.19921875" style="20" customWidth="1"/>
    <col min="6" max="16384" width="8.86328125" style="20"/>
  </cols>
  <sheetData>
    <row r="1" spans="1:37" s="26" customFormat="1" ht="51.6" customHeight="1" x14ac:dyDescent="0.45">
      <c r="A1" s="19" t="s">
        <v>0</v>
      </c>
      <c r="B1" s="19" t="s">
        <v>1</v>
      </c>
      <c r="C1" s="14" t="s">
        <v>150</v>
      </c>
      <c r="D1" s="24" t="s">
        <v>151</v>
      </c>
      <c r="E1" s="24" t="s">
        <v>152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s="27" customFormat="1" x14ac:dyDescent="0.45">
      <c r="A2" s="21" t="s">
        <v>2</v>
      </c>
      <c r="B2" s="21" t="s">
        <v>3</v>
      </c>
      <c r="C2" s="14">
        <v>50</v>
      </c>
      <c r="D2" s="29">
        <v>10000</v>
      </c>
      <c r="E2" s="28">
        <f>+D2*C2</f>
        <v>500000</v>
      </c>
    </row>
    <row r="3" spans="1:37" s="27" customFormat="1" x14ac:dyDescent="0.45">
      <c r="A3" s="21" t="s">
        <v>4</v>
      </c>
      <c r="B3" s="21" t="s">
        <v>3</v>
      </c>
      <c r="C3" s="14">
        <v>350</v>
      </c>
      <c r="D3" s="29">
        <v>7000</v>
      </c>
      <c r="E3" s="28">
        <f t="shared" ref="E3:E66" si="0">+D3*C3</f>
        <v>2450000</v>
      </c>
    </row>
    <row r="4" spans="1:37" s="27" customFormat="1" x14ac:dyDescent="0.45">
      <c r="A4" s="21" t="s">
        <v>5</v>
      </c>
      <c r="B4" s="21" t="s">
        <v>3</v>
      </c>
      <c r="C4" s="14">
        <v>3315</v>
      </c>
      <c r="D4" s="29">
        <v>2500</v>
      </c>
      <c r="E4" s="28">
        <f t="shared" si="0"/>
        <v>8287500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s="27" customFormat="1" hidden="1" x14ac:dyDescent="0.45">
      <c r="A5" s="21" t="s">
        <v>6</v>
      </c>
      <c r="B5" s="21" t="s">
        <v>3</v>
      </c>
      <c r="C5" s="14">
        <v>0</v>
      </c>
      <c r="D5" s="29">
        <v>5000</v>
      </c>
      <c r="E5" s="28">
        <f t="shared" si="0"/>
        <v>0</v>
      </c>
    </row>
    <row r="6" spans="1:37" s="27" customFormat="1" x14ac:dyDescent="0.45">
      <c r="A6" s="21" t="s">
        <v>7</v>
      </c>
      <c r="B6" s="21" t="s">
        <v>3</v>
      </c>
      <c r="C6" s="14">
        <v>10</v>
      </c>
      <c r="D6" s="29">
        <v>7000</v>
      </c>
      <c r="E6" s="28">
        <f t="shared" si="0"/>
        <v>70000</v>
      </c>
    </row>
    <row r="7" spans="1:37" s="27" customFormat="1" x14ac:dyDescent="0.45">
      <c r="A7" s="21" t="s">
        <v>8</v>
      </c>
      <c r="B7" s="21" t="s">
        <v>3</v>
      </c>
      <c r="C7" s="14">
        <v>700</v>
      </c>
      <c r="D7" s="29">
        <v>7000</v>
      </c>
      <c r="E7" s="28">
        <f t="shared" si="0"/>
        <v>4900000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</row>
    <row r="8" spans="1:37" s="27" customFormat="1" hidden="1" x14ac:dyDescent="0.45">
      <c r="A8" s="21" t="s">
        <v>9</v>
      </c>
      <c r="B8" s="21" t="s">
        <v>3</v>
      </c>
      <c r="C8" s="14">
        <v>0</v>
      </c>
      <c r="D8" s="29">
        <v>15000</v>
      </c>
      <c r="E8" s="28">
        <f t="shared" si="0"/>
        <v>0</v>
      </c>
    </row>
    <row r="9" spans="1:37" s="27" customFormat="1" x14ac:dyDescent="0.45">
      <c r="A9" s="21" t="s">
        <v>10</v>
      </c>
      <c r="B9" s="21" t="s">
        <v>3</v>
      </c>
      <c r="C9" s="14">
        <v>175</v>
      </c>
      <c r="D9" s="29">
        <v>8000</v>
      </c>
      <c r="E9" s="28">
        <f t="shared" si="0"/>
        <v>1400000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</row>
    <row r="10" spans="1:37" s="27" customFormat="1" hidden="1" x14ac:dyDescent="0.45">
      <c r="A10" s="21" t="s">
        <v>10</v>
      </c>
      <c r="B10" s="21" t="s">
        <v>11</v>
      </c>
      <c r="C10" s="14">
        <v>0</v>
      </c>
      <c r="D10" s="29">
        <v>8000</v>
      </c>
      <c r="E10" s="28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s="27" customFormat="1" x14ac:dyDescent="0.45">
      <c r="A11" s="21" t="s">
        <v>12</v>
      </c>
      <c r="B11" s="21" t="s">
        <v>3</v>
      </c>
      <c r="C11" s="14">
        <v>85</v>
      </c>
      <c r="D11" s="29">
        <v>10000</v>
      </c>
      <c r="E11" s="28">
        <f t="shared" si="0"/>
        <v>850000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37" s="27" customFormat="1" hidden="1" x14ac:dyDescent="0.45">
      <c r="A12" s="21" t="s">
        <v>12</v>
      </c>
      <c r="B12" s="21" t="s">
        <v>11</v>
      </c>
      <c r="C12" s="14">
        <v>0</v>
      </c>
      <c r="D12" s="29">
        <v>10000</v>
      </c>
      <c r="E12" s="28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s="27" customFormat="1" hidden="1" x14ac:dyDescent="0.45">
      <c r="A13" s="21" t="s">
        <v>129</v>
      </c>
      <c r="B13" s="21" t="s">
        <v>3</v>
      </c>
      <c r="C13" s="14">
        <v>0</v>
      </c>
      <c r="D13" s="29"/>
      <c r="E13" s="28">
        <f t="shared" si="0"/>
        <v>0</v>
      </c>
    </row>
    <row r="14" spans="1:37" s="27" customFormat="1" hidden="1" x14ac:dyDescent="0.45">
      <c r="A14" s="21" t="s">
        <v>13</v>
      </c>
      <c r="B14" s="21" t="s">
        <v>3</v>
      </c>
      <c r="C14" s="14">
        <v>0</v>
      </c>
      <c r="D14" s="29">
        <v>30000</v>
      </c>
      <c r="E14" s="28">
        <f t="shared" si="0"/>
        <v>0</v>
      </c>
    </row>
    <row r="15" spans="1:37" s="27" customFormat="1" hidden="1" x14ac:dyDescent="0.45">
      <c r="A15" s="21" t="s">
        <v>116</v>
      </c>
      <c r="B15" s="21" t="s">
        <v>3</v>
      </c>
      <c r="C15" s="14">
        <v>0</v>
      </c>
      <c r="D15" s="29">
        <v>90000</v>
      </c>
      <c r="E15" s="28">
        <f t="shared" si="0"/>
        <v>0</v>
      </c>
    </row>
    <row r="16" spans="1:37" s="27" customFormat="1" hidden="1" x14ac:dyDescent="0.45">
      <c r="A16" s="21" t="s">
        <v>14</v>
      </c>
      <c r="B16" s="21" t="s">
        <v>3</v>
      </c>
      <c r="C16" s="14">
        <v>0</v>
      </c>
      <c r="D16" s="29">
        <v>12000</v>
      </c>
      <c r="E16" s="28">
        <f t="shared" si="0"/>
        <v>0</v>
      </c>
    </row>
    <row r="17" spans="1:37" s="27" customFormat="1" hidden="1" x14ac:dyDescent="0.45">
      <c r="A17" s="21" t="s">
        <v>140</v>
      </c>
      <c r="B17" s="21" t="s">
        <v>3</v>
      </c>
      <c r="C17" s="14">
        <v>0</v>
      </c>
      <c r="D17" s="29"/>
      <c r="E17" s="28">
        <f t="shared" si="0"/>
        <v>0</v>
      </c>
    </row>
    <row r="18" spans="1:37" s="27" customFormat="1" hidden="1" x14ac:dyDescent="0.45">
      <c r="A18" s="21" t="s">
        <v>15</v>
      </c>
      <c r="B18" s="21" t="s">
        <v>3</v>
      </c>
      <c r="C18" s="14">
        <v>0</v>
      </c>
      <c r="D18" s="29">
        <v>18000</v>
      </c>
      <c r="E18" s="28">
        <f t="shared" si="0"/>
        <v>0</v>
      </c>
    </row>
    <row r="19" spans="1:37" s="27" customFormat="1" hidden="1" x14ac:dyDescent="0.45">
      <c r="A19" s="21" t="s">
        <v>16</v>
      </c>
      <c r="B19" s="21" t="s">
        <v>3</v>
      </c>
      <c r="C19" s="14">
        <v>0</v>
      </c>
      <c r="D19" s="29">
        <v>26000</v>
      </c>
      <c r="E19" s="28">
        <f t="shared" si="0"/>
        <v>0</v>
      </c>
    </row>
    <row r="20" spans="1:37" s="27" customFormat="1" hidden="1" x14ac:dyDescent="0.45">
      <c r="A20" s="21" t="s">
        <v>17</v>
      </c>
      <c r="B20" s="21" t="s">
        <v>18</v>
      </c>
      <c r="C20" s="14">
        <v>0</v>
      </c>
      <c r="D20" s="29">
        <v>7000</v>
      </c>
      <c r="E20" s="28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37" s="27" customFormat="1" hidden="1" x14ac:dyDescent="0.45">
      <c r="A21" s="21" t="s">
        <v>120</v>
      </c>
      <c r="B21" s="21" t="s">
        <v>44</v>
      </c>
      <c r="C21" s="14">
        <v>0</v>
      </c>
      <c r="D21" s="29"/>
      <c r="E21" s="28">
        <f t="shared" si="0"/>
        <v>0</v>
      </c>
    </row>
    <row r="22" spans="1:37" s="27" customFormat="1" hidden="1" x14ac:dyDescent="0.45">
      <c r="A22" s="21" t="s">
        <v>19</v>
      </c>
      <c r="B22" s="21" t="s">
        <v>3</v>
      </c>
      <c r="C22" s="14">
        <v>0</v>
      </c>
      <c r="D22" s="29">
        <v>24000</v>
      </c>
      <c r="E22" s="28">
        <f t="shared" si="0"/>
        <v>0</v>
      </c>
    </row>
    <row r="23" spans="1:37" s="27" customFormat="1" x14ac:dyDescent="0.45">
      <c r="A23" s="21" t="s">
        <v>20</v>
      </c>
      <c r="B23" s="21" t="s">
        <v>3</v>
      </c>
      <c r="C23" s="14">
        <v>135</v>
      </c>
      <c r="D23" s="29">
        <v>8500</v>
      </c>
      <c r="E23" s="28">
        <f t="shared" si="0"/>
        <v>1147500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spans="1:37" s="27" customFormat="1" hidden="1" x14ac:dyDescent="0.45">
      <c r="A24" s="21" t="s">
        <v>20</v>
      </c>
      <c r="B24" s="21" t="s">
        <v>18</v>
      </c>
      <c r="C24" s="14">
        <v>0</v>
      </c>
      <c r="D24" s="29">
        <v>8500</v>
      </c>
      <c r="E24" s="28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spans="1:37" s="27" customFormat="1" hidden="1" x14ac:dyDescent="0.45">
      <c r="A25" s="21" t="s">
        <v>20</v>
      </c>
      <c r="B25" s="21" t="s">
        <v>21</v>
      </c>
      <c r="C25" s="14">
        <v>0</v>
      </c>
      <c r="D25" s="29">
        <v>8500</v>
      </c>
      <c r="E25" s="28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spans="1:37" s="27" customFormat="1" hidden="1" x14ac:dyDescent="0.45">
      <c r="A26" s="21" t="s">
        <v>22</v>
      </c>
      <c r="B26" s="21" t="s">
        <v>3</v>
      </c>
      <c r="C26" s="14">
        <v>0</v>
      </c>
      <c r="D26" s="29">
        <v>5500</v>
      </c>
      <c r="E26" s="28">
        <f t="shared" si="0"/>
        <v>0</v>
      </c>
    </row>
    <row r="27" spans="1:37" s="27" customFormat="1" x14ac:dyDescent="0.45">
      <c r="A27" s="21" t="s">
        <v>22</v>
      </c>
      <c r="B27" s="21" t="s">
        <v>23</v>
      </c>
      <c r="C27" s="14">
        <v>23</v>
      </c>
      <c r="D27" s="29">
        <v>5500</v>
      </c>
      <c r="E27" s="28">
        <f t="shared" si="0"/>
        <v>126500</v>
      </c>
    </row>
    <row r="28" spans="1:37" s="27" customFormat="1" x14ac:dyDescent="0.45">
      <c r="A28" s="21" t="s">
        <v>24</v>
      </c>
      <c r="B28" s="21" t="s">
        <v>3</v>
      </c>
      <c r="C28" s="14">
        <v>15</v>
      </c>
      <c r="D28" s="29">
        <v>4500</v>
      </c>
      <c r="E28" s="28">
        <f t="shared" si="0"/>
        <v>67500</v>
      </c>
    </row>
    <row r="29" spans="1:37" s="27" customFormat="1" hidden="1" x14ac:dyDescent="0.45">
      <c r="A29" s="21" t="s">
        <v>24</v>
      </c>
      <c r="B29" s="21" t="s">
        <v>25</v>
      </c>
      <c r="C29" s="14">
        <v>0</v>
      </c>
      <c r="D29" s="29">
        <v>4500</v>
      </c>
      <c r="E29" s="28">
        <f t="shared" si="0"/>
        <v>0</v>
      </c>
    </row>
    <row r="30" spans="1:37" s="27" customFormat="1" x14ac:dyDescent="0.45">
      <c r="A30" s="21" t="s">
        <v>26</v>
      </c>
      <c r="B30" s="21" t="s">
        <v>27</v>
      </c>
      <c r="C30" s="14">
        <v>41</v>
      </c>
      <c r="D30" s="29">
        <v>12000</v>
      </c>
      <c r="E30" s="28">
        <f t="shared" si="0"/>
        <v>492000</v>
      </c>
    </row>
    <row r="31" spans="1:37" s="27" customFormat="1" hidden="1" x14ac:dyDescent="0.45">
      <c r="A31" s="21" t="s">
        <v>28</v>
      </c>
      <c r="B31" s="21" t="s">
        <v>3</v>
      </c>
      <c r="C31" s="14">
        <v>0</v>
      </c>
      <c r="D31" s="29">
        <v>8000</v>
      </c>
      <c r="E31" s="28">
        <f t="shared" si="0"/>
        <v>0</v>
      </c>
    </row>
    <row r="32" spans="1:37" s="27" customFormat="1" x14ac:dyDescent="0.45">
      <c r="A32" s="21" t="s">
        <v>28</v>
      </c>
      <c r="B32" s="21" t="s">
        <v>29</v>
      </c>
      <c r="C32" s="14">
        <v>165</v>
      </c>
      <c r="D32" s="29">
        <v>8000</v>
      </c>
      <c r="E32" s="28">
        <f t="shared" si="0"/>
        <v>1320000</v>
      </c>
    </row>
    <row r="33" spans="1:37" s="27" customFormat="1" x14ac:dyDescent="0.45">
      <c r="A33" s="21" t="s">
        <v>30</v>
      </c>
      <c r="B33" s="21" t="s">
        <v>3</v>
      </c>
      <c r="C33" s="14">
        <v>340</v>
      </c>
      <c r="D33" s="29">
        <v>10000</v>
      </c>
      <c r="E33" s="28">
        <f t="shared" si="0"/>
        <v>3400000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s="27" customFormat="1" hidden="1" x14ac:dyDescent="0.45">
      <c r="A34" s="21" t="s">
        <v>30</v>
      </c>
      <c r="B34" s="21" t="s">
        <v>18</v>
      </c>
      <c r="C34" s="14">
        <v>0</v>
      </c>
      <c r="D34" s="29">
        <v>10000</v>
      </c>
      <c r="E34" s="28">
        <f t="shared" si="0"/>
        <v>0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spans="1:37" s="27" customFormat="1" x14ac:dyDescent="0.45">
      <c r="A35" s="21" t="s">
        <v>31</v>
      </c>
      <c r="B35" s="21" t="s">
        <v>32</v>
      </c>
      <c r="C35" s="14">
        <v>60</v>
      </c>
      <c r="D35" s="29">
        <v>6000</v>
      </c>
      <c r="E35" s="28">
        <f t="shared" si="0"/>
        <v>360000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spans="1:37" s="27" customFormat="1" x14ac:dyDescent="0.45">
      <c r="A36" s="21" t="s">
        <v>33</v>
      </c>
      <c r="B36" s="21" t="s">
        <v>3</v>
      </c>
      <c r="C36" s="14">
        <v>165</v>
      </c>
      <c r="D36" s="29">
        <v>13000</v>
      </c>
      <c r="E36" s="28">
        <f t="shared" si="0"/>
        <v>2145000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spans="1:37" s="27" customFormat="1" hidden="1" x14ac:dyDescent="0.45">
      <c r="A37" s="21" t="s">
        <v>33</v>
      </c>
      <c r="B37" s="21" t="s">
        <v>32</v>
      </c>
      <c r="C37" s="14">
        <v>0</v>
      </c>
      <c r="D37" s="29">
        <v>13000</v>
      </c>
      <c r="E37" s="28">
        <f t="shared" si="0"/>
        <v>0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spans="1:37" s="27" customFormat="1" hidden="1" x14ac:dyDescent="0.45">
      <c r="A38" s="21" t="s">
        <v>34</v>
      </c>
      <c r="B38" s="21" t="s">
        <v>18</v>
      </c>
      <c r="C38" s="14">
        <v>0</v>
      </c>
      <c r="D38" s="29">
        <v>5500</v>
      </c>
      <c r="E38" s="28">
        <f t="shared" si="0"/>
        <v>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spans="1:37" s="27" customFormat="1" x14ac:dyDescent="0.45">
      <c r="A39" s="21" t="s">
        <v>35</v>
      </c>
      <c r="B39" s="21" t="s">
        <v>3</v>
      </c>
      <c r="C39" s="14">
        <v>50</v>
      </c>
      <c r="D39" s="29">
        <v>8000</v>
      </c>
      <c r="E39" s="28">
        <f t="shared" si="0"/>
        <v>400000</v>
      </c>
    </row>
    <row r="40" spans="1:37" s="27" customFormat="1" hidden="1" x14ac:dyDescent="0.45">
      <c r="A40" s="21" t="s">
        <v>35</v>
      </c>
      <c r="B40" s="21" t="s">
        <v>36</v>
      </c>
      <c r="C40" s="14">
        <v>0</v>
      </c>
      <c r="D40" s="29">
        <v>8000</v>
      </c>
      <c r="E40" s="28">
        <f t="shared" si="0"/>
        <v>0</v>
      </c>
    </row>
    <row r="41" spans="1:37" s="27" customFormat="1" x14ac:dyDescent="0.45">
      <c r="A41" s="21" t="s">
        <v>37</v>
      </c>
      <c r="B41" s="21" t="s">
        <v>3</v>
      </c>
      <c r="C41" s="14">
        <v>40</v>
      </c>
      <c r="D41" s="29">
        <v>25000</v>
      </c>
      <c r="E41" s="28">
        <f t="shared" si="0"/>
        <v>1000000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spans="1:37" s="27" customFormat="1" hidden="1" x14ac:dyDescent="0.45">
      <c r="A42" s="21" t="s">
        <v>37</v>
      </c>
      <c r="B42" s="21" t="s">
        <v>32</v>
      </c>
      <c r="C42" s="14">
        <v>0</v>
      </c>
      <c r="D42" s="29">
        <v>25000</v>
      </c>
      <c r="E42" s="28">
        <f t="shared" si="0"/>
        <v>0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s="27" customFormat="1" x14ac:dyDescent="0.45">
      <c r="A43" s="21" t="s">
        <v>38</v>
      </c>
      <c r="B43" s="21" t="s">
        <v>32</v>
      </c>
      <c r="C43" s="14">
        <v>9</v>
      </c>
      <c r="D43" s="29">
        <v>3000</v>
      </c>
      <c r="E43" s="28">
        <f t="shared" si="0"/>
        <v>27000</v>
      </c>
    </row>
    <row r="44" spans="1:37" s="27" customFormat="1" x14ac:dyDescent="0.45">
      <c r="A44" s="21" t="s">
        <v>39</v>
      </c>
      <c r="B44" s="21" t="s">
        <v>3</v>
      </c>
      <c r="C44" s="14">
        <v>25</v>
      </c>
      <c r="D44" s="29">
        <v>15000</v>
      </c>
      <c r="E44" s="28">
        <f t="shared" si="0"/>
        <v>375000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spans="1:37" s="27" customFormat="1" hidden="1" x14ac:dyDescent="0.45">
      <c r="A45" s="21" t="s">
        <v>39</v>
      </c>
      <c r="B45" s="21" t="s">
        <v>32</v>
      </c>
      <c r="C45" s="14">
        <v>0</v>
      </c>
      <c r="D45" s="29">
        <v>15000</v>
      </c>
      <c r="E45" s="28">
        <f t="shared" si="0"/>
        <v>0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s="27" customFormat="1" x14ac:dyDescent="0.45">
      <c r="A46" s="21" t="s">
        <v>40</v>
      </c>
      <c r="B46" s="21" t="s">
        <v>3</v>
      </c>
      <c r="C46" s="14">
        <v>630</v>
      </c>
      <c r="D46" s="29">
        <v>4000</v>
      </c>
      <c r="E46" s="28">
        <f t="shared" si="0"/>
        <v>2520000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s="27" customFormat="1" hidden="1" x14ac:dyDescent="0.45">
      <c r="A47" s="21" t="s">
        <v>41</v>
      </c>
      <c r="B47" s="21" t="s">
        <v>3</v>
      </c>
      <c r="C47" s="14">
        <v>0</v>
      </c>
      <c r="D47" s="29">
        <v>16000</v>
      </c>
      <c r="E47" s="28">
        <f t="shared" si="0"/>
        <v>0</v>
      </c>
    </row>
    <row r="48" spans="1:37" s="27" customFormat="1" hidden="1" x14ac:dyDescent="0.45">
      <c r="A48" s="21" t="s">
        <v>42</v>
      </c>
      <c r="B48" s="21" t="s">
        <v>3</v>
      </c>
      <c r="C48" s="14">
        <v>0</v>
      </c>
      <c r="D48" s="29">
        <v>3000</v>
      </c>
      <c r="E48" s="28">
        <f t="shared" si="0"/>
        <v>0</v>
      </c>
    </row>
    <row r="49" spans="1:37" s="27" customFormat="1" x14ac:dyDescent="0.45">
      <c r="A49" s="21" t="s">
        <v>43</v>
      </c>
      <c r="B49" s="21" t="s">
        <v>3</v>
      </c>
      <c r="C49" s="14">
        <v>80</v>
      </c>
      <c r="D49" s="29">
        <v>11500</v>
      </c>
      <c r="E49" s="28">
        <f t="shared" si="0"/>
        <v>920000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spans="1:37" s="27" customFormat="1" hidden="1" x14ac:dyDescent="0.45">
      <c r="A50" s="21" t="s">
        <v>43</v>
      </c>
      <c r="B50" s="21" t="s">
        <v>44</v>
      </c>
      <c r="C50" s="14">
        <v>0</v>
      </c>
      <c r="D50" s="29">
        <v>11500</v>
      </c>
      <c r="E50" s="28">
        <f t="shared" si="0"/>
        <v>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s="27" customFormat="1" hidden="1" x14ac:dyDescent="0.45">
      <c r="A51" s="21" t="s">
        <v>45</v>
      </c>
      <c r="B51" s="21" t="s">
        <v>3</v>
      </c>
      <c r="C51" s="14">
        <v>0</v>
      </c>
      <c r="D51" s="29">
        <v>29000</v>
      </c>
      <c r="E51" s="28">
        <f t="shared" si="0"/>
        <v>0</v>
      </c>
    </row>
    <row r="52" spans="1:37" s="27" customFormat="1" hidden="1" x14ac:dyDescent="0.45">
      <c r="A52" s="21" t="s">
        <v>46</v>
      </c>
      <c r="B52" s="21" t="s">
        <v>3</v>
      </c>
      <c r="C52" s="14">
        <v>0</v>
      </c>
      <c r="D52" s="29">
        <v>14000</v>
      </c>
      <c r="E52" s="28">
        <f t="shared" si="0"/>
        <v>0</v>
      </c>
    </row>
    <row r="53" spans="1:37" s="27" customFormat="1" hidden="1" x14ac:dyDescent="0.45">
      <c r="A53" s="21" t="s">
        <v>47</v>
      </c>
      <c r="B53" s="21" t="s">
        <v>27</v>
      </c>
      <c r="C53" s="14">
        <v>0</v>
      </c>
      <c r="D53" s="29">
        <v>11000</v>
      </c>
      <c r="E53" s="28">
        <f t="shared" si="0"/>
        <v>0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s="27" customFormat="1" hidden="1" x14ac:dyDescent="0.45">
      <c r="A54" s="21" t="s">
        <v>48</v>
      </c>
      <c r="B54" s="21" t="s">
        <v>3</v>
      </c>
      <c r="C54" s="14">
        <v>0</v>
      </c>
      <c r="D54" s="29">
        <v>5500</v>
      </c>
      <c r="E54" s="28">
        <f t="shared" si="0"/>
        <v>0</v>
      </c>
    </row>
    <row r="55" spans="1:37" s="27" customFormat="1" x14ac:dyDescent="0.45">
      <c r="A55" s="21" t="s">
        <v>49</v>
      </c>
      <c r="B55" s="21" t="s">
        <v>3</v>
      </c>
      <c r="C55" s="14">
        <v>30</v>
      </c>
      <c r="D55" s="29">
        <v>7000</v>
      </c>
      <c r="E55" s="28">
        <f t="shared" si="0"/>
        <v>210000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spans="1:37" s="27" customFormat="1" hidden="1" x14ac:dyDescent="0.45">
      <c r="A56" s="21" t="s">
        <v>49</v>
      </c>
      <c r="B56" s="21" t="s">
        <v>32</v>
      </c>
      <c r="C56" s="14">
        <v>0</v>
      </c>
      <c r="D56" s="29">
        <v>7000</v>
      </c>
      <c r="E56" s="28">
        <f t="shared" si="0"/>
        <v>0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spans="1:37" s="27" customFormat="1" x14ac:dyDescent="0.45">
      <c r="A57" s="21" t="s">
        <v>50</v>
      </c>
      <c r="B57" s="21" t="s">
        <v>3</v>
      </c>
      <c r="C57" s="14">
        <v>1</v>
      </c>
      <c r="D57" s="29">
        <v>22000</v>
      </c>
      <c r="E57" s="28">
        <f t="shared" si="0"/>
        <v>22000</v>
      </c>
    </row>
    <row r="58" spans="1:37" s="27" customFormat="1" x14ac:dyDescent="0.45">
      <c r="A58" s="21" t="s">
        <v>51</v>
      </c>
      <c r="B58" s="21" t="s">
        <v>3</v>
      </c>
      <c r="C58" s="14">
        <v>560</v>
      </c>
      <c r="D58" s="29">
        <v>5000</v>
      </c>
      <c r="E58" s="28">
        <f t="shared" si="0"/>
        <v>2800000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s="27" customFormat="1" hidden="1" x14ac:dyDescent="0.45">
      <c r="A59" s="21" t="s">
        <v>51</v>
      </c>
      <c r="B59" s="21" t="s">
        <v>52</v>
      </c>
      <c r="C59" s="14">
        <v>0</v>
      </c>
      <c r="D59" s="29">
        <v>5000</v>
      </c>
      <c r="E59" s="28">
        <f t="shared" si="0"/>
        <v>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s="27" customFormat="1" x14ac:dyDescent="0.45">
      <c r="A60" s="21" t="s">
        <v>53</v>
      </c>
      <c r="B60" s="21" t="s">
        <v>3</v>
      </c>
      <c r="C60" s="14">
        <v>30</v>
      </c>
      <c r="D60" s="29">
        <v>20000</v>
      </c>
      <c r="E60" s="28">
        <f t="shared" si="0"/>
        <v>600000</v>
      </c>
    </row>
    <row r="61" spans="1:37" s="27" customFormat="1" x14ac:dyDescent="0.45">
      <c r="A61" s="21" t="s">
        <v>54</v>
      </c>
      <c r="B61" s="21" t="s">
        <v>32</v>
      </c>
      <c r="C61" s="14">
        <v>283</v>
      </c>
      <c r="D61" s="29">
        <v>1200</v>
      </c>
      <c r="E61" s="28">
        <f t="shared" si="0"/>
        <v>339600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37" s="27" customFormat="1" x14ac:dyDescent="0.45">
      <c r="A62" s="21" t="s">
        <v>55</v>
      </c>
      <c r="B62" s="21" t="s">
        <v>3</v>
      </c>
      <c r="C62" s="40">
        <v>1950</v>
      </c>
      <c r="D62" s="29">
        <v>20000</v>
      </c>
      <c r="E62" s="28">
        <f t="shared" si="0"/>
        <v>39000000</v>
      </c>
    </row>
    <row r="63" spans="1:37" s="27" customFormat="1" x14ac:dyDescent="0.45">
      <c r="A63" s="21" t="s">
        <v>56</v>
      </c>
      <c r="B63" s="21" t="s">
        <v>3</v>
      </c>
      <c r="C63" s="40">
        <v>900</v>
      </c>
      <c r="D63" s="29">
        <v>26000</v>
      </c>
      <c r="E63" s="28">
        <f t="shared" si="0"/>
        <v>23400000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s="27" customFormat="1" x14ac:dyDescent="0.45">
      <c r="A64" s="21" t="s">
        <v>57</v>
      </c>
      <c r="B64" s="21" t="s">
        <v>3</v>
      </c>
      <c r="C64" s="14">
        <v>200</v>
      </c>
      <c r="D64" s="29">
        <v>15000</v>
      </c>
      <c r="E64" s="28">
        <f t="shared" si="0"/>
        <v>3000000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spans="1:37" s="27" customFormat="1" x14ac:dyDescent="0.45">
      <c r="A65" s="21" t="s">
        <v>58</v>
      </c>
      <c r="B65" s="21" t="s">
        <v>3</v>
      </c>
      <c r="C65" s="14">
        <v>49</v>
      </c>
      <c r="D65" s="29">
        <v>22000</v>
      </c>
      <c r="E65" s="28">
        <f t="shared" si="0"/>
        <v>1078000</v>
      </c>
    </row>
    <row r="66" spans="1:37" s="27" customFormat="1" hidden="1" x14ac:dyDescent="0.45">
      <c r="A66" s="21" t="s">
        <v>138</v>
      </c>
      <c r="B66" s="21" t="s">
        <v>3</v>
      </c>
      <c r="C66" s="14">
        <v>0</v>
      </c>
      <c r="D66" s="29"/>
      <c r="E66" s="28">
        <f t="shared" si="0"/>
        <v>0</v>
      </c>
    </row>
    <row r="67" spans="1:37" s="27" customFormat="1" x14ac:dyDescent="0.45">
      <c r="A67" s="21" t="s">
        <v>61</v>
      </c>
      <c r="B67" s="21" t="s">
        <v>3</v>
      </c>
      <c r="C67" s="14">
        <v>700</v>
      </c>
      <c r="D67" s="29">
        <v>12500</v>
      </c>
      <c r="E67" s="28">
        <f t="shared" ref="E67:E113" si="1">+D67*C67</f>
        <v>8750000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spans="1:37" s="27" customFormat="1" hidden="1" x14ac:dyDescent="0.45">
      <c r="A68" s="21" t="s">
        <v>61</v>
      </c>
      <c r="B68" s="21" t="s">
        <v>32</v>
      </c>
      <c r="C68" s="14">
        <v>0</v>
      </c>
      <c r="D68" s="29">
        <v>12500</v>
      </c>
      <c r="E68" s="28">
        <f t="shared" si="1"/>
        <v>0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spans="1:37" s="27" customFormat="1" hidden="1" x14ac:dyDescent="0.45">
      <c r="A69" s="21" t="s">
        <v>62</v>
      </c>
      <c r="B69" s="21" t="s">
        <v>32</v>
      </c>
      <c r="C69" s="14">
        <v>0</v>
      </c>
      <c r="D69" s="29"/>
      <c r="E69" s="28">
        <f t="shared" si="1"/>
        <v>0</v>
      </c>
    </row>
    <row r="70" spans="1:37" s="27" customFormat="1" x14ac:dyDescent="0.45">
      <c r="A70" s="21" t="s">
        <v>63</v>
      </c>
      <c r="B70" s="21" t="s">
        <v>3</v>
      </c>
      <c r="C70" s="14">
        <v>14</v>
      </c>
      <c r="D70" s="29">
        <v>11000</v>
      </c>
      <c r="E70" s="28">
        <f t="shared" si="1"/>
        <v>154000</v>
      </c>
    </row>
    <row r="71" spans="1:37" s="27" customFormat="1" x14ac:dyDescent="0.45">
      <c r="A71" s="21" t="s">
        <v>64</v>
      </c>
      <c r="B71" s="21" t="s">
        <v>32</v>
      </c>
      <c r="C71" s="14">
        <v>63</v>
      </c>
      <c r="D71" s="29">
        <v>6000</v>
      </c>
      <c r="E71" s="28">
        <f t="shared" si="1"/>
        <v>378000</v>
      </c>
    </row>
    <row r="72" spans="1:37" s="27" customFormat="1" hidden="1" x14ac:dyDescent="0.45">
      <c r="A72" s="21" t="s">
        <v>65</v>
      </c>
      <c r="B72" s="21" t="s">
        <v>3</v>
      </c>
      <c r="C72" s="14">
        <v>0</v>
      </c>
      <c r="D72" s="29">
        <v>7500</v>
      </c>
      <c r="E72" s="28">
        <f t="shared" si="1"/>
        <v>0</v>
      </c>
    </row>
    <row r="73" spans="1:37" s="27" customFormat="1" x14ac:dyDescent="0.45">
      <c r="A73" s="21" t="s">
        <v>65</v>
      </c>
      <c r="B73" s="21" t="s">
        <v>32</v>
      </c>
      <c r="C73" s="14">
        <v>33</v>
      </c>
      <c r="D73" s="29">
        <v>7500</v>
      </c>
      <c r="E73" s="28">
        <f t="shared" si="1"/>
        <v>247500</v>
      </c>
    </row>
    <row r="74" spans="1:37" s="27" customFormat="1" x14ac:dyDescent="0.45">
      <c r="A74" s="21" t="s">
        <v>66</v>
      </c>
      <c r="B74" s="21" t="s">
        <v>3</v>
      </c>
      <c r="C74" s="14">
        <v>1.5</v>
      </c>
      <c r="D74" s="29">
        <v>80000</v>
      </c>
      <c r="E74" s="28">
        <f t="shared" si="1"/>
        <v>120000</v>
      </c>
    </row>
    <row r="75" spans="1:37" s="27" customFormat="1" x14ac:dyDescent="0.45">
      <c r="A75" s="21" t="s">
        <v>68</v>
      </c>
      <c r="B75" s="21" t="s">
        <v>3</v>
      </c>
      <c r="C75" s="14">
        <v>1</v>
      </c>
      <c r="D75" s="29">
        <v>70000</v>
      </c>
      <c r="E75" s="28">
        <f t="shared" si="1"/>
        <v>70000</v>
      </c>
    </row>
    <row r="76" spans="1:37" s="27" customFormat="1" x14ac:dyDescent="0.45">
      <c r="A76" s="21" t="s">
        <v>69</v>
      </c>
      <c r="B76" s="21" t="s">
        <v>3</v>
      </c>
      <c r="C76" s="14">
        <v>2</v>
      </c>
      <c r="D76" s="29">
        <v>70000</v>
      </c>
      <c r="E76" s="28">
        <f t="shared" si="1"/>
        <v>140000</v>
      </c>
    </row>
    <row r="77" spans="1:37" s="27" customFormat="1" hidden="1" x14ac:dyDescent="0.45">
      <c r="A77" s="21" t="s">
        <v>70</v>
      </c>
      <c r="B77" s="21" t="s">
        <v>3</v>
      </c>
      <c r="C77" s="14">
        <v>0</v>
      </c>
      <c r="D77" s="29">
        <v>4000</v>
      </c>
      <c r="E77" s="28">
        <f t="shared" si="1"/>
        <v>0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spans="1:37" s="27" customFormat="1" x14ac:dyDescent="0.45">
      <c r="A78" s="21" t="s">
        <v>70</v>
      </c>
      <c r="B78" s="21" t="s">
        <v>18</v>
      </c>
      <c r="C78" s="14">
        <v>620</v>
      </c>
      <c r="D78" s="29">
        <v>4000</v>
      </c>
      <c r="E78" s="28">
        <f t="shared" si="1"/>
        <v>2480000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spans="1:37" s="27" customFormat="1" hidden="1" x14ac:dyDescent="0.45">
      <c r="A79" s="21" t="s">
        <v>71</v>
      </c>
      <c r="B79" s="21" t="s">
        <v>3</v>
      </c>
      <c r="C79" s="14">
        <v>0</v>
      </c>
      <c r="D79" s="29">
        <v>9000</v>
      </c>
      <c r="E79" s="28">
        <f t="shared" si="1"/>
        <v>0</v>
      </c>
    </row>
    <row r="80" spans="1:37" s="27" customFormat="1" x14ac:dyDescent="0.45">
      <c r="A80" s="21" t="s">
        <v>72</v>
      </c>
      <c r="B80" s="21" t="s">
        <v>3</v>
      </c>
      <c r="C80" s="14">
        <v>10</v>
      </c>
      <c r="D80" s="29">
        <v>8000</v>
      </c>
      <c r="E80" s="28">
        <f t="shared" si="1"/>
        <v>80000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spans="1:37" s="27" customFormat="1" x14ac:dyDescent="0.45">
      <c r="A81" s="21" t="s">
        <v>73</v>
      </c>
      <c r="B81" s="21" t="s">
        <v>3</v>
      </c>
      <c r="C81" s="14">
        <v>15</v>
      </c>
      <c r="D81" s="29">
        <v>10500</v>
      </c>
      <c r="E81" s="28">
        <f t="shared" si="1"/>
        <v>157500</v>
      </c>
    </row>
    <row r="82" spans="1:37" s="27" customFormat="1" hidden="1" x14ac:dyDescent="0.45">
      <c r="A82" s="21" t="s">
        <v>73</v>
      </c>
      <c r="B82" s="21" t="s">
        <v>44</v>
      </c>
      <c r="C82" s="14">
        <v>0</v>
      </c>
      <c r="D82" s="29">
        <v>10500</v>
      </c>
      <c r="E82" s="28">
        <f t="shared" si="1"/>
        <v>0</v>
      </c>
    </row>
    <row r="83" spans="1:37" s="27" customFormat="1" hidden="1" x14ac:dyDescent="0.45">
      <c r="A83" s="21" t="s">
        <v>139</v>
      </c>
      <c r="B83" s="21" t="s">
        <v>3</v>
      </c>
      <c r="C83" s="14">
        <v>0</v>
      </c>
      <c r="D83" s="29"/>
      <c r="E83" s="28">
        <f t="shared" si="1"/>
        <v>0</v>
      </c>
    </row>
    <row r="84" spans="1:37" s="27" customFormat="1" hidden="1" x14ac:dyDescent="0.45">
      <c r="A84" s="21" t="s">
        <v>74</v>
      </c>
      <c r="B84" s="21" t="s">
        <v>32</v>
      </c>
      <c r="C84" s="14">
        <v>0</v>
      </c>
      <c r="D84" s="29">
        <v>1900</v>
      </c>
      <c r="E84" s="28">
        <f t="shared" si="1"/>
        <v>0</v>
      </c>
    </row>
    <row r="85" spans="1:37" s="27" customFormat="1" x14ac:dyDescent="0.45">
      <c r="A85" s="21" t="s">
        <v>75</v>
      </c>
      <c r="B85" s="21" t="s">
        <v>3</v>
      </c>
      <c r="C85" s="14">
        <v>17</v>
      </c>
      <c r="D85" s="29">
        <v>14000</v>
      </c>
      <c r="E85" s="28">
        <f t="shared" si="1"/>
        <v>238000</v>
      </c>
    </row>
    <row r="86" spans="1:37" s="27" customFormat="1" x14ac:dyDescent="0.45">
      <c r="A86" s="21" t="s">
        <v>76</v>
      </c>
      <c r="B86" s="21" t="s">
        <v>3</v>
      </c>
      <c r="C86" s="14">
        <v>15</v>
      </c>
      <c r="D86" s="29">
        <v>72000</v>
      </c>
      <c r="E86" s="28">
        <f t="shared" si="1"/>
        <v>1080000</v>
      </c>
    </row>
    <row r="87" spans="1:37" s="27" customFormat="1" hidden="1" x14ac:dyDescent="0.45">
      <c r="A87" s="21" t="s">
        <v>76</v>
      </c>
      <c r="B87" s="21" t="s">
        <v>77</v>
      </c>
      <c r="C87" s="14">
        <v>0</v>
      </c>
      <c r="D87" s="29">
        <v>72000</v>
      </c>
      <c r="E87" s="28">
        <f t="shared" si="1"/>
        <v>0</v>
      </c>
    </row>
    <row r="88" spans="1:37" s="27" customFormat="1" hidden="1" x14ac:dyDescent="0.45">
      <c r="A88" s="21" t="s">
        <v>79</v>
      </c>
      <c r="B88" s="21" t="s">
        <v>18</v>
      </c>
      <c r="C88" s="14">
        <v>0</v>
      </c>
      <c r="D88" s="29"/>
      <c r="E88" s="28">
        <f t="shared" si="1"/>
        <v>0</v>
      </c>
    </row>
    <row r="89" spans="1:37" s="27" customFormat="1" hidden="1" x14ac:dyDescent="0.45">
      <c r="A89" s="21" t="s">
        <v>80</v>
      </c>
      <c r="B89" s="21" t="s">
        <v>27</v>
      </c>
      <c r="C89" s="14">
        <v>0</v>
      </c>
      <c r="D89" s="29">
        <v>38000</v>
      </c>
      <c r="E89" s="28">
        <f t="shared" si="1"/>
        <v>0</v>
      </c>
    </row>
    <row r="90" spans="1:37" s="27" customFormat="1" x14ac:dyDescent="0.45">
      <c r="A90" s="21" t="s">
        <v>81</v>
      </c>
      <c r="B90" s="21" t="s">
        <v>3</v>
      </c>
      <c r="C90" s="14">
        <v>195</v>
      </c>
      <c r="D90" s="29">
        <v>40000</v>
      </c>
      <c r="E90" s="28">
        <f t="shared" si="1"/>
        <v>7800000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spans="1:37" s="27" customFormat="1" hidden="1" x14ac:dyDescent="0.45">
      <c r="A91" s="21" t="s">
        <v>81</v>
      </c>
      <c r="B91" s="21" t="s">
        <v>11</v>
      </c>
      <c r="C91" s="14">
        <v>0</v>
      </c>
      <c r="D91" s="29">
        <v>40000</v>
      </c>
      <c r="E91" s="28">
        <f t="shared" si="1"/>
        <v>0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spans="1:37" s="27" customFormat="1" x14ac:dyDescent="0.45">
      <c r="A92" s="21" t="s">
        <v>82</v>
      </c>
      <c r="B92" s="21" t="s">
        <v>3</v>
      </c>
      <c r="C92" s="14">
        <v>40</v>
      </c>
      <c r="D92" s="29">
        <v>30000</v>
      </c>
      <c r="E92" s="28">
        <f t="shared" si="1"/>
        <v>1200000</v>
      </c>
    </row>
    <row r="93" spans="1:37" s="27" customFormat="1" x14ac:dyDescent="0.45">
      <c r="A93" s="21" t="s">
        <v>83</v>
      </c>
      <c r="B93" s="21" t="s">
        <v>3</v>
      </c>
      <c r="C93" s="14">
        <v>180</v>
      </c>
      <c r="D93" s="29">
        <v>40000</v>
      </c>
      <c r="E93" s="28">
        <f t="shared" si="1"/>
        <v>7200000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27" customFormat="1" hidden="1" x14ac:dyDescent="0.45">
      <c r="A94" s="21" t="s">
        <v>83</v>
      </c>
      <c r="B94" s="21" t="s">
        <v>11</v>
      </c>
      <c r="C94" s="14">
        <v>0</v>
      </c>
      <c r="D94" s="29">
        <v>40000</v>
      </c>
      <c r="E94" s="28">
        <f t="shared" si="1"/>
        <v>0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spans="1:37" s="27" customFormat="1" x14ac:dyDescent="0.45">
      <c r="A95" s="21" t="s">
        <v>84</v>
      </c>
      <c r="B95" s="21" t="s">
        <v>3</v>
      </c>
      <c r="C95" s="14">
        <v>5</v>
      </c>
      <c r="D95" s="29">
        <v>30000</v>
      </c>
      <c r="E95" s="28">
        <f t="shared" si="1"/>
        <v>150000</v>
      </c>
    </row>
    <row r="96" spans="1:37" s="27" customFormat="1" x14ac:dyDescent="0.45">
      <c r="A96" s="21" t="s">
        <v>85</v>
      </c>
      <c r="B96" s="21" t="s">
        <v>3</v>
      </c>
      <c r="C96" s="14">
        <v>95</v>
      </c>
      <c r="D96" s="29">
        <v>30000</v>
      </c>
      <c r="E96" s="28">
        <f t="shared" si="1"/>
        <v>2850000</v>
      </c>
    </row>
    <row r="97" spans="1:5" s="27" customFormat="1" hidden="1" x14ac:dyDescent="0.45">
      <c r="A97" s="21" t="s">
        <v>85</v>
      </c>
      <c r="B97" s="21" t="s">
        <v>11</v>
      </c>
      <c r="C97" s="14">
        <v>0</v>
      </c>
      <c r="D97" s="29">
        <v>30000</v>
      </c>
      <c r="E97" s="28">
        <f t="shared" si="1"/>
        <v>0</v>
      </c>
    </row>
    <row r="98" spans="1:5" s="27" customFormat="1" x14ac:dyDescent="0.45">
      <c r="A98" s="21" t="s">
        <v>113</v>
      </c>
      <c r="B98" s="21" t="s">
        <v>3</v>
      </c>
      <c r="C98" s="14">
        <v>50</v>
      </c>
      <c r="D98" s="29">
        <v>25000</v>
      </c>
      <c r="E98" s="28">
        <f t="shared" si="1"/>
        <v>1250000</v>
      </c>
    </row>
    <row r="99" spans="1:5" s="27" customFormat="1" hidden="1" x14ac:dyDescent="0.45">
      <c r="A99" s="21" t="s">
        <v>86</v>
      </c>
      <c r="B99" s="21" t="s">
        <v>32</v>
      </c>
      <c r="C99" s="14">
        <v>0</v>
      </c>
      <c r="D99" s="29">
        <v>17500</v>
      </c>
      <c r="E99" s="28">
        <f t="shared" si="1"/>
        <v>0</v>
      </c>
    </row>
    <row r="100" spans="1:5" s="27" customFormat="1" x14ac:dyDescent="0.45">
      <c r="A100" s="21" t="s">
        <v>109</v>
      </c>
      <c r="B100" s="21" t="s">
        <v>3</v>
      </c>
      <c r="C100" s="14">
        <v>4</v>
      </c>
      <c r="D100" s="29">
        <v>21000</v>
      </c>
      <c r="E100" s="28">
        <f t="shared" si="1"/>
        <v>84000</v>
      </c>
    </row>
    <row r="101" spans="1:5" s="27" customFormat="1" hidden="1" x14ac:dyDescent="0.45">
      <c r="A101" s="21" t="s">
        <v>87</v>
      </c>
      <c r="B101" s="21" t="s">
        <v>32</v>
      </c>
      <c r="C101" s="14">
        <v>0</v>
      </c>
      <c r="D101" s="29">
        <v>35000</v>
      </c>
      <c r="E101" s="28">
        <f t="shared" si="1"/>
        <v>0</v>
      </c>
    </row>
    <row r="102" spans="1:5" s="27" customFormat="1" hidden="1" x14ac:dyDescent="0.45">
      <c r="A102" s="21" t="s">
        <v>89</v>
      </c>
      <c r="B102" s="21" t="s">
        <v>11</v>
      </c>
      <c r="C102" s="14">
        <v>0</v>
      </c>
      <c r="D102" s="29"/>
      <c r="E102" s="28">
        <f t="shared" si="1"/>
        <v>0</v>
      </c>
    </row>
    <row r="103" spans="1:5" s="27" customFormat="1" hidden="1" x14ac:dyDescent="0.45">
      <c r="A103" s="21" t="s">
        <v>141</v>
      </c>
      <c r="B103" s="21" t="s">
        <v>3</v>
      </c>
      <c r="C103" s="14">
        <v>0</v>
      </c>
      <c r="D103" s="29"/>
      <c r="E103" s="28">
        <f t="shared" si="1"/>
        <v>0</v>
      </c>
    </row>
    <row r="104" spans="1:5" s="27" customFormat="1" x14ac:dyDescent="0.45">
      <c r="A104" s="21" t="s">
        <v>91</v>
      </c>
      <c r="B104" s="21" t="s">
        <v>3</v>
      </c>
      <c r="C104" s="14">
        <v>9</v>
      </c>
      <c r="D104" s="29">
        <v>9000</v>
      </c>
      <c r="E104" s="28">
        <f t="shared" si="1"/>
        <v>81000</v>
      </c>
    </row>
    <row r="105" spans="1:5" s="27" customFormat="1" x14ac:dyDescent="0.45">
      <c r="A105" s="21" t="s">
        <v>92</v>
      </c>
      <c r="B105" s="21" t="s">
        <v>3</v>
      </c>
      <c r="C105" s="14">
        <v>130</v>
      </c>
      <c r="D105" s="29">
        <v>4000</v>
      </c>
      <c r="E105" s="28">
        <f t="shared" si="1"/>
        <v>520000</v>
      </c>
    </row>
    <row r="106" spans="1:5" s="27" customFormat="1" hidden="1" x14ac:dyDescent="0.45">
      <c r="A106" s="21" t="s">
        <v>94</v>
      </c>
      <c r="B106" s="21" t="s">
        <v>3</v>
      </c>
      <c r="C106" s="14">
        <v>0</v>
      </c>
      <c r="D106" s="29">
        <v>12000</v>
      </c>
      <c r="E106" s="28">
        <f t="shared" si="1"/>
        <v>0</v>
      </c>
    </row>
    <row r="107" spans="1:5" s="27" customFormat="1" hidden="1" x14ac:dyDescent="0.45">
      <c r="A107" s="21" t="s">
        <v>96</v>
      </c>
      <c r="B107" s="21" t="s">
        <v>3</v>
      </c>
      <c r="C107" s="14">
        <v>0</v>
      </c>
      <c r="D107" s="29">
        <v>25000</v>
      </c>
      <c r="E107" s="28">
        <f t="shared" si="1"/>
        <v>0</v>
      </c>
    </row>
    <row r="108" spans="1:5" s="27" customFormat="1" x14ac:dyDescent="0.45">
      <c r="A108" s="21" t="s">
        <v>97</v>
      </c>
      <c r="B108" s="21" t="s">
        <v>44</v>
      </c>
      <c r="C108" s="14">
        <v>55</v>
      </c>
      <c r="D108" s="29">
        <v>6800</v>
      </c>
      <c r="E108" s="28">
        <f t="shared" si="1"/>
        <v>374000</v>
      </c>
    </row>
    <row r="109" spans="1:5" s="27" customFormat="1" hidden="1" x14ac:dyDescent="0.45">
      <c r="A109" s="21" t="s">
        <v>98</v>
      </c>
      <c r="B109" s="21" t="s">
        <v>3</v>
      </c>
      <c r="C109" s="14">
        <v>0</v>
      </c>
      <c r="D109" s="29">
        <v>24000</v>
      </c>
      <c r="E109" s="28">
        <f t="shared" si="1"/>
        <v>0</v>
      </c>
    </row>
    <row r="110" spans="1:5" s="27" customFormat="1" hidden="1" x14ac:dyDescent="0.45">
      <c r="A110" s="21" t="s">
        <v>99</v>
      </c>
      <c r="B110" s="21" t="s">
        <v>44</v>
      </c>
      <c r="C110" s="14">
        <v>0</v>
      </c>
      <c r="D110" s="29">
        <v>6800</v>
      </c>
      <c r="E110" s="28">
        <f t="shared" si="1"/>
        <v>0</v>
      </c>
    </row>
    <row r="111" spans="1:5" s="27" customFormat="1" hidden="1" x14ac:dyDescent="0.45">
      <c r="A111" s="21" t="s">
        <v>114</v>
      </c>
      <c r="B111" s="21" t="s">
        <v>3</v>
      </c>
      <c r="C111" s="14">
        <v>0</v>
      </c>
      <c r="D111" s="29"/>
      <c r="E111" s="28">
        <f t="shared" si="1"/>
        <v>0</v>
      </c>
    </row>
    <row r="112" spans="1:5" s="27" customFormat="1" hidden="1" x14ac:dyDescent="0.45">
      <c r="A112" s="21" t="s">
        <v>100</v>
      </c>
      <c r="B112" s="21" t="s">
        <v>3</v>
      </c>
      <c r="C112" s="14">
        <v>0</v>
      </c>
      <c r="D112" s="29">
        <v>25000</v>
      </c>
      <c r="E112" s="28">
        <f t="shared" si="1"/>
        <v>0</v>
      </c>
    </row>
    <row r="113" spans="1:5" s="27" customFormat="1" x14ac:dyDescent="0.45">
      <c r="A113" s="21" t="s">
        <v>101</v>
      </c>
      <c r="B113" s="21" t="s">
        <v>44</v>
      </c>
      <c r="C113" s="14">
        <v>130</v>
      </c>
      <c r="D113" s="29">
        <v>6500</v>
      </c>
      <c r="E113" s="28">
        <f t="shared" si="1"/>
        <v>845000</v>
      </c>
    </row>
    <row r="114" spans="1:5" s="27" customFormat="1" x14ac:dyDescent="0.45">
      <c r="A114" s="21" t="e">
        <v>#N/A</v>
      </c>
      <c r="B114" s="21">
        <v>0</v>
      </c>
      <c r="C114" s="14">
        <v>12850.5</v>
      </c>
      <c r="D114" s="29"/>
      <c r="E114" s="30">
        <f>SUM(E2:E113)</f>
        <v>139456600</v>
      </c>
    </row>
  </sheetData>
  <autoFilter ref="A1:CU114" xr:uid="{00000000-0009-0000-0000-00000F000000}">
    <filterColumn colId="2">
      <filters>
        <filter val="1"/>
        <filter val="1,950"/>
        <filter val="10"/>
        <filter val="12,851"/>
        <filter val="130"/>
        <filter val="135"/>
        <filter val="14"/>
        <filter val="15"/>
        <filter val="165"/>
        <filter val="17"/>
        <filter val="175"/>
        <filter val="180"/>
        <filter val="195"/>
        <filter val="2"/>
        <filter val="200"/>
        <filter val="23"/>
        <filter val="25"/>
        <filter val="283"/>
        <filter val="3,315"/>
        <filter val="30"/>
        <filter val="33"/>
        <filter val="340"/>
        <filter val="350"/>
        <filter val="4"/>
        <filter val="40"/>
        <filter val="41"/>
        <filter val="49"/>
        <filter val="5"/>
        <filter val="50"/>
        <filter val="55"/>
        <filter val="560"/>
        <filter val="60"/>
        <filter val="620"/>
        <filter val="63"/>
        <filter val="630"/>
        <filter val="700"/>
        <filter val="80"/>
        <filter val="85"/>
        <filter val="9"/>
        <filter val="900"/>
        <filter val="95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E124"/>
  <sheetViews>
    <sheetView workbookViewId="0">
      <selection activeCell="E7" sqref="E7"/>
    </sheetView>
  </sheetViews>
  <sheetFormatPr defaultColWidth="8.86328125" defaultRowHeight="14.25" x14ac:dyDescent="0.45"/>
  <cols>
    <col min="1" max="1" width="27.06640625" style="12" bestFit="1" customWidth="1"/>
    <col min="2" max="3" width="8.86328125" style="12"/>
    <col min="4" max="4" width="12" style="12" customWidth="1"/>
    <col min="5" max="5" width="15.86328125" style="12" customWidth="1"/>
    <col min="6" max="16384" width="8.86328125" style="12"/>
  </cols>
  <sheetData>
    <row r="1" spans="1:5" ht="60" x14ac:dyDescent="0.45">
      <c r="A1" s="13" t="s">
        <v>0</v>
      </c>
      <c r="B1" s="13" t="s">
        <v>1</v>
      </c>
      <c r="C1" s="14" t="s">
        <v>150</v>
      </c>
      <c r="D1" s="24" t="s">
        <v>151</v>
      </c>
      <c r="E1" s="24" t="s">
        <v>152</v>
      </c>
    </row>
    <row r="2" spans="1:5" ht="15" x14ac:dyDescent="0.45">
      <c r="A2" s="16" t="s">
        <v>2</v>
      </c>
      <c r="B2" s="16" t="s">
        <v>3</v>
      </c>
      <c r="C2" s="14">
        <v>12</v>
      </c>
      <c r="D2" s="38">
        <v>10000</v>
      </c>
      <c r="E2" s="39">
        <f>+D2*C2</f>
        <v>120000</v>
      </c>
    </row>
    <row r="3" spans="1:5" ht="15" x14ac:dyDescent="0.45">
      <c r="A3" s="16" t="s">
        <v>4</v>
      </c>
      <c r="B3" s="16" t="s">
        <v>3</v>
      </c>
      <c r="C3" s="14">
        <v>315</v>
      </c>
      <c r="D3" s="38">
        <v>7000</v>
      </c>
      <c r="E3" s="39">
        <f t="shared" ref="E3:E66" si="0">+D3*C3</f>
        <v>2205000</v>
      </c>
    </row>
    <row r="4" spans="1:5" ht="15" x14ac:dyDescent="0.45">
      <c r="A4" s="16" t="s">
        <v>5</v>
      </c>
      <c r="B4" s="16" t="s">
        <v>3</v>
      </c>
      <c r="C4" s="14">
        <v>2140</v>
      </c>
      <c r="D4" s="38">
        <v>3500</v>
      </c>
      <c r="E4" s="39">
        <f t="shared" si="0"/>
        <v>7490000</v>
      </c>
    </row>
    <row r="5" spans="1:5" ht="15" hidden="1" x14ac:dyDescent="0.45">
      <c r="A5" s="16" t="s">
        <v>6</v>
      </c>
      <c r="B5" s="16" t="s">
        <v>3</v>
      </c>
      <c r="C5" s="14">
        <v>0</v>
      </c>
      <c r="D5" s="38"/>
      <c r="E5" s="39">
        <f t="shared" si="0"/>
        <v>0</v>
      </c>
    </row>
    <row r="6" spans="1:5" ht="15" hidden="1" x14ac:dyDescent="0.45">
      <c r="A6" s="16" t="s">
        <v>7</v>
      </c>
      <c r="B6" s="16" t="s">
        <v>3</v>
      </c>
      <c r="C6" s="14">
        <v>0</v>
      </c>
      <c r="D6" s="38"/>
      <c r="E6" s="39">
        <f t="shared" si="0"/>
        <v>0</v>
      </c>
    </row>
    <row r="7" spans="1:5" ht="15" x14ac:dyDescent="0.45">
      <c r="A7" s="16" t="s">
        <v>8</v>
      </c>
      <c r="B7" s="16" t="s">
        <v>3</v>
      </c>
      <c r="C7" s="14">
        <v>410</v>
      </c>
      <c r="D7" s="38">
        <v>7000</v>
      </c>
      <c r="E7" s="39">
        <f t="shared" si="0"/>
        <v>2870000</v>
      </c>
    </row>
    <row r="8" spans="1:5" ht="15" x14ac:dyDescent="0.45">
      <c r="A8" s="16" t="s">
        <v>9</v>
      </c>
      <c r="B8" s="16" t="s">
        <v>3</v>
      </c>
      <c r="C8" s="14">
        <v>5</v>
      </c>
      <c r="D8" s="38">
        <v>10000</v>
      </c>
      <c r="E8" s="39">
        <f t="shared" si="0"/>
        <v>50000</v>
      </c>
    </row>
    <row r="9" spans="1:5" ht="15" x14ac:dyDescent="0.45">
      <c r="A9" s="16" t="s">
        <v>10</v>
      </c>
      <c r="B9" s="16" t="s">
        <v>3</v>
      </c>
      <c r="C9" s="14">
        <v>170</v>
      </c>
      <c r="D9" s="38">
        <v>7000</v>
      </c>
      <c r="E9" s="39">
        <f t="shared" si="0"/>
        <v>1190000</v>
      </c>
    </row>
    <row r="10" spans="1:5" ht="15" hidden="1" x14ac:dyDescent="0.45">
      <c r="A10" s="16" t="s">
        <v>10</v>
      </c>
      <c r="B10" s="16" t="s">
        <v>11</v>
      </c>
      <c r="C10" s="14">
        <v>0</v>
      </c>
      <c r="D10" s="38"/>
      <c r="E10" s="39">
        <f t="shared" si="0"/>
        <v>0</v>
      </c>
    </row>
    <row r="11" spans="1:5" ht="15" x14ac:dyDescent="0.45">
      <c r="A11" s="16" t="s">
        <v>12</v>
      </c>
      <c r="B11" s="16" t="s">
        <v>3</v>
      </c>
      <c r="C11" s="14">
        <v>55</v>
      </c>
      <c r="D11" s="38">
        <v>10000</v>
      </c>
      <c r="E11" s="39">
        <f t="shared" si="0"/>
        <v>550000</v>
      </c>
    </row>
    <row r="12" spans="1:5" ht="15" hidden="1" x14ac:dyDescent="0.45">
      <c r="A12" s="16" t="s">
        <v>12</v>
      </c>
      <c r="B12" s="16" t="s">
        <v>11</v>
      </c>
      <c r="C12" s="14">
        <v>0</v>
      </c>
      <c r="D12" s="38"/>
      <c r="E12" s="39">
        <f t="shared" si="0"/>
        <v>0</v>
      </c>
    </row>
    <row r="13" spans="1:5" ht="15" hidden="1" x14ac:dyDescent="0.45">
      <c r="A13" s="16" t="s">
        <v>129</v>
      </c>
      <c r="B13" s="16" t="s">
        <v>3</v>
      </c>
      <c r="C13" s="14">
        <v>0</v>
      </c>
      <c r="D13" s="38"/>
      <c r="E13" s="39">
        <f t="shared" si="0"/>
        <v>0</v>
      </c>
    </row>
    <row r="14" spans="1:5" ht="15" hidden="1" x14ac:dyDescent="0.45">
      <c r="A14" s="16" t="s">
        <v>13</v>
      </c>
      <c r="B14" s="16" t="s">
        <v>3</v>
      </c>
      <c r="C14" s="14">
        <v>0</v>
      </c>
      <c r="D14" s="38"/>
      <c r="E14" s="39">
        <f t="shared" si="0"/>
        <v>0</v>
      </c>
    </row>
    <row r="15" spans="1:5" ht="15" hidden="1" x14ac:dyDescent="0.45">
      <c r="A15" s="16" t="s">
        <v>116</v>
      </c>
      <c r="B15" s="16" t="s">
        <v>3</v>
      </c>
      <c r="C15" s="14">
        <v>0</v>
      </c>
      <c r="D15" s="38"/>
      <c r="E15" s="39">
        <f t="shared" si="0"/>
        <v>0</v>
      </c>
    </row>
    <row r="16" spans="1:5" ht="15" x14ac:dyDescent="0.45">
      <c r="A16" s="16" t="s">
        <v>14</v>
      </c>
      <c r="B16" s="16" t="s">
        <v>3</v>
      </c>
      <c r="C16" s="14">
        <v>3</v>
      </c>
      <c r="D16" s="38">
        <v>12000</v>
      </c>
      <c r="E16" s="39">
        <f t="shared" si="0"/>
        <v>36000</v>
      </c>
    </row>
    <row r="17" spans="1:5" ht="15" hidden="1" x14ac:dyDescent="0.45">
      <c r="A17" s="16" t="s">
        <v>140</v>
      </c>
      <c r="B17" s="16" t="s">
        <v>3</v>
      </c>
      <c r="C17" s="14">
        <v>0</v>
      </c>
      <c r="D17" s="38"/>
      <c r="E17" s="39">
        <f t="shared" si="0"/>
        <v>0</v>
      </c>
    </row>
    <row r="18" spans="1:5" ht="15" hidden="1" x14ac:dyDescent="0.45">
      <c r="A18" s="16" t="s">
        <v>15</v>
      </c>
      <c r="B18" s="16" t="s">
        <v>3</v>
      </c>
      <c r="C18" s="14">
        <v>0</v>
      </c>
      <c r="D18" s="38"/>
      <c r="E18" s="39">
        <f t="shared" si="0"/>
        <v>0</v>
      </c>
    </row>
    <row r="19" spans="1:5" ht="15" hidden="1" x14ac:dyDescent="0.45">
      <c r="A19" s="16" t="s">
        <v>16</v>
      </c>
      <c r="B19" s="16" t="s">
        <v>3</v>
      </c>
      <c r="C19" s="14">
        <v>0</v>
      </c>
      <c r="D19" s="38"/>
      <c r="E19" s="39">
        <f t="shared" si="0"/>
        <v>0</v>
      </c>
    </row>
    <row r="20" spans="1:5" ht="15" hidden="1" x14ac:dyDescent="0.45">
      <c r="A20" s="16" t="s">
        <v>17</v>
      </c>
      <c r="B20" s="16" t="s">
        <v>18</v>
      </c>
      <c r="C20" s="14">
        <v>0</v>
      </c>
      <c r="D20" s="38"/>
      <c r="E20" s="39">
        <f t="shared" si="0"/>
        <v>0</v>
      </c>
    </row>
    <row r="21" spans="1:5" ht="15" hidden="1" x14ac:dyDescent="0.45">
      <c r="A21" s="16" t="s">
        <v>120</v>
      </c>
      <c r="B21" s="16" t="s">
        <v>44</v>
      </c>
      <c r="C21" s="14">
        <v>0</v>
      </c>
      <c r="D21" s="38"/>
      <c r="E21" s="39">
        <f t="shared" si="0"/>
        <v>0</v>
      </c>
    </row>
    <row r="22" spans="1:5" ht="15" hidden="1" x14ac:dyDescent="0.45">
      <c r="A22" s="16" t="s">
        <v>19</v>
      </c>
      <c r="B22" s="16" t="s">
        <v>3</v>
      </c>
      <c r="C22" s="14">
        <v>0</v>
      </c>
      <c r="D22" s="38"/>
      <c r="E22" s="39">
        <f t="shared" si="0"/>
        <v>0</v>
      </c>
    </row>
    <row r="23" spans="1:5" ht="15" x14ac:dyDescent="0.45">
      <c r="A23" s="36" t="s">
        <v>20</v>
      </c>
      <c r="B23" s="36" t="s">
        <v>3</v>
      </c>
      <c r="C23" s="37">
        <v>80</v>
      </c>
      <c r="D23" s="38">
        <v>8000</v>
      </c>
      <c r="E23" s="39">
        <f t="shared" si="0"/>
        <v>640000</v>
      </c>
    </row>
    <row r="24" spans="1:5" ht="15" hidden="1" x14ac:dyDescent="0.45">
      <c r="A24" s="16" t="s">
        <v>20</v>
      </c>
      <c r="B24" s="16" t="s">
        <v>18</v>
      </c>
      <c r="C24" s="14">
        <v>0</v>
      </c>
      <c r="D24" s="38"/>
      <c r="E24" s="39">
        <f t="shared" si="0"/>
        <v>0</v>
      </c>
    </row>
    <row r="25" spans="1:5" ht="15" hidden="1" x14ac:dyDescent="0.45">
      <c r="A25" s="16" t="s">
        <v>20</v>
      </c>
      <c r="B25" s="16" t="s">
        <v>21</v>
      </c>
      <c r="C25" s="14">
        <v>0</v>
      </c>
      <c r="D25" s="38"/>
      <c r="E25" s="39">
        <f t="shared" si="0"/>
        <v>0</v>
      </c>
    </row>
    <row r="26" spans="1:5" ht="15" hidden="1" x14ac:dyDescent="0.45">
      <c r="A26" s="16" t="s">
        <v>22</v>
      </c>
      <c r="B26" s="16" t="s">
        <v>3</v>
      </c>
      <c r="C26" s="14">
        <v>0</v>
      </c>
      <c r="D26" s="38"/>
      <c r="E26" s="39">
        <f t="shared" si="0"/>
        <v>0</v>
      </c>
    </row>
    <row r="27" spans="1:5" ht="15" x14ac:dyDescent="0.45">
      <c r="A27" s="16" t="s">
        <v>22</v>
      </c>
      <c r="B27" s="16" t="s">
        <v>23</v>
      </c>
      <c r="C27" s="14">
        <v>43</v>
      </c>
      <c r="D27" s="38">
        <v>5500</v>
      </c>
      <c r="E27" s="39">
        <f t="shared" si="0"/>
        <v>236500</v>
      </c>
    </row>
    <row r="28" spans="1:5" ht="15" x14ac:dyDescent="0.45">
      <c r="A28" s="16" t="s">
        <v>24</v>
      </c>
      <c r="B28" s="16" t="s">
        <v>3</v>
      </c>
      <c r="C28" s="14">
        <v>8</v>
      </c>
      <c r="D28" s="38">
        <v>15000</v>
      </c>
      <c r="E28" s="39">
        <f t="shared" si="0"/>
        <v>120000</v>
      </c>
    </row>
    <row r="29" spans="1:5" ht="15" hidden="1" x14ac:dyDescent="0.45">
      <c r="A29" s="16" t="s">
        <v>24</v>
      </c>
      <c r="B29" s="16" t="s">
        <v>25</v>
      </c>
      <c r="C29" s="14">
        <v>0</v>
      </c>
      <c r="D29" s="38"/>
      <c r="E29" s="39">
        <f t="shared" si="0"/>
        <v>0</v>
      </c>
    </row>
    <row r="30" spans="1:5" ht="15" x14ac:dyDescent="0.45">
      <c r="A30" s="16" t="s">
        <v>26</v>
      </c>
      <c r="B30" s="16" t="s">
        <v>27</v>
      </c>
      <c r="C30" s="14">
        <v>32</v>
      </c>
      <c r="D30" s="38">
        <v>10500</v>
      </c>
      <c r="E30" s="39">
        <f t="shared" si="0"/>
        <v>336000</v>
      </c>
    </row>
    <row r="31" spans="1:5" ht="15" hidden="1" x14ac:dyDescent="0.45">
      <c r="A31" s="16" t="s">
        <v>28</v>
      </c>
      <c r="B31" s="16" t="s">
        <v>3</v>
      </c>
      <c r="C31" s="14">
        <v>0</v>
      </c>
      <c r="D31" s="38"/>
      <c r="E31" s="39">
        <f t="shared" si="0"/>
        <v>0</v>
      </c>
    </row>
    <row r="32" spans="1:5" ht="15" x14ac:dyDescent="0.45">
      <c r="A32" s="16" t="s">
        <v>28</v>
      </c>
      <c r="B32" s="16" t="s">
        <v>29</v>
      </c>
      <c r="C32" s="14">
        <v>60</v>
      </c>
      <c r="D32" s="38">
        <v>7500</v>
      </c>
      <c r="E32" s="39">
        <f t="shared" si="0"/>
        <v>450000</v>
      </c>
    </row>
    <row r="33" spans="1:5" ht="15" x14ac:dyDescent="0.45">
      <c r="A33" s="16" t="s">
        <v>30</v>
      </c>
      <c r="B33" s="16" t="s">
        <v>3</v>
      </c>
      <c r="C33" s="14">
        <v>500</v>
      </c>
      <c r="D33" s="38">
        <v>9000</v>
      </c>
      <c r="E33" s="39">
        <f t="shared" si="0"/>
        <v>4500000</v>
      </c>
    </row>
    <row r="34" spans="1:5" ht="15" hidden="1" x14ac:dyDescent="0.45">
      <c r="A34" s="16" t="s">
        <v>30</v>
      </c>
      <c r="B34" s="16" t="s">
        <v>18</v>
      </c>
      <c r="C34" s="14">
        <v>0</v>
      </c>
      <c r="D34" s="38"/>
      <c r="E34" s="39">
        <f t="shared" si="0"/>
        <v>0</v>
      </c>
    </row>
    <row r="35" spans="1:5" ht="15" x14ac:dyDescent="0.45">
      <c r="A35" s="16" t="s">
        <v>31</v>
      </c>
      <c r="B35" s="16" t="s">
        <v>32</v>
      </c>
      <c r="C35" s="14">
        <v>140</v>
      </c>
      <c r="D35" s="38">
        <v>6000</v>
      </c>
      <c r="E35" s="39">
        <f t="shared" si="0"/>
        <v>840000</v>
      </c>
    </row>
    <row r="36" spans="1:5" ht="15" x14ac:dyDescent="0.45">
      <c r="A36" s="16" t="s">
        <v>33</v>
      </c>
      <c r="B36" s="16" t="s">
        <v>3</v>
      </c>
      <c r="C36" s="14">
        <v>180</v>
      </c>
      <c r="D36" s="38">
        <v>13000</v>
      </c>
      <c r="E36" s="39">
        <f t="shared" si="0"/>
        <v>2340000</v>
      </c>
    </row>
    <row r="37" spans="1:5" ht="15" hidden="1" x14ac:dyDescent="0.45">
      <c r="A37" s="16" t="s">
        <v>33</v>
      </c>
      <c r="B37" s="16" t="s">
        <v>32</v>
      </c>
      <c r="C37" s="14">
        <v>0</v>
      </c>
      <c r="D37" s="38"/>
      <c r="E37" s="39">
        <f t="shared" si="0"/>
        <v>0</v>
      </c>
    </row>
    <row r="38" spans="1:5" ht="15" hidden="1" x14ac:dyDescent="0.45">
      <c r="A38" s="16" t="s">
        <v>34</v>
      </c>
      <c r="B38" s="16" t="s">
        <v>3</v>
      </c>
      <c r="C38" s="14">
        <v>0</v>
      </c>
      <c r="D38" s="38"/>
      <c r="E38" s="39">
        <f t="shared" si="0"/>
        <v>0</v>
      </c>
    </row>
    <row r="39" spans="1:5" ht="15" hidden="1" x14ac:dyDescent="0.45">
      <c r="A39" s="16" t="s">
        <v>34</v>
      </c>
      <c r="B39" s="16" t="s">
        <v>18</v>
      </c>
      <c r="C39" s="14">
        <v>0</v>
      </c>
      <c r="D39" s="38"/>
      <c r="E39" s="39">
        <f t="shared" si="0"/>
        <v>0</v>
      </c>
    </row>
    <row r="40" spans="1:5" ht="15" x14ac:dyDescent="0.45">
      <c r="A40" s="16" t="s">
        <v>35</v>
      </c>
      <c r="B40" s="16" t="s">
        <v>3</v>
      </c>
      <c r="C40" s="14">
        <v>20</v>
      </c>
      <c r="D40" s="38">
        <v>8000</v>
      </c>
      <c r="E40" s="39">
        <f t="shared" si="0"/>
        <v>160000</v>
      </c>
    </row>
    <row r="41" spans="1:5" ht="15" hidden="1" x14ac:dyDescent="0.45">
      <c r="A41" s="16" t="s">
        <v>35</v>
      </c>
      <c r="B41" s="16" t="s">
        <v>36</v>
      </c>
      <c r="C41" s="14">
        <v>0</v>
      </c>
      <c r="D41" s="38"/>
      <c r="E41" s="39">
        <f t="shared" si="0"/>
        <v>0</v>
      </c>
    </row>
    <row r="42" spans="1:5" ht="15" hidden="1" x14ac:dyDescent="0.45">
      <c r="A42" s="16" t="s">
        <v>37</v>
      </c>
      <c r="B42" s="16" t="s">
        <v>3</v>
      </c>
      <c r="C42" s="14">
        <v>0</v>
      </c>
      <c r="D42" s="38"/>
      <c r="E42" s="39">
        <f t="shared" si="0"/>
        <v>0</v>
      </c>
    </row>
    <row r="43" spans="1:5" ht="15" hidden="1" x14ac:dyDescent="0.45">
      <c r="A43" s="16" t="s">
        <v>37</v>
      </c>
      <c r="B43" s="16" t="s">
        <v>32</v>
      </c>
      <c r="C43" s="14">
        <v>0</v>
      </c>
      <c r="D43" s="38"/>
      <c r="E43" s="39">
        <f t="shared" si="0"/>
        <v>0</v>
      </c>
    </row>
    <row r="44" spans="1:5" ht="15" hidden="1" x14ac:dyDescent="0.45">
      <c r="A44" s="16" t="s">
        <v>38</v>
      </c>
      <c r="B44" s="16" t="s">
        <v>3</v>
      </c>
      <c r="C44" s="14">
        <v>0</v>
      </c>
      <c r="D44" s="38"/>
      <c r="E44" s="39">
        <f t="shared" si="0"/>
        <v>0</v>
      </c>
    </row>
    <row r="45" spans="1:5" ht="15" hidden="1" x14ac:dyDescent="0.45">
      <c r="A45" s="16" t="s">
        <v>38</v>
      </c>
      <c r="B45" s="16" t="s">
        <v>32</v>
      </c>
      <c r="C45" s="14">
        <v>0</v>
      </c>
      <c r="D45" s="38"/>
      <c r="E45" s="39">
        <f t="shared" si="0"/>
        <v>0</v>
      </c>
    </row>
    <row r="46" spans="1:5" ht="15" x14ac:dyDescent="0.45">
      <c r="A46" s="16" t="s">
        <v>39</v>
      </c>
      <c r="B46" s="16" t="s">
        <v>3</v>
      </c>
      <c r="C46" s="14">
        <v>25</v>
      </c>
      <c r="D46" s="38">
        <v>15000</v>
      </c>
      <c r="E46" s="39">
        <f t="shared" si="0"/>
        <v>375000</v>
      </c>
    </row>
    <row r="47" spans="1:5" ht="15" hidden="1" x14ac:dyDescent="0.45">
      <c r="A47" s="16" t="s">
        <v>39</v>
      </c>
      <c r="B47" s="16" t="s">
        <v>32</v>
      </c>
      <c r="C47" s="14">
        <v>0</v>
      </c>
      <c r="D47" s="38"/>
      <c r="E47" s="39">
        <f t="shared" si="0"/>
        <v>0</v>
      </c>
    </row>
    <row r="48" spans="1:5" ht="15" x14ac:dyDescent="0.45">
      <c r="A48" s="16" t="s">
        <v>40</v>
      </c>
      <c r="B48" s="16" t="s">
        <v>3</v>
      </c>
      <c r="C48" s="14">
        <v>60</v>
      </c>
      <c r="D48" s="38">
        <v>4500</v>
      </c>
      <c r="E48" s="39">
        <f t="shared" si="0"/>
        <v>270000</v>
      </c>
    </row>
    <row r="49" spans="1:5" ht="15" hidden="1" x14ac:dyDescent="0.45">
      <c r="A49" s="16" t="s">
        <v>41</v>
      </c>
      <c r="B49" s="16" t="s">
        <v>3</v>
      </c>
      <c r="C49" s="14">
        <v>0</v>
      </c>
      <c r="D49" s="38"/>
      <c r="E49" s="39">
        <f t="shared" si="0"/>
        <v>0</v>
      </c>
    </row>
    <row r="50" spans="1:5" ht="15" x14ac:dyDescent="0.45">
      <c r="A50" s="16" t="s">
        <v>43</v>
      </c>
      <c r="B50" s="16" t="s">
        <v>3</v>
      </c>
      <c r="C50" s="14">
        <v>25</v>
      </c>
      <c r="D50" s="38">
        <v>10000</v>
      </c>
      <c r="E50" s="39">
        <f t="shared" si="0"/>
        <v>250000</v>
      </c>
    </row>
    <row r="51" spans="1:5" ht="15" hidden="1" x14ac:dyDescent="0.45">
      <c r="A51" s="16" t="s">
        <v>43</v>
      </c>
      <c r="B51" s="16" t="s">
        <v>44</v>
      </c>
      <c r="C51" s="14">
        <v>0</v>
      </c>
      <c r="D51" s="38"/>
      <c r="E51" s="39">
        <f t="shared" si="0"/>
        <v>0</v>
      </c>
    </row>
    <row r="52" spans="1:5" ht="15" hidden="1" x14ac:dyDescent="0.45">
      <c r="A52" s="16" t="s">
        <v>45</v>
      </c>
      <c r="B52" s="16" t="s">
        <v>3</v>
      </c>
      <c r="C52" s="14">
        <v>0</v>
      </c>
      <c r="D52" s="38"/>
      <c r="E52" s="39">
        <f t="shared" si="0"/>
        <v>0</v>
      </c>
    </row>
    <row r="53" spans="1:5" ht="15" hidden="1" x14ac:dyDescent="0.45">
      <c r="A53" s="16" t="s">
        <v>46</v>
      </c>
      <c r="B53" s="16" t="s">
        <v>3</v>
      </c>
      <c r="C53" s="14">
        <v>0</v>
      </c>
      <c r="D53" s="38"/>
      <c r="E53" s="39">
        <f t="shared" si="0"/>
        <v>0</v>
      </c>
    </row>
    <row r="54" spans="1:5" ht="15" hidden="1" x14ac:dyDescent="0.45">
      <c r="A54" s="16" t="s">
        <v>47</v>
      </c>
      <c r="B54" s="16" t="s">
        <v>27</v>
      </c>
      <c r="C54" s="14">
        <v>0</v>
      </c>
      <c r="D54" s="38"/>
      <c r="E54" s="39">
        <f t="shared" si="0"/>
        <v>0</v>
      </c>
    </row>
    <row r="55" spans="1:5" ht="15" hidden="1" x14ac:dyDescent="0.45">
      <c r="A55" s="16" t="s">
        <v>47</v>
      </c>
      <c r="B55" s="16" t="s">
        <v>3</v>
      </c>
      <c r="C55" s="14">
        <v>0</v>
      </c>
      <c r="D55" s="38"/>
      <c r="E55" s="39">
        <f t="shared" si="0"/>
        <v>0</v>
      </c>
    </row>
    <row r="56" spans="1:5" ht="15" hidden="1" x14ac:dyDescent="0.45">
      <c r="A56" s="16" t="s">
        <v>48</v>
      </c>
      <c r="B56" s="16" t="s">
        <v>3</v>
      </c>
      <c r="C56" s="14">
        <v>0</v>
      </c>
      <c r="D56" s="38"/>
      <c r="E56" s="39">
        <f t="shared" si="0"/>
        <v>0</v>
      </c>
    </row>
    <row r="57" spans="1:5" ht="15" x14ac:dyDescent="0.45">
      <c r="A57" s="16" t="s">
        <v>49</v>
      </c>
      <c r="B57" s="16" t="s">
        <v>3</v>
      </c>
      <c r="C57" s="14">
        <v>20</v>
      </c>
      <c r="D57" s="38">
        <v>7000</v>
      </c>
      <c r="E57" s="39">
        <f t="shared" si="0"/>
        <v>140000</v>
      </c>
    </row>
    <row r="58" spans="1:5" ht="15" hidden="1" x14ac:dyDescent="0.45">
      <c r="A58" s="16" t="s">
        <v>49</v>
      </c>
      <c r="B58" s="16" t="s">
        <v>32</v>
      </c>
      <c r="C58" s="14">
        <v>0</v>
      </c>
      <c r="D58" s="38"/>
      <c r="E58" s="39">
        <f t="shared" si="0"/>
        <v>0</v>
      </c>
    </row>
    <row r="59" spans="1:5" ht="15" x14ac:dyDescent="0.45">
      <c r="A59" s="16" t="s">
        <v>50</v>
      </c>
      <c r="B59" s="16" t="s">
        <v>3</v>
      </c>
      <c r="C59" s="14">
        <v>4</v>
      </c>
      <c r="D59" s="38">
        <v>21000</v>
      </c>
      <c r="E59" s="39">
        <f t="shared" si="0"/>
        <v>84000</v>
      </c>
    </row>
    <row r="60" spans="1:5" ht="15" x14ac:dyDescent="0.45">
      <c r="A60" s="16" t="s">
        <v>51</v>
      </c>
      <c r="B60" s="16" t="s">
        <v>3</v>
      </c>
      <c r="C60" s="14">
        <v>200</v>
      </c>
      <c r="D60" s="38">
        <v>5000</v>
      </c>
      <c r="E60" s="39">
        <f t="shared" si="0"/>
        <v>1000000</v>
      </c>
    </row>
    <row r="61" spans="1:5" ht="15" hidden="1" x14ac:dyDescent="0.45">
      <c r="A61" s="16" t="s">
        <v>51</v>
      </c>
      <c r="B61" s="16" t="s">
        <v>52</v>
      </c>
      <c r="C61" s="14">
        <v>0</v>
      </c>
      <c r="D61" s="38"/>
      <c r="E61" s="39">
        <f t="shared" si="0"/>
        <v>0</v>
      </c>
    </row>
    <row r="62" spans="1:5" ht="15" x14ac:dyDescent="0.45">
      <c r="A62" s="16" t="s">
        <v>53</v>
      </c>
      <c r="B62" s="16" t="s">
        <v>3</v>
      </c>
      <c r="C62" s="14">
        <v>30</v>
      </c>
      <c r="D62" s="38">
        <v>20000</v>
      </c>
      <c r="E62" s="39">
        <f t="shared" si="0"/>
        <v>600000</v>
      </c>
    </row>
    <row r="63" spans="1:5" ht="15" x14ac:dyDescent="0.45">
      <c r="A63" s="16" t="s">
        <v>54</v>
      </c>
      <c r="B63" s="16" t="s">
        <v>32</v>
      </c>
      <c r="C63" s="14">
        <v>60</v>
      </c>
      <c r="D63" s="38">
        <v>1350</v>
      </c>
      <c r="E63" s="39">
        <f t="shared" si="0"/>
        <v>81000</v>
      </c>
    </row>
    <row r="64" spans="1:5" ht="15" x14ac:dyDescent="0.45">
      <c r="A64" s="16" t="s">
        <v>55</v>
      </c>
      <c r="B64" s="16" t="s">
        <v>3</v>
      </c>
      <c r="C64" s="14">
        <v>2700</v>
      </c>
      <c r="D64" s="38">
        <v>26000</v>
      </c>
      <c r="E64" s="39">
        <f t="shared" si="0"/>
        <v>70200000</v>
      </c>
    </row>
    <row r="65" spans="1:5" ht="15" x14ac:dyDescent="0.45">
      <c r="A65" s="16" t="s">
        <v>56</v>
      </c>
      <c r="B65" s="16" t="s">
        <v>3</v>
      </c>
      <c r="C65" s="14">
        <v>950</v>
      </c>
      <c r="D65" s="38">
        <v>26000</v>
      </c>
      <c r="E65" s="39">
        <f t="shared" si="0"/>
        <v>24700000</v>
      </c>
    </row>
    <row r="66" spans="1:5" ht="15" x14ac:dyDescent="0.45">
      <c r="A66" s="16" t="s">
        <v>57</v>
      </c>
      <c r="B66" s="16" t="s">
        <v>3</v>
      </c>
      <c r="C66" s="14">
        <v>220</v>
      </c>
      <c r="D66" s="38">
        <v>15000</v>
      </c>
      <c r="E66" s="39">
        <f t="shared" si="0"/>
        <v>3300000</v>
      </c>
    </row>
    <row r="67" spans="1:5" ht="15" x14ac:dyDescent="0.45">
      <c r="A67" s="16" t="s">
        <v>58</v>
      </c>
      <c r="B67" s="16" t="s">
        <v>3</v>
      </c>
      <c r="C67" s="14">
        <v>47</v>
      </c>
      <c r="D67" s="38">
        <v>22000</v>
      </c>
      <c r="E67" s="39">
        <f t="shared" ref="E67:E123" si="1">+D67*C67</f>
        <v>1034000</v>
      </c>
    </row>
    <row r="68" spans="1:5" ht="15" hidden="1" x14ac:dyDescent="0.45">
      <c r="A68" s="16" t="s">
        <v>138</v>
      </c>
      <c r="B68" s="16" t="s">
        <v>3</v>
      </c>
      <c r="C68" s="14">
        <v>0</v>
      </c>
      <c r="D68" s="38"/>
      <c r="E68" s="39">
        <f t="shared" si="1"/>
        <v>0</v>
      </c>
    </row>
    <row r="69" spans="1:5" ht="15" hidden="1" x14ac:dyDescent="0.45">
      <c r="A69" s="16" t="s">
        <v>59</v>
      </c>
      <c r="B69" s="16" t="s">
        <v>3</v>
      </c>
      <c r="C69" s="14">
        <v>0</v>
      </c>
      <c r="D69" s="38"/>
      <c r="E69" s="39">
        <f t="shared" si="1"/>
        <v>0</v>
      </c>
    </row>
    <row r="70" spans="1:5" ht="15" hidden="1" x14ac:dyDescent="0.45">
      <c r="A70" s="16" t="s">
        <v>59</v>
      </c>
      <c r="B70" s="16" t="s">
        <v>32</v>
      </c>
      <c r="C70" s="14">
        <v>0</v>
      </c>
      <c r="D70" s="38"/>
      <c r="E70" s="39">
        <f t="shared" si="1"/>
        <v>0</v>
      </c>
    </row>
    <row r="71" spans="1:5" ht="15" hidden="1" x14ac:dyDescent="0.45">
      <c r="A71" s="16" t="s">
        <v>60</v>
      </c>
      <c r="B71" s="16" t="s">
        <v>3</v>
      </c>
      <c r="C71" s="14">
        <v>0</v>
      </c>
      <c r="D71" s="38"/>
      <c r="E71" s="39">
        <f t="shared" si="1"/>
        <v>0</v>
      </c>
    </row>
    <row r="72" spans="1:5" ht="15" x14ac:dyDescent="0.45">
      <c r="A72" s="16" t="s">
        <v>61</v>
      </c>
      <c r="B72" s="16" t="s">
        <v>3</v>
      </c>
      <c r="C72" s="14">
        <v>110</v>
      </c>
      <c r="D72" s="38">
        <v>12300</v>
      </c>
      <c r="E72" s="39">
        <f t="shared" si="1"/>
        <v>1353000</v>
      </c>
    </row>
    <row r="73" spans="1:5" ht="15" hidden="1" x14ac:dyDescent="0.45">
      <c r="A73" s="16" t="s">
        <v>61</v>
      </c>
      <c r="B73" s="16" t="s">
        <v>32</v>
      </c>
      <c r="C73" s="14">
        <v>0</v>
      </c>
      <c r="D73" s="38"/>
      <c r="E73" s="39">
        <f t="shared" si="1"/>
        <v>0</v>
      </c>
    </row>
    <row r="74" spans="1:5" ht="15" x14ac:dyDescent="0.45">
      <c r="A74" s="16" t="s">
        <v>62</v>
      </c>
      <c r="B74" s="16" t="s">
        <v>32</v>
      </c>
      <c r="C74" s="14">
        <v>30</v>
      </c>
      <c r="D74" s="38">
        <v>5000</v>
      </c>
      <c r="E74" s="39">
        <f t="shared" si="1"/>
        <v>150000</v>
      </c>
    </row>
    <row r="75" spans="1:5" ht="15" x14ac:dyDescent="0.45">
      <c r="A75" s="16" t="s">
        <v>63</v>
      </c>
      <c r="B75" s="16" t="s">
        <v>3</v>
      </c>
      <c r="C75" s="14">
        <v>15</v>
      </c>
      <c r="D75" s="38">
        <v>10000</v>
      </c>
      <c r="E75" s="39">
        <f t="shared" si="1"/>
        <v>150000</v>
      </c>
    </row>
    <row r="76" spans="1:5" ht="15" x14ac:dyDescent="0.45">
      <c r="A76" s="16" t="s">
        <v>64</v>
      </c>
      <c r="B76" s="16" t="s">
        <v>32</v>
      </c>
      <c r="C76" s="14">
        <v>36</v>
      </c>
      <c r="D76" s="38">
        <v>6000</v>
      </c>
      <c r="E76" s="39">
        <f t="shared" si="1"/>
        <v>216000</v>
      </c>
    </row>
    <row r="77" spans="1:5" ht="15" hidden="1" x14ac:dyDescent="0.45">
      <c r="A77" s="16" t="s">
        <v>65</v>
      </c>
      <c r="B77" s="16" t="s">
        <v>3</v>
      </c>
      <c r="C77" s="14">
        <v>0</v>
      </c>
      <c r="D77" s="38"/>
      <c r="E77" s="39">
        <f t="shared" si="1"/>
        <v>0</v>
      </c>
    </row>
    <row r="78" spans="1:5" ht="15" x14ac:dyDescent="0.45">
      <c r="A78" s="16" t="s">
        <v>65</v>
      </c>
      <c r="B78" s="16" t="s">
        <v>32</v>
      </c>
      <c r="C78" s="14">
        <v>10</v>
      </c>
      <c r="D78" s="38">
        <v>6000</v>
      </c>
      <c r="E78" s="39">
        <f t="shared" si="1"/>
        <v>60000</v>
      </c>
    </row>
    <row r="79" spans="1:5" ht="15" hidden="1" x14ac:dyDescent="0.45">
      <c r="A79" s="16" t="s">
        <v>66</v>
      </c>
      <c r="B79" s="16" t="s">
        <v>3</v>
      </c>
      <c r="C79" s="14">
        <v>0</v>
      </c>
      <c r="D79" s="38"/>
      <c r="E79" s="39">
        <f t="shared" si="1"/>
        <v>0</v>
      </c>
    </row>
    <row r="80" spans="1:5" ht="15" hidden="1" x14ac:dyDescent="0.45">
      <c r="A80" s="16" t="s">
        <v>68</v>
      </c>
      <c r="B80" s="16" t="s">
        <v>3</v>
      </c>
      <c r="C80" s="14">
        <v>0</v>
      </c>
      <c r="D80" s="38"/>
      <c r="E80" s="39">
        <f t="shared" si="1"/>
        <v>0</v>
      </c>
    </row>
    <row r="81" spans="1:5" ht="15" hidden="1" x14ac:dyDescent="0.45">
      <c r="A81" s="16" t="s">
        <v>69</v>
      </c>
      <c r="B81" s="16" t="s">
        <v>3</v>
      </c>
      <c r="C81" s="14">
        <v>0</v>
      </c>
      <c r="D81" s="38"/>
      <c r="E81" s="39">
        <f t="shared" si="1"/>
        <v>0</v>
      </c>
    </row>
    <row r="82" spans="1:5" ht="15" hidden="1" x14ac:dyDescent="0.45">
      <c r="A82" s="16" t="s">
        <v>111</v>
      </c>
      <c r="B82" s="16" t="s">
        <v>32</v>
      </c>
      <c r="C82" s="14">
        <v>0</v>
      </c>
      <c r="D82" s="38"/>
      <c r="E82" s="39">
        <f t="shared" si="1"/>
        <v>0</v>
      </c>
    </row>
    <row r="83" spans="1:5" ht="15" hidden="1" x14ac:dyDescent="0.45">
      <c r="A83" s="16" t="s">
        <v>70</v>
      </c>
      <c r="B83" s="16" t="s">
        <v>3</v>
      </c>
      <c r="C83" s="14">
        <v>0</v>
      </c>
      <c r="D83" s="38"/>
      <c r="E83" s="39">
        <f t="shared" si="1"/>
        <v>0</v>
      </c>
    </row>
    <row r="84" spans="1:5" ht="15" x14ac:dyDescent="0.45">
      <c r="A84" s="16" t="s">
        <v>70</v>
      </c>
      <c r="B84" s="16" t="s">
        <v>18</v>
      </c>
      <c r="C84" s="14">
        <v>200</v>
      </c>
      <c r="D84" s="38">
        <v>6500</v>
      </c>
      <c r="E84" s="39">
        <f t="shared" si="1"/>
        <v>1300000</v>
      </c>
    </row>
    <row r="85" spans="1:5" ht="15" hidden="1" x14ac:dyDescent="0.45">
      <c r="A85" s="16" t="s">
        <v>71</v>
      </c>
      <c r="B85" s="16" t="s">
        <v>3</v>
      </c>
      <c r="C85" s="14">
        <v>0</v>
      </c>
      <c r="D85" s="38"/>
      <c r="E85" s="39">
        <f t="shared" si="1"/>
        <v>0</v>
      </c>
    </row>
    <row r="86" spans="1:5" ht="15" x14ac:dyDescent="0.45">
      <c r="A86" s="16" t="s">
        <v>72</v>
      </c>
      <c r="B86" s="16" t="s">
        <v>3</v>
      </c>
      <c r="C86" s="14">
        <v>50</v>
      </c>
      <c r="D86" s="38">
        <v>12000</v>
      </c>
      <c r="E86" s="39">
        <f t="shared" si="1"/>
        <v>600000</v>
      </c>
    </row>
    <row r="87" spans="1:5" ht="15" x14ac:dyDescent="0.45">
      <c r="A87" s="16" t="s">
        <v>73</v>
      </c>
      <c r="B87" s="16" t="s">
        <v>3</v>
      </c>
      <c r="C87" s="14">
        <v>70</v>
      </c>
      <c r="D87" s="38">
        <v>10000</v>
      </c>
      <c r="E87" s="39">
        <f t="shared" si="1"/>
        <v>700000</v>
      </c>
    </row>
    <row r="88" spans="1:5" ht="15" hidden="1" x14ac:dyDescent="0.45">
      <c r="A88" s="16" t="s">
        <v>73</v>
      </c>
      <c r="B88" s="16" t="s">
        <v>44</v>
      </c>
      <c r="C88" s="14">
        <v>0</v>
      </c>
      <c r="D88" s="38"/>
      <c r="E88" s="39">
        <f t="shared" si="1"/>
        <v>0</v>
      </c>
    </row>
    <row r="89" spans="1:5" ht="15" hidden="1" x14ac:dyDescent="0.45">
      <c r="A89" s="16" t="s">
        <v>139</v>
      </c>
      <c r="B89" s="16" t="s">
        <v>3</v>
      </c>
      <c r="C89" s="14">
        <v>0</v>
      </c>
      <c r="D89" s="38"/>
      <c r="E89" s="39">
        <f t="shared" si="1"/>
        <v>0</v>
      </c>
    </row>
    <row r="90" spans="1:5" ht="15" hidden="1" x14ac:dyDescent="0.45">
      <c r="A90" s="16" t="s">
        <v>74</v>
      </c>
      <c r="B90" s="16" t="s">
        <v>32</v>
      </c>
      <c r="C90" s="14">
        <v>0</v>
      </c>
      <c r="D90" s="38"/>
      <c r="E90" s="39">
        <f t="shared" si="1"/>
        <v>0</v>
      </c>
    </row>
    <row r="91" spans="1:5" ht="15" x14ac:dyDescent="0.45">
      <c r="A91" s="16" t="s">
        <v>75</v>
      </c>
      <c r="B91" s="16" t="s">
        <v>3</v>
      </c>
      <c r="C91" s="14">
        <v>7</v>
      </c>
      <c r="D91" s="38">
        <v>14000</v>
      </c>
      <c r="E91" s="39">
        <f t="shared" si="1"/>
        <v>98000</v>
      </c>
    </row>
    <row r="92" spans="1:5" ht="15" hidden="1" x14ac:dyDescent="0.45">
      <c r="A92" s="16" t="s">
        <v>76</v>
      </c>
      <c r="B92" s="16" t="s">
        <v>27</v>
      </c>
      <c r="C92" s="14">
        <v>0</v>
      </c>
      <c r="D92" s="38"/>
      <c r="E92" s="39">
        <f t="shared" si="1"/>
        <v>0</v>
      </c>
    </row>
    <row r="93" spans="1:5" ht="15" x14ac:dyDescent="0.45">
      <c r="A93" s="16" t="s">
        <v>76</v>
      </c>
      <c r="B93" s="16" t="s">
        <v>3</v>
      </c>
      <c r="C93" s="14">
        <v>176</v>
      </c>
      <c r="D93" s="38">
        <v>59000</v>
      </c>
      <c r="E93" s="39">
        <f t="shared" si="1"/>
        <v>10384000</v>
      </c>
    </row>
    <row r="94" spans="1:5" ht="15" hidden="1" x14ac:dyDescent="0.45">
      <c r="A94" s="16" t="s">
        <v>76</v>
      </c>
      <c r="B94" s="16" t="s">
        <v>77</v>
      </c>
      <c r="C94" s="14">
        <v>0</v>
      </c>
      <c r="D94" s="38"/>
      <c r="E94" s="39">
        <f t="shared" si="1"/>
        <v>0</v>
      </c>
    </row>
    <row r="95" spans="1:5" ht="15" hidden="1" x14ac:dyDescent="0.45">
      <c r="A95" s="16" t="s">
        <v>79</v>
      </c>
      <c r="B95" s="16" t="s">
        <v>18</v>
      </c>
      <c r="C95" s="14">
        <v>0</v>
      </c>
      <c r="D95" s="38"/>
      <c r="E95" s="39">
        <f t="shared" si="1"/>
        <v>0</v>
      </c>
    </row>
    <row r="96" spans="1:5" ht="15" hidden="1" x14ac:dyDescent="0.45">
      <c r="A96" s="16" t="s">
        <v>80</v>
      </c>
      <c r="B96" s="16" t="s">
        <v>27</v>
      </c>
      <c r="C96" s="14">
        <v>0</v>
      </c>
      <c r="D96" s="38"/>
      <c r="E96" s="39">
        <f t="shared" si="1"/>
        <v>0</v>
      </c>
    </row>
    <row r="97" spans="1:5" ht="15" x14ac:dyDescent="0.45">
      <c r="A97" s="16" t="s">
        <v>80</v>
      </c>
      <c r="B97" s="16" t="s">
        <v>3</v>
      </c>
      <c r="C97" s="14">
        <v>3</v>
      </c>
      <c r="D97" s="38">
        <v>38000</v>
      </c>
      <c r="E97" s="39">
        <f t="shared" si="1"/>
        <v>114000</v>
      </c>
    </row>
    <row r="98" spans="1:5" ht="15" x14ac:dyDescent="0.45">
      <c r="A98" s="16" t="s">
        <v>81</v>
      </c>
      <c r="B98" s="16" t="s">
        <v>3</v>
      </c>
      <c r="C98" s="14">
        <v>225</v>
      </c>
      <c r="D98" s="38">
        <v>40000</v>
      </c>
      <c r="E98" s="39">
        <f t="shared" si="1"/>
        <v>9000000</v>
      </c>
    </row>
    <row r="99" spans="1:5" ht="15" hidden="1" x14ac:dyDescent="0.45">
      <c r="A99" s="16" t="s">
        <v>81</v>
      </c>
      <c r="B99" s="16" t="s">
        <v>11</v>
      </c>
      <c r="C99" s="14">
        <v>0</v>
      </c>
      <c r="D99" s="38"/>
      <c r="E99" s="39">
        <f t="shared" si="1"/>
        <v>0</v>
      </c>
    </row>
    <row r="100" spans="1:5" ht="15" x14ac:dyDescent="0.45">
      <c r="A100" s="16" t="s">
        <v>82</v>
      </c>
      <c r="B100" s="16" t="s">
        <v>3</v>
      </c>
      <c r="C100" s="14">
        <v>35</v>
      </c>
      <c r="D100" s="38">
        <v>30000</v>
      </c>
      <c r="E100" s="39">
        <f t="shared" si="1"/>
        <v>1050000</v>
      </c>
    </row>
    <row r="101" spans="1:5" ht="15" x14ac:dyDescent="0.45">
      <c r="A101" s="16" t="s">
        <v>83</v>
      </c>
      <c r="B101" s="16" t="s">
        <v>3</v>
      </c>
      <c r="C101" s="14">
        <v>40</v>
      </c>
      <c r="D101" s="38">
        <v>40000</v>
      </c>
      <c r="E101" s="39">
        <f t="shared" si="1"/>
        <v>1600000</v>
      </c>
    </row>
    <row r="102" spans="1:5" ht="15" hidden="1" x14ac:dyDescent="0.45">
      <c r="A102" s="16" t="s">
        <v>83</v>
      </c>
      <c r="B102" s="16" t="s">
        <v>11</v>
      </c>
      <c r="C102" s="14">
        <v>0</v>
      </c>
      <c r="D102" s="38"/>
      <c r="E102" s="39">
        <f t="shared" si="1"/>
        <v>0</v>
      </c>
    </row>
    <row r="103" spans="1:5" ht="15" x14ac:dyDescent="0.45">
      <c r="A103" s="16" t="s">
        <v>85</v>
      </c>
      <c r="B103" s="16" t="s">
        <v>3</v>
      </c>
      <c r="C103" s="14">
        <v>80</v>
      </c>
      <c r="D103" s="38">
        <v>32000</v>
      </c>
      <c r="E103" s="39">
        <f t="shared" si="1"/>
        <v>2560000</v>
      </c>
    </row>
    <row r="104" spans="1:5" ht="15" hidden="1" x14ac:dyDescent="0.45">
      <c r="A104" s="16" t="s">
        <v>85</v>
      </c>
      <c r="B104" s="16" t="s">
        <v>11</v>
      </c>
      <c r="C104" s="14">
        <v>0</v>
      </c>
      <c r="D104" s="38"/>
      <c r="E104" s="39">
        <f t="shared" si="1"/>
        <v>0</v>
      </c>
    </row>
    <row r="105" spans="1:5" ht="15" x14ac:dyDescent="0.45">
      <c r="A105" s="16" t="s">
        <v>113</v>
      </c>
      <c r="B105" s="16" t="s">
        <v>3</v>
      </c>
      <c r="C105" s="14">
        <v>25</v>
      </c>
      <c r="D105" s="38">
        <v>26000</v>
      </c>
      <c r="E105" s="39">
        <f t="shared" si="1"/>
        <v>650000</v>
      </c>
    </row>
    <row r="106" spans="1:5" ht="15" x14ac:dyDescent="0.45">
      <c r="A106" s="16" t="s">
        <v>86</v>
      </c>
      <c r="B106" s="16" t="s">
        <v>32</v>
      </c>
      <c r="C106" s="14">
        <v>50</v>
      </c>
      <c r="D106" s="38">
        <v>17000</v>
      </c>
      <c r="E106" s="39">
        <f t="shared" si="1"/>
        <v>850000</v>
      </c>
    </row>
    <row r="107" spans="1:5" ht="15" hidden="1" x14ac:dyDescent="0.45">
      <c r="A107" s="16" t="s">
        <v>87</v>
      </c>
      <c r="B107" s="16" t="s">
        <v>32</v>
      </c>
      <c r="C107" s="14">
        <v>0</v>
      </c>
      <c r="D107" s="38"/>
      <c r="E107" s="39">
        <f t="shared" si="1"/>
        <v>0</v>
      </c>
    </row>
    <row r="108" spans="1:5" ht="15" hidden="1" x14ac:dyDescent="0.45">
      <c r="A108" s="16" t="s">
        <v>88</v>
      </c>
      <c r="B108" s="16" t="s">
        <v>3</v>
      </c>
      <c r="C108" s="14">
        <v>0</v>
      </c>
      <c r="D108" s="38"/>
      <c r="E108" s="39">
        <f t="shared" si="1"/>
        <v>0</v>
      </c>
    </row>
    <row r="109" spans="1:5" ht="15" hidden="1" x14ac:dyDescent="0.45">
      <c r="A109" s="16" t="s">
        <v>89</v>
      </c>
      <c r="B109" s="16" t="s">
        <v>11</v>
      </c>
      <c r="C109" s="14">
        <v>0</v>
      </c>
      <c r="D109" s="38"/>
      <c r="E109" s="39">
        <f t="shared" si="1"/>
        <v>0</v>
      </c>
    </row>
    <row r="110" spans="1:5" ht="15" hidden="1" x14ac:dyDescent="0.45">
      <c r="A110" s="16" t="s">
        <v>141</v>
      </c>
      <c r="B110" s="16" t="s">
        <v>3</v>
      </c>
      <c r="C110" s="14">
        <v>0</v>
      </c>
      <c r="D110" s="38"/>
      <c r="E110" s="39">
        <f t="shared" si="1"/>
        <v>0</v>
      </c>
    </row>
    <row r="111" spans="1:5" ht="15" hidden="1" x14ac:dyDescent="0.45">
      <c r="A111" s="16" t="s">
        <v>125</v>
      </c>
      <c r="B111" s="16" t="s">
        <v>3</v>
      </c>
      <c r="C111" s="14">
        <v>0</v>
      </c>
      <c r="D111" s="38"/>
      <c r="E111" s="39">
        <f t="shared" si="1"/>
        <v>0</v>
      </c>
    </row>
    <row r="112" spans="1:5" ht="15" x14ac:dyDescent="0.45">
      <c r="A112" s="16" t="s">
        <v>91</v>
      </c>
      <c r="B112" s="16" t="s">
        <v>3</v>
      </c>
      <c r="C112" s="14">
        <v>10</v>
      </c>
      <c r="D112" s="38">
        <v>10000</v>
      </c>
      <c r="E112" s="39">
        <f t="shared" si="1"/>
        <v>100000</v>
      </c>
    </row>
    <row r="113" spans="1:5" ht="15" x14ac:dyDescent="0.45">
      <c r="A113" s="16" t="s">
        <v>92</v>
      </c>
      <c r="B113" s="16" t="s">
        <v>3</v>
      </c>
      <c r="C113" s="14">
        <v>70</v>
      </c>
      <c r="D113" s="38">
        <v>5000</v>
      </c>
      <c r="E113" s="39">
        <f t="shared" si="1"/>
        <v>350000</v>
      </c>
    </row>
    <row r="114" spans="1:5" ht="15" hidden="1" x14ac:dyDescent="0.45">
      <c r="A114" s="16" t="s">
        <v>93</v>
      </c>
      <c r="B114" s="16" t="s">
        <v>3</v>
      </c>
      <c r="C114" s="14">
        <v>0</v>
      </c>
      <c r="D114" s="38"/>
      <c r="E114" s="39">
        <f t="shared" si="1"/>
        <v>0</v>
      </c>
    </row>
    <row r="115" spans="1:5" ht="15" x14ac:dyDescent="0.45">
      <c r="A115" s="16" t="s">
        <v>94</v>
      </c>
      <c r="B115" s="16" t="s">
        <v>3</v>
      </c>
      <c r="C115" s="14">
        <v>20</v>
      </c>
      <c r="D115" s="38">
        <v>13000</v>
      </c>
      <c r="E115" s="39">
        <f t="shared" si="1"/>
        <v>260000</v>
      </c>
    </row>
    <row r="116" spans="1:5" ht="15" hidden="1" x14ac:dyDescent="0.45">
      <c r="A116" s="16" t="s">
        <v>96</v>
      </c>
      <c r="B116" s="16" t="s">
        <v>3</v>
      </c>
      <c r="C116" s="14">
        <v>0</v>
      </c>
      <c r="D116" s="38"/>
      <c r="E116" s="39">
        <f t="shared" si="1"/>
        <v>0</v>
      </c>
    </row>
    <row r="117" spans="1:5" ht="15" x14ac:dyDescent="0.45">
      <c r="A117" s="16" t="s">
        <v>97</v>
      </c>
      <c r="B117" s="16" t="s">
        <v>44</v>
      </c>
      <c r="C117" s="14">
        <v>50</v>
      </c>
      <c r="D117" s="38">
        <v>6800</v>
      </c>
      <c r="E117" s="39">
        <f t="shared" si="1"/>
        <v>340000</v>
      </c>
    </row>
    <row r="118" spans="1:5" ht="15" hidden="1" x14ac:dyDescent="0.45">
      <c r="A118" s="16" t="s">
        <v>98</v>
      </c>
      <c r="B118" s="16" t="s">
        <v>3</v>
      </c>
      <c r="C118" s="14">
        <v>0</v>
      </c>
      <c r="D118" s="38"/>
      <c r="E118" s="39">
        <f t="shared" si="1"/>
        <v>0</v>
      </c>
    </row>
    <row r="119" spans="1:5" ht="15" hidden="1" x14ac:dyDescent="0.45">
      <c r="A119" s="16" t="s">
        <v>99</v>
      </c>
      <c r="B119" s="16" t="s">
        <v>44</v>
      </c>
      <c r="C119" s="14">
        <v>0</v>
      </c>
      <c r="D119" s="38"/>
      <c r="E119" s="39">
        <f t="shared" si="1"/>
        <v>0</v>
      </c>
    </row>
    <row r="120" spans="1:5" ht="15" hidden="1" x14ac:dyDescent="0.45">
      <c r="A120" s="16" t="s">
        <v>126</v>
      </c>
      <c r="B120" s="16" t="s">
        <v>3</v>
      </c>
      <c r="C120" s="14">
        <v>0</v>
      </c>
      <c r="D120" s="38"/>
      <c r="E120" s="39">
        <f t="shared" si="1"/>
        <v>0</v>
      </c>
    </row>
    <row r="121" spans="1:5" ht="15" hidden="1" x14ac:dyDescent="0.45">
      <c r="A121" s="16" t="s">
        <v>114</v>
      </c>
      <c r="B121" s="16" t="s">
        <v>3</v>
      </c>
      <c r="C121" s="14">
        <v>0</v>
      </c>
      <c r="D121" s="38"/>
      <c r="E121" s="39">
        <f t="shared" si="1"/>
        <v>0</v>
      </c>
    </row>
    <row r="122" spans="1:5" ht="15" x14ac:dyDescent="0.45">
      <c r="A122" s="16" t="s">
        <v>100</v>
      </c>
      <c r="B122" s="16" t="s">
        <v>3</v>
      </c>
      <c r="C122" s="14">
        <v>8</v>
      </c>
      <c r="D122" s="38">
        <v>25000</v>
      </c>
      <c r="E122" s="39">
        <f t="shared" si="1"/>
        <v>200000</v>
      </c>
    </row>
    <row r="123" spans="1:5" ht="15" x14ac:dyDescent="0.45">
      <c r="A123" s="16" t="s">
        <v>101</v>
      </c>
      <c r="B123" s="16" t="s">
        <v>44</v>
      </c>
      <c r="C123" s="14">
        <v>20</v>
      </c>
      <c r="D123" s="38">
        <v>6800</v>
      </c>
      <c r="E123" s="39">
        <f t="shared" si="1"/>
        <v>136000</v>
      </c>
    </row>
    <row r="124" spans="1:5" ht="15" x14ac:dyDescent="0.45">
      <c r="A124" s="16"/>
      <c r="B124" s="16">
        <v>0</v>
      </c>
      <c r="C124" s="14">
        <v>9854</v>
      </c>
      <c r="D124" s="38"/>
      <c r="E124" s="39">
        <f>SUM(E2:E123)</f>
        <v>158388500</v>
      </c>
    </row>
  </sheetData>
  <autoFilter ref="A1:E124" xr:uid="{00000000-0009-0000-0000-000010000000}">
    <filterColumn colId="2">
      <filters>
        <filter val="10"/>
        <filter val="110"/>
        <filter val="12"/>
        <filter val="140"/>
        <filter val="15"/>
        <filter val="170"/>
        <filter val="176"/>
        <filter val="180"/>
        <filter val="2,140"/>
        <filter val="2,700"/>
        <filter val="20"/>
        <filter val="200"/>
        <filter val="220"/>
        <filter val="225"/>
        <filter val="25"/>
        <filter val="3"/>
        <filter val="30"/>
        <filter val="315"/>
        <filter val="32"/>
        <filter val="35"/>
        <filter val="36"/>
        <filter val="4"/>
        <filter val="40"/>
        <filter val="410"/>
        <filter val="43"/>
        <filter val="47"/>
        <filter val="5"/>
        <filter val="50"/>
        <filter val="500"/>
        <filter val="55"/>
        <filter val="60"/>
        <filter val="7"/>
        <filter val="70"/>
        <filter val="8"/>
        <filter val="80"/>
        <filter val="9,854"/>
        <filter val="950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E119"/>
  <sheetViews>
    <sheetView workbookViewId="0">
      <selection activeCell="G11" sqref="G11"/>
    </sheetView>
  </sheetViews>
  <sheetFormatPr defaultColWidth="8.86328125" defaultRowHeight="14.25" x14ac:dyDescent="0.45"/>
  <cols>
    <col min="1" max="1" width="26.19921875" style="12" bestFit="1" customWidth="1"/>
    <col min="2" max="3" width="8.86328125" style="12"/>
    <col min="4" max="4" width="13.796875" style="12" customWidth="1"/>
    <col min="5" max="5" width="15.06640625" style="12" customWidth="1"/>
    <col min="6" max="16384" width="8.86328125" style="12"/>
  </cols>
  <sheetData>
    <row r="1" spans="1:5" ht="60" x14ac:dyDescent="0.45">
      <c r="A1" s="13" t="s">
        <v>0</v>
      </c>
      <c r="B1" s="13" t="s">
        <v>1</v>
      </c>
      <c r="C1" s="14" t="s">
        <v>150</v>
      </c>
      <c r="D1" s="24" t="s">
        <v>151</v>
      </c>
      <c r="E1" s="24" t="s">
        <v>152</v>
      </c>
    </row>
    <row r="2" spans="1:5" ht="15" x14ac:dyDescent="0.45">
      <c r="A2" s="16" t="s">
        <v>2</v>
      </c>
      <c r="B2" s="16" t="s">
        <v>3</v>
      </c>
      <c r="C2" s="14">
        <v>30</v>
      </c>
      <c r="D2" s="38">
        <v>10000</v>
      </c>
      <c r="E2" s="39">
        <f>+D2*C2</f>
        <v>300000</v>
      </c>
    </row>
    <row r="3" spans="1:5" ht="15" x14ac:dyDescent="0.45">
      <c r="A3" s="16" t="s">
        <v>4</v>
      </c>
      <c r="B3" s="16" t="s">
        <v>3</v>
      </c>
      <c r="C3" s="14">
        <v>170</v>
      </c>
      <c r="D3" s="38">
        <v>7000</v>
      </c>
      <c r="E3" s="39">
        <f t="shared" ref="E3:E66" si="0">+D3*C3</f>
        <v>1190000</v>
      </c>
    </row>
    <row r="4" spans="1:5" ht="15" x14ac:dyDescent="0.45">
      <c r="A4" s="16" t="s">
        <v>5</v>
      </c>
      <c r="B4" s="16" t="s">
        <v>3</v>
      </c>
      <c r="C4" s="14">
        <v>960</v>
      </c>
      <c r="D4" s="38">
        <v>3500</v>
      </c>
      <c r="E4" s="39">
        <f t="shared" si="0"/>
        <v>3360000</v>
      </c>
    </row>
    <row r="5" spans="1:5" ht="15" hidden="1" x14ac:dyDescent="0.45">
      <c r="A5" s="16" t="s">
        <v>6</v>
      </c>
      <c r="B5" s="16" t="s">
        <v>3</v>
      </c>
      <c r="C5" s="14">
        <v>0</v>
      </c>
      <c r="D5" s="38"/>
      <c r="E5" s="39">
        <f t="shared" si="0"/>
        <v>0</v>
      </c>
    </row>
    <row r="6" spans="1:5" ht="15" x14ac:dyDescent="0.45">
      <c r="A6" s="16" t="s">
        <v>7</v>
      </c>
      <c r="B6" s="16" t="s">
        <v>3</v>
      </c>
      <c r="C6" s="14">
        <v>9</v>
      </c>
      <c r="D6" s="38">
        <v>6000</v>
      </c>
      <c r="E6" s="39">
        <f t="shared" si="0"/>
        <v>54000</v>
      </c>
    </row>
    <row r="7" spans="1:5" ht="15" x14ac:dyDescent="0.45">
      <c r="A7" s="16" t="s">
        <v>8</v>
      </c>
      <c r="B7" s="16" t="s">
        <v>3</v>
      </c>
      <c r="C7" s="14">
        <v>550</v>
      </c>
      <c r="D7" s="38">
        <v>7000</v>
      </c>
      <c r="E7" s="39">
        <f t="shared" si="0"/>
        <v>3850000</v>
      </c>
    </row>
    <row r="8" spans="1:5" ht="15" hidden="1" x14ac:dyDescent="0.45">
      <c r="A8" s="16" t="s">
        <v>9</v>
      </c>
      <c r="B8" s="16" t="s">
        <v>3</v>
      </c>
      <c r="C8" s="14">
        <v>0</v>
      </c>
      <c r="D8" s="38"/>
      <c r="E8" s="39">
        <f t="shared" si="0"/>
        <v>0</v>
      </c>
    </row>
    <row r="9" spans="1:5" ht="15" x14ac:dyDescent="0.45">
      <c r="A9" s="16" t="s">
        <v>10</v>
      </c>
      <c r="B9" s="16" t="s">
        <v>3</v>
      </c>
      <c r="C9" s="14">
        <v>70</v>
      </c>
      <c r="D9" s="38">
        <v>7000</v>
      </c>
      <c r="E9" s="39">
        <f t="shared" si="0"/>
        <v>490000</v>
      </c>
    </row>
    <row r="10" spans="1:5" ht="15" hidden="1" x14ac:dyDescent="0.45">
      <c r="A10" s="16" t="s">
        <v>10</v>
      </c>
      <c r="B10" s="16" t="s">
        <v>11</v>
      </c>
      <c r="C10" s="14">
        <v>0</v>
      </c>
      <c r="D10" s="38"/>
      <c r="E10" s="39">
        <f t="shared" si="0"/>
        <v>0</v>
      </c>
    </row>
    <row r="11" spans="1:5" ht="15" x14ac:dyDescent="0.45">
      <c r="A11" s="16" t="s">
        <v>12</v>
      </c>
      <c r="B11" s="16" t="s">
        <v>3</v>
      </c>
      <c r="C11" s="14">
        <v>40</v>
      </c>
      <c r="D11" s="38">
        <v>10000</v>
      </c>
      <c r="E11" s="39">
        <f t="shared" si="0"/>
        <v>400000</v>
      </c>
    </row>
    <row r="12" spans="1:5" ht="15" hidden="1" x14ac:dyDescent="0.45">
      <c r="A12" s="16" t="s">
        <v>12</v>
      </c>
      <c r="B12" s="16" t="s">
        <v>11</v>
      </c>
      <c r="C12" s="14">
        <v>0</v>
      </c>
      <c r="D12" s="38"/>
      <c r="E12" s="39">
        <f t="shared" si="0"/>
        <v>0</v>
      </c>
    </row>
    <row r="13" spans="1:5" ht="15" hidden="1" x14ac:dyDescent="0.45">
      <c r="A13" s="16" t="s">
        <v>129</v>
      </c>
      <c r="B13" s="16" t="s">
        <v>3</v>
      </c>
      <c r="C13" s="14">
        <v>0</v>
      </c>
      <c r="D13" s="38"/>
      <c r="E13" s="39">
        <f t="shared" si="0"/>
        <v>0</v>
      </c>
    </row>
    <row r="14" spans="1:5" ht="15" x14ac:dyDescent="0.45">
      <c r="A14" s="16" t="s">
        <v>13</v>
      </c>
      <c r="B14" s="16" t="s">
        <v>3</v>
      </c>
      <c r="C14" s="14">
        <v>33</v>
      </c>
      <c r="D14" s="38">
        <v>35000</v>
      </c>
      <c r="E14" s="39">
        <f t="shared" si="0"/>
        <v>1155000</v>
      </c>
    </row>
    <row r="15" spans="1:5" ht="15" hidden="1" x14ac:dyDescent="0.45">
      <c r="A15" s="16" t="s">
        <v>116</v>
      </c>
      <c r="B15" s="16" t="s">
        <v>3</v>
      </c>
      <c r="C15" s="14">
        <v>0</v>
      </c>
      <c r="D15" s="38"/>
      <c r="E15" s="39">
        <f t="shared" si="0"/>
        <v>0</v>
      </c>
    </row>
    <row r="16" spans="1:5" ht="15" hidden="1" x14ac:dyDescent="0.45">
      <c r="A16" s="16" t="s">
        <v>14</v>
      </c>
      <c r="B16" s="16" t="s">
        <v>3</v>
      </c>
      <c r="C16" s="14">
        <v>0</v>
      </c>
      <c r="D16" s="38"/>
      <c r="E16" s="39">
        <f t="shared" si="0"/>
        <v>0</v>
      </c>
    </row>
    <row r="17" spans="1:5" ht="15" hidden="1" x14ac:dyDescent="0.45">
      <c r="A17" s="16" t="s">
        <v>140</v>
      </c>
      <c r="B17" s="16" t="s">
        <v>3</v>
      </c>
      <c r="C17" s="14">
        <v>0</v>
      </c>
      <c r="D17" s="38"/>
      <c r="E17" s="39">
        <f t="shared" si="0"/>
        <v>0</v>
      </c>
    </row>
    <row r="18" spans="1:5" ht="15" hidden="1" x14ac:dyDescent="0.45">
      <c r="A18" s="16" t="s">
        <v>15</v>
      </c>
      <c r="B18" s="16" t="s">
        <v>3</v>
      </c>
      <c r="C18" s="14">
        <v>0</v>
      </c>
      <c r="D18" s="38"/>
      <c r="E18" s="39">
        <f t="shared" si="0"/>
        <v>0</v>
      </c>
    </row>
    <row r="19" spans="1:5" ht="15" hidden="1" x14ac:dyDescent="0.45">
      <c r="A19" s="16" t="s">
        <v>16</v>
      </c>
      <c r="B19" s="16" t="s">
        <v>3</v>
      </c>
      <c r="C19" s="14">
        <v>0</v>
      </c>
      <c r="D19" s="38"/>
      <c r="E19" s="39">
        <f t="shared" si="0"/>
        <v>0</v>
      </c>
    </row>
    <row r="20" spans="1:5" ht="15" hidden="1" x14ac:dyDescent="0.45">
      <c r="A20" s="16" t="s">
        <v>17</v>
      </c>
      <c r="B20" s="16" t="s">
        <v>18</v>
      </c>
      <c r="C20" s="14">
        <v>0</v>
      </c>
      <c r="D20" s="38"/>
      <c r="E20" s="39">
        <f t="shared" si="0"/>
        <v>0</v>
      </c>
    </row>
    <row r="21" spans="1:5" ht="15" hidden="1" x14ac:dyDescent="0.45">
      <c r="A21" s="16" t="s">
        <v>120</v>
      </c>
      <c r="B21" s="16" t="s">
        <v>44</v>
      </c>
      <c r="C21" s="14">
        <v>0</v>
      </c>
      <c r="D21" s="38"/>
      <c r="E21" s="39">
        <f t="shared" si="0"/>
        <v>0</v>
      </c>
    </row>
    <row r="22" spans="1:5" ht="15" hidden="1" x14ac:dyDescent="0.45">
      <c r="A22" s="16" t="s">
        <v>19</v>
      </c>
      <c r="B22" s="16" t="s">
        <v>3</v>
      </c>
      <c r="C22" s="14">
        <v>0</v>
      </c>
      <c r="D22" s="38"/>
      <c r="E22" s="39">
        <f t="shared" si="0"/>
        <v>0</v>
      </c>
    </row>
    <row r="23" spans="1:5" ht="15" x14ac:dyDescent="0.45">
      <c r="A23" s="16" t="s">
        <v>20</v>
      </c>
      <c r="B23" s="16" t="s">
        <v>3</v>
      </c>
      <c r="C23" s="14">
        <v>15</v>
      </c>
      <c r="D23" s="38">
        <v>8000</v>
      </c>
      <c r="E23" s="39">
        <f t="shared" si="0"/>
        <v>120000</v>
      </c>
    </row>
    <row r="24" spans="1:5" ht="15" hidden="1" x14ac:dyDescent="0.45">
      <c r="A24" s="16" t="s">
        <v>20</v>
      </c>
      <c r="B24" s="16" t="s">
        <v>18</v>
      </c>
      <c r="C24" s="14">
        <v>0</v>
      </c>
      <c r="D24" s="38"/>
      <c r="E24" s="39">
        <f t="shared" si="0"/>
        <v>0</v>
      </c>
    </row>
    <row r="25" spans="1:5" ht="15" hidden="1" x14ac:dyDescent="0.45">
      <c r="A25" s="16" t="s">
        <v>20</v>
      </c>
      <c r="B25" s="16" t="s">
        <v>21</v>
      </c>
      <c r="C25" s="14">
        <v>0</v>
      </c>
      <c r="D25" s="38"/>
      <c r="E25" s="39">
        <f t="shared" si="0"/>
        <v>0</v>
      </c>
    </row>
    <row r="26" spans="1:5" ht="15" hidden="1" x14ac:dyDescent="0.45">
      <c r="A26" s="16" t="s">
        <v>22</v>
      </c>
      <c r="B26" s="16" t="s">
        <v>3</v>
      </c>
      <c r="C26" s="14">
        <v>0</v>
      </c>
      <c r="D26" s="38"/>
      <c r="E26" s="39">
        <f t="shared" si="0"/>
        <v>0</v>
      </c>
    </row>
    <row r="27" spans="1:5" ht="15" x14ac:dyDescent="0.45">
      <c r="A27" s="16" t="s">
        <v>22</v>
      </c>
      <c r="B27" s="16" t="s">
        <v>23</v>
      </c>
      <c r="C27" s="14">
        <v>32</v>
      </c>
      <c r="D27" s="38">
        <v>5500</v>
      </c>
      <c r="E27" s="39">
        <f t="shared" si="0"/>
        <v>176000</v>
      </c>
    </row>
    <row r="28" spans="1:5" ht="15" x14ac:dyDescent="0.45">
      <c r="A28" s="16" t="s">
        <v>24</v>
      </c>
      <c r="B28" s="16" t="s">
        <v>3</v>
      </c>
      <c r="C28" s="14">
        <v>12</v>
      </c>
      <c r="D28" s="38">
        <v>15000</v>
      </c>
      <c r="E28" s="39">
        <f t="shared" si="0"/>
        <v>180000</v>
      </c>
    </row>
    <row r="29" spans="1:5" ht="15" hidden="1" x14ac:dyDescent="0.45">
      <c r="A29" s="16" t="s">
        <v>24</v>
      </c>
      <c r="B29" s="16" t="s">
        <v>25</v>
      </c>
      <c r="C29" s="14">
        <v>0</v>
      </c>
      <c r="D29" s="38"/>
      <c r="E29" s="39">
        <f t="shared" si="0"/>
        <v>0</v>
      </c>
    </row>
    <row r="30" spans="1:5" ht="15" hidden="1" x14ac:dyDescent="0.45">
      <c r="A30" s="16" t="s">
        <v>24</v>
      </c>
      <c r="B30" s="16" t="s">
        <v>117</v>
      </c>
      <c r="C30" s="14">
        <v>0</v>
      </c>
      <c r="D30" s="38"/>
      <c r="E30" s="39">
        <f t="shared" si="0"/>
        <v>0</v>
      </c>
    </row>
    <row r="31" spans="1:5" ht="15" x14ac:dyDescent="0.45">
      <c r="A31" s="16" t="s">
        <v>26</v>
      </c>
      <c r="B31" s="16" t="s">
        <v>27</v>
      </c>
      <c r="C31" s="14">
        <v>20</v>
      </c>
      <c r="D31" s="38">
        <v>10500</v>
      </c>
      <c r="E31" s="39">
        <f t="shared" si="0"/>
        <v>210000</v>
      </c>
    </row>
    <row r="32" spans="1:5" ht="15" hidden="1" x14ac:dyDescent="0.45">
      <c r="A32" s="16" t="s">
        <v>28</v>
      </c>
      <c r="B32" s="16" t="s">
        <v>3</v>
      </c>
      <c r="C32" s="14">
        <v>0</v>
      </c>
      <c r="D32" s="38"/>
      <c r="E32" s="39">
        <f t="shared" si="0"/>
        <v>0</v>
      </c>
    </row>
    <row r="33" spans="1:5" ht="15" hidden="1" x14ac:dyDescent="0.45">
      <c r="A33" s="16" t="s">
        <v>28</v>
      </c>
      <c r="B33" s="16" t="s">
        <v>29</v>
      </c>
      <c r="C33" s="14">
        <v>0</v>
      </c>
      <c r="D33" s="38"/>
      <c r="E33" s="39">
        <f t="shared" si="0"/>
        <v>0</v>
      </c>
    </row>
    <row r="34" spans="1:5" ht="15" x14ac:dyDescent="0.45">
      <c r="A34" s="16" t="s">
        <v>30</v>
      </c>
      <c r="B34" s="16" t="s">
        <v>3</v>
      </c>
      <c r="C34" s="14">
        <v>215</v>
      </c>
      <c r="D34" s="38">
        <v>9000</v>
      </c>
      <c r="E34" s="39">
        <f t="shared" si="0"/>
        <v>1935000</v>
      </c>
    </row>
    <row r="35" spans="1:5" ht="15" hidden="1" x14ac:dyDescent="0.45">
      <c r="A35" s="16" t="s">
        <v>30</v>
      </c>
      <c r="B35" s="16" t="s">
        <v>18</v>
      </c>
      <c r="C35" s="14">
        <v>0</v>
      </c>
      <c r="D35" s="38"/>
      <c r="E35" s="39">
        <f t="shared" si="0"/>
        <v>0</v>
      </c>
    </row>
    <row r="36" spans="1:5" ht="15" x14ac:dyDescent="0.45">
      <c r="A36" s="16" t="s">
        <v>31</v>
      </c>
      <c r="B36" s="16" t="s">
        <v>32</v>
      </c>
      <c r="C36" s="14">
        <v>360</v>
      </c>
      <c r="D36" s="38">
        <v>6000</v>
      </c>
      <c r="E36" s="39">
        <f t="shared" si="0"/>
        <v>2160000</v>
      </c>
    </row>
    <row r="37" spans="1:5" ht="15" x14ac:dyDescent="0.45">
      <c r="A37" s="16" t="s">
        <v>33</v>
      </c>
      <c r="B37" s="16" t="s">
        <v>3</v>
      </c>
      <c r="C37" s="14">
        <v>315</v>
      </c>
      <c r="D37" s="38">
        <v>13000</v>
      </c>
      <c r="E37" s="39">
        <f t="shared" si="0"/>
        <v>4095000</v>
      </c>
    </row>
    <row r="38" spans="1:5" ht="15" hidden="1" x14ac:dyDescent="0.45">
      <c r="A38" s="16" t="s">
        <v>33</v>
      </c>
      <c r="B38" s="16" t="s">
        <v>32</v>
      </c>
      <c r="C38" s="14">
        <v>0</v>
      </c>
      <c r="D38" s="38"/>
      <c r="E38" s="39">
        <f t="shared" si="0"/>
        <v>0</v>
      </c>
    </row>
    <row r="39" spans="1:5" ht="15" hidden="1" x14ac:dyDescent="0.45">
      <c r="A39" s="16" t="s">
        <v>34</v>
      </c>
      <c r="B39" s="16" t="s">
        <v>18</v>
      </c>
      <c r="C39" s="14">
        <v>0</v>
      </c>
      <c r="D39" s="38"/>
      <c r="E39" s="39">
        <f t="shared" si="0"/>
        <v>0</v>
      </c>
    </row>
    <row r="40" spans="1:5" ht="15" x14ac:dyDescent="0.45">
      <c r="A40" s="16" t="s">
        <v>35</v>
      </c>
      <c r="B40" s="16" t="s">
        <v>3</v>
      </c>
      <c r="C40" s="14">
        <v>5</v>
      </c>
      <c r="D40" s="38">
        <v>8000</v>
      </c>
      <c r="E40" s="39">
        <f t="shared" si="0"/>
        <v>40000</v>
      </c>
    </row>
    <row r="41" spans="1:5" ht="15" hidden="1" x14ac:dyDescent="0.45">
      <c r="A41" s="16" t="s">
        <v>35</v>
      </c>
      <c r="B41" s="16" t="s">
        <v>36</v>
      </c>
      <c r="C41" s="14">
        <v>0</v>
      </c>
      <c r="D41" s="38"/>
      <c r="E41" s="39">
        <f t="shared" si="0"/>
        <v>0</v>
      </c>
    </row>
    <row r="42" spans="1:5" ht="15" x14ac:dyDescent="0.45">
      <c r="A42" s="16" t="s">
        <v>37</v>
      </c>
      <c r="B42" s="16" t="s">
        <v>3</v>
      </c>
      <c r="C42" s="14">
        <v>15</v>
      </c>
      <c r="D42" s="38">
        <v>17000</v>
      </c>
      <c r="E42" s="39">
        <f t="shared" si="0"/>
        <v>255000</v>
      </c>
    </row>
    <row r="43" spans="1:5" ht="15" hidden="1" x14ac:dyDescent="0.45">
      <c r="A43" s="16" t="s">
        <v>37</v>
      </c>
      <c r="B43" s="16" t="s">
        <v>32</v>
      </c>
      <c r="C43" s="14">
        <v>0</v>
      </c>
      <c r="D43" s="38"/>
      <c r="E43" s="39">
        <f t="shared" si="0"/>
        <v>0</v>
      </c>
    </row>
    <row r="44" spans="1:5" ht="15" hidden="1" x14ac:dyDescent="0.45">
      <c r="A44" s="16" t="s">
        <v>38</v>
      </c>
      <c r="B44" s="16" t="s">
        <v>32</v>
      </c>
      <c r="C44" s="14">
        <v>0</v>
      </c>
      <c r="D44" s="38"/>
      <c r="E44" s="39">
        <f t="shared" si="0"/>
        <v>0</v>
      </c>
    </row>
    <row r="45" spans="1:5" ht="15" x14ac:dyDescent="0.45">
      <c r="A45" s="16" t="s">
        <v>39</v>
      </c>
      <c r="B45" s="16" t="s">
        <v>32</v>
      </c>
      <c r="C45" s="14">
        <v>10</v>
      </c>
      <c r="D45" s="38">
        <v>5000</v>
      </c>
      <c r="E45" s="39">
        <f t="shared" si="0"/>
        <v>50000</v>
      </c>
    </row>
    <row r="46" spans="1:5" ht="15" hidden="1" x14ac:dyDescent="0.45">
      <c r="A46" s="16" t="s">
        <v>39</v>
      </c>
      <c r="B46" s="16" t="s">
        <v>153</v>
      </c>
      <c r="C46" s="14">
        <v>0</v>
      </c>
      <c r="D46" s="38"/>
      <c r="E46" s="39">
        <f t="shared" si="0"/>
        <v>0</v>
      </c>
    </row>
    <row r="47" spans="1:5" ht="15" x14ac:dyDescent="0.45">
      <c r="A47" s="16" t="s">
        <v>40</v>
      </c>
      <c r="B47" s="16" t="s">
        <v>3</v>
      </c>
      <c r="C47" s="14">
        <v>40</v>
      </c>
      <c r="D47" s="38">
        <v>4500</v>
      </c>
      <c r="E47" s="39">
        <f t="shared" si="0"/>
        <v>180000</v>
      </c>
    </row>
    <row r="48" spans="1:5" ht="15" hidden="1" x14ac:dyDescent="0.45">
      <c r="A48" s="16" t="s">
        <v>41</v>
      </c>
      <c r="B48" s="16" t="s">
        <v>3</v>
      </c>
      <c r="C48" s="14">
        <v>0</v>
      </c>
      <c r="D48" s="38"/>
      <c r="E48" s="39">
        <f t="shared" si="0"/>
        <v>0</v>
      </c>
    </row>
    <row r="49" spans="1:5" ht="15" x14ac:dyDescent="0.45">
      <c r="A49" s="16" t="s">
        <v>43</v>
      </c>
      <c r="B49" s="16" t="s">
        <v>3</v>
      </c>
      <c r="C49" s="14">
        <v>65</v>
      </c>
      <c r="D49" s="38">
        <v>10000</v>
      </c>
      <c r="E49" s="39">
        <f t="shared" si="0"/>
        <v>650000</v>
      </c>
    </row>
    <row r="50" spans="1:5" ht="15" hidden="1" x14ac:dyDescent="0.45">
      <c r="A50" s="16" t="s">
        <v>43</v>
      </c>
      <c r="B50" s="16" t="s">
        <v>44</v>
      </c>
      <c r="C50" s="14">
        <v>0</v>
      </c>
      <c r="D50" s="38"/>
      <c r="E50" s="39">
        <f t="shared" si="0"/>
        <v>0</v>
      </c>
    </row>
    <row r="51" spans="1:5" ht="15" hidden="1" x14ac:dyDescent="0.45">
      <c r="A51" s="16" t="s">
        <v>45</v>
      </c>
      <c r="B51" s="16" t="s">
        <v>3</v>
      </c>
      <c r="C51" s="14">
        <v>0</v>
      </c>
      <c r="D51" s="38"/>
      <c r="E51" s="39">
        <f t="shared" si="0"/>
        <v>0</v>
      </c>
    </row>
    <row r="52" spans="1:5" ht="15" hidden="1" x14ac:dyDescent="0.45">
      <c r="A52" s="16" t="s">
        <v>46</v>
      </c>
      <c r="B52" s="16" t="s">
        <v>3</v>
      </c>
      <c r="C52" s="14">
        <v>0</v>
      </c>
      <c r="D52" s="38"/>
      <c r="E52" s="39">
        <f t="shared" si="0"/>
        <v>0</v>
      </c>
    </row>
    <row r="53" spans="1:5" ht="15" hidden="1" x14ac:dyDescent="0.45">
      <c r="A53" s="16" t="s">
        <v>47</v>
      </c>
      <c r="B53" s="16" t="s">
        <v>27</v>
      </c>
      <c r="C53" s="14">
        <v>0</v>
      </c>
      <c r="D53" s="38"/>
      <c r="E53" s="39">
        <f t="shared" si="0"/>
        <v>0</v>
      </c>
    </row>
    <row r="54" spans="1:5" ht="15" hidden="1" x14ac:dyDescent="0.45">
      <c r="A54" s="16" t="s">
        <v>48</v>
      </c>
      <c r="B54" s="16" t="s">
        <v>3</v>
      </c>
      <c r="C54" s="14">
        <v>0</v>
      </c>
      <c r="D54" s="38"/>
      <c r="E54" s="39">
        <f t="shared" si="0"/>
        <v>0</v>
      </c>
    </row>
    <row r="55" spans="1:5" ht="15" x14ac:dyDescent="0.45">
      <c r="A55" s="16" t="s">
        <v>49</v>
      </c>
      <c r="B55" s="16" t="s">
        <v>3</v>
      </c>
      <c r="C55" s="14">
        <v>65</v>
      </c>
      <c r="D55" s="38">
        <v>7000</v>
      </c>
      <c r="E55" s="39">
        <f t="shared" si="0"/>
        <v>455000</v>
      </c>
    </row>
    <row r="56" spans="1:5" ht="15" hidden="1" x14ac:dyDescent="0.45">
      <c r="A56" s="16" t="s">
        <v>49</v>
      </c>
      <c r="B56" s="16" t="s">
        <v>32</v>
      </c>
      <c r="C56" s="14">
        <v>0</v>
      </c>
      <c r="D56" s="38"/>
      <c r="E56" s="39">
        <f t="shared" si="0"/>
        <v>0</v>
      </c>
    </row>
    <row r="57" spans="1:5" ht="15" x14ac:dyDescent="0.45">
      <c r="A57" s="16" t="s">
        <v>50</v>
      </c>
      <c r="B57" s="16" t="s">
        <v>3</v>
      </c>
      <c r="C57" s="14">
        <v>22</v>
      </c>
      <c r="D57" s="38">
        <v>21000</v>
      </c>
      <c r="E57" s="39">
        <f t="shared" si="0"/>
        <v>462000</v>
      </c>
    </row>
    <row r="58" spans="1:5" ht="15" x14ac:dyDescent="0.45">
      <c r="A58" s="16" t="s">
        <v>51</v>
      </c>
      <c r="B58" s="16" t="s">
        <v>3</v>
      </c>
      <c r="C58" s="14">
        <v>300</v>
      </c>
      <c r="D58" s="38">
        <v>5000</v>
      </c>
      <c r="E58" s="39">
        <f t="shared" si="0"/>
        <v>1500000</v>
      </c>
    </row>
    <row r="59" spans="1:5" ht="15" hidden="1" x14ac:dyDescent="0.45">
      <c r="A59" s="16" t="s">
        <v>51</v>
      </c>
      <c r="B59" s="16" t="s">
        <v>52</v>
      </c>
      <c r="C59" s="14">
        <v>0</v>
      </c>
      <c r="D59" s="38"/>
      <c r="E59" s="39">
        <f t="shared" si="0"/>
        <v>0</v>
      </c>
    </row>
    <row r="60" spans="1:5" ht="15" x14ac:dyDescent="0.45">
      <c r="A60" s="16" t="s">
        <v>53</v>
      </c>
      <c r="B60" s="16" t="s">
        <v>3</v>
      </c>
      <c r="C60" s="14">
        <v>30</v>
      </c>
      <c r="D60" s="38">
        <v>20000</v>
      </c>
      <c r="E60" s="39">
        <f t="shared" si="0"/>
        <v>600000</v>
      </c>
    </row>
    <row r="61" spans="1:5" ht="15" hidden="1" x14ac:dyDescent="0.45">
      <c r="A61" s="16" t="s">
        <v>54</v>
      </c>
      <c r="B61" s="16" t="s">
        <v>32</v>
      </c>
      <c r="C61" s="14">
        <v>0</v>
      </c>
      <c r="D61" s="38"/>
      <c r="E61" s="39">
        <f t="shared" si="0"/>
        <v>0</v>
      </c>
    </row>
    <row r="62" spans="1:5" ht="15" x14ac:dyDescent="0.45">
      <c r="A62" s="16" t="s">
        <v>55</v>
      </c>
      <c r="B62" s="16" t="s">
        <v>3</v>
      </c>
      <c r="C62" s="14">
        <v>2350</v>
      </c>
      <c r="D62" s="38">
        <v>26000</v>
      </c>
      <c r="E62" s="39">
        <f t="shared" si="0"/>
        <v>61100000</v>
      </c>
    </row>
    <row r="63" spans="1:5" ht="15" x14ac:dyDescent="0.45">
      <c r="A63" s="16" t="s">
        <v>56</v>
      </c>
      <c r="B63" s="16" t="s">
        <v>3</v>
      </c>
      <c r="C63" s="14">
        <v>850</v>
      </c>
      <c r="D63" s="38">
        <v>26000</v>
      </c>
      <c r="E63" s="39">
        <f t="shared" si="0"/>
        <v>22100000</v>
      </c>
    </row>
    <row r="64" spans="1:5" ht="15" x14ac:dyDescent="0.45">
      <c r="A64" s="16" t="s">
        <v>57</v>
      </c>
      <c r="B64" s="16" t="s">
        <v>3</v>
      </c>
      <c r="C64" s="14">
        <v>360</v>
      </c>
      <c r="D64" s="38">
        <v>15000</v>
      </c>
      <c r="E64" s="39">
        <f t="shared" si="0"/>
        <v>5400000</v>
      </c>
    </row>
    <row r="65" spans="1:5" ht="15" x14ac:dyDescent="0.45">
      <c r="A65" s="16" t="s">
        <v>58</v>
      </c>
      <c r="B65" s="16" t="s">
        <v>3</v>
      </c>
      <c r="C65" s="14">
        <v>32</v>
      </c>
      <c r="D65" s="38">
        <v>22000</v>
      </c>
      <c r="E65" s="39">
        <f t="shared" si="0"/>
        <v>704000</v>
      </c>
    </row>
    <row r="66" spans="1:5" ht="15" hidden="1" x14ac:dyDescent="0.45">
      <c r="A66" s="16" t="s">
        <v>138</v>
      </c>
      <c r="B66" s="16" t="s">
        <v>3</v>
      </c>
      <c r="C66" s="14">
        <v>0</v>
      </c>
      <c r="D66" s="38"/>
      <c r="E66" s="39">
        <f t="shared" si="0"/>
        <v>0</v>
      </c>
    </row>
    <row r="67" spans="1:5" ht="15" hidden="1" x14ac:dyDescent="0.45">
      <c r="A67" s="16" t="s">
        <v>59</v>
      </c>
      <c r="B67" s="16" t="s">
        <v>32</v>
      </c>
      <c r="C67" s="14">
        <v>0</v>
      </c>
      <c r="D67" s="38"/>
      <c r="E67" s="39">
        <f t="shared" ref="E67:E118" si="1">+D67*C67</f>
        <v>0</v>
      </c>
    </row>
    <row r="68" spans="1:5" ht="15" x14ac:dyDescent="0.45">
      <c r="A68" s="16" t="s">
        <v>61</v>
      </c>
      <c r="B68" s="16" t="s">
        <v>3</v>
      </c>
      <c r="C68" s="14">
        <v>660</v>
      </c>
      <c r="D68" s="38">
        <v>12300</v>
      </c>
      <c r="E68" s="39">
        <f t="shared" si="1"/>
        <v>8118000</v>
      </c>
    </row>
    <row r="69" spans="1:5" ht="15" hidden="1" x14ac:dyDescent="0.45">
      <c r="A69" s="16" t="s">
        <v>61</v>
      </c>
      <c r="B69" s="16" t="s">
        <v>32</v>
      </c>
      <c r="C69" s="14">
        <v>0</v>
      </c>
      <c r="D69" s="38"/>
      <c r="E69" s="39">
        <f t="shared" si="1"/>
        <v>0</v>
      </c>
    </row>
    <row r="70" spans="1:5" ht="15" x14ac:dyDescent="0.45">
      <c r="A70" s="16" t="s">
        <v>62</v>
      </c>
      <c r="B70" s="16" t="s">
        <v>32</v>
      </c>
      <c r="C70" s="14">
        <v>100</v>
      </c>
      <c r="D70" s="38">
        <v>5000</v>
      </c>
      <c r="E70" s="39">
        <f t="shared" si="1"/>
        <v>500000</v>
      </c>
    </row>
    <row r="71" spans="1:5" ht="15" x14ac:dyDescent="0.45">
      <c r="A71" s="16" t="s">
        <v>63</v>
      </c>
      <c r="B71" s="16" t="s">
        <v>3</v>
      </c>
      <c r="C71" s="14">
        <v>5</v>
      </c>
      <c r="D71" s="38">
        <v>10000</v>
      </c>
      <c r="E71" s="39">
        <f t="shared" si="1"/>
        <v>50000</v>
      </c>
    </row>
    <row r="72" spans="1:5" ht="15" x14ac:dyDescent="0.45">
      <c r="A72" s="16" t="s">
        <v>64</v>
      </c>
      <c r="B72" s="16" t="s">
        <v>32</v>
      </c>
      <c r="C72" s="14">
        <v>26</v>
      </c>
      <c r="D72" s="38">
        <v>6000</v>
      </c>
      <c r="E72" s="39">
        <f t="shared" si="1"/>
        <v>156000</v>
      </c>
    </row>
    <row r="73" spans="1:5" ht="15" hidden="1" x14ac:dyDescent="0.45">
      <c r="A73" s="16" t="s">
        <v>65</v>
      </c>
      <c r="B73" s="16" t="s">
        <v>3</v>
      </c>
      <c r="C73" s="14">
        <v>0</v>
      </c>
      <c r="D73" s="38"/>
      <c r="E73" s="39">
        <f t="shared" si="1"/>
        <v>0</v>
      </c>
    </row>
    <row r="74" spans="1:5" ht="15" x14ac:dyDescent="0.45">
      <c r="A74" s="16" t="s">
        <v>65</v>
      </c>
      <c r="B74" s="16" t="s">
        <v>32</v>
      </c>
      <c r="C74" s="14">
        <v>33</v>
      </c>
      <c r="D74" s="38">
        <v>6000</v>
      </c>
      <c r="E74" s="39">
        <f t="shared" si="1"/>
        <v>198000</v>
      </c>
    </row>
    <row r="75" spans="1:5" ht="15" hidden="1" x14ac:dyDescent="0.45">
      <c r="A75" s="16" t="s">
        <v>66</v>
      </c>
      <c r="B75" s="16" t="s">
        <v>3</v>
      </c>
      <c r="C75" s="14">
        <v>0</v>
      </c>
      <c r="D75" s="38"/>
      <c r="E75" s="39">
        <f t="shared" si="1"/>
        <v>0</v>
      </c>
    </row>
    <row r="76" spans="1:5" ht="15" hidden="1" x14ac:dyDescent="0.45">
      <c r="A76" s="16" t="s">
        <v>68</v>
      </c>
      <c r="B76" s="16" t="s">
        <v>3</v>
      </c>
      <c r="C76" s="14">
        <v>0</v>
      </c>
      <c r="D76" s="38"/>
      <c r="E76" s="39">
        <f t="shared" si="1"/>
        <v>0</v>
      </c>
    </row>
    <row r="77" spans="1:5" ht="15" hidden="1" x14ac:dyDescent="0.45">
      <c r="A77" s="16" t="s">
        <v>69</v>
      </c>
      <c r="B77" s="16" t="s">
        <v>3</v>
      </c>
      <c r="C77" s="14">
        <v>0</v>
      </c>
      <c r="D77" s="38"/>
      <c r="E77" s="39">
        <f t="shared" si="1"/>
        <v>0</v>
      </c>
    </row>
    <row r="78" spans="1:5" ht="15" hidden="1" x14ac:dyDescent="0.45">
      <c r="A78" s="16" t="s">
        <v>70</v>
      </c>
      <c r="B78" s="16" t="s">
        <v>3</v>
      </c>
      <c r="C78" s="14">
        <v>0</v>
      </c>
      <c r="D78" s="38"/>
      <c r="E78" s="39">
        <f t="shared" si="1"/>
        <v>0</v>
      </c>
    </row>
    <row r="79" spans="1:5" ht="15" x14ac:dyDescent="0.45">
      <c r="A79" s="16" t="s">
        <v>70</v>
      </c>
      <c r="B79" s="16" t="s">
        <v>18</v>
      </c>
      <c r="C79" s="14">
        <v>260</v>
      </c>
      <c r="D79" s="38">
        <v>6500</v>
      </c>
      <c r="E79" s="39">
        <f t="shared" si="1"/>
        <v>1690000</v>
      </c>
    </row>
    <row r="80" spans="1:5" ht="15" hidden="1" x14ac:dyDescent="0.45">
      <c r="A80" s="16" t="s">
        <v>71</v>
      </c>
      <c r="B80" s="16" t="s">
        <v>3</v>
      </c>
      <c r="C80" s="14">
        <v>0</v>
      </c>
      <c r="D80" s="38"/>
      <c r="E80" s="39">
        <f t="shared" si="1"/>
        <v>0</v>
      </c>
    </row>
    <row r="81" spans="1:5" ht="15" hidden="1" x14ac:dyDescent="0.45">
      <c r="A81" s="16" t="s">
        <v>72</v>
      </c>
      <c r="B81" s="16" t="s">
        <v>3</v>
      </c>
      <c r="C81" s="14">
        <v>0</v>
      </c>
      <c r="D81" s="38"/>
      <c r="E81" s="39">
        <f t="shared" si="1"/>
        <v>0</v>
      </c>
    </row>
    <row r="82" spans="1:5" ht="15" x14ac:dyDescent="0.45">
      <c r="A82" s="16" t="s">
        <v>73</v>
      </c>
      <c r="B82" s="16" t="s">
        <v>3</v>
      </c>
      <c r="C82" s="14">
        <v>100</v>
      </c>
      <c r="D82" s="38">
        <v>10000</v>
      </c>
      <c r="E82" s="39">
        <f t="shared" si="1"/>
        <v>1000000</v>
      </c>
    </row>
    <row r="83" spans="1:5" ht="15" hidden="1" x14ac:dyDescent="0.45">
      <c r="A83" s="16" t="s">
        <v>73</v>
      </c>
      <c r="B83" s="16" t="s">
        <v>44</v>
      </c>
      <c r="C83" s="14">
        <v>0</v>
      </c>
      <c r="D83" s="38"/>
      <c r="E83" s="39">
        <f t="shared" si="1"/>
        <v>0</v>
      </c>
    </row>
    <row r="84" spans="1:5" ht="15" hidden="1" x14ac:dyDescent="0.45">
      <c r="A84" s="16" t="s">
        <v>139</v>
      </c>
      <c r="B84" s="16" t="s">
        <v>3</v>
      </c>
      <c r="C84" s="14">
        <v>0</v>
      </c>
      <c r="D84" s="38"/>
      <c r="E84" s="39">
        <f t="shared" si="1"/>
        <v>0</v>
      </c>
    </row>
    <row r="85" spans="1:5" ht="15" hidden="1" x14ac:dyDescent="0.45">
      <c r="A85" s="16" t="s">
        <v>108</v>
      </c>
      <c r="B85" s="16" t="s">
        <v>3</v>
      </c>
      <c r="C85" s="14">
        <v>0</v>
      </c>
      <c r="D85" s="38"/>
      <c r="E85" s="39">
        <f t="shared" si="1"/>
        <v>0</v>
      </c>
    </row>
    <row r="86" spans="1:5" ht="15" hidden="1" x14ac:dyDescent="0.45">
      <c r="A86" s="16" t="s">
        <v>74</v>
      </c>
      <c r="B86" s="16" t="s">
        <v>32</v>
      </c>
      <c r="C86" s="14">
        <v>0</v>
      </c>
      <c r="D86" s="38"/>
      <c r="E86" s="39">
        <f t="shared" si="1"/>
        <v>0</v>
      </c>
    </row>
    <row r="87" spans="1:5" ht="15" hidden="1" x14ac:dyDescent="0.45">
      <c r="A87" s="16" t="s">
        <v>75</v>
      </c>
      <c r="B87" s="16" t="s">
        <v>3</v>
      </c>
      <c r="C87" s="14">
        <v>0</v>
      </c>
      <c r="D87" s="38"/>
      <c r="E87" s="39">
        <f t="shared" si="1"/>
        <v>0</v>
      </c>
    </row>
    <row r="88" spans="1:5" ht="15" x14ac:dyDescent="0.45">
      <c r="A88" s="16" t="s">
        <v>76</v>
      </c>
      <c r="B88" s="16" t="s">
        <v>3</v>
      </c>
      <c r="C88" s="14">
        <v>60</v>
      </c>
      <c r="D88" s="38">
        <v>59000</v>
      </c>
      <c r="E88" s="39">
        <f t="shared" si="1"/>
        <v>3540000</v>
      </c>
    </row>
    <row r="89" spans="1:5" ht="15" hidden="1" x14ac:dyDescent="0.45">
      <c r="A89" s="16" t="s">
        <v>76</v>
      </c>
      <c r="B89" s="16" t="s">
        <v>77</v>
      </c>
      <c r="C89" s="14">
        <v>0</v>
      </c>
      <c r="D89" s="38"/>
      <c r="E89" s="39">
        <f t="shared" si="1"/>
        <v>0</v>
      </c>
    </row>
    <row r="90" spans="1:5" ht="15" hidden="1" x14ac:dyDescent="0.45">
      <c r="A90" s="16" t="s">
        <v>79</v>
      </c>
      <c r="B90" s="16" t="s">
        <v>18</v>
      </c>
      <c r="C90" s="14">
        <v>0</v>
      </c>
      <c r="D90" s="38"/>
      <c r="E90" s="39">
        <f t="shared" si="1"/>
        <v>0</v>
      </c>
    </row>
    <row r="91" spans="1:5" ht="15" hidden="1" x14ac:dyDescent="0.45">
      <c r="A91" s="16" t="s">
        <v>80</v>
      </c>
      <c r="B91" s="16" t="s">
        <v>27</v>
      </c>
      <c r="C91" s="14">
        <v>0</v>
      </c>
      <c r="D91" s="38"/>
      <c r="E91" s="39">
        <f t="shared" si="1"/>
        <v>0</v>
      </c>
    </row>
    <row r="92" spans="1:5" ht="15" x14ac:dyDescent="0.45">
      <c r="A92" s="16" t="s">
        <v>80</v>
      </c>
      <c r="B92" s="16" t="s">
        <v>3</v>
      </c>
      <c r="C92" s="14">
        <v>8</v>
      </c>
      <c r="D92" s="38">
        <v>38000</v>
      </c>
      <c r="E92" s="39">
        <f t="shared" si="1"/>
        <v>304000</v>
      </c>
    </row>
    <row r="93" spans="1:5" ht="15" x14ac:dyDescent="0.45">
      <c r="A93" s="16" t="s">
        <v>81</v>
      </c>
      <c r="B93" s="16" t="s">
        <v>3</v>
      </c>
      <c r="C93" s="14">
        <v>45</v>
      </c>
      <c r="D93" s="38">
        <v>40000</v>
      </c>
      <c r="E93" s="39">
        <f t="shared" si="1"/>
        <v>1800000</v>
      </c>
    </row>
    <row r="94" spans="1:5" ht="15" hidden="1" x14ac:dyDescent="0.45">
      <c r="A94" s="16" t="s">
        <v>81</v>
      </c>
      <c r="B94" s="16" t="s">
        <v>11</v>
      </c>
      <c r="C94" s="14">
        <v>0</v>
      </c>
      <c r="D94" s="38"/>
      <c r="E94" s="39">
        <f t="shared" si="1"/>
        <v>0</v>
      </c>
    </row>
    <row r="95" spans="1:5" ht="15" x14ac:dyDescent="0.45">
      <c r="A95" s="16" t="s">
        <v>82</v>
      </c>
      <c r="B95" s="16" t="s">
        <v>3</v>
      </c>
      <c r="C95" s="14">
        <v>40</v>
      </c>
      <c r="D95" s="38">
        <v>30000</v>
      </c>
      <c r="E95" s="39">
        <f t="shared" si="1"/>
        <v>1200000</v>
      </c>
    </row>
    <row r="96" spans="1:5" ht="15" x14ac:dyDescent="0.45">
      <c r="A96" s="16" t="s">
        <v>83</v>
      </c>
      <c r="B96" s="16" t="s">
        <v>3</v>
      </c>
      <c r="C96" s="14">
        <v>55</v>
      </c>
      <c r="D96" s="38">
        <v>40000</v>
      </c>
      <c r="E96" s="39">
        <f t="shared" si="1"/>
        <v>2200000</v>
      </c>
    </row>
    <row r="97" spans="1:5" ht="15" hidden="1" x14ac:dyDescent="0.45">
      <c r="A97" s="16" t="s">
        <v>83</v>
      </c>
      <c r="B97" s="16" t="s">
        <v>11</v>
      </c>
      <c r="C97" s="14">
        <v>0</v>
      </c>
      <c r="D97" s="38"/>
      <c r="E97" s="39">
        <f t="shared" si="1"/>
        <v>0</v>
      </c>
    </row>
    <row r="98" spans="1:5" ht="15" x14ac:dyDescent="0.45">
      <c r="A98" s="16" t="s">
        <v>84</v>
      </c>
      <c r="B98" s="16" t="s">
        <v>3</v>
      </c>
      <c r="C98" s="14">
        <v>10</v>
      </c>
      <c r="D98" s="38">
        <v>30000</v>
      </c>
      <c r="E98" s="39">
        <f t="shared" si="1"/>
        <v>300000</v>
      </c>
    </row>
    <row r="99" spans="1:5" ht="15" x14ac:dyDescent="0.45">
      <c r="A99" s="16" t="s">
        <v>85</v>
      </c>
      <c r="B99" s="16" t="s">
        <v>3</v>
      </c>
      <c r="C99" s="14">
        <v>25</v>
      </c>
      <c r="D99" s="38">
        <v>32000</v>
      </c>
      <c r="E99" s="39">
        <f t="shared" si="1"/>
        <v>800000</v>
      </c>
    </row>
    <row r="100" spans="1:5" ht="15" hidden="1" x14ac:dyDescent="0.45">
      <c r="A100" s="16" t="s">
        <v>85</v>
      </c>
      <c r="B100" s="16" t="s">
        <v>11</v>
      </c>
      <c r="C100" s="14">
        <v>0</v>
      </c>
      <c r="D100" s="38"/>
      <c r="E100" s="39">
        <f t="shared" si="1"/>
        <v>0</v>
      </c>
    </row>
    <row r="101" spans="1:5" ht="15" x14ac:dyDescent="0.45">
      <c r="A101" s="16" t="s">
        <v>113</v>
      </c>
      <c r="B101" s="16" t="s">
        <v>3</v>
      </c>
      <c r="C101" s="14">
        <v>25</v>
      </c>
      <c r="D101" s="38">
        <v>26000</v>
      </c>
      <c r="E101" s="39">
        <f t="shared" si="1"/>
        <v>650000</v>
      </c>
    </row>
    <row r="102" spans="1:5" ht="15" hidden="1" x14ac:dyDescent="0.45">
      <c r="A102" s="16" t="s">
        <v>86</v>
      </c>
      <c r="B102" s="16" t="s">
        <v>3</v>
      </c>
      <c r="C102" s="14">
        <v>0</v>
      </c>
      <c r="D102" s="38"/>
      <c r="E102" s="39">
        <f t="shared" si="1"/>
        <v>0</v>
      </c>
    </row>
    <row r="103" spans="1:5" ht="15" hidden="1" x14ac:dyDescent="0.45">
      <c r="A103" s="16" t="s">
        <v>86</v>
      </c>
      <c r="B103" s="16" t="s">
        <v>32</v>
      </c>
      <c r="C103" s="14">
        <v>0</v>
      </c>
      <c r="D103" s="38"/>
      <c r="E103" s="39">
        <f t="shared" si="1"/>
        <v>0</v>
      </c>
    </row>
    <row r="104" spans="1:5" ht="15" x14ac:dyDescent="0.45">
      <c r="A104" s="16" t="s">
        <v>109</v>
      </c>
      <c r="B104" s="16" t="s">
        <v>3</v>
      </c>
      <c r="C104" s="14">
        <v>18</v>
      </c>
      <c r="D104" s="38">
        <v>21000</v>
      </c>
      <c r="E104" s="39">
        <f t="shared" si="1"/>
        <v>378000</v>
      </c>
    </row>
    <row r="105" spans="1:5" ht="15" hidden="1" x14ac:dyDescent="0.45">
      <c r="A105" s="16" t="s">
        <v>87</v>
      </c>
      <c r="B105" s="16" t="s">
        <v>32</v>
      </c>
      <c r="C105" s="14">
        <v>0</v>
      </c>
      <c r="D105" s="38"/>
      <c r="E105" s="39">
        <f t="shared" si="1"/>
        <v>0</v>
      </c>
    </row>
    <row r="106" spans="1:5" ht="15" hidden="1" x14ac:dyDescent="0.45">
      <c r="A106" s="16" t="s">
        <v>133</v>
      </c>
      <c r="B106" s="16" t="s">
        <v>3</v>
      </c>
      <c r="C106" s="14">
        <v>0</v>
      </c>
      <c r="D106" s="38"/>
      <c r="E106" s="39">
        <f t="shared" si="1"/>
        <v>0</v>
      </c>
    </row>
    <row r="107" spans="1:5" ht="15" hidden="1" x14ac:dyDescent="0.45">
      <c r="A107" s="16" t="s">
        <v>89</v>
      </c>
      <c r="B107" s="16" t="s">
        <v>11</v>
      </c>
      <c r="C107" s="14">
        <v>0</v>
      </c>
      <c r="D107" s="38"/>
      <c r="E107" s="39">
        <f t="shared" si="1"/>
        <v>0</v>
      </c>
    </row>
    <row r="108" spans="1:5" ht="15" hidden="1" x14ac:dyDescent="0.45">
      <c r="A108" s="16" t="s">
        <v>141</v>
      </c>
      <c r="B108" s="16" t="s">
        <v>3</v>
      </c>
      <c r="C108" s="14">
        <v>0</v>
      </c>
      <c r="D108" s="38"/>
      <c r="E108" s="39">
        <f t="shared" si="1"/>
        <v>0</v>
      </c>
    </row>
    <row r="109" spans="1:5" ht="15" x14ac:dyDescent="0.45">
      <c r="A109" s="16" t="s">
        <v>91</v>
      </c>
      <c r="B109" s="16" t="s">
        <v>3</v>
      </c>
      <c r="C109" s="14">
        <v>8</v>
      </c>
      <c r="D109" s="38">
        <v>10000</v>
      </c>
      <c r="E109" s="39">
        <f t="shared" si="1"/>
        <v>80000</v>
      </c>
    </row>
    <row r="110" spans="1:5" ht="15" hidden="1" x14ac:dyDescent="0.45">
      <c r="A110" s="16" t="s">
        <v>92</v>
      </c>
      <c r="B110" s="16" t="s">
        <v>3</v>
      </c>
      <c r="C110" s="14">
        <v>0</v>
      </c>
      <c r="D110" s="38"/>
      <c r="E110" s="39">
        <f t="shared" si="1"/>
        <v>0</v>
      </c>
    </row>
    <row r="111" spans="1:5" ht="15" hidden="1" x14ac:dyDescent="0.45">
      <c r="A111" s="16" t="s">
        <v>94</v>
      </c>
      <c r="B111" s="16" t="s">
        <v>3</v>
      </c>
      <c r="C111" s="14">
        <v>0</v>
      </c>
      <c r="D111" s="38"/>
      <c r="E111" s="39">
        <f t="shared" si="1"/>
        <v>0</v>
      </c>
    </row>
    <row r="112" spans="1:5" ht="15" hidden="1" x14ac:dyDescent="0.45">
      <c r="A112" s="16" t="s">
        <v>96</v>
      </c>
      <c r="B112" s="16" t="s">
        <v>3</v>
      </c>
      <c r="C112" s="14">
        <v>0</v>
      </c>
      <c r="D112" s="38"/>
      <c r="E112" s="39">
        <f t="shared" si="1"/>
        <v>0</v>
      </c>
    </row>
    <row r="113" spans="1:5" ht="15" hidden="1" x14ac:dyDescent="0.45">
      <c r="A113" s="16" t="s">
        <v>97</v>
      </c>
      <c r="B113" s="16" t="s">
        <v>44</v>
      </c>
      <c r="C113" s="14">
        <v>0</v>
      </c>
      <c r="D113" s="38"/>
      <c r="E113" s="39">
        <f t="shared" si="1"/>
        <v>0</v>
      </c>
    </row>
    <row r="114" spans="1:5" ht="15" hidden="1" x14ac:dyDescent="0.45">
      <c r="A114" s="16" t="s">
        <v>98</v>
      </c>
      <c r="B114" s="16" t="s">
        <v>3</v>
      </c>
      <c r="C114" s="14">
        <v>0</v>
      </c>
      <c r="D114" s="38"/>
      <c r="E114" s="39">
        <f t="shared" si="1"/>
        <v>0</v>
      </c>
    </row>
    <row r="115" spans="1:5" ht="15" hidden="1" x14ac:dyDescent="0.45">
      <c r="A115" s="16" t="s">
        <v>99</v>
      </c>
      <c r="B115" s="16" t="s">
        <v>44</v>
      </c>
      <c r="C115" s="14">
        <v>0</v>
      </c>
      <c r="D115" s="38"/>
      <c r="E115" s="39">
        <f t="shared" si="1"/>
        <v>0</v>
      </c>
    </row>
    <row r="116" spans="1:5" ht="15" hidden="1" x14ac:dyDescent="0.45">
      <c r="A116" s="16" t="s">
        <v>114</v>
      </c>
      <c r="B116" s="16" t="s">
        <v>3</v>
      </c>
      <c r="C116" s="14">
        <v>0</v>
      </c>
      <c r="D116" s="38"/>
      <c r="E116" s="39">
        <f t="shared" si="1"/>
        <v>0</v>
      </c>
    </row>
    <row r="117" spans="1:5" ht="15" x14ac:dyDescent="0.45">
      <c r="A117" s="16" t="s">
        <v>100</v>
      </c>
      <c r="B117" s="16" t="s">
        <v>3</v>
      </c>
      <c r="C117" s="14">
        <v>12</v>
      </c>
      <c r="D117" s="38">
        <v>25000</v>
      </c>
      <c r="E117" s="39">
        <f t="shared" si="1"/>
        <v>300000</v>
      </c>
    </row>
    <row r="118" spans="1:5" ht="15" hidden="1" x14ac:dyDescent="0.45">
      <c r="A118" s="16" t="s">
        <v>101</v>
      </c>
      <c r="B118" s="16" t="s">
        <v>44</v>
      </c>
      <c r="C118" s="14">
        <v>0</v>
      </c>
      <c r="D118" s="38"/>
      <c r="E118" s="39">
        <f t="shared" si="1"/>
        <v>0</v>
      </c>
    </row>
    <row r="119" spans="1:5" ht="15" x14ac:dyDescent="0.45">
      <c r="A119" s="16" t="e">
        <v>#N/A</v>
      </c>
      <c r="B119" s="16">
        <v>0</v>
      </c>
      <c r="C119" s="14">
        <v>8465</v>
      </c>
      <c r="D119" s="38"/>
      <c r="E119" s="39">
        <f>SUM(E2:E118)</f>
        <v>136435000</v>
      </c>
    </row>
  </sheetData>
  <autoFilter ref="A1:E119" xr:uid="{00000000-0009-0000-0000-000011000000}">
    <filterColumn colId="2">
      <filters>
        <filter val="10"/>
        <filter val="100"/>
        <filter val="12"/>
        <filter val="15"/>
        <filter val="170"/>
        <filter val="18"/>
        <filter val="2,350"/>
        <filter val="20"/>
        <filter val="215"/>
        <filter val="22"/>
        <filter val="25"/>
        <filter val="26"/>
        <filter val="260"/>
        <filter val="30"/>
        <filter val="300"/>
        <filter val="315"/>
        <filter val="32"/>
        <filter val="33"/>
        <filter val="360"/>
        <filter val="40"/>
        <filter val="45"/>
        <filter val="5"/>
        <filter val="55"/>
        <filter val="550"/>
        <filter val="60"/>
        <filter val="65"/>
        <filter val="660"/>
        <filter val="70"/>
        <filter val="8"/>
        <filter val="8,465"/>
        <filter val="850"/>
        <filter val="9"/>
        <filter val="960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E108"/>
  <sheetViews>
    <sheetView workbookViewId="0">
      <selection activeCell="G12" sqref="G12"/>
    </sheetView>
  </sheetViews>
  <sheetFormatPr defaultRowHeight="14.25" x14ac:dyDescent="0.45"/>
  <cols>
    <col min="1" max="1" width="25.06640625" customWidth="1"/>
    <col min="4" max="4" width="11.6640625" customWidth="1"/>
    <col min="5" max="5" width="16.19921875" customWidth="1"/>
  </cols>
  <sheetData>
    <row r="1" spans="1:5" x14ac:dyDescent="0.45">
      <c r="A1" t="s">
        <v>154</v>
      </c>
    </row>
    <row r="2" spans="1:5" ht="55.8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20</v>
      </c>
      <c r="D3" s="2">
        <v>10000</v>
      </c>
      <c r="E3" s="6">
        <f>C3*D3</f>
        <v>200000</v>
      </c>
    </row>
    <row r="4" spans="1:5" ht="15" x14ac:dyDescent="0.45">
      <c r="A4" s="5" t="s">
        <v>4</v>
      </c>
      <c r="B4" s="5" t="s">
        <v>3</v>
      </c>
      <c r="C4" s="2">
        <v>435</v>
      </c>
      <c r="D4" s="2">
        <v>6000</v>
      </c>
      <c r="E4" s="6">
        <f t="shared" ref="E4:E67" si="0">C4*D4</f>
        <v>2610000</v>
      </c>
    </row>
    <row r="5" spans="1:5" ht="15" x14ac:dyDescent="0.45">
      <c r="A5" s="5" t="s">
        <v>5</v>
      </c>
      <c r="B5" s="5" t="s">
        <v>3</v>
      </c>
      <c r="C5" s="2">
        <v>195</v>
      </c>
      <c r="D5" s="2">
        <v>3500</v>
      </c>
      <c r="E5" s="6">
        <f t="shared" si="0"/>
        <v>682500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5" ht="15" hidden="1" x14ac:dyDescent="0.45">
      <c r="A7" s="5" t="s">
        <v>7</v>
      </c>
      <c r="B7" s="5" t="s">
        <v>3</v>
      </c>
      <c r="C7" s="2">
        <v>0</v>
      </c>
      <c r="D7" s="2"/>
      <c r="E7" s="6">
        <f t="shared" si="0"/>
        <v>0</v>
      </c>
    </row>
    <row r="8" spans="1:5" ht="15" x14ac:dyDescent="0.45">
      <c r="A8" s="5" t="s">
        <v>8</v>
      </c>
      <c r="B8" s="5" t="s">
        <v>3</v>
      </c>
      <c r="C8" s="2">
        <v>1100</v>
      </c>
      <c r="D8" s="2">
        <v>7000</v>
      </c>
      <c r="E8" s="6">
        <f t="shared" si="0"/>
        <v>7700000</v>
      </c>
    </row>
    <row r="9" spans="1:5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5" ht="15" x14ac:dyDescent="0.45">
      <c r="A10" s="5" t="s">
        <v>10</v>
      </c>
      <c r="B10" s="5" t="s">
        <v>3</v>
      </c>
      <c r="C10" s="2">
        <v>80</v>
      </c>
      <c r="D10" s="2">
        <v>7000</v>
      </c>
      <c r="E10" s="6">
        <f t="shared" si="0"/>
        <v>560000</v>
      </c>
    </row>
    <row r="11" spans="1:5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5" ht="15" x14ac:dyDescent="0.45">
      <c r="A12" s="5" t="s">
        <v>12</v>
      </c>
      <c r="B12" s="5" t="s">
        <v>3</v>
      </c>
      <c r="C12" s="2">
        <v>36</v>
      </c>
      <c r="D12" s="2">
        <v>10000</v>
      </c>
      <c r="E12" s="6">
        <f t="shared" si="0"/>
        <v>360000</v>
      </c>
    </row>
    <row r="13" spans="1:5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5" ht="15" x14ac:dyDescent="0.45">
      <c r="A14" s="5" t="s">
        <v>13</v>
      </c>
      <c r="B14" s="5" t="s">
        <v>3</v>
      </c>
      <c r="C14" s="2">
        <v>10</v>
      </c>
      <c r="D14" s="2">
        <v>35000</v>
      </c>
      <c r="E14" s="6">
        <f t="shared" si="0"/>
        <v>350000</v>
      </c>
    </row>
    <row r="15" spans="1:5" ht="15" hidden="1" x14ac:dyDescent="0.45">
      <c r="A15" s="5" t="s">
        <v>116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14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15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17</v>
      </c>
      <c r="B19" s="5" t="s">
        <v>18</v>
      </c>
      <c r="C19" s="2">
        <v>0</v>
      </c>
      <c r="D19" s="2"/>
      <c r="E19" s="6">
        <f t="shared" si="0"/>
        <v>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2"/>
      <c r="E20" s="6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85</v>
      </c>
      <c r="D21" s="2">
        <v>8000</v>
      </c>
      <c r="E21" s="6">
        <f t="shared" si="0"/>
        <v>680000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2"/>
      <c r="E22" s="6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28</v>
      </c>
      <c r="D23" s="2">
        <v>10000</v>
      </c>
      <c r="E23" s="6">
        <f t="shared" si="0"/>
        <v>280000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2"/>
      <c r="E24" s="6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12</v>
      </c>
      <c r="D25" s="2">
        <v>15000</v>
      </c>
      <c r="E25" s="6">
        <f t="shared" si="0"/>
        <v>180000</v>
      </c>
    </row>
    <row r="26" spans="1:5" ht="15" x14ac:dyDescent="0.45">
      <c r="A26" s="5" t="s">
        <v>24</v>
      </c>
      <c r="B26" s="5" t="s">
        <v>25</v>
      </c>
      <c r="C26" s="2">
        <v>55</v>
      </c>
      <c r="D26" s="2">
        <v>4500</v>
      </c>
      <c r="E26" s="6">
        <f t="shared" si="0"/>
        <v>247500</v>
      </c>
    </row>
    <row r="27" spans="1:5" ht="15" x14ac:dyDescent="0.45">
      <c r="A27" s="5" t="s">
        <v>26</v>
      </c>
      <c r="B27" s="5" t="s">
        <v>27</v>
      </c>
      <c r="C27" s="2">
        <v>21</v>
      </c>
      <c r="D27" s="2">
        <v>10500</v>
      </c>
      <c r="E27" s="6">
        <f t="shared" si="0"/>
        <v>220500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225</v>
      </c>
      <c r="D29" s="2">
        <v>7500</v>
      </c>
      <c r="E29" s="6">
        <f t="shared" si="0"/>
        <v>1687500</v>
      </c>
    </row>
    <row r="30" spans="1:5" ht="15" x14ac:dyDescent="0.45">
      <c r="A30" s="5" t="s">
        <v>30</v>
      </c>
      <c r="B30" s="5" t="s">
        <v>3</v>
      </c>
      <c r="C30" s="2">
        <v>240</v>
      </c>
      <c r="D30" s="2">
        <v>9000</v>
      </c>
      <c r="E30" s="6">
        <f t="shared" si="0"/>
        <v>2160000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2"/>
      <c r="E31" s="6">
        <f t="shared" si="0"/>
        <v>0</v>
      </c>
    </row>
    <row r="32" spans="1:5" ht="15" x14ac:dyDescent="0.45">
      <c r="A32" s="5" t="s">
        <v>31</v>
      </c>
      <c r="B32" s="5" t="s">
        <v>32</v>
      </c>
      <c r="C32" s="2">
        <v>230</v>
      </c>
      <c r="D32" s="2">
        <v>6000</v>
      </c>
      <c r="E32" s="6">
        <f t="shared" si="0"/>
        <v>1380000</v>
      </c>
    </row>
    <row r="33" spans="1:5" ht="15" x14ac:dyDescent="0.45">
      <c r="A33" s="5" t="s">
        <v>33</v>
      </c>
      <c r="B33" s="5" t="s">
        <v>3</v>
      </c>
      <c r="C33" s="2">
        <v>35</v>
      </c>
      <c r="D33" s="2">
        <v>13000</v>
      </c>
      <c r="E33" s="6">
        <f t="shared" si="0"/>
        <v>455000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2"/>
      <c r="E34" s="6">
        <f t="shared" si="0"/>
        <v>0</v>
      </c>
    </row>
    <row r="35" spans="1:5" ht="15" hidden="1" x14ac:dyDescent="0.45">
      <c r="A35" s="5" t="s">
        <v>34</v>
      </c>
      <c r="B35" s="5" t="s">
        <v>18</v>
      </c>
      <c r="C35" s="2">
        <v>0</v>
      </c>
      <c r="D35" s="2"/>
      <c r="E35" s="6">
        <f t="shared" si="0"/>
        <v>0</v>
      </c>
    </row>
    <row r="36" spans="1:5" ht="15" x14ac:dyDescent="0.45">
      <c r="A36" s="5" t="s">
        <v>35</v>
      </c>
      <c r="B36" s="5" t="s">
        <v>3</v>
      </c>
      <c r="C36" s="2">
        <v>45</v>
      </c>
      <c r="D36" s="2">
        <v>8000</v>
      </c>
      <c r="E36" s="6">
        <f t="shared" si="0"/>
        <v>360000</v>
      </c>
    </row>
    <row r="37" spans="1:5" ht="15" hidden="1" x14ac:dyDescent="0.45">
      <c r="A37" s="5" t="s">
        <v>35</v>
      </c>
      <c r="B37" s="5" t="s">
        <v>36</v>
      </c>
      <c r="C37" s="2">
        <v>0</v>
      </c>
      <c r="D37" s="2"/>
      <c r="E37" s="6">
        <f t="shared" si="0"/>
        <v>0</v>
      </c>
    </row>
    <row r="38" spans="1:5" ht="15" x14ac:dyDescent="0.45">
      <c r="A38" s="5" t="s">
        <v>37</v>
      </c>
      <c r="B38" s="5" t="s">
        <v>3</v>
      </c>
      <c r="C38" s="2">
        <v>7</v>
      </c>
      <c r="D38" s="2">
        <v>14000</v>
      </c>
      <c r="E38" s="6">
        <f t="shared" si="0"/>
        <v>98000</v>
      </c>
    </row>
    <row r="39" spans="1:5" ht="15" hidden="1" x14ac:dyDescent="0.45">
      <c r="A39" s="5" t="s">
        <v>37</v>
      </c>
      <c r="B39" s="5" t="s">
        <v>32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38</v>
      </c>
      <c r="B40" s="5" t="s">
        <v>32</v>
      </c>
      <c r="C40" s="2">
        <v>22</v>
      </c>
      <c r="D40" s="2">
        <v>3000</v>
      </c>
      <c r="E40" s="6">
        <f t="shared" si="0"/>
        <v>66000</v>
      </c>
    </row>
    <row r="41" spans="1:5" ht="15" x14ac:dyDescent="0.45">
      <c r="A41" s="5" t="s">
        <v>39</v>
      </c>
      <c r="B41" s="5" t="s">
        <v>3</v>
      </c>
      <c r="C41" s="2">
        <v>4</v>
      </c>
      <c r="D41" s="2">
        <v>15000</v>
      </c>
      <c r="E41" s="6">
        <f t="shared" si="0"/>
        <v>60000</v>
      </c>
    </row>
    <row r="42" spans="1:5" ht="15" hidden="1" x14ac:dyDescent="0.45">
      <c r="A42" s="5" t="s">
        <v>39</v>
      </c>
      <c r="B42" s="5" t="s">
        <v>32</v>
      </c>
      <c r="C42" s="2">
        <v>0</v>
      </c>
      <c r="D42" s="2"/>
      <c r="E42" s="6">
        <f t="shared" si="0"/>
        <v>0</v>
      </c>
    </row>
    <row r="43" spans="1:5" ht="15" x14ac:dyDescent="0.45">
      <c r="A43" s="5" t="s">
        <v>40</v>
      </c>
      <c r="B43" s="5" t="s">
        <v>3</v>
      </c>
      <c r="C43" s="2">
        <v>130</v>
      </c>
      <c r="D43" s="2">
        <v>4500</v>
      </c>
      <c r="E43" s="6">
        <f t="shared" si="0"/>
        <v>585000</v>
      </c>
    </row>
    <row r="44" spans="1:5" ht="15" hidden="1" x14ac:dyDescent="0.45">
      <c r="A44" s="5" t="s">
        <v>41</v>
      </c>
      <c r="B44" s="5" t="s">
        <v>3</v>
      </c>
      <c r="C44" s="2">
        <v>0</v>
      </c>
      <c r="D44" s="2"/>
      <c r="E44" s="6">
        <f t="shared" si="0"/>
        <v>0</v>
      </c>
    </row>
    <row r="45" spans="1:5" ht="15" x14ac:dyDescent="0.45">
      <c r="A45" s="5" t="s">
        <v>42</v>
      </c>
      <c r="B45" s="5" t="s">
        <v>3</v>
      </c>
      <c r="C45" s="2">
        <v>330</v>
      </c>
      <c r="D45" s="2">
        <v>3000</v>
      </c>
      <c r="E45" s="6">
        <f t="shared" si="0"/>
        <v>990000</v>
      </c>
    </row>
    <row r="46" spans="1:5" ht="15" x14ac:dyDescent="0.45">
      <c r="A46" s="5" t="s">
        <v>43</v>
      </c>
      <c r="B46" s="5" t="s">
        <v>3</v>
      </c>
      <c r="C46" s="2">
        <v>45</v>
      </c>
      <c r="D46" s="2">
        <v>10000</v>
      </c>
      <c r="E46" s="6">
        <f t="shared" si="0"/>
        <v>450000</v>
      </c>
    </row>
    <row r="47" spans="1:5" ht="15" hidden="1" x14ac:dyDescent="0.45">
      <c r="A47" s="5" t="s">
        <v>43</v>
      </c>
      <c r="B47" s="5" t="s">
        <v>44</v>
      </c>
      <c r="C47" s="2">
        <v>0</v>
      </c>
      <c r="D47" s="2"/>
      <c r="E47" s="6">
        <f t="shared" si="0"/>
        <v>0</v>
      </c>
    </row>
    <row r="48" spans="1:5" ht="15" hidden="1" x14ac:dyDescent="0.45">
      <c r="A48" s="5" t="s">
        <v>45</v>
      </c>
      <c r="B48" s="5" t="s">
        <v>3</v>
      </c>
      <c r="C48" s="2">
        <v>0</v>
      </c>
      <c r="D48" s="2"/>
      <c r="E48" s="6">
        <f t="shared" si="0"/>
        <v>0</v>
      </c>
    </row>
    <row r="49" spans="1:5" ht="15" x14ac:dyDescent="0.45">
      <c r="A49" s="5" t="s">
        <v>46</v>
      </c>
      <c r="B49" s="5" t="s">
        <v>3</v>
      </c>
      <c r="C49" s="2">
        <v>5</v>
      </c>
      <c r="D49" s="2">
        <v>14000</v>
      </c>
      <c r="E49" s="6">
        <f t="shared" si="0"/>
        <v>70000</v>
      </c>
    </row>
    <row r="50" spans="1:5" ht="15" hidden="1" x14ac:dyDescent="0.45">
      <c r="A50" s="5" t="s">
        <v>47</v>
      </c>
      <c r="B50" s="5" t="s">
        <v>27</v>
      </c>
      <c r="C50" s="2">
        <v>0</v>
      </c>
      <c r="D50" s="2"/>
      <c r="E50" s="6">
        <f t="shared" si="0"/>
        <v>0</v>
      </c>
    </row>
    <row r="51" spans="1:5" ht="15" x14ac:dyDescent="0.45">
      <c r="A51" s="5" t="s">
        <v>48</v>
      </c>
      <c r="B51" s="5" t="s">
        <v>3</v>
      </c>
      <c r="C51" s="2">
        <v>15</v>
      </c>
      <c r="D51" s="2">
        <v>6000</v>
      </c>
      <c r="E51" s="6">
        <f t="shared" si="0"/>
        <v>90000</v>
      </c>
    </row>
    <row r="52" spans="1:5" ht="15" x14ac:dyDescent="0.45">
      <c r="A52" s="5" t="s">
        <v>49</v>
      </c>
      <c r="B52" s="5" t="s">
        <v>3</v>
      </c>
      <c r="C52" s="2">
        <v>53</v>
      </c>
      <c r="D52" s="2">
        <v>7000</v>
      </c>
      <c r="E52" s="6">
        <f t="shared" si="0"/>
        <v>371000</v>
      </c>
    </row>
    <row r="53" spans="1:5" ht="15" hidden="1" x14ac:dyDescent="0.45">
      <c r="A53" s="5" t="s">
        <v>49</v>
      </c>
      <c r="B53" s="5" t="s">
        <v>32</v>
      </c>
      <c r="C53" s="2">
        <v>0</v>
      </c>
      <c r="D53" s="2"/>
      <c r="E53" s="6">
        <f t="shared" si="0"/>
        <v>0</v>
      </c>
    </row>
    <row r="54" spans="1:5" ht="15" x14ac:dyDescent="0.45">
      <c r="A54" s="5" t="s">
        <v>50</v>
      </c>
      <c r="B54" s="5" t="s">
        <v>3</v>
      </c>
      <c r="C54" s="2">
        <v>12</v>
      </c>
      <c r="D54" s="2">
        <v>21000</v>
      </c>
      <c r="E54" s="6">
        <f t="shared" si="0"/>
        <v>252000</v>
      </c>
    </row>
    <row r="55" spans="1:5" ht="15" x14ac:dyDescent="0.45">
      <c r="A55" s="5" t="s">
        <v>51</v>
      </c>
      <c r="B55" s="5" t="s">
        <v>3</v>
      </c>
      <c r="C55" s="2">
        <v>215</v>
      </c>
      <c r="D55" s="2">
        <v>5000</v>
      </c>
      <c r="E55" s="6">
        <f t="shared" si="0"/>
        <v>1075000</v>
      </c>
    </row>
    <row r="56" spans="1:5" ht="15" hidden="1" x14ac:dyDescent="0.45">
      <c r="A56" s="5" t="s">
        <v>51</v>
      </c>
      <c r="B56" s="5" t="s">
        <v>52</v>
      </c>
      <c r="C56" s="2">
        <v>0</v>
      </c>
      <c r="D56" s="2"/>
      <c r="E56" s="6">
        <f t="shared" si="0"/>
        <v>0</v>
      </c>
    </row>
    <row r="57" spans="1:5" ht="15" x14ac:dyDescent="0.45">
      <c r="A57" s="5" t="s">
        <v>53</v>
      </c>
      <c r="B57" s="5" t="s">
        <v>3</v>
      </c>
      <c r="C57" s="2">
        <v>25</v>
      </c>
      <c r="D57" s="2">
        <v>20000</v>
      </c>
      <c r="E57" s="6">
        <f t="shared" si="0"/>
        <v>500000</v>
      </c>
    </row>
    <row r="58" spans="1:5" ht="15" x14ac:dyDescent="0.45">
      <c r="A58" s="5" t="s">
        <v>54</v>
      </c>
      <c r="B58" s="5" t="s">
        <v>32</v>
      </c>
      <c r="C58" s="2">
        <v>466</v>
      </c>
      <c r="D58" s="2">
        <v>1350</v>
      </c>
      <c r="E58" s="6">
        <f t="shared" si="0"/>
        <v>629100</v>
      </c>
    </row>
    <row r="59" spans="1:5" ht="15" x14ac:dyDescent="0.45">
      <c r="A59" s="5" t="s">
        <v>55</v>
      </c>
      <c r="B59" s="5" t="s">
        <v>3</v>
      </c>
      <c r="C59" s="2">
        <v>2090</v>
      </c>
      <c r="D59" s="2">
        <v>26000</v>
      </c>
      <c r="E59" s="6">
        <f t="shared" si="0"/>
        <v>54340000</v>
      </c>
    </row>
    <row r="60" spans="1:5" ht="15" x14ac:dyDescent="0.45">
      <c r="A60" s="5" t="s">
        <v>56</v>
      </c>
      <c r="B60" s="5" t="s">
        <v>3</v>
      </c>
      <c r="C60" s="2">
        <v>600</v>
      </c>
      <c r="D60" s="2">
        <v>26000</v>
      </c>
      <c r="E60" s="6">
        <f t="shared" si="0"/>
        <v>15600000</v>
      </c>
    </row>
    <row r="61" spans="1:5" ht="15" hidden="1" x14ac:dyDescent="0.45">
      <c r="A61" s="5" t="s">
        <v>57</v>
      </c>
      <c r="B61" s="5" t="s">
        <v>3</v>
      </c>
      <c r="C61" s="2">
        <v>0</v>
      </c>
      <c r="D61" s="2"/>
      <c r="E61" s="6">
        <f t="shared" si="0"/>
        <v>0</v>
      </c>
    </row>
    <row r="62" spans="1:5" ht="15" x14ac:dyDescent="0.45">
      <c r="A62" s="5" t="s">
        <v>58</v>
      </c>
      <c r="B62" s="5" t="s">
        <v>3</v>
      </c>
      <c r="C62" s="2">
        <v>32</v>
      </c>
      <c r="D62" s="2">
        <v>22000</v>
      </c>
      <c r="E62" s="6">
        <f t="shared" si="0"/>
        <v>704000</v>
      </c>
    </row>
    <row r="63" spans="1:5" ht="15" x14ac:dyDescent="0.45">
      <c r="A63" s="5" t="s">
        <v>61</v>
      </c>
      <c r="B63" s="5" t="s">
        <v>3</v>
      </c>
      <c r="C63" s="2">
        <v>1695</v>
      </c>
      <c r="D63" s="2">
        <v>12300</v>
      </c>
      <c r="E63" s="6">
        <f t="shared" si="0"/>
        <v>20848500</v>
      </c>
    </row>
    <row r="64" spans="1:5" ht="15" hidden="1" x14ac:dyDescent="0.45">
      <c r="A64" s="5" t="s">
        <v>61</v>
      </c>
      <c r="B64" s="5" t="s">
        <v>32</v>
      </c>
      <c r="C64" s="2">
        <v>0</v>
      </c>
      <c r="D64" s="2"/>
      <c r="E64" s="6">
        <f t="shared" si="0"/>
        <v>0</v>
      </c>
    </row>
    <row r="65" spans="1:5" ht="15" x14ac:dyDescent="0.45">
      <c r="A65" s="5" t="s">
        <v>62</v>
      </c>
      <c r="B65" s="5" t="s">
        <v>32</v>
      </c>
      <c r="C65" s="2">
        <v>80</v>
      </c>
      <c r="D65" s="2">
        <v>5000</v>
      </c>
      <c r="E65" s="6">
        <f t="shared" si="0"/>
        <v>400000</v>
      </c>
    </row>
    <row r="66" spans="1:5" ht="15" x14ac:dyDescent="0.45">
      <c r="A66" s="5" t="s">
        <v>63</v>
      </c>
      <c r="B66" s="5" t="s">
        <v>3</v>
      </c>
      <c r="C66" s="2">
        <v>10</v>
      </c>
      <c r="D66" s="2">
        <v>10000</v>
      </c>
      <c r="E66" s="6">
        <f t="shared" si="0"/>
        <v>100000</v>
      </c>
    </row>
    <row r="67" spans="1:5" ht="15" hidden="1" x14ac:dyDescent="0.45">
      <c r="A67" s="5" t="s">
        <v>64</v>
      </c>
      <c r="B67" s="5" t="s">
        <v>32</v>
      </c>
      <c r="C67" s="2">
        <v>0</v>
      </c>
      <c r="D67" s="2"/>
      <c r="E67" s="6">
        <f t="shared" si="0"/>
        <v>0</v>
      </c>
    </row>
    <row r="68" spans="1:5" ht="15" hidden="1" x14ac:dyDescent="0.45">
      <c r="A68" s="5" t="s">
        <v>65</v>
      </c>
      <c r="B68" s="5" t="s">
        <v>3</v>
      </c>
      <c r="C68" s="2">
        <v>0</v>
      </c>
      <c r="D68" s="2"/>
      <c r="E68" s="6">
        <f t="shared" ref="E68:E107" si="1">C68*D68</f>
        <v>0</v>
      </c>
    </row>
    <row r="69" spans="1:5" ht="15" x14ac:dyDescent="0.45">
      <c r="A69" s="5" t="s">
        <v>65</v>
      </c>
      <c r="B69" s="5" t="s">
        <v>32</v>
      </c>
      <c r="C69" s="2">
        <v>64</v>
      </c>
      <c r="D69" s="2">
        <v>6000</v>
      </c>
      <c r="E69" s="6">
        <f t="shared" si="1"/>
        <v>384000</v>
      </c>
    </row>
    <row r="70" spans="1:5" ht="15" x14ac:dyDescent="0.45">
      <c r="A70" s="5" t="s">
        <v>68</v>
      </c>
      <c r="B70" s="5" t="s">
        <v>3</v>
      </c>
      <c r="C70" s="2">
        <v>1</v>
      </c>
      <c r="D70" s="2">
        <v>70000</v>
      </c>
      <c r="E70" s="6">
        <f t="shared" si="1"/>
        <v>70000</v>
      </c>
    </row>
    <row r="71" spans="1:5" ht="15" hidden="1" x14ac:dyDescent="0.45">
      <c r="A71" s="5" t="s">
        <v>70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x14ac:dyDescent="0.45">
      <c r="A72" s="5" t="s">
        <v>70</v>
      </c>
      <c r="B72" s="5" t="s">
        <v>18</v>
      </c>
      <c r="C72" s="2">
        <v>60</v>
      </c>
      <c r="D72" s="2">
        <v>6500</v>
      </c>
      <c r="E72" s="6">
        <f t="shared" si="1"/>
        <v>390000</v>
      </c>
    </row>
    <row r="73" spans="1:5" ht="15" hidden="1" x14ac:dyDescent="0.45">
      <c r="A73" s="5" t="s">
        <v>71</v>
      </c>
      <c r="B73" s="5" t="s">
        <v>3</v>
      </c>
      <c r="C73" s="2">
        <v>0</v>
      </c>
      <c r="D73" s="2"/>
      <c r="E73" s="6">
        <f t="shared" si="1"/>
        <v>0</v>
      </c>
    </row>
    <row r="74" spans="1:5" ht="15" x14ac:dyDescent="0.45">
      <c r="A74" s="5" t="s">
        <v>72</v>
      </c>
      <c r="B74" s="5" t="s">
        <v>3</v>
      </c>
      <c r="C74" s="2">
        <v>30</v>
      </c>
      <c r="D74" s="2">
        <v>12000</v>
      </c>
      <c r="E74" s="6">
        <f t="shared" si="1"/>
        <v>360000</v>
      </c>
    </row>
    <row r="75" spans="1:5" ht="15" x14ac:dyDescent="0.45">
      <c r="A75" s="5" t="s">
        <v>73</v>
      </c>
      <c r="B75" s="5" t="s">
        <v>3</v>
      </c>
      <c r="C75" s="2">
        <v>70</v>
      </c>
      <c r="D75" s="2">
        <v>10000</v>
      </c>
      <c r="E75" s="6">
        <f t="shared" si="1"/>
        <v>700000</v>
      </c>
    </row>
    <row r="76" spans="1:5" ht="15" hidden="1" x14ac:dyDescent="0.45">
      <c r="A76" s="5" t="s">
        <v>73</v>
      </c>
      <c r="B76" s="5" t="s">
        <v>44</v>
      </c>
      <c r="C76" s="2">
        <v>0</v>
      </c>
      <c r="D76" s="2"/>
      <c r="E76" s="6">
        <f t="shared" si="1"/>
        <v>0</v>
      </c>
    </row>
    <row r="77" spans="1:5" ht="15" hidden="1" x14ac:dyDescent="0.45">
      <c r="A77" s="5" t="s">
        <v>74</v>
      </c>
      <c r="B77" s="5" t="s">
        <v>32</v>
      </c>
      <c r="C77" s="2">
        <v>0</v>
      </c>
      <c r="D77" s="2"/>
      <c r="E77" s="6">
        <f t="shared" si="1"/>
        <v>0</v>
      </c>
    </row>
    <row r="78" spans="1:5" ht="15" hidden="1" x14ac:dyDescent="0.45">
      <c r="A78" s="5" t="s">
        <v>75</v>
      </c>
      <c r="B78" s="5" t="s">
        <v>3</v>
      </c>
      <c r="C78" s="2">
        <v>0</v>
      </c>
      <c r="D78" s="2"/>
      <c r="E78" s="6">
        <f t="shared" si="1"/>
        <v>0</v>
      </c>
    </row>
    <row r="79" spans="1:5" ht="15" hidden="1" x14ac:dyDescent="0.45">
      <c r="A79" s="5" t="s">
        <v>76</v>
      </c>
      <c r="B79" s="5" t="s">
        <v>27</v>
      </c>
      <c r="C79" s="2">
        <v>0</v>
      </c>
      <c r="D79" s="2"/>
      <c r="E79" s="6">
        <f t="shared" si="1"/>
        <v>0</v>
      </c>
    </row>
    <row r="80" spans="1:5" ht="15" x14ac:dyDescent="0.45">
      <c r="A80" s="5" t="s">
        <v>76</v>
      </c>
      <c r="B80" s="5" t="s">
        <v>3</v>
      </c>
      <c r="C80" s="2">
        <v>215</v>
      </c>
      <c r="D80" s="2">
        <v>59000</v>
      </c>
      <c r="E80" s="6">
        <f t="shared" si="1"/>
        <v>12685000</v>
      </c>
    </row>
    <row r="81" spans="1:5" ht="15" hidden="1" x14ac:dyDescent="0.45">
      <c r="A81" s="5" t="s">
        <v>76</v>
      </c>
      <c r="B81" s="5" t="s">
        <v>77</v>
      </c>
      <c r="C81" s="2">
        <v>0</v>
      </c>
      <c r="D81" s="2"/>
      <c r="E81" s="6">
        <f t="shared" si="1"/>
        <v>0</v>
      </c>
    </row>
    <row r="82" spans="1:5" ht="15" hidden="1" x14ac:dyDescent="0.45">
      <c r="A82" s="5" t="s">
        <v>76</v>
      </c>
      <c r="B82" s="5" t="s">
        <v>112</v>
      </c>
      <c r="C82" s="2">
        <v>0</v>
      </c>
      <c r="D82" s="2"/>
      <c r="E82" s="6">
        <f t="shared" si="1"/>
        <v>0</v>
      </c>
    </row>
    <row r="83" spans="1:5" ht="15" hidden="1" x14ac:dyDescent="0.45">
      <c r="A83" s="5" t="s">
        <v>79</v>
      </c>
      <c r="B83" s="5" t="s">
        <v>18</v>
      </c>
      <c r="C83" s="2">
        <v>0</v>
      </c>
      <c r="D83" s="2"/>
      <c r="E83" s="6">
        <f t="shared" si="1"/>
        <v>0</v>
      </c>
    </row>
    <row r="84" spans="1:5" ht="15" hidden="1" x14ac:dyDescent="0.45">
      <c r="A84" s="5" t="s">
        <v>80</v>
      </c>
      <c r="B84" s="5" t="s">
        <v>27</v>
      </c>
      <c r="C84" s="2">
        <v>0</v>
      </c>
      <c r="D84" s="2"/>
      <c r="E84" s="6">
        <f t="shared" si="1"/>
        <v>0</v>
      </c>
    </row>
    <row r="85" spans="1:5" ht="15" x14ac:dyDescent="0.45">
      <c r="A85" s="5" t="s">
        <v>80</v>
      </c>
      <c r="B85" s="5" t="s">
        <v>3</v>
      </c>
      <c r="C85" s="2">
        <v>4</v>
      </c>
      <c r="D85" s="2">
        <v>38000</v>
      </c>
      <c r="E85" s="6">
        <f t="shared" si="1"/>
        <v>152000</v>
      </c>
    </row>
    <row r="86" spans="1:5" ht="15" x14ac:dyDescent="0.45">
      <c r="A86" s="5" t="s">
        <v>81</v>
      </c>
      <c r="B86" s="5" t="s">
        <v>3</v>
      </c>
      <c r="C86" s="2">
        <v>8</v>
      </c>
      <c r="D86" s="2">
        <v>40000</v>
      </c>
      <c r="E86" s="6">
        <f t="shared" si="1"/>
        <v>320000</v>
      </c>
    </row>
    <row r="87" spans="1:5" ht="15" hidden="1" x14ac:dyDescent="0.45">
      <c r="A87" s="5" t="s">
        <v>81</v>
      </c>
      <c r="B87" s="5" t="s">
        <v>11</v>
      </c>
      <c r="C87" s="2">
        <v>0</v>
      </c>
      <c r="D87" s="2"/>
      <c r="E87" s="6">
        <f t="shared" si="1"/>
        <v>0</v>
      </c>
    </row>
    <row r="88" spans="1:5" ht="15" x14ac:dyDescent="0.45">
      <c r="A88" s="5" t="s">
        <v>82</v>
      </c>
      <c r="B88" s="5" t="s">
        <v>3</v>
      </c>
      <c r="C88" s="2">
        <v>50</v>
      </c>
      <c r="D88" s="2">
        <v>30000</v>
      </c>
      <c r="E88" s="6">
        <f t="shared" si="1"/>
        <v>1500000</v>
      </c>
    </row>
    <row r="89" spans="1:5" ht="15" x14ac:dyDescent="0.45">
      <c r="A89" s="5" t="s">
        <v>83</v>
      </c>
      <c r="B89" s="5" t="s">
        <v>3</v>
      </c>
      <c r="C89" s="2">
        <v>3</v>
      </c>
      <c r="D89" s="2">
        <v>40000</v>
      </c>
      <c r="E89" s="6">
        <f t="shared" si="1"/>
        <v>120000</v>
      </c>
    </row>
    <row r="90" spans="1:5" ht="15" hidden="1" x14ac:dyDescent="0.45">
      <c r="A90" s="5" t="s">
        <v>83</v>
      </c>
      <c r="B90" s="5" t="s">
        <v>11</v>
      </c>
      <c r="C90" s="2">
        <v>0</v>
      </c>
      <c r="D90" s="2"/>
      <c r="E90" s="6">
        <f t="shared" si="1"/>
        <v>0</v>
      </c>
    </row>
    <row r="91" spans="1:5" ht="15" x14ac:dyDescent="0.45">
      <c r="A91" s="5" t="s">
        <v>84</v>
      </c>
      <c r="B91" s="5" t="s">
        <v>3</v>
      </c>
      <c r="C91" s="2">
        <v>20</v>
      </c>
      <c r="D91" s="2">
        <v>30000</v>
      </c>
      <c r="E91" s="6">
        <f t="shared" si="1"/>
        <v>600000</v>
      </c>
    </row>
    <row r="92" spans="1:5" ht="15" x14ac:dyDescent="0.45">
      <c r="A92" s="5" t="s">
        <v>85</v>
      </c>
      <c r="B92" s="5" t="s">
        <v>3</v>
      </c>
      <c r="C92" s="2">
        <v>45</v>
      </c>
      <c r="D92" s="2">
        <v>32000</v>
      </c>
      <c r="E92" s="6">
        <f t="shared" si="1"/>
        <v>1440000</v>
      </c>
    </row>
    <row r="93" spans="1:5" ht="15" hidden="1" x14ac:dyDescent="0.45">
      <c r="A93" s="5" t="s">
        <v>85</v>
      </c>
      <c r="B93" s="5" t="s">
        <v>11</v>
      </c>
      <c r="C93" s="2">
        <v>0</v>
      </c>
      <c r="D93" s="2"/>
      <c r="E93" s="6">
        <f t="shared" si="1"/>
        <v>0</v>
      </c>
    </row>
    <row r="94" spans="1:5" ht="15" x14ac:dyDescent="0.45">
      <c r="A94" s="5" t="s">
        <v>113</v>
      </c>
      <c r="B94" s="5" t="s">
        <v>3</v>
      </c>
      <c r="C94" s="2">
        <v>20</v>
      </c>
      <c r="D94" s="2">
        <v>26000</v>
      </c>
      <c r="E94" s="6">
        <f t="shared" si="1"/>
        <v>520000</v>
      </c>
    </row>
    <row r="95" spans="1:5" ht="15" x14ac:dyDescent="0.45">
      <c r="A95" s="5" t="s">
        <v>86</v>
      </c>
      <c r="B95" s="5" t="s">
        <v>3</v>
      </c>
      <c r="C95" s="2">
        <v>4</v>
      </c>
      <c r="D95" s="2">
        <v>17000</v>
      </c>
      <c r="E95" s="6">
        <f t="shared" si="1"/>
        <v>68000</v>
      </c>
    </row>
    <row r="96" spans="1:5" ht="15" x14ac:dyDescent="0.45">
      <c r="A96" s="5" t="s">
        <v>109</v>
      </c>
      <c r="B96" s="5" t="s">
        <v>3</v>
      </c>
      <c r="C96" s="2">
        <v>37</v>
      </c>
      <c r="D96" s="2">
        <v>21000</v>
      </c>
      <c r="E96" s="6">
        <f t="shared" si="1"/>
        <v>777000</v>
      </c>
    </row>
    <row r="97" spans="1:5" ht="15" hidden="1" x14ac:dyDescent="0.45">
      <c r="A97" s="5" t="s">
        <v>87</v>
      </c>
      <c r="B97" s="5" t="s">
        <v>32</v>
      </c>
      <c r="C97" s="2">
        <v>0</v>
      </c>
      <c r="D97" s="2"/>
      <c r="E97" s="6">
        <f t="shared" si="1"/>
        <v>0</v>
      </c>
    </row>
    <row r="98" spans="1:5" ht="15" x14ac:dyDescent="0.45">
      <c r="A98" s="5" t="s">
        <v>91</v>
      </c>
      <c r="B98" s="5" t="s">
        <v>3</v>
      </c>
      <c r="C98" s="2">
        <v>9</v>
      </c>
      <c r="D98" s="2">
        <v>10000</v>
      </c>
      <c r="E98" s="6">
        <f t="shared" si="1"/>
        <v>90000</v>
      </c>
    </row>
    <row r="99" spans="1:5" ht="15" hidden="1" x14ac:dyDescent="0.45">
      <c r="A99" s="5" t="s">
        <v>122</v>
      </c>
      <c r="B99" s="5" t="s">
        <v>27</v>
      </c>
      <c r="C99" s="2">
        <v>0</v>
      </c>
      <c r="D99" s="2"/>
      <c r="E99" s="6">
        <f t="shared" si="1"/>
        <v>0</v>
      </c>
    </row>
    <row r="100" spans="1:5" ht="15" x14ac:dyDescent="0.45">
      <c r="A100" s="5" t="s">
        <v>92</v>
      </c>
      <c r="B100" s="5" t="s">
        <v>3</v>
      </c>
      <c r="C100" s="2">
        <v>20</v>
      </c>
      <c r="D100" s="2">
        <v>5000</v>
      </c>
      <c r="E100" s="6">
        <f t="shared" si="1"/>
        <v>100000</v>
      </c>
    </row>
    <row r="101" spans="1:5" ht="15" hidden="1" x14ac:dyDescent="0.45">
      <c r="A101" s="5" t="s">
        <v>94</v>
      </c>
      <c r="B101" s="5" t="s">
        <v>3</v>
      </c>
      <c r="C101" s="2">
        <v>0</v>
      </c>
      <c r="D101" s="2"/>
      <c r="E101" s="6">
        <f t="shared" si="1"/>
        <v>0</v>
      </c>
    </row>
    <row r="102" spans="1:5" ht="15" hidden="1" x14ac:dyDescent="0.45">
      <c r="A102" s="5" t="s">
        <v>96</v>
      </c>
      <c r="B102" s="5" t="s">
        <v>3</v>
      </c>
      <c r="C102" s="2">
        <v>0</v>
      </c>
      <c r="D102" s="2"/>
      <c r="E102" s="6">
        <f t="shared" si="1"/>
        <v>0</v>
      </c>
    </row>
    <row r="103" spans="1:5" ht="15" hidden="1" x14ac:dyDescent="0.45">
      <c r="A103" s="5" t="s">
        <v>97</v>
      </c>
      <c r="B103" s="5" t="s">
        <v>44</v>
      </c>
      <c r="C103" s="2">
        <v>0</v>
      </c>
      <c r="D103" s="2"/>
      <c r="E103" s="6">
        <f t="shared" si="1"/>
        <v>0</v>
      </c>
    </row>
    <row r="104" spans="1:5" ht="15" hidden="1" x14ac:dyDescent="0.45">
      <c r="A104" s="5" t="s">
        <v>98</v>
      </c>
      <c r="B104" s="5" t="s">
        <v>3</v>
      </c>
      <c r="C104" s="2">
        <v>0</v>
      </c>
      <c r="D104" s="2"/>
      <c r="E104" s="6">
        <f t="shared" si="1"/>
        <v>0</v>
      </c>
    </row>
    <row r="105" spans="1:5" ht="15" hidden="1" x14ac:dyDescent="0.45">
      <c r="A105" s="5" t="s">
        <v>99</v>
      </c>
      <c r="B105" s="5" t="s">
        <v>44</v>
      </c>
      <c r="C105" s="2">
        <v>0</v>
      </c>
      <c r="D105" s="2"/>
      <c r="E105" s="6">
        <f t="shared" si="1"/>
        <v>0</v>
      </c>
    </row>
    <row r="106" spans="1:5" ht="15" x14ac:dyDescent="0.45">
      <c r="A106" s="5" t="s">
        <v>100</v>
      </c>
      <c r="B106" s="5" t="s">
        <v>3</v>
      </c>
      <c r="C106" s="2">
        <v>12</v>
      </c>
      <c r="D106" s="2">
        <v>25000</v>
      </c>
      <c r="E106" s="6">
        <f t="shared" si="1"/>
        <v>300000</v>
      </c>
    </row>
    <row r="107" spans="1:5" ht="15" hidden="1" x14ac:dyDescent="0.45">
      <c r="A107" s="5" t="s">
        <v>101</v>
      </c>
      <c r="B107" s="5" t="s">
        <v>44</v>
      </c>
      <c r="C107" s="2">
        <v>0</v>
      </c>
      <c r="D107" s="2"/>
      <c r="E107" s="6">
        <f t="shared" si="1"/>
        <v>0</v>
      </c>
    </row>
    <row r="108" spans="1:5" x14ac:dyDescent="0.45">
      <c r="E108" s="41">
        <f>SUM(E3:E106)</f>
        <v>137917600</v>
      </c>
    </row>
  </sheetData>
  <autoFilter ref="A2:E107" xr:uid="{00000000-0009-0000-0000-000012000000}">
    <filterColumn colId="2">
      <filters>
        <filter val="1"/>
        <filter val="1,100"/>
        <filter val="1,695"/>
        <filter val="10"/>
        <filter val="12"/>
        <filter val="130"/>
        <filter val="15"/>
        <filter val="195"/>
        <filter val="2,090"/>
        <filter val="20"/>
        <filter val="21"/>
        <filter val="215"/>
        <filter val="22"/>
        <filter val="225"/>
        <filter val="230"/>
        <filter val="240"/>
        <filter val="25"/>
        <filter val="28"/>
        <filter val="3"/>
        <filter val="30"/>
        <filter val="32"/>
        <filter val="330"/>
        <filter val="35"/>
        <filter val="36"/>
        <filter val="37"/>
        <filter val="4"/>
        <filter val="435"/>
        <filter val="45"/>
        <filter val="466"/>
        <filter val="5"/>
        <filter val="50"/>
        <filter val="53"/>
        <filter val="55"/>
        <filter val="60"/>
        <filter val="600"/>
        <filter val="64"/>
        <filter val="7"/>
        <filter val="70"/>
        <filter val="8"/>
        <filter val="80"/>
        <filter val="85"/>
        <filter val="9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F128"/>
  <sheetViews>
    <sheetView topLeftCell="A62" workbookViewId="0">
      <selection activeCell="G5" sqref="G5"/>
    </sheetView>
  </sheetViews>
  <sheetFormatPr defaultRowHeight="14.25" x14ac:dyDescent="0.45"/>
  <cols>
    <col min="1" max="1" width="20.19921875" customWidth="1"/>
    <col min="3" max="3" width="12.3984375" customWidth="1"/>
    <col min="4" max="4" width="12.46484375" customWidth="1"/>
    <col min="5" max="5" width="15.19921875" customWidth="1"/>
  </cols>
  <sheetData>
    <row r="1" spans="1:6" x14ac:dyDescent="0.45">
      <c r="A1" t="s">
        <v>156</v>
      </c>
    </row>
    <row r="2" spans="1:6" ht="57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6" ht="15" x14ac:dyDescent="0.45">
      <c r="A3" s="5" t="s">
        <v>2</v>
      </c>
      <c r="B3" s="5" t="s">
        <v>3</v>
      </c>
      <c r="C3" s="2">
        <v>13</v>
      </c>
      <c r="D3" s="2">
        <v>10000</v>
      </c>
      <c r="E3" s="6">
        <f>C3*D3</f>
        <v>130000</v>
      </c>
    </row>
    <row r="4" spans="1:6" ht="15" x14ac:dyDescent="0.45">
      <c r="A4" s="5" t="s">
        <v>4</v>
      </c>
      <c r="B4" s="5" t="s">
        <v>3</v>
      </c>
      <c r="C4" s="2">
        <v>410</v>
      </c>
      <c r="D4" s="2">
        <v>6000</v>
      </c>
      <c r="E4" s="6">
        <f t="shared" ref="E4:E67" si="0">C4*D4</f>
        <v>2460000</v>
      </c>
    </row>
    <row r="5" spans="1:6" ht="15" x14ac:dyDescent="0.45">
      <c r="A5" s="5" t="s">
        <v>5</v>
      </c>
      <c r="B5" s="5" t="s">
        <v>3</v>
      </c>
      <c r="C5" s="2">
        <v>1216</v>
      </c>
      <c r="D5" s="2">
        <v>3500</v>
      </c>
      <c r="E5" s="6">
        <f t="shared" si="0"/>
        <v>4256000</v>
      </c>
    </row>
    <row r="6" spans="1:6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6" ht="15" x14ac:dyDescent="0.45">
      <c r="A7" s="5" t="s">
        <v>7</v>
      </c>
      <c r="B7" s="5" t="s">
        <v>3</v>
      </c>
      <c r="C7" s="2">
        <v>12</v>
      </c>
      <c r="D7" s="2">
        <v>6000</v>
      </c>
      <c r="E7" s="6">
        <f t="shared" si="0"/>
        <v>72000</v>
      </c>
    </row>
    <row r="8" spans="1:6" ht="15" x14ac:dyDescent="0.45">
      <c r="A8" s="5" t="s">
        <v>8</v>
      </c>
      <c r="B8" s="5" t="s">
        <v>3</v>
      </c>
      <c r="C8" s="2">
        <v>689</v>
      </c>
      <c r="D8" s="2">
        <v>7000</v>
      </c>
      <c r="E8" s="6">
        <f t="shared" si="0"/>
        <v>4823000</v>
      </c>
    </row>
    <row r="9" spans="1:6" ht="15" hidden="1" x14ac:dyDescent="0.45">
      <c r="A9" s="5" t="s">
        <v>9</v>
      </c>
      <c r="B9" s="5" t="s">
        <v>3</v>
      </c>
      <c r="C9" s="2">
        <v>0</v>
      </c>
      <c r="D9" s="2"/>
      <c r="E9" s="6">
        <f t="shared" si="0"/>
        <v>0</v>
      </c>
    </row>
    <row r="10" spans="1:6" ht="15" x14ac:dyDescent="0.45">
      <c r="A10" s="5" t="s">
        <v>10</v>
      </c>
      <c r="B10" s="5" t="s">
        <v>3</v>
      </c>
      <c r="C10" s="2">
        <v>175</v>
      </c>
      <c r="D10" s="2">
        <v>7000</v>
      </c>
      <c r="E10" s="6">
        <f t="shared" si="0"/>
        <v>1225000</v>
      </c>
    </row>
    <row r="11" spans="1:6" ht="15" hidden="1" x14ac:dyDescent="0.45">
      <c r="A11" s="5" t="s">
        <v>10</v>
      </c>
      <c r="B11" s="5" t="s">
        <v>11</v>
      </c>
      <c r="C11" s="2">
        <v>0</v>
      </c>
      <c r="D11" s="2"/>
      <c r="E11" s="6">
        <f t="shared" si="0"/>
        <v>0</v>
      </c>
    </row>
    <row r="12" spans="1:6" ht="15" x14ac:dyDescent="0.45">
      <c r="A12" s="5" t="s">
        <v>12</v>
      </c>
      <c r="B12" s="5" t="s">
        <v>3</v>
      </c>
      <c r="C12" s="2">
        <v>63</v>
      </c>
      <c r="D12" s="2">
        <v>10000</v>
      </c>
      <c r="E12" s="6">
        <f t="shared" si="0"/>
        <v>630000</v>
      </c>
    </row>
    <row r="13" spans="1:6" ht="15" hidden="1" x14ac:dyDescent="0.45">
      <c r="A13" s="5" t="s">
        <v>12</v>
      </c>
      <c r="B13" s="5" t="s">
        <v>11</v>
      </c>
      <c r="C13" s="2">
        <v>0</v>
      </c>
      <c r="D13" s="2"/>
      <c r="E13" s="6">
        <f t="shared" si="0"/>
        <v>0</v>
      </c>
    </row>
    <row r="14" spans="1:6" ht="15" x14ac:dyDescent="0.45">
      <c r="A14" s="5" t="s">
        <v>13</v>
      </c>
      <c r="B14" s="5" t="s">
        <v>3</v>
      </c>
      <c r="C14" s="2">
        <v>150</v>
      </c>
      <c r="D14" s="2">
        <v>35000</v>
      </c>
      <c r="E14" s="6">
        <f t="shared" si="0"/>
        <v>5250000</v>
      </c>
      <c r="F14" t="s">
        <v>157</v>
      </c>
    </row>
    <row r="15" spans="1:6" ht="15" hidden="1" x14ac:dyDescent="0.45">
      <c r="A15" s="5" t="s">
        <v>116</v>
      </c>
      <c r="B15" s="5" t="s">
        <v>3</v>
      </c>
      <c r="C15" s="2">
        <v>0</v>
      </c>
      <c r="D15" s="2"/>
      <c r="E15" s="6">
        <f t="shared" si="0"/>
        <v>0</v>
      </c>
    </row>
    <row r="16" spans="1:6" ht="15" hidden="1" x14ac:dyDescent="0.45">
      <c r="A16" s="5" t="s">
        <v>14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15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16</v>
      </c>
      <c r="B18" s="5" t="s">
        <v>3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17</v>
      </c>
      <c r="B19" s="5" t="s">
        <v>18</v>
      </c>
      <c r="C19" s="2">
        <v>0</v>
      </c>
      <c r="D19" s="2"/>
      <c r="E19" s="6">
        <f t="shared" si="0"/>
        <v>0</v>
      </c>
    </row>
    <row r="20" spans="1:5" ht="15" hidden="1" x14ac:dyDescent="0.45">
      <c r="A20" s="5" t="s">
        <v>19</v>
      </c>
      <c r="B20" s="5" t="s">
        <v>3</v>
      </c>
      <c r="C20" s="2">
        <v>0</v>
      </c>
      <c r="D20" s="2"/>
      <c r="E20" s="6">
        <f t="shared" si="0"/>
        <v>0</v>
      </c>
    </row>
    <row r="21" spans="1:5" ht="15" x14ac:dyDescent="0.45">
      <c r="A21" s="5" t="s">
        <v>20</v>
      </c>
      <c r="B21" s="5" t="s">
        <v>3</v>
      </c>
      <c r="C21" s="2">
        <v>235</v>
      </c>
      <c r="D21" s="2">
        <v>8000</v>
      </c>
      <c r="E21" s="6">
        <f t="shared" si="0"/>
        <v>1880000</v>
      </c>
    </row>
    <row r="22" spans="1:5" ht="15" hidden="1" x14ac:dyDescent="0.45">
      <c r="A22" s="5" t="s">
        <v>20</v>
      </c>
      <c r="B22" s="5" t="s">
        <v>21</v>
      </c>
      <c r="C22" s="2">
        <v>0</v>
      </c>
      <c r="D22" s="2"/>
      <c r="E22" s="6">
        <f t="shared" si="0"/>
        <v>0</v>
      </c>
    </row>
    <row r="23" spans="1:5" ht="15" x14ac:dyDescent="0.45">
      <c r="A23" s="5" t="s">
        <v>22</v>
      </c>
      <c r="B23" s="5" t="s">
        <v>3</v>
      </c>
      <c r="C23" s="2">
        <v>30</v>
      </c>
      <c r="D23" s="2">
        <v>10000</v>
      </c>
      <c r="E23" s="6">
        <f t="shared" si="0"/>
        <v>300000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2"/>
      <c r="E24" s="6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8</v>
      </c>
      <c r="D25" s="2">
        <v>15000</v>
      </c>
      <c r="E25" s="6">
        <f t="shared" si="0"/>
        <v>120000</v>
      </c>
    </row>
    <row r="26" spans="1:5" ht="15" x14ac:dyDescent="0.45">
      <c r="A26" s="5" t="s">
        <v>24</v>
      </c>
      <c r="B26" s="5" t="s">
        <v>25</v>
      </c>
      <c r="C26" s="2">
        <v>75</v>
      </c>
      <c r="D26" s="2">
        <v>4500</v>
      </c>
      <c r="E26" s="6">
        <f t="shared" si="0"/>
        <v>337500</v>
      </c>
    </row>
    <row r="27" spans="1:5" ht="15" x14ac:dyDescent="0.45">
      <c r="A27" s="5" t="s">
        <v>26</v>
      </c>
      <c r="B27" s="5" t="s">
        <v>27</v>
      </c>
      <c r="C27" s="2">
        <v>4</v>
      </c>
      <c r="D27" s="2">
        <v>10500</v>
      </c>
      <c r="E27" s="6">
        <f t="shared" si="0"/>
        <v>42000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5" t="s">
        <v>28</v>
      </c>
      <c r="B29" s="5" t="s">
        <v>29</v>
      </c>
      <c r="C29" s="2">
        <v>122</v>
      </c>
      <c r="D29" s="2">
        <v>7500</v>
      </c>
      <c r="E29" s="6">
        <f t="shared" si="0"/>
        <v>915000</v>
      </c>
    </row>
    <row r="30" spans="1:5" ht="15" x14ac:dyDescent="0.45">
      <c r="A30" s="5" t="s">
        <v>30</v>
      </c>
      <c r="B30" s="5" t="s">
        <v>3</v>
      </c>
      <c r="C30" s="2">
        <v>230</v>
      </c>
      <c r="D30" s="2">
        <v>9000</v>
      </c>
      <c r="E30" s="6">
        <f t="shared" si="0"/>
        <v>2070000</v>
      </c>
    </row>
    <row r="31" spans="1:5" ht="15" hidden="1" x14ac:dyDescent="0.45">
      <c r="A31" s="5" t="s">
        <v>30</v>
      </c>
      <c r="B31" s="5" t="s">
        <v>18</v>
      </c>
      <c r="C31" s="2">
        <v>0</v>
      </c>
      <c r="D31" s="2"/>
      <c r="E31" s="6">
        <f t="shared" si="0"/>
        <v>0</v>
      </c>
    </row>
    <row r="32" spans="1:5" ht="15" hidden="1" x14ac:dyDescent="0.45">
      <c r="A32" s="5" t="s">
        <v>31</v>
      </c>
      <c r="B32" s="5" t="s">
        <v>32</v>
      </c>
      <c r="C32" s="2">
        <v>0</v>
      </c>
      <c r="D32" s="2"/>
      <c r="E32" s="6">
        <f t="shared" si="0"/>
        <v>0</v>
      </c>
    </row>
    <row r="33" spans="1:5" ht="15" x14ac:dyDescent="0.45">
      <c r="A33" s="5" t="s">
        <v>33</v>
      </c>
      <c r="B33" s="5" t="s">
        <v>3</v>
      </c>
      <c r="C33" s="2">
        <v>142</v>
      </c>
      <c r="D33" s="2">
        <v>13000</v>
      </c>
      <c r="E33" s="6">
        <f t="shared" si="0"/>
        <v>1846000</v>
      </c>
    </row>
    <row r="34" spans="1:5" ht="15" hidden="1" x14ac:dyDescent="0.45">
      <c r="A34" s="5" t="s">
        <v>33</v>
      </c>
      <c r="B34" s="5" t="s">
        <v>32</v>
      </c>
      <c r="C34" s="2">
        <v>0</v>
      </c>
      <c r="D34" s="2"/>
      <c r="E34" s="6">
        <f t="shared" si="0"/>
        <v>0</v>
      </c>
    </row>
    <row r="35" spans="1:5" ht="15" hidden="1" x14ac:dyDescent="0.45">
      <c r="A35" s="5" t="s">
        <v>34</v>
      </c>
      <c r="B35" s="5" t="s">
        <v>3</v>
      </c>
      <c r="C35" s="2">
        <v>0</v>
      </c>
      <c r="D35" s="2"/>
      <c r="E35" s="6">
        <f t="shared" si="0"/>
        <v>0</v>
      </c>
    </row>
    <row r="36" spans="1:5" ht="15" hidden="1" x14ac:dyDescent="0.45">
      <c r="A36" s="5" t="s">
        <v>34</v>
      </c>
      <c r="B36" s="5" t="s">
        <v>18</v>
      </c>
      <c r="C36" s="2">
        <v>0</v>
      </c>
      <c r="D36" s="2"/>
      <c r="E36" s="6">
        <f t="shared" si="0"/>
        <v>0</v>
      </c>
    </row>
    <row r="37" spans="1:5" ht="15" x14ac:dyDescent="0.45">
      <c r="A37" s="5" t="s">
        <v>35</v>
      </c>
      <c r="B37" s="5" t="s">
        <v>3</v>
      </c>
      <c r="C37" s="2">
        <v>60</v>
      </c>
      <c r="D37" s="2">
        <v>8000</v>
      </c>
      <c r="E37" s="6">
        <f t="shared" si="0"/>
        <v>480000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2"/>
      <c r="E38" s="6">
        <f t="shared" si="0"/>
        <v>0</v>
      </c>
    </row>
    <row r="39" spans="1:5" ht="15" x14ac:dyDescent="0.45">
      <c r="A39" s="5" t="s">
        <v>37</v>
      </c>
      <c r="B39" s="5" t="s">
        <v>3</v>
      </c>
      <c r="C39" s="2">
        <v>12</v>
      </c>
      <c r="D39" s="2">
        <v>14000</v>
      </c>
      <c r="E39" s="6">
        <f t="shared" si="0"/>
        <v>168000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2"/>
      <c r="E40" s="6">
        <f t="shared" si="0"/>
        <v>0</v>
      </c>
    </row>
    <row r="41" spans="1:5" ht="15" hidden="1" x14ac:dyDescent="0.45">
      <c r="A41" s="5" t="s">
        <v>38</v>
      </c>
      <c r="B41" s="5" t="s">
        <v>3</v>
      </c>
      <c r="C41" s="2">
        <v>0</v>
      </c>
      <c r="D41" s="2"/>
      <c r="E41" s="6">
        <f t="shared" si="0"/>
        <v>0</v>
      </c>
    </row>
    <row r="42" spans="1:5" ht="15" x14ac:dyDescent="0.45">
      <c r="A42" s="5" t="s">
        <v>38</v>
      </c>
      <c r="B42" s="5" t="s">
        <v>32</v>
      </c>
      <c r="C42" s="2">
        <v>23</v>
      </c>
      <c r="D42" s="2">
        <v>3000</v>
      </c>
      <c r="E42" s="6">
        <f t="shared" si="0"/>
        <v>69000</v>
      </c>
    </row>
    <row r="43" spans="1:5" ht="15" x14ac:dyDescent="0.45">
      <c r="A43" s="5" t="s">
        <v>39</v>
      </c>
      <c r="B43" s="5" t="s">
        <v>3</v>
      </c>
      <c r="C43" s="2">
        <v>2</v>
      </c>
      <c r="D43" s="2">
        <v>15000</v>
      </c>
      <c r="E43" s="6">
        <f t="shared" si="0"/>
        <v>30000</v>
      </c>
    </row>
    <row r="44" spans="1:5" ht="15" hidden="1" x14ac:dyDescent="0.45">
      <c r="A44" s="5" t="s">
        <v>39</v>
      </c>
      <c r="B44" s="5" t="s">
        <v>32</v>
      </c>
      <c r="C44" s="2">
        <v>0</v>
      </c>
      <c r="D44" s="2"/>
      <c r="E44" s="6">
        <f t="shared" si="0"/>
        <v>0</v>
      </c>
    </row>
    <row r="45" spans="1:5" ht="15" x14ac:dyDescent="0.45">
      <c r="A45" s="5" t="s">
        <v>40</v>
      </c>
      <c r="B45" s="5" t="s">
        <v>3</v>
      </c>
      <c r="C45" s="2">
        <v>70</v>
      </c>
      <c r="D45" s="2">
        <v>4500</v>
      </c>
      <c r="E45" s="6">
        <f t="shared" si="0"/>
        <v>315000</v>
      </c>
    </row>
    <row r="46" spans="1:5" ht="15" hidden="1" x14ac:dyDescent="0.45">
      <c r="A46" s="5" t="s">
        <v>41</v>
      </c>
      <c r="B46" s="5" t="s">
        <v>3</v>
      </c>
      <c r="C46" s="2">
        <v>0</v>
      </c>
      <c r="D46" s="2"/>
      <c r="E46" s="6">
        <f t="shared" si="0"/>
        <v>0</v>
      </c>
    </row>
    <row r="47" spans="1:5" ht="15" x14ac:dyDescent="0.45">
      <c r="A47" s="5" t="s">
        <v>42</v>
      </c>
      <c r="B47" s="5" t="s">
        <v>3</v>
      </c>
      <c r="C47" s="2">
        <v>320</v>
      </c>
      <c r="D47" s="2">
        <v>3000</v>
      </c>
      <c r="E47" s="6">
        <f t="shared" si="0"/>
        <v>960000</v>
      </c>
    </row>
    <row r="48" spans="1:5" ht="15" x14ac:dyDescent="0.45">
      <c r="A48" s="5" t="s">
        <v>43</v>
      </c>
      <c r="B48" s="5" t="s">
        <v>3</v>
      </c>
      <c r="C48" s="2">
        <v>189</v>
      </c>
      <c r="D48" s="2">
        <v>10000</v>
      </c>
      <c r="E48" s="6">
        <f t="shared" si="0"/>
        <v>1890000</v>
      </c>
    </row>
    <row r="49" spans="1:5" ht="15" hidden="1" x14ac:dyDescent="0.45">
      <c r="A49" s="5" t="s">
        <v>43</v>
      </c>
      <c r="B49" s="5" t="s">
        <v>44</v>
      </c>
      <c r="C49" s="2">
        <v>0</v>
      </c>
      <c r="D49" s="2"/>
      <c r="E49" s="6">
        <f t="shared" si="0"/>
        <v>0</v>
      </c>
    </row>
    <row r="50" spans="1:5" ht="15" hidden="1" x14ac:dyDescent="0.45">
      <c r="A50" s="5" t="s">
        <v>45</v>
      </c>
      <c r="B50" s="5" t="s">
        <v>3</v>
      </c>
      <c r="C50" s="2">
        <v>0</v>
      </c>
      <c r="D50" s="2"/>
      <c r="E50" s="6">
        <f t="shared" si="0"/>
        <v>0</v>
      </c>
    </row>
    <row r="51" spans="1:5" ht="15" hidden="1" x14ac:dyDescent="0.45">
      <c r="A51" s="5" t="s">
        <v>131</v>
      </c>
      <c r="B51" s="5" t="s">
        <v>32</v>
      </c>
      <c r="C51" s="2">
        <v>0</v>
      </c>
      <c r="D51" s="2"/>
      <c r="E51" s="6">
        <f t="shared" si="0"/>
        <v>0</v>
      </c>
    </row>
    <row r="52" spans="1:5" ht="15" x14ac:dyDescent="0.45">
      <c r="A52" s="5" t="s">
        <v>46</v>
      </c>
      <c r="B52" s="5" t="s">
        <v>3</v>
      </c>
      <c r="C52" s="2">
        <v>2</v>
      </c>
      <c r="D52" s="2">
        <v>14000</v>
      </c>
      <c r="E52" s="6">
        <f t="shared" si="0"/>
        <v>28000</v>
      </c>
    </row>
    <row r="53" spans="1:5" ht="15" hidden="1" x14ac:dyDescent="0.45">
      <c r="A53" s="5" t="s">
        <v>47</v>
      </c>
      <c r="B53" s="5" t="s">
        <v>27</v>
      </c>
      <c r="C53" s="2">
        <v>0</v>
      </c>
      <c r="D53" s="2"/>
      <c r="E53" s="6">
        <f t="shared" si="0"/>
        <v>0</v>
      </c>
    </row>
    <row r="54" spans="1:5" ht="15" hidden="1" x14ac:dyDescent="0.45">
      <c r="A54" s="5" t="s">
        <v>47</v>
      </c>
      <c r="B54" s="5" t="s">
        <v>3</v>
      </c>
      <c r="C54" s="2">
        <v>0</v>
      </c>
      <c r="D54" s="2"/>
      <c r="E54" s="6">
        <f t="shared" si="0"/>
        <v>0</v>
      </c>
    </row>
    <row r="55" spans="1:5" ht="15" hidden="1" x14ac:dyDescent="0.45">
      <c r="A55" s="5" t="s">
        <v>48</v>
      </c>
      <c r="B55" s="5" t="s">
        <v>3</v>
      </c>
      <c r="C55" s="2">
        <v>0</v>
      </c>
      <c r="D55" s="2"/>
      <c r="E55" s="6">
        <f t="shared" si="0"/>
        <v>0</v>
      </c>
    </row>
    <row r="56" spans="1:5" ht="15" x14ac:dyDescent="0.45">
      <c r="A56" s="5" t="s">
        <v>49</v>
      </c>
      <c r="B56" s="5" t="s">
        <v>3</v>
      </c>
      <c r="C56" s="2">
        <v>48</v>
      </c>
      <c r="D56" s="2">
        <v>7000</v>
      </c>
      <c r="E56" s="6">
        <f t="shared" si="0"/>
        <v>336000</v>
      </c>
    </row>
    <row r="57" spans="1:5" ht="15" hidden="1" x14ac:dyDescent="0.45">
      <c r="A57" s="5" t="s">
        <v>49</v>
      </c>
      <c r="B57" s="5" t="s">
        <v>32</v>
      </c>
      <c r="C57" s="2">
        <v>0</v>
      </c>
      <c r="D57" s="2"/>
      <c r="E57" s="6">
        <f t="shared" si="0"/>
        <v>0</v>
      </c>
    </row>
    <row r="58" spans="1:5" ht="15" x14ac:dyDescent="0.45">
      <c r="A58" s="5" t="s">
        <v>50</v>
      </c>
      <c r="B58" s="5" t="s">
        <v>3</v>
      </c>
      <c r="C58" s="2">
        <v>13</v>
      </c>
      <c r="D58" s="2">
        <v>21000</v>
      </c>
      <c r="E58" s="6">
        <f t="shared" si="0"/>
        <v>273000</v>
      </c>
    </row>
    <row r="59" spans="1:5" ht="15" x14ac:dyDescent="0.45">
      <c r="A59" s="5" t="s">
        <v>51</v>
      </c>
      <c r="B59" s="5" t="s">
        <v>3</v>
      </c>
      <c r="C59" s="2">
        <v>287</v>
      </c>
      <c r="D59" s="2">
        <v>5000</v>
      </c>
      <c r="E59" s="6">
        <f t="shared" si="0"/>
        <v>1435000</v>
      </c>
    </row>
    <row r="60" spans="1:5" ht="15" hidden="1" x14ac:dyDescent="0.45">
      <c r="A60" s="5" t="s">
        <v>51</v>
      </c>
      <c r="B60" s="5" t="s">
        <v>52</v>
      </c>
      <c r="C60" s="2">
        <v>0</v>
      </c>
      <c r="D60" s="2"/>
      <c r="E60" s="6">
        <f t="shared" si="0"/>
        <v>0</v>
      </c>
    </row>
    <row r="61" spans="1:5" ht="15" hidden="1" x14ac:dyDescent="0.45">
      <c r="A61" s="5" t="s">
        <v>53</v>
      </c>
      <c r="B61" s="5" t="s">
        <v>3</v>
      </c>
      <c r="C61" s="2">
        <v>0</v>
      </c>
      <c r="D61" s="2"/>
      <c r="E61" s="6">
        <f t="shared" si="0"/>
        <v>0</v>
      </c>
    </row>
    <row r="62" spans="1:5" ht="15" x14ac:dyDescent="0.45">
      <c r="A62" s="5" t="s">
        <v>54</v>
      </c>
      <c r="B62" s="5" t="s">
        <v>32</v>
      </c>
      <c r="C62" s="2">
        <v>266</v>
      </c>
      <c r="D62" s="2">
        <v>1350</v>
      </c>
      <c r="E62" s="6">
        <f t="shared" si="0"/>
        <v>359100</v>
      </c>
    </row>
    <row r="63" spans="1:5" ht="15" x14ac:dyDescent="0.45">
      <c r="A63" s="5" t="s">
        <v>55</v>
      </c>
      <c r="B63" s="5" t="s">
        <v>3</v>
      </c>
      <c r="C63" s="2">
        <v>1970</v>
      </c>
      <c r="D63" s="2">
        <v>26000</v>
      </c>
      <c r="E63" s="6">
        <f t="shared" si="0"/>
        <v>51220000</v>
      </c>
    </row>
    <row r="64" spans="1:5" ht="15" x14ac:dyDescent="0.45">
      <c r="A64" s="5" t="s">
        <v>56</v>
      </c>
      <c r="B64" s="5" t="s">
        <v>3</v>
      </c>
      <c r="C64" s="2">
        <v>575</v>
      </c>
      <c r="D64" s="2">
        <v>26000</v>
      </c>
      <c r="E64" s="6">
        <f t="shared" si="0"/>
        <v>14950000</v>
      </c>
    </row>
    <row r="65" spans="1:5" ht="15" x14ac:dyDescent="0.45">
      <c r="A65" s="5" t="s">
        <v>57</v>
      </c>
      <c r="B65" s="5" t="s">
        <v>3</v>
      </c>
      <c r="C65" s="2">
        <v>240</v>
      </c>
      <c r="D65" s="2">
        <v>15000</v>
      </c>
      <c r="E65" s="6">
        <f t="shared" si="0"/>
        <v>3600000</v>
      </c>
    </row>
    <row r="66" spans="1:5" ht="15" x14ac:dyDescent="0.45">
      <c r="A66" s="5" t="s">
        <v>58</v>
      </c>
      <c r="B66" s="5" t="s">
        <v>3</v>
      </c>
      <c r="C66" s="2">
        <v>61</v>
      </c>
      <c r="D66" s="2">
        <v>22000</v>
      </c>
      <c r="E66" s="6">
        <f t="shared" si="0"/>
        <v>1342000</v>
      </c>
    </row>
    <row r="67" spans="1:5" ht="15" hidden="1" x14ac:dyDescent="0.45">
      <c r="A67" s="5" t="s">
        <v>59</v>
      </c>
      <c r="B67" s="5" t="s">
        <v>3</v>
      </c>
      <c r="C67" s="2">
        <v>0</v>
      </c>
      <c r="D67" s="2"/>
      <c r="E67" s="6">
        <f t="shared" si="0"/>
        <v>0</v>
      </c>
    </row>
    <row r="68" spans="1:5" ht="15" hidden="1" x14ac:dyDescent="0.45">
      <c r="A68" s="5" t="s">
        <v>59</v>
      </c>
      <c r="B68" s="5" t="s">
        <v>32</v>
      </c>
      <c r="C68" s="2">
        <v>0</v>
      </c>
      <c r="D68" s="2"/>
      <c r="E68" s="6">
        <f t="shared" ref="E68:E127" si="1">C68*D68</f>
        <v>0</v>
      </c>
    </row>
    <row r="69" spans="1:5" ht="15" hidden="1" x14ac:dyDescent="0.45">
      <c r="A69" s="5" t="s">
        <v>60</v>
      </c>
      <c r="B69" s="5" t="s">
        <v>3</v>
      </c>
      <c r="C69" s="2">
        <v>0</v>
      </c>
      <c r="D69" s="2"/>
      <c r="E69" s="6">
        <f t="shared" si="1"/>
        <v>0</v>
      </c>
    </row>
    <row r="70" spans="1:5" ht="15" x14ac:dyDescent="0.45">
      <c r="A70" s="5" t="s">
        <v>61</v>
      </c>
      <c r="B70" s="5" t="s">
        <v>3</v>
      </c>
      <c r="C70" s="2">
        <v>1505</v>
      </c>
      <c r="D70" s="2">
        <v>12300</v>
      </c>
      <c r="E70" s="6">
        <f t="shared" si="1"/>
        <v>18511500</v>
      </c>
    </row>
    <row r="71" spans="1:5" ht="15" hidden="1" x14ac:dyDescent="0.45">
      <c r="A71" s="5" t="s">
        <v>61</v>
      </c>
      <c r="B71" s="5" t="s">
        <v>32</v>
      </c>
      <c r="C71" s="2">
        <v>0</v>
      </c>
      <c r="D71" s="2"/>
      <c r="E71" s="6">
        <f t="shared" si="1"/>
        <v>0</v>
      </c>
    </row>
    <row r="72" spans="1:5" ht="15" hidden="1" x14ac:dyDescent="0.45">
      <c r="A72" s="5" t="s">
        <v>62</v>
      </c>
      <c r="B72" s="5" t="s">
        <v>32</v>
      </c>
      <c r="C72" s="2">
        <v>0</v>
      </c>
      <c r="D72" s="2"/>
      <c r="E72" s="6">
        <f t="shared" si="1"/>
        <v>0</v>
      </c>
    </row>
    <row r="73" spans="1:5" ht="15" x14ac:dyDescent="0.45">
      <c r="A73" s="5" t="s">
        <v>63</v>
      </c>
      <c r="B73" s="5" t="s">
        <v>3</v>
      </c>
      <c r="C73" s="2">
        <v>5</v>
      </c>
      <c r="D73" s="2">
        <v>10000</v>
      </c>
      <c r="E73" s="6">
        <f t="shared" si="1"/>
        <v>50000</v>
      </c>
    </row>
    <row r="74" spans="1:5" ht="15" x14ac:dyDescent="0.45">
      <c r="A74" s="5" t="s">
        <v>64</v>
      </c>
      <c r="B74" s="5" t="s">
        <v>32</v>
      </c>
      <c r="C74" s="2">
        <v>12</v>
      </c>
      <c r="D74" s="2">
        <v>6000</v>
      </c>
      <c r="E74" s="6">
        <f t="shared" si="1"/>
        <v>72000</v>
      </c>
    </row>
    <row r="75" spans="1:5" ht="15" hidden="1" x14ac:dyDescent="0.45">
      <c r="A75" s="5" t="s">
        <v>65</v>
      </c>
      <c r="B75" s="5" t="s">
        <v>3</v>
      </c>
      <c r="C75" s="2">
        <v>0</v>
      </c>
      <c r="D75" s="2"/>
      <c r="E75" s="6">
        <f t="shared" si="1"/>
        <v>0</v>
      </c>
    </row>
    <row r="76" spans="1:5" ht="15" x14ac:dyDescent="0.45">
      <c r="A76" s="5" t="s">
        <v>65</v>
      </c>
      <c r="B76" s="5" t="s">
        <v>32</v>
      </c>
      <c r="C76" s="2">
        <v>15</v>
      </c>
      <c r="D76" s="2">
        <v>6000</v>
      </c>
      <c r="E76" s="6">
        <f t="shared" si="1"/>
        <v>90000</v>
      </c>
    </row>
    <row r="77" spans="1:5" ht="15" hidden="1" x14ac:dyDescent="0.45">
      <c r="A77" s="5" t="s">
        <v>66</v>
      </c>
      <c r="B77" s="5" t="s">
        <v>3</v>
      </c>
      <c r="C77" s="2">
        <v>0</v>
      </c>
      <c r="D77" s="2"/>
      <c r="E77" s="6">
        <f t="shared" si="1"/>
        <v>0</v>
      </c>
    </row>
    <row r="78" spans="1:5" ht="15" x14ac:dyDescent="0.45">
      <c r="A78" s="5" t="s">
        <v>68</v>
      </c>
      <c r="B78" s="5" t="s">
        <v>3</v>
      </c>
      <c r="C78" s="2">
        <v>1</v>
      </c>
      <c r="D78" s="2">
        <v>70000</v>
      </c>
      <c r="E78" s="6">
        <f t="shared" si="1"/>
        <v>70000</v>
      </c>
    </row>
    <row r="79" spans="1:5" ht="15" hidden="1" x14ac:dyDescent="0.45">
      <c r="A79" s="5" t="s">
        <v>132</v>
      </c>
      <c r="B79" s="5" t="s">
        <v>29</v>
      </c>
      <c r="C79" s="2">
        <v>0</v>
      </c>
      <c r="D79" s="2"/>
      <c r="E79" s="6">
        <f t="shared" si="1"/>
        <v>0</v>
      </c>
    </row>
    <row r="80" spans="1:5" ht="15" hidden="1" x14ac:dyDescent="0.45">
      <c r="A80" s="5" t="s">
        <v>69</v>
      </c>
      <c r="B80" s="5" t="s">
        <v>3</v>
      </c>
      <c r="C80" s="2">
        <v>0</v>
      </c>
      <c r="D80" s="2"/>
      <c r="E80" s="6">
        <f t="shared" si="1"/>
        <v>0</v>
      </c>
    </row>
    <row r="81" spans="1:5" ht="15" hidden="1" x14ac:dyDescent="0.45">
      <c r="A81" s="5" t="s">
        <v>111</v>
      </c>
      <c r="B81" s="5" t="s">
        <v>32</v>
      </c>
      <c r="C81" s="2">
        <v>0</v>
      </c>
      <c r="D81" s="2"/>
      <c r="E81" s="6">
        <f t="shared" si="1"/>
        <v>0</v>
      </c>
    </row>
    <row r="82" spans="1:5" ht="15" x14ac:dyDescent="0.45">
      <c r="A82" s="5" t="s">
        <v>70</v>
      </c>
      <c r="B82" s="5" t="s">
        <v>3</v>
      </c>
      <c r="C82" s="2">
        <v>24</v>
      </c>
      <c r="D82" s="2">
        <v>8000</v>
      </c>
      <c r="E82" s="6">
        <f t="shared" si="1"/>
        <v>192000</v>
      </c>
    </row>
    <row r="83" spans="1:5" ht="15" x14ac:dyDescent="0.45">
      <c r="A83" s="5" t="s">
        <v>70</v>
      </c>
      <c r="B83" s="5" t="s">
        <v>18</v>
      </c>
      <c r="C83" s="2">
        <v>222</v>
      </c>
      <c r="D83" s="2">
        <v>4500</v>
      </c>
      <c r="E83" s="6">
        <f t="shared" si="1"/>
        <v>999000</v>
      </c>
    </row>
    <row r="84" spans="1:5" ht="15" hidden="1" x14ac:dyDescent="0.45">
      <c r="A84" s="5" t="s">
        <v>71</v>
      </c>
      <c r="B84" s="5" t="s">
        <v>3</v>
      </c>
      <c r="C84" s="2">
        <v>0</v>
      </c>
      <c r="D84" s="2"/>
      <c r="E84" s="6">
        <f t="shared" si="1"/>
        <v>0</v>
      </c>
    </row>
    <row r="85" spans="1:5" ht="15" x14ac:dyDescent="0.45">
      <c r="A85" s="5" t="s">
        <v>72</v>
      </c>
      <c r="B85" s="5" t="s">
        <v>3</v>
      </c>
      <c r="C85" s="2">
        <v>27</v>
      </c>
      <c r="D85" s="2">
        <v>12000</v>
      </c>
      <c r="E85" s="6">
        <f t="shared" si="1"/>
        <v>324000</v>
      </c>
    </row>
    <row r="86" spans="1:5" ht="15" x14ac:dyDescent="0.45">
      <c r="A86" s="5" t="s">
        <v>73</v>
      </c>
      <c r="B86" s="5" t="s">
        <v>3</v>
      </c>
      <c r="C86" s="2">
        <v>59</v>
      </c>
      <c r="D86" s="2">
        <v>10000</v>
      </c>
      <c r="E86" s="6">
        <f t="shared" si="1"/>
        <v>590000</v>
      </c>
    </row>
    <row r="87" spans="1:5" ht="15" hidden="1" x14ac:dyDescent="0.45">
      <c r="A87" s="5" t="s">
        <v>73</v>
      </c>
      <c r="B87" s="5" t="s">
        <v>44</v>
      </c>
      <c r="C87" s="2">
        <v>0</v>
      </c>
      <c r="D87" s="2"/>
      <c r="E87" s="6">
        <f t="shared" si="1"/>
        <v>0</v>
      </c>
    </row>
    <row r="88" spans="1:5" ht="15" hidden="1" x14ac:dyDescent="0.45">
      <c r="A88" s="5" t="s">
        <v>74</v>
      </c>
      <c r="B88" s="5" t="s">
        <v>32</v>
      </c>
      <c r="C88" s="2">
        <v>0</v>
      </c>
      <c r="D88" s="2"/>
      <c r="E88" s="6">
        <f t="shared" si="1"/>
        <v>0</v>
      </c>
    </row>
    <row r="89" spans="1:5" ht="15" hidden="1" x14ac:dyDescent="0.45">
      <c r="A89" s="5" t="s">
        <v>75</v>
      </c>
      <c r="B89" s="5" t="s">
        <v>3</v>
      </c>
      <c r="C89" s="2">
        <v>0</v>
      </c>
      <c r="D89" s="2"/>
      <c r="E89" s="6">
        <f t="shared" si="1"/>
        <v>0</v>
      </c>
    </row>
    <row r="90" spans="1:5" ht="15" hidden="1" x14ac:dyDescent="0.45">
      <c r="A90" s="5" t="s">
        <v>76</v>
      </c>
      <c r="B90" s="5" t="s">
        <v>27</v>
      </c>
      <c r="C90" s="2">
        <v>0</v>
      </c>
      <c r="D90" s="2"/>
      <c r="E90" s="6">
        <f t="shared" si="1"/>
        <v>0</v>
      </c>
    </row>
    <row r="91" spans="1:5" ht="15" x14ac:dyDescent="0.45">
      <c r="A91" s="5" t="s">
        <v>76</v>
      </c>
      <c r="B91" s="5" t="s">
        <v>3</v>
      </c>
      <c r="C91" s="2">
        <v>20</v>
      </c>
      <c r="D91" s="2">
        <v>59000</v>
      </c>
      <c r="E91" s="6">
        <f t="shared" si="1"/>
        <v>1180000</v>
      </c>
    </row>
    <row r="92" spans="1:5" ht="15" hidden="1" x14ac:dyDescent="0.45">
      <c r="A92" s="5" t="s">
        <v>76</v>
      </c>
      <c r="B92" s="5" t="s">
        <v>77</v>
      </c>
      <c r="C92" s="2">
        <v>0</v>
      </c>
      <c r="D92" s="2"/>
      <c r="E92" s="6">
        <f t="shared" si="1"/>
        <v>0</v>
      </c>
    </row>
    <row r="93" spans="1:5" ht="15" hidden="1" x14ac:dyDescent="0.45">
      <c r="A93" s="5" t="s">
        <v>76</v>
      </c>
      <c r="B93" s="5" t="s">
        <v>112</v>
      </c>
      <c r="C93" s="2">
        <v>0</v>
      </c>
      <c r="D93" s="2"/>
      <c r="E93" s="6">
        <f t="shared" si="1"/>
        <v>0</v>
      </c>
    </row>
    <row r="94" spans="1:5" ht="15" hidden="1" x14ac:dyDescent="0.45">
      <c r="A94" s="5" t="s">
        <v>155</v>
      </c>
      <c r="B94" s="5" t="s">
        <v>3</v>
      </c>
      <c r="C94" s="2">
        <v>0</v>
      </c>
      <c r="D94" s="2"/>
      <c r="E94" s="6">
        <f t="shared" si="1"/>
        <v>0</v>
      </c>
    </row>
    <row r="95" spans="1:5" ht="15" hidden="1" x14ac:dyDescent="0.45">
      <c r="A95" s="5" t="s">
        <v>78</v>
      </c>
      <c r="B95" s="5" t="s">
        <v>3</v>
      </c>
      <c r="C95" s="2">
        <v>0</v>
      </c>
      <c r="D95" s="2"/>
      <c r="E95" s="6">
        <f t="shared" si="1"/>
        <v>0</v>
      </c>
    </row>
    <row r="96" spans="1:5" ht="15" hidden="1" x14ac:dyDescent="0.45">
      <c r="A96" s="5" t="s">
        <v>79</v>
      </c>
      <c r="B96" s="5" t="s">
        <v>18</v>
      </c>
      <c r="C96" s="2">
        <v>0</v>
      </c>
      <c r="D96" s="2"/>
      <c r="E96" s="6">
        <f t="shared" si="1"/>
        <v>0</v>
      </c>
    </row>
    <row r="97" spans="1:6" ht="15" x14ac:dyDescent="0.45">
      <c r="A97" s="5" t="s">
        <v>80</v>
      </c>
      <c r="B97" s="5" t="s">
        <v>27</v>
      </c>
      <c r="C97" s="2">
        <v>41</v>
      </c>
      <c r="D97" s="2">
        <v>38000</v>
      </c>
      <c r="E97" s="6">
        <f t="shared" si="1"/>
        <v>1558000</v>
      </c>
    </row>
    <row r="98" spans="1:6" ht="15" hidden="1" x14ac:dyDescent="0.45">
      <c r="A98" s="5" t="s">
        <v>80</v>
      </c>
      <c r="B98" s="5" t="s">
        <v>3</v>
      </c>
      <c r="C98" s="2">
        <v>0</v>
      </c>
      <c r="D98" s="2"/>
      <c r="E98" s="6">
        <f t="shared" si="1"/>
        <v>0</v>
      </c>
    </row>
    <row r="99" spans="1:6" ht="15" x14ac:dyDescent="0.45">
      <c r="A99" s="5" t="s">
        <v>81</v>
      </c>
      <c r="B99" s="5" t="s">
        <v>3</v>
      </c>
      <c r="C99" s="2">
        <v>129</v>
      </c>
      <c r="D99" s="2">
        <v>40000</v>
      </c>
      <c r="E99" s="6">
        <f t="shared" si="1"/>
        <v>5160000</v>
      </c>
    </row>
    <row r="100" spans="1:6" ht="15" hidden="1" x14ac:dyDescent="0.45">
      <c r="A100" s="5" t="s">
        <v>81</v>
      </c>
      <c r="B100" s="5" t="s">
        <v>11</v>
      </c>
      <c r="C100" s="2">
        <v>0</v>
      </c>
      <c r="D100" s="2"/>
      <c r="E100" s="6">
        <f t="shared" si="1"/>
        <v>0</v>
      </c>
    </row>
    <row r="101" spans="1:6" ht="15" x14ac:dyDescent="0.45">
      <c r="A101" s="5" t="s">
        <v>82</v>
      </c>
      <c r="B101" s="5" t="s">
        <v>3</v>
      </c>
      <c r="C101" s="2">
        <v>40</v>
      </c>
      <c r="D101" s="2">
        <v>30000</v>
      </c>
      <c r="E101" s="6">
        <f t="shared" si="1"/>
        <v>1200000</v>
      </c>
    </row>
    <row r="102" spans="1:6" ht="15" x14ac:dyDescent="0.45">
      <c r="A102" s="5" t="s">
        <v>83</v>
      </c>
      <c r="B102" s="5" t="s">
        <v>3</v>
      </c>
      <c r="C102" s="2">
        <v>55</v>
      </c>
      <c r="D102" s="2">
        <v>40000</v>
      </c>
      <c r="E102" s="6">
        <f t="shared" si="1"/>
        <v>2200000</v>
      </c>
    </row>
    <row r="103" spans="1:6" ht="15" hidden="1" x14ac:dyDescent="0.45">
      <c r="A103" s="5" t="s">
        <v>83</v>
      </c>
      <c r="B103" s="5" t="s">
        <v>11</v>
      </c>
      <c r="C103" s="2">
        <v>0</v>
      </c>
      <c r="D103" s="2"/>
      <c r="E103" s="6">
        <f t="shared" si="1"/>
        <v>0</v>
      </c>
    </row>
    <row r="104" spans="1:6" ht="15" x14ac:dyDescent="0.45">
      <c r="A104" s="5" t="s">
        <v>84</v>
      </c>
      <c r="B104" s="5" t="s">
        <v>3</v>
      </c>
      <c r="C104" s="2">
        <v>55</v>
      </c>
      <c r="D104" s="2">
        <v>30000</v>
      </c>
      <c r="E104" s="6">
        <f t="shared" si="1"/>
        <v>1650000</v>
      </c>
    </row>
    <row r="105" spans="1:6" ht="15" x14ac:dyDescent="0.45">
      <c r="A105" s="5" t="s">
        <v>85</v>
      </c>
      <c r="B105" s="5" t="s">
        <v>3</v>
      </c>
      <c r="C105" s="2">
        <v>85</v>
      </c>
      <c r="D105" s="2">
        <v>32000</v>
      </c>
      <c r="E105" s="6">
        <f t="shared" si="1"/>
        <v>2720000</v>
      </c>
    </row>
    <row r="106" spans="1:6" ht="15" hidden="1" x14ac:dyDescent="0.45">
      <c r="A106" s="5" t="s">
        <v>85</v>
      </c>
      <c r="B106" s="5" t="s">
        <v>11</v>
      </c>
      <c r="C106" s="2">
        <v>0</v>
      </c>
      <c r="D106" s="2"/>
      <c r="E106" s="6">
        <f t="shared" si="1"/>
        <v>0</v>
      </c>
    </row>
    <row r="107" spans="1:6" ht="15" x14ac:dyDescent="0.45">
      <c r="A107" s="5" t="s">
        <v>113</v>
      </c>
      <c r="B107" s="5" t="s">
        <v>3</v>
      </c>
      <c r="C107" s="2">
        <v>15</v>
      </c>
      <c r="D107" s="2">
        <v>26000</v>
      </c>
      <c r="E107" s="6">
        <f t="shared" si="1"/>
        <v>390000</v>
      </c>
    </row>
    <row r="108" spans="1:6" ht="15" x14ac:dyDescent="0.45">
      <c r="A108" s="5" t="s">
        <v>86</v>
      </c>
      <c r="B108" s="5" t="s">
        <v>3</v>
      </c>
      <c r="C108" s="2">
        <v>3</v>
      </c>
      <c r="D108" s="2">
        <v>46000</v>
      </c>
      <c r="E108" s="6">
        <f t="shared" si="1"/>
        <v>138000</v>
      </c>
    </row>
    <row r="109" spans="1:6" ht="15" x14ac:dyDescent="0.45">
      <c r="A109" s="5" t="s">
        <v>86</v>
      </c>
      <c r="B109" s="5" t="s">
        <v>32</v>
      </c>
      <c r="C109" s="2">
        <v>41</v>
      </c>
      <c r="D109" s="2">
        <v>17000</v>
      </c>
      <c r="E109" s="6">
        <f t="shared" si="1"/>
        <v>697000</v>
      </c>
    </row>
    <row r="110" spans="1:6" ht="15" x14ac:dyDescent="0.45">
      <c r="A110" s="5" t="s">
        <v>109</v>
      </c>
      <c r="B110" s="5" t="s">
        <v>3</v>
      </c>
      <c r="C110" s="2">
        <v>19</v>
      </c>
      <c r="D110" s="2">
        <v>21000</v>
      </c>
      <c r="E110" s="6">
        <f t="shared" si="1"/>
        <v>399000</v>
      </c>
      <c r="F110" t="s">
        <v>158</v>
      </c>
    </row>
    <row r="111" spans="1:6" ht="15" hidden="1" x14ac:dyDescent="0.45">
      <c r="A111" s="5" t="s">
        <v>87</v>
      </c>
      <c r="B111" s="5" t="s">
        <v>32</v>
      </c>
      <c r="C111" s="2">
        <v>0</v>
      </c>
      <c r="D111" s="2"/>
      <c r="E111" s="6">
        <f t="shared" si="1"/>
        <v>0</v>
      </c>
    </row>
    <row r="112" spans="1:6" ht="15" hidden="1" x14ac:dyDescent="0.45">
      <c r="A112" s="5" t="s">
        <v>133</v>
      </c>
      <c r="B112" s="5" t="s">
        <v>3</v>
      </c>
      <c r="C112" s="2">
        <v>0</v>
      </c>
      <c r="D112" s="2"/>
      <c r="E112" s="6">
        <f t="shared" si="1"/>
        <v>0</v>
      </c>
    </row>
    <row r="113" spans="1:5" ht="15" hidden="1" x14ac:dyDescent="0.45">
      <c r="A113" s="5" t="s">
        <v>88</v>
      </c>
      <c r="B113" s="5" t="s">
        <v>3</v>
      </c>
      <c r="C113" s="2">
        <v>0</v>
      </c>
      <c r="D113" s="2"/>
      <c r="E113" s="6">
        <f t="shared" si="1"/>
        <v>0</v>
      </c>
    </row>
    <row r="114" spans="1:5" ht="15" hidden="1" x14ac:dyDescent="0.45">
      <c r="A114" s="5" t="s">
        <v>125</v>
      </c>
      <c r="B114" s="5" t="s">
        <v>3</v>
      </c>
      <c r="C114" s="2">
        <v>0</v>
      </c>
      <c r="D114" s="2"/>
      <c r="E114" s="6">
        <f t="shared" si="1"/>
        <v>0</v>
      </c>
    </row>
    <row r="115" spans="1:5" ht="15" x14ac:dyDescent="0.45">
      <c r="A115" s="5" t="s">
        <v>91</v>
      </c>
      <c r="B115" s="5" t="s">
        <v>3</v>
      </c>
      <c r="C115" s="2">
        <v>9</v>
      </c>
      <c r="D115" s="2">
        <v>10000</v>
      </c>
      <c r="E115" s="6">
        <f t="shared" si="1"/>
        <v>90000</v>
      </c>
    </row>
    <row r="116" spans="1:5" ht="15" x14ac:dyDescent="0.45">
      <c r="A116" s="5" t="s">
        <v>92</v>
      </c>
      <c r="B116" s="5" t="s">
        <v>3</v>
      </c>
      <c r="C116" s="2">
        <v>55</v>
      </c>
      <c r="D116" s="2">
        <v>5000</v>
      </c>
      <c r="E116" s="6">
        <f t="shared" si="1"/>
        <v>275000</v>
      </c>
    </row>
    <row r="117" spans="1:5" ht="15" hidden="1" x14ac:dyDescent="0.45">
      <c r="A117" s="5" t="s">
        <v>134</v>
      </c>
      <c r="B117" s="5" t="s">
        <v>147</v>
      </c>
      <c r="C117" s="2">
        <v>0</v>
      </c>
      <c r="D117" s="2"/>
      <c r="E117" s="6">
        <f t="shared" si="1"/>
        <v>0</v>
      </c>
    </row>
    <row r="118" spans="1:5" ht="15" hidden="1" x14ac:dyDescent="0.45">
      <c r="A118" s="5" t="s">
        <v>93</v>
      </c>
      <c r="B118" s="5" t="s">
        <v>3</v>
      </c>
      <c r="C118" s="2">
        <v>0</v>
      </c>
      <c r="D118" s="2"/>
      <c r="E118" s="6">
        <f t="shared" si="1"/>
        <v>0</v>
      </c>
    </row>
    <row r="119" spans="1:5" ht="15" hidden="1" x14ac:dyDescent="0.45">
      <c r="A119" s="5" t="s">
        <v>94</v>
      </c>
      <c r="B119" s="5" t="s">
        <v>3</v>
      </c>
      <c r="C119" s="2">
        <v>0</v>
      </c>
      <c r="D119" s="2"/>
      <c r="E119" s="6">
        <f t="shared" si="1"/>
        <v>0</v>
      </c>
    </row>
    <row r="120" spans="1:5" ht="15" hidden="1" x14ac:dyDescent="0.45">
      <c r="A120" s="5" t="s">
        <v>96</v>
      </c>
      <c r="B120" s="5" t="s">
        <v>3</v>
      </c>
      <c r="C120" s="2">
        <v>0</v>
      </c>
      <c r="D120" s="2"/>
      <c r="E120" s="6">
        <f t="shared" si="1"/>
        <v>0</v>
      </c>
    </row>
    <row r="121" spans="1:5" ht="15" hidden="1" x14ac:dyDescent="0.45">
      <c r="A121" s="5" t="s">
        <v>97</v>
      </c>
      <c r="B121" s="5" t="s">
        <v>44</v>
      </c>
      <c r="C121" s="2">
        <v>0</v>
      </c>
      <c r="D121" s="2"/>
      <c r="E121" s="6">
        <f t="shared" si="1"/>
        <v>0</v>
      </c>
    </row>
    <row r="122" spans="1:5" ht="15" hidden="1" x14ac:dyDescent="0.45">
      <c r="A122" s="5" t="s">
        <v>98</v>
      </c>
      <c r="B122" s="5" t="s">
        <v>3</v>
      </c>
      <c r="C122" s="2">
        <v>0</v>
      </c>
      <c r="D122" s="2"/>
      <c r="E122" s="6">
        <f t="shared" si="1"/>
        <v>0</v>
      </c>
    </row>
    <row r="123" spans="1:5" ht="15" hidden="1" x14ac:dyDescent="0.45">
      <c r="A123" s="5" t="s">
        <v>99</v>
      </c>
      <c r="B123" s="5" t="s">
        <v>44</v>
      </c>
      <c r="C123" s="2">
        <v>0</v>
      </c>
      <c r="D123" s="2"/>
      <c r="E123" s="6">
        <f t="shared" si="1"/>
        <v>0</v>
      </c>
    </row>
    <row r="124" spans="1:5" ht="15" hidden="1" x14ac:dyDescent="0.45">
      <c r="A124" s="5" t="s">
        <v>126</v>
      </c>
      <c r="B124" s="5" t="s">
        <v>3</v>
      </c>
      <c r="C124" s="2">
        <v>0</v>
      </c>
      <c r="D124" s="2"/>
      <c r="E124" s="6">
        <f t="shared" si="1"/>
        <v>0</v>
      </c>
    </row>
    <row r="125" spans="1:5" ht="15" hidden="1" x14ac:dyDescent="0.45">
      <c r="A125" s="5" t="s">
        <v>114</v>
      </c>
      <c r="B125" s="5" t="s">
        <v>3</v>
      </c>
      <c r="C125" s="2">
        <v>0</v>
      </c>
      <c r="D125" s="2"/>
      <c r="E125" s="6">
        <f t="shared" si="1"/>
        <v>0</v>
      </c>
    </row>
    <row r="126" spans="1:5" ht="15" hidden="1" x14ac:dyDescent="0.45">
      <c r="A126" s="5" t="s">
        <v>100</v>
      </c>
      <c r="B126" s="5" t="s">
        <v>3</v>
      </c>
      <c r="C126" s="2">
        <v>0</v>
      </c>
      <c r="D126" s="2"/>
      <c r="E126" s="6">
        <f t="shared" si="1"/>
        <v>0</v>
      </c>
    </row>
    <row r="127" spans="1:5" ht="15" hidden="1" x14ac:dyDescent="0.45">
      <c r="A127" s="5" t="s">
        <v>101</v>
      </c>
      <c r="B127" s="5" t="s">
        <v>44</v>
      </c>
      <c r="C127" s="2">
        <v>0</v>
      </c>
      <c r="D127" s="2"/>
      <c r="E127" s="6">
        <f t="shared" si="1"/>
        <v>0</v>
      </c>
    </row>
    <row r="128" spans="1:5" x14ac:dyDescent="0.45">
      <c r="E128" s="8">
        <f>SUM(E3:E116)</f>
        <v>142367100</v>
      </c>
    </row>
  </sheetData>
  <autoFilter ref="A2:E127" xr:uid="{00000000-0009-0000-0000-000013000000}">
    <filterColumn colId="2">
      <filters>
        <filter val="1"/>
        <filter val="1,216"/>
        <filter val="1,505"/>
        <filter val="1,970"/>
        <filter val="12"/>
        <filter val="122"/>
        <filter val="129"/>
        <filter val="13"/>
        <filter val="142"/>
        <filter val="15"/>
        <filter val="175"/>
        <filter val="189"/>
        <filter val="2"/>
        <filter val="20"/>
        <filter val="222"/>
        <filter val="23"/>
        <filter val="230"/>
        <filter val="235"/>
        <filter val="24"/>
        <filter val="240"/>
        <filter val="266"/>
        <filter val="27"/>
        <filter val="287"/>
        <filter val="3"/>
        <filter val="30"/>
        <filter val="320"/>
        <filter val="4"/>
        <filter val="40"/>
        <filter val="41"/>
        <filter val="410"/>
        <filter val="43"/>
        <filter val="48"/>
        <filter val="5"/>
        <filter val="55"/>
        <filter val="575"/>
        <filter val="59"/>
        <filter val="60"/>
        <filter val="61"/>
        <filter val="63"/>
        <filter val="689"/>
        <filter val="70"/>
        <filter val="75"/>
        <filter val="8"/>
        <filter val="82"/>
        <filter val="85"/>
        <filter val="9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E105"/>
  <sheetViews>
    <sheetView workbookViewId="0">
      <selection activeCell="G25" sqref="G25"/>
    </sheetView>
  </sheetViews>
  <sheetFormatPr defaultRowHeight="14.25" x14ac:dyDescent="0.45"/>
  <cols>
    <col min="1" max="1" width="26" customWidth="1"/>
    <col min="5" max="5" width="16" customWidth="1"/>
  </cols>
  <sheetData>
    <row r="1" spans="1:5" x14ac:dyDescent="0.45">
      <c r="A1" t="s">
        <v>159</v>
      </c>
    </row>
    <row r="2" spans="1:5" ht="47.45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28</v>
      </c>
      <c r="D3" s="2">
        <v>10000</v>
      </c>
      <c r="E3" s="6">
        <f>C3*D3</f>
        <v>280000</v>
      </c>
    </row>
    <row r="4" spans="1:5" ht="15" x14ac:dyDescent="0.45">
      <c r="A4" s="5" t="s">
        <v>4</v>
      </c>
      <c r="B4" s="5" t="s">
        <v>3</v>
      </c>
      <c r="C4" s="2">
        <v>410</v>
      </c>
      <c r="D4" s="2">
        <v>6000</v>
      </c>
      <c r="E4" s="6">
        <f t="shared" ref="E4:E67" si="0">C4*D4</f>
        <v>2460000</v>
      </c>
    </row>
    <row r="5" spans="1:5" ht="15" x14ac:dyDescent="0.45">
      <c r="A5" s="5" t="s">
        <v>5</v>
      </c>
      <c r="B5" s="5" t="s">
        <v>3</v>
      </c>
      <c r="C5" s="2">
        <v>1880</v>
      </c>
      <c r="D5" s="2">
        <v>3500</v>
      </c>
      <c r="E5" s="6">
        <f t="shared" si="0"/>
        <v>6580000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5" ht="15" x14ac:dyDescent="0.45">
      <c r="A7" s="5" t="s">
        <v>8</v>
      </c>
      <c r="B7" s="5" t="s">
        <v>3</v>
      </c>
      <c r="C7" s="2">
        <v>550</v>
      </c>
      <c r="D7" s="2">
        <v>7000</v>
      </c>
      <c r="E7" s="6">
        <f t="shared" si="0"/>
        <v>3850000</v>
      </c>
    </row>
    <row r="8" spans="1:5" ht="15" hidden="1" x14ac:dyDescent="0.45">
      <c r="A8" s="5" t="s">
        <v>9</v>
      </c>
      <c r="B8" s="5" t="s">
        <v>3</v>
      </c>
      <c r="C8" s="2">
        <v>0</v>
      </c>
      <c r="D8" s="2"/>
      <c r="E8" s="6">
        <f t="shared" si="0"/>
        <v>0</v>
      </c>
    </row>
    <row r="9" spans="1:5" ht="15" x14ac:dyDescent="0.45">
      <c r="A9" s="5" t="s">
        <v>10</v>
      </c>
      <c r="B9" s="5" t="s">
        <v>3</v>
      </c>
      <c r="C9" s="2">
        <v>75</v>
      </c>
      <c r="D9" s="2">
        <v>8000</v>
      </c>
      <c r="E9" s="6">
        <f t="shared" si="0"/>
        <v>600000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2"/>
      <c r="E10" s="6">
        <f t="shared" si="0"/>
        <v>0</v>
      </c>
    </row>
    <row r="11" spans="1:5" ht="15" x14ac:dyDescent="0.45">
      <c r="A11" s="5" t="s">
        <v>12</v>
      </c>
      <c r="B11" s="5" t="s">
        <v>3</v>
      </c>
      <c r="C11" s="2">
        <v>57</v>
      </c>
      <c r="D11" s="2">
        <v>10000</v>
      </c>
      <c r="E11" s="6">
        <f t="shared" si="0"/>
        <v>570000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2"/>
      <c r="E12" s="6">
        <f t="shared" si="0"/>
        <v>0</v>
      </c>
    </row>
    <row r="13" spans="1:5" ht="15" x14ac:dyDescent="0.45">
      <c r="A13" s="5" t="s">
        <v>13</v>
      </c>
      <c r="B13" s="5" t="s">
        <v>3</v>
      </c>
      <c r="C13" s="2">
        <v>25</v>
      </c>
      <c r="D13" s="2">
        <v>30000</v>
      </c>
      <c r="E13" s="6">
        <f t="shared" si="0"/>
        <v>750000</v>
      </c>
    </row>
    <row r="14" spans="1:5" ht="15" hidden="1" x14ac:dyDescent="0.45">
      <c r="A14" s="5" t="s">
        <v>116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x14ac:dyDescent="0.45">
      <c r="A18" s="5" t="s">
        <v>17</v>
      </c>
      <c r="B18" s="5" t="s">
        <v>18</v>
      </c>
      <c r="C18" s="2">
        <v>10</v>
      </c>
      <c r="D18" s="2">
        <v>7000</v>
      </c>
      <c r="E18" s="6">
        <f t="shared" si="0"/>
        <v>70000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35</v>
      </c>
      <c r="D20" s="2">
        <v>8000</v>
      </c>
      <c r="E20" s="6">
        <f t="shared" si="0"/>
        <v>280000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x14ac:dyDescent="0.45">
      <c r="A22" s="5" t="s">
        <v>130</v>
      </c>
      <c r="B22" s="5" t="s">
        <v>3</v>
      </c>
      <c r="C22" s="2">
        <v>15</v>
      </c>
      <c r="D22" s="2">
        <v>8000</v>
      </c>
      <c r="E22" s="6">
        <f t="shared" si="0"/>
        <v>120000</v>
      </c>
    </row>
    <row r="23" spans="1:5" ht="15" hidden="1" x14ac:dyDescent="0.45">
      <c r="A23" s="5" t="s">
        <v>22</v>
      </c>
      <c r="B23" s="5" t="s">
        <v>3</v>
      </c>
      <c r="C23" s="2">
        <v>0</v>
      </c>
      <c r="D23" s="2"/>
      <c r="E23" s="6">
        <f t="shared" si="0"/>
        <v>0</v>
      </c>
    </row>
    <row r="24" spans="1:5" ht="15" hidden="1" x14ac:dyDescent="0.45">
      <c r="A24" s="5" t="s">
        <v>22</v>
      </c>
      <c r="B24" s="5" t="s">
        <v>23</v>
      </c>
      <c r="C24" s="2">
        <v>0</v>
      </c>
      <c r="D24" s="2"/>
      <c r="E24" s="6">
        <f t="shared" si="0"/>
        <v>0</v>
      </c>
    </row>
    <row r="25" spans="1:5" ht="15" x14ac:dyDescent="0.45">
      <c r="A25" s="5" t="s">
        <v>24</v>
      </c>
      <c r="B25" s="5" t="s">
        <v>3</v>
      </c>
      <c r="C25" s="2">
        <v>48</v>
      </c>
      <c r="D25" s="2">
        <v>15000</v>
      </c>
      <c r="E25" s="6">
        <f t="shared" si="0"/>
        <v>720000</v>
      </c>
    </row>
    <row r="26" spans="1:5" ht="15" x14ac:dyDescent="0.45">
      <c r="A26" s="5" t="s">
        <v>24</v>
      </c>
      <c r="B26" s="5" t="s">
        <v>25</v>
      </c>
      <c r="C26" s="2">
        <v>35</v>
      </c>
      <c r="D26" s="2">
        <v>4500</v>
      </c>
      <c r="E26" s="6">
        <f t="shared" si="0"/>
        <v>157500</v>
      </c>
    </row>
    <row r="27" spans="1:5" ht="15" hidden="1" x14ac:dyDescent="0.45">
      <c r="A27" s="5" t="s">
        <v>26</v>
      </c>
      <c r="B27" s="5" t="s">
        <v>27</v>
      </c>
      <c r="C27" s="2">
        <v>0</v>
      </c>
      <c r="D27" s="2"/>
      <c r="E27" s="6">
        <f t="shared" si="0"/>
        <v>0</v>
      </c>
    </row>
    <row r="28" spans="1:5" ht="15" hidden="1" x14ac:dyDescent="0.45">
      <c r="A28" s="5" t="s">
        <v>28</v>
      </c>
      <c r="B28" s="5" t="s">
        <v>3</v>
      </c>
      <c r="C28" s="2">
        <v>0</v>
      </c>
      <c r="D28" s="2"/>
      <c r="E28" s="6">
        <f t="shared" si="0"/>
        <v>0</v>
      </c>
    </row>
    <row r="29" spans="1:5" ht="15" x14ac:dyDescent="0.45">
      <c r="A29" s="5" t="s">
        <v>28</v>
      </c>
      <c r="B29" s="5" t="s">
        <v>25</v>
      </c>
      <c r="C29" s="2">
        <v>155</v>
      </c>
      <c r="D29" s="2">
        <v>9000</v>
      </c>
      <c r="E29" s="6">
        <f t="shared" si="0"/>
        <v>1395000</v>
      </c>
    </row>
    <row r="30" spans="1:5" ht="15" x14ac:dyDescent="0.45">
      <c r="A30" s="5" t="s">
        <v>28</v>
      </c>
      <c r="B30" s="5" t="s">
        <v>29</v>
      </c>
      <c r="C30" s="2">
        <v>35</v>
      </c>
      <c r="D30" s="2">
        <v>7500</v>
      </c>
      <c r="E30" s="6">
        <f t="shared" si="0"/>
        <v>262500</v>
      </c>
    </row>
    <row r="31" spans="1:5" ht="15" hidden="1" x14ac:dyDescent="0.45">
      <c r="A31" s="5" t="s">
        <v>30</v>
      </c>
      <c r="B31" s="5" t="s">
        <v>3</v>
      </c>
      <c r="C31" s="2">
        <v>0</v>
      </c>
      <c r="D31" s="2"/>
      <c r="E31" s="6">
        <f t="shared" si="0"/>
        <v>0</v>
      </c>
    </row>
    <row r="32" spans="1:5" ht="15" hidden="1" x14ac:dyDescent="0.45">
      <c r="A32" s="5" t="s">
        <v>30</v>
      </c>
      <c r="B32" s="5" t="s">
        <v>18</v>
      </c>
      <c r="C32" s="2">
        <v>0</v>
      </c>
      <c r="D32" s="2"/>
      <c r="E32" s="6">
        <f t="shared" si="0"/>
        <v>0</v>
      </c>
    </row>
    <row r="33" spans="1:5" ht="15" x14ac:dyDescent="0.45">
      <c r="A33" s="5" t="s">
        <v>31</v>
      </c>
      <c r="B33" s="5" t="s">
        <v>32</v>
      </c>
      <c r="C33" s="2">
        <v>160</v>
      </c>
      <c r="D33" s="2">
        <v>8000</v>
      </c>
      <c r="E33" s="6">
        <f t="shared" si="0"/>
        <v>1280000</v>
      </c>
    </row>
    <row r="34" spans="1:5" ht="15" x14ac:dyDescent="0.45">
      <c r="A34" s="5" t="s">
        <v>33</v>
      </c>
      <c r="B34" s="5" t="s">
        <v>3</v>
      </c>
      <c r="C34" s="2">
        <v>165</v>
      </c>
      <c r="D34" s="2">
        <v>13000</v>
      </c>
      <c r="E34" s="6">
        <f t="shared" si="0"/>
        <v>2145000</v>
      </c>
    </row>
    <row r="35" spans="1:5" ht="15" hidden="1" x14ac:dyDescent="0.45">
      <c r="A35" s="5" t="s">
        <v>33</v>
      </c>
      <c r="B35" s="5" t="s">
        <v>32</v>
      </c>
      <c r="C35" s="2">
        <v>0</v>
      </c>
      <c r="D35" s="2"/>
      <c r="E35" s="6">
        <f t="shared" si="0"/>
        <v>0</v>
      </c>
    </row>
    <row r="36" spans="1:5" ht="15" x14ac:dyDescent="0.45">
      <c r="A36" s="5" t="s">
        <v>34</v>
      </c>
      <c r="B36" s="5" t="s">
        <v>18</v>
      </c>
      <c r="C36" s="2">
        <v>6</v>
      </c>
      <c r="D36" s="2">
        <v>6000</v>
      </c>
      <c r="E36" s="6">
        <f t="shared" si="0"/>
        <v>36000</v>
      </c>
    </row>
    <row r="37" spans="1:5" ht="15" x14ac:dyDescent="0.45">
      <c r="A37" s="5" t="s">
        <v>35</v>
      </c>
      <c r="B37" s="5" t="s">
        <v>3</v>
      </c>
      <c r="C37" s="2">
        <v>10</v>
      </c>
      <c r="D37" s="2">
        <v>8000</v>
      </c>
      <c r="E37" s="6">
        <f t="shared" si="0"/>
        <v>80000</v>
      </c>
    </row>
    <row r="38" spans="1:5" ht="15" hidden="1" x14ac:dyDescent="0.45">
      <c r="A38" s="5" t="s">
        <v>35</v>
      </c>
      <c r="B38" s="5" t="s">
        <v>36</v>
      </c>
      <c r="C38" s="2">
        <v>0</v>
      </c>
      <c r="D38" s="2"/>
      <c r="E38" s="6">
        <f t="shared" si="0"/>
        <v>0</v>
      </c>
    </row>
    <row r="39" spans="1:5" ht="15" hidden="1" x14ac:dyDescent="0.45">
      <c r="A39" s="5" t="s">
        <v>37</v>
      </c>
      <c r="B39" s="5" t="s">
        <v>3</v>
      </c>
      <c r="C39" s="2">
        <v>0</v>
      </c>
      <c r="D39" s="2"/>
      <c r="E39" s="6">
        <f t="shared" si="0"/>
        <v>0</v>
      </c>
    </row>
    <row r="40" spans="1:5" ht="15" hidden="1" x14ac:dyDescent="0.45">
      <c r="A40" s="5" t="s">
        <v>37</v>
      </c>
      <c r="B40" s="5" t="s">
        <v>32</v>
      </c>
      <c r="C40" s="2">
        <v>0</v>
      </c>
      <c r="D40" s="2"/>
      <c r="E40" s="6">
        <f t="shared" si="0"/>
        <v>0</v>
      </c>
    </row>
    <row r="41" spans="1:5" ht="15" x14ac:dyDescent="0.45">
      <c r="A41" s="5" t="s">
        <v>38</v>
      </c>
      <c r="B41" s="5" t="s">
        <v>32</v>
      </c>
      <c r="C41" s="2">
        <v>18</v>
      </c>
      <c r="D41" s="2">
        <v>3000</v>
      </c>
      <c r="E41" s="6">
        <f t="shared" si="0"/>
        <v>54000</v>
      </c>
    </row>
    <row r="42" spans="1:5" ht="15" hidden="1" x14ac:dyDescent="0.45">
      <c r="A42" s="5" t="s">
        <v>39</v>
      </c>
      <c r="B42" s="5" t="s">
        <v>32</v>
      </c>
      <c r="C42" s="2">
        <v>0</v>
      </c>
      <c r="D42" s="2"/>
      <c r="E42" s="6">
        <f t="shared" si="0"/>
        <v>0</v>
      </c>
    </row>
    <row r="43" spans="1:5" ht="15" hidden="1" x14ac:dyDescent="0.45">
      <c r="A43" s="5" t="s">
        <v>40</v>
      </c>
      <c r="B43" s="5" t="s">
        <v>3</v>
      </c>
      <c r="C43" s="2">
        <v>0</v>
      </c>
      <c r="D43" s="2"/>
      <c r="E43" s="6">
        <f t="shared" si="0"/>
        <v>0</v>
      </c>
    </row>
    <row r="44" spans="1:5" ht="15" hidden="1" x14ac:dyDescent="0.45">
      <c r="A44" s="5" t="s">
        <v>41</v>
      </c>
      <c r="B44" s="5" t="s">
        <v>3</v>
      </c>
      <c r="C44" s="2">
        <v>0</v>
      </c>
      <c r="D44" s="2"/>
      <c r="E44" s="6">
        <f t="shared" si="0"/>
        <v>0</v>
      </c>
    </row>
    <row r="45" spans="1:5" ht="15" x14ac:dyDescent="0.45">
      <c r="A45" s="5" t="s">
        <v>42</v>
      </c>
      <c r="B45" s="5" t="s">
        <v>3</v>
      </c>
      <c r="C45" s="2">
        <v>1905</v>
      </c>
      <c r="D45" s="2">
        <v>3000</v>
      </c>
      <c r="E45" s="6">
        <f t="shared" si="0"/>
        <v>5715000</v>
      </c>
    </row>
    <row r="46" spans="1:5" ht="15" x14ac:dyDescent="0.45">
      <c r="A46" s="5" t="s">
        <v>43</v>
      </c>
      <c r="B46" s="5" t="s">
        <v>3</v>
      </c>
      <c r="C46" s="2">
        <v>20</v>
      </c>
      <c r="D46" s="2">
        <v>10000</v>
      </c>
      <c r="E46" s="6">
        <f t="shared" si="0"/>
        <v>200000</v>
      </c>
    </row>
    <row r="47" spans="1:5" ht="15" hidden="1" x14ac:dyDescent="0.45">
      <c r="A47" s="5" t="s">
        <v>43</v>
      </c>
      <c r="B47" s="5" t="s">
        <v>44</v>
      </c>
      <c r="C47" s="2">
        <v>0</v>
      </c>
      <c r="D47" s="2"/>
      <c r="E47" s="6">
        <f t="shared" si="0"/>
        <v>0</v>
      </c>
    </row>
    <row r="48" spans="1:5" ht="15" hidden="1" x14ac:dyDescent="0.45">
      <c r="A48" s="5" t="s">
        <v>45</v>
      </c>
      <c r="B48" s="5" t="s">
        <v>3</v>
      </c>
      <c r="C48" s="2">
        <v>0</v>
      </c>
      <c r="D48" s="2"/>
      <c r="E48" s="6">
        <f t="shared" si="0"/>
        <v>0</v>
      </c>
    </row>
    <row r="49" spans="1:5" ht="15" x14ac:dyDescent="0.45">
      <c r="A49" s="5" t="s">
        <v>46</v>
      </c>
      <c r="B49" s="5" t="s">
        <v>3</v>
      </c>
      <c r="C49" s="2">
        <v>7</v>
      </c>
      <c r="D49" s="2">
        <v>14000</v>
      </c>
      <c r="E49" s="6">
        <f t="shared" si="0"/>
        <v>98000</v>
      </c>
    </row>
    <row r="50" spans="1:5" ht="15" hidden="1" x14ac:dyDescent="0.45">
      <c r="A50" s="5" t="s">
        <v>47</v>
      </c>
      <c r="B50" s="5" t="s">
        <v>27</v>
      </c>
      <c r="C50" s="2">
        <v>0</v>
      </c>
      <c r="D50" s="2"/>
      <c r="E50" s="6">
        <f t="shared" si="0"/>
        <v>0</v>
      </c>
    </row>
    <row r="51" spans="1:5" ht="15" hidden="1" x14ac:dyDescent="0.45">
      <c r="A51" s="5" t="s">
        <v>48</v>
      </c>
      <c r="B51" s="5" t="s">
        <v>3</v>
      </c>
      <c r="C51" s="2">
        <v>0</v>
      </c>
      <c r="D51" s="2"/>
      <c r="E51" s="6">
        <f t="shared" si="0"/>
        <v>0</v>
      </c>
    </row>
    <row r="52" spans="1:5" ht="15" x14ac:dyDescent="0.45">
      <c r="A52" s="5" t="s">
        <v>49</v>
      </c>
      <c r="B52" s="5" t="s">
        <v>3</v>
      </c>
      <c r="C52" s="2">
        <v>30</v>
      </c>
      <c r="D52" s="2">
        <v>7000</v>
      </c>
      <c r="E52" s="6">
        <f t="shared" si="0"/>
        <v>210000</v>
      </c>
    </row>
    <row r="53" spans="1:5" ht="15" hidden="1" x14ac:dyDescent="0.45">
      <c r="A53" s="5" t="s">
        <v>49</v>
      </c>
      <c r="B53" s="5" t="s">
        <v>32</v>
      </c>
      <c r="C53" s="2">
        <v>0</v>
      </c>
      <c r="D53" s="2"/>
      <c r="E53" s="6">
        <f t="shared" si="0"/>
        <v>0</v>
      </c>
    </row>
    <row r="54" spans="1:5" ht="15" x14ac:dyDescent="0.45">
      <c r="A54" s="5" t="s">
        <v>50</v>
      </c>
      <c r="B54" s="5" t="s">
        <v>3</v>
      </c>
      <c r="C54" s="2">
        <v>5</v>
      </c>
      <c r="D54" s="2">
        <v>21000</v>
      </c>
      <c r="E54" s="6">
        <f t="shared" si="0"/>
        <v>105000</v>
      </c>
    </row>
    <row r="55" spans="1:5" ht="15" x14ac:dyDescent="0.45">
      <c r="A55" s="5" t="s">
        <v>51</v>
      </c>
      <c r="B55" s="5" t="s">
        <v>3</v>
      </c>
      <c r="C55" s="2">
        <v>220</v>
      </c>
      <c r="D55" s="2">
        <v>5000</v>
      </c>
      <c r="E55" s="6">
        <f t="shared" si="0"/>
        <v>1100000</v>
      </c>
    </row>
    <row r="56" spans="1:5" ht="15" hidden="1" x14ac:dyDescent="0.45">
      <c r="A56" s="5" t="s">
        <v>51</v>
      </c>
      <c r="B56" s="5" t="s">
        <v>52</v>
      </c>
      <c r="C56" s="2">
        <v>0</v>
      </c>
      <c r="D56" s="2"/>
      <c r="E56" s="6">
        <f t="shared" si="0"/>
        <v>0</v>
      </c>
    </row>
    <row r="57" spans="1:5" ht="15" x14ac:dyDescent="0.45">
      <c r="A57" s="5" t="s">
        <v>54</v>
      </c>
      <c r="B57" s="5" t="s">
        <v>32</v>
      </c>
      <c r="C57" s="2">
        <v>60</v>
      </c>
      <c r="D57" s="2">
        <v>1350</v>
      </c>
      <c r="E57" s="6">
        <f t="shared" si="0"/>
        <v>81000</v>
      </c>
    </row>
    <row r="58" spans="1:5" ht="15" x14ac:dyDescent="0.45">
      <c r="A58" s="5" t="s">
        <v>55</v>
      </c>
      <c r="B58" s="5" t="s">
        <v>3</v>
      </c>
      <c r="C58" s="2">
        <v>2410</v>
      </c>
      <c r="D58" s="2">
        <v>26000</v>
      </c>
      <c r="E58" s="6">
        <f t="shared" si="0"/>
        <v>62660000</v>
      </c>
    </row>
    <row r="59" spans="1:5" ht="15" x14ac:dyDescent="0.45">
      <c r="A59" s="5" t="s">
        <v>56</v>
      </c>
      <c r="B59" s="5" t="s">
        <v>3</v>
      </c>
      <c r="C59" s="2">
        <v>1820</v>
      </c>
      <c r="D59" s="2">
        <v>26000</v>
      </c>
      <c r="E59" s="6">
        <f t="shared" si="0"/>
        <v>47320000</v>
      </c>
    </row>
    <row r="60" spans="1:5" ht="15" x14ac:dyDescent="0.45">
      <c r="A60" s="5" t="s">
        <v>57</v>
      </c>
      <c r="B60" s="5" t="s">
        <v>3</v>
      </c>
      <c r="C60" s="2">
        <v>130</v>
      </c>
      <c r="D60" s="2">
        <v>15000</v>
      </c>
      <c r="E60" s="6">
        <f t="shared" si="0"/>
        <v>1950000</v>
      </c>
    </row>
    <row r="61" spans="1:5" ht="15" x14ac:dyDescent="0.45">
      <c r="A61" s="5" t="s">
        <v>58</v>
      </c>
      <c r="B61" s="5" t="s">
        <v>3</v>
      </c>
      <c r="C61" s="2">
        <v>5</v>
      </c>
      <c r="D61" s="2">
        <v>22000</v>
      </c>
      <c r="E61" s="6">
        <f t="shared" si="0"/>
        <v>110000</v>
      </c>
    </row>
    <row r="62" spans="1:5" ht="15" hidden="1" x14ac:dyDescent="0.45">
      <c r="A62" s="5" t="s">
        <v>59</v>
      </c>
      <c r="B62" s="5" t="s">
        <v>32</v>
      </c>
      <c r="C62" s="2">
        <v>0</v>
      </c>
      <c r="D62" s="2"/>
      <c r="E62" s="6">
        <f t="shared" si="0"/>
        <v>0</v>
      </c>
    </row>
    <row r="63" spans="1:5" ht="15" x14ac:dyDescent="0.45">
      <c r="A63" s="5" t="s">
        <v>61</v>
      </c>
      <c r="B63" s="5" t="s">
        <v>3</v>
      </c>
      <c r="C63" s="2">
        <v>1190</v>
      </c>
      <c r="D63" s="2">
        <v>12300</v>
      </c>
      <c r="E63" s="6">
        <f t="shared" si="0"/>
        <v>14637000</v>
      </c>
    </row>
    <row r="64" spans="1:5" ht="15" hidden="1" x14ac:dyDescent="0.45">
      <c r="A64" s="5" t="s">
        <v>61</v>
      </c>
      <c r="B64" s="5" t="s">
        <v>32</v>
      </c>
      <c r="C64" s="2">
        <v>0</v>
      </c>
      <c r="D64" s="2"/>
      <c r="E64" s="6">
        <f t="shared" si="0"/>
        <v>0</v>
      </c>
    </row>
    <row r="65" spans="1:5" ht="15" x14ac:dyDescent="0.45">
      <c r="A65" s="5" t="s">
        <v>62</v>
      </c>
      <c r="B65" s="5" t="s">
        <v>32</v>
      </c>
      <c r="C65" s="2">
        <v>40</v>
      </c>
      <c r="D65" s="2">
        <v>5000</v>
      </c>
      <c r="E65" s="6">
        <f t="shared" si="0"/>
        <v>200000</v>
      </c>
    </row>
    <row r="66" spans="1:5" ht="15" x14ac:dyDescent="0.45">
      <c r="A66" s="5" t="s">
        <v>63</v>
      </c>
      <c r="B66" s="5" t="s">
        <v>3</v>
      </c>
      <c r="C66" s="2">
        <v>5</v>
      </c>
      <c r="D66" s="2">
        <v>10000</v>
      </c>
      <c r="E66" s="6">
        <f t="shared" si="0"/>
        <v>50000</v>
      </c>
    </row>
    <row r="67" spans="1:5" ht="15" x14ac:dyDescent="0.45">
      <c r="A67" s="5" t="s">
        <v>64</v>
      </c>
      <c r="B67" s="5" t="s">
        <v>32</v>
      </c>
      <c r="C67" s="2">
        <v>31</v>
      </c>
      <c r="D67" s="2">
        <v>6000</v>
      </c>
      <c r="E67" s="6">
        <f t="shared" si="0"/>
        <v>186000</v>
      </c>
    </row>
    <row r="68" spans="1:5" ht="15" hidden="1" x14ac:dyDescent="0.45">
      <c r="A68" s="5" t="s">
        <v>65</v>
      </c>
      <c r="B68" s="5" t="s">
        <v>3</v>
      </c>
      <c r="C68" s="2">
        <v>0</v>
      </c>
      <c r="D68" s="2"/>
      <c r="E68" s="6">
        <f t="shared" ref="E68:E104" si="1">C68*D68</f>
        <v>0</v>
      </c>
    </row>
    <row r="69" spans="1:5" ht="15" x14ac:dyDescent="0.45">
      <c r="A69" s="5" t="s">
        <v>65</v>
      </c>
      <c r="B69" s="5" t="s">
        <v>32</v>
      </c>
      <c r="C69" s="2">
        <v>18</v>
      </c>
      <c r="D69" s="2">
        <v>7000</v>
      </c>
      <c r="E69" s="6">
        <f t="shared" si="1"/>
        <v>126000</v>
      </c>
    </row>
    <row r="70" spans="1:5" ht="15" x14ac:dyDescent="0.45">
      <c r="A70" s="5" t="s">
        <v>65</v>
      </c>
      <c r="B70" s="5" t="s">
        <v>52</v>
      </c>
      <c r="C70" s="2">
        <v>26</v>
      </c>
      <c r="D70" s="2">
        <v>5500</v>
      </c>
      <c r="E70" s="6">
        <f t="shared" si="1"/>
        <v>143000</v>
      </c>
    </row>
    <row r="71" spans="1:5" ht="15" hidden="1" x14ac:dyDescent="0.45">
      <c r="A71" s="5" t="s">
        <v>66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x14ac:dyDescent="0.45">
      <c r="A72" s="5" t="s">
        <v>68</v>
      </c>
      <c r="B72" s="5" t="s">
        <v>3</v>
      </c>
      <c r="C72" s="2">
        <v>0.5</v>
      </c>
      <c r="D72" s="2">
        <v>70000</v>
      </c>
      <c r="E72" s="6">
        <f t="shared" si="1"/>
        <v>35000</v>
      </c>
    </row>
    <row r="73" spans="1:5" ht="15" x14ac:dyDescent="0.45">
      <c r="A73" s="5" t="s">
        <v>69</v>
      </c>
      <c r="B73" s="5" t="s">
        <v>3</v>
      </c>
      <c r="C73" s="2">
        <v>0.5</v>
      </c>
      <c r="D73" s="2">
        <v>70000</v>
      </c>
      <c r="E73" s="6">
        <f t="shared" si="1"/>
        <v>35000</v>
      </c>
    </row>
    <row r="74" spans="1:5" ht="15" hidden="1" x14ac:dyDescent="0.45">
      <c r="A74" s="5" t="s">
        <v>70</v>
      </c>
      <c r="B74" s="5" t="s">
        <v>3</v>
      </c>
      <c r="C74" s="2">
        <v>0</v>
      </c>
      <c r="D74" s="2"/>
      <c r="E74" s="6">
        <f t="shared" si="1"/>
        <v>0</v>
      </c>
    </row>
    <row r="75" spans="1:5" ht="15" x14ac:dyDescent="0.45">
      <c r="A75" s="5" t="s">
        <v>70</v>
      </c>
      <c r="B75" s="5" t="s">
        <v>18</v>
      </c>
      <c r="C75" s="2">
        <v>20</v>
      </c>
      <c r="D75" s="2">
        <v>6500</v>
      </c>
      <c r="E75" s="6">
        <f t="shared" si="1"/>
        <v>130000</v>
      </c>
    </row>
    <row r="76" spans="1:5" ht="15" hidden="1" x14ac:dyDescent="0.45">
      <c r="A76" s="5" t="s">
        <v>72</v>
      </c>
      <c r="B76" s="5" t="s">
        <v>3</v>
      </c>
      <c r="C76" s="2">
        <v>0</v>
      </c>
      <c r="D76" s="2"/>
      <c r="E76" s="6">
        <f t="shared" si="1"/>
        <v>0</v>
      </c>
    </row>
    <row r="77" spans="1:5" ht="15" x14ac:dyDescent="0.45">
      <c r="A77" s="5" t="s">
        <v>73</v>
      </c>
      <c r="B77" s="5" t="s">
        <v>3</v>
      </c>
      <c r="C77" s="2">
        <v>6</v>
      </c>
      <c r="D77" s="2">
        <v>10000</v>
      </c>
      <c r="E77" s="6">
        <f t="shared" si="1"/>
        <v>60000</v>
      </c>
    </row>
    <row r="78" spans="1:5" ht="15" hidden="1" x14ac:dyDescent="0.45">
      <c r="A78" s="5" t="s">
        <v>73</v>
      </c>
      <c r="B78" s="5" t="s">
        <v>44</v>
      </c>
      <c r="C78" s="2">
        <v>0</v>
      </c>
      <c r="D78" s="2"/>
      <c r="E78" s="6">
        <f t="shared" si="1"/>
        <v>0</v>
      </c>
    </row>
    <row r="79" spans="1:5" ht="15" hidden="1" x14ac:dyDescent="0.45">
      <c r="A79" s="5" t="s">
        <v>74</v>
      </c>
      <c r="B79" s="5" t="s">
        <v>32</v>
      </c>
      <c r="C79" s="2">
        <v>0</v>
      </c>
      <c r="D79" s="2"/>
      <c r="E79" s="6">
        <f t="shared" si="1"/>
        <v>0</v>
      </c>
    </row>
    <row r="80" spans="1:5" ht="15" hidden="1" x14ac:dyDescent="0.45">
      <c r="A80" s="5" t="s">
        <v>75</v>
      </c>
      <c r="B80" s="5" t="s">
        <v>3</v>
      </c>
      <c r="C80" s="2">
        <v>0</v>
      </c>
      <c r="D80" s="2"/>
      <c r="E80" s="6">
        <f t="shared" si="1"/>
        <v>0</v>
      </c>
    </row>
    <row r="81" spans="1:5" ht="15" hidden="1" x14ac:dyDescent="0.45">
      <c r="A81" s="5" t="s">
        <v>76</v>
      </c>
      <c r="B81" s="5" t="s">
        <v>77</v>
      </c>
      <c r="C81" s="2">
        <v>0</v>
      </c>
      <c r="D81" s="2"/>
      <c r="E81" s="6">
        <f t="shared" si="1"/>
        <v>0</v>
      </c>
    </row>
    <row r="82" spans="1:5" ht="15" hidden="1" x14ac:dyDescent="0.45">
      <c r="A82" s="5" t="s">
        <v>79</v>
      </c>
      <c r="B82" s="5" t="s">
        <v>18</v>
      </c>
      <c r="C82" s="2">
        <v>0</v>
      </c>
      <c r="D82" s="2"/>
      <c r="E82" s="6">
        <f t="shared" si="1"/>
        <v>0</v>
      </c>
    </row>
    <row r="83" spans="1:5" ht="15" hidden="1" x14ac:dyDescent="0.45">
      <c r="A83" s="5" t="s">
        <v>80</v>
      </c>
      <c r="B83" s="5" t="s">
        <v>27</v>
      </c>
      <c r="C83" s="2">
        <v>0</v>
      </c>
      <c r="D83" s="2"/>
      <c r="E83" s="6">
        <f t="shared" si="1"/>
        <v>0</v>
      </c>
    </row>
    <row r="84" spans="1:5" ht="15" x14ac:dyDescent="0.45">
      <c r="A84" s="5" t="s">
        <v>81</v>
      </c>
      <c r="B84" s="5" t="s">
        <v>3</v>
      </c>
      <c r="C84" s="2">
        <v>165</v>
      </c>
      <c r="D84" s="2">
        <v>40000</v>
      </c>
      <c r="E84" s="6">
        <f t="shared" si="1"/>
        <v>6600000</v>
      </c>
    </row>
    <row r="85" spans="1:5" ht="15" hidden="1" x14ac:dyDescent="0.45">
      <c r="A85" s="5" t="s">
        <v>81</v>
      </c>
      <c r="B85" s="5" t="s">
        <v>11</v>
      </c>
      <c r="C85" s="2">
        <v>0</v>
      </c>
      <c r="D85" s="2"/>
      <c r="E85" s="6">
        <f t="shared" si="1"/>
        <v>0</v>
      </c>
    </row>
    <row r="86" spans="1:5" ht="15" x14ac:dyDescent="0.45">
      <c r="A86" s="5" t="s">
        <v>82</v>
      </c>
      <c r="B86" s="5" t="s">
        <v>3</v>
      </c>
      <c r="C86" s="2">
        <v>40</v>
      </c>
      <c r="D86" s="2">
        <v>30000</v>
      </c>
      <c r="E86" s="6">
        <f t="shared" si="1"/>
        <v>1200000</v>
      </c>
    </row>
    <row r="87" spans="1:5" ht="15" x14ac:dyDescent="0.45">
      <c r="A87" s="5" t="s">
        <v>83</v>
      </c>
      <c r="B87" s="5" t="s">
        <v>3</v>
      </c>
      <c r="C87" s="2">
        <v>32</v>
      </c>
      <c r="D87" s="2">
        <v>40000</v>
      </c>
      <c r="E87" s="6">
        <f t="shared" si="1"/>
        <v>1280000</v>
      </c>
    </row>
    <row r="88" spans="1:5" ht="15" hidden="1" x14ac:dyDescent="0.45">
      <c r="A88" s="5" t="s">
        <v>83</v>
      </c>
      <c r="B88" s="5" t="s">
        <v>11</v>
      </c>
      <c r="C88" s="2">
        <v>0</v>
      </c>
      <c r="D88" s="2"/>
      <c r="E88" s="6">
        <f t="shared" si="1"/>
        <v>0</v>
      </c>
    </row>
    <row r="89" spans="1:5" ht="15" x14ac:dyDescent="0.45">
      <c r="A89" s="5" t="s">
        <v>84</v>
      </c>
      <c r="B89" s="5" t="s">
        <v>3</v>
      </c>
      <c r="C89" s="2">
        <v>27</v>
      </c>
      <c r="D89" s="2">
        <v>30000</v>
      </c>
      <c r="E89" s="6">
        <f t="shared" si="1"/>
        <v>810000</v>
      </c>
    </row>
    <row r="90" spans="1:5" ht="15" x14ac:dyDescent="0.45">
      <c r="A90" s="5" t="s">
        <v>85</v>
      </c>
      <c r="B90" s="5" t="s">
        <v>3</v>
      </c>
      <c r="C90" s="2">
        <v>20</v>
      </c>
      <c r="D90" s="2">
        <v>32000</v>
      </c>
      <c r="E90" s="6">
        <f t="shared" si="1"/>
        <v>640000</v>
      </c>
    </row>
    <row r="91" spans="1:5" ht="15" hidden="1" x14ac:dyDescent="0.45">
      <c r="A91" s="5" t="s">
        <v>85</v>
      </c>
      <c r="B91" s="5" t="s">
        <v>11</v>
      </c>
      <c r="C91" s="2">
        <v>0</v>
      </c>
      <c r="D91" s="2"/>
      <c r="E91" s="6">
        <f t="shared" si="1"/>
        <v>0</v>
      </c>
    </row>
    <row r="92" spans="1:5" ht="15" x14ac:dyDescent="0.45">
      <c r="A92" s="5" t="s">
        <v>113</v>
      </c>
      <c r="B92" s="5" t="s">
        <v>3</v>
      </c>
      <c r="C92" s="2">
        <v>45</v>
      </c>
      <c r="D92" s="2">
        <v>26000</v>
      </c>
      <c r="E92" s="6">
        <f t="shared" si="1"/>
        <v>1170000</v>
      </c>
    </row>
    <row r="93" spans="1:5" ht="15" x14ac:dyDescent="0.45">
      <c r="A93" s="5" t="s">
        <v>86</v>
      </c>
      <c r="B93" s="5" t="s">
        <v>3</v>
      </c>
      <c r="C93" s="2">
        <v>5</v>
      </c>
      <c r="D93" s="2">
        <v>46000</v>
      </c>
      <c r="E93" s="6">
        <f t="shared" si="1"/>
        <v>230000</v>
      </c>
    </row>
    <row r="94" spans="1:5" ht="15" x14ac:dyDescent="0.45">
      <c r="A94" s="5" t="s">
        <v>86</v>
      </c>
      <c r="B94" s="5" t="s">
        <v>32</v>
      </c>
      <c r="C94" s="2">
        <v>35</v>
      </c>
      <c r="D94" s="2">
        <v>17000</v>
      </c>
      <c r="E94" s="6">
        <f t="shared" si="1"/>
        <v>595000</v>
      </c>
    </row>
    <row r="95" spans="1:5" ht="15" hidden="1" x14ac:dyDescent="0.45">
      <c r="A95" s="5" t="s">
        <v>87</v>
      </c>
      <c r="B95" s="5" t="s">
        <v>32</v>
      </c>
      <c r="C95" s="2">
        <v>0</v>
      </c>
      <c r="D95" s="2"/>
      <c r="E95" s="6">
        <f t="shared" si="1"/>
        <v>0</v>
      </c>
    </row>
    <row r="96" spans="1:5" ht="15" x14ac:dyDescent="0.45">
      <c r="A96" s="5" t="s">
        <v>91</v>
      </c>
      <c r="B96" s="5" t="s">
        <v>3</v>
      </c>
      <c r="C96" s="2">
        <v>18</v>
      </c>
      <c r="D96" s="2">
        <v>10000</v>
      </c>
      <c r="E96" s="6">
        <f t="shared" si="1"/>
        <v>180000</v>
      </c>
    </row>
    <row r="97" spans="1:5" ht="15" x14ac:dyDescent="0.45">
      <c r="A97" s="5" t="s">
        <v>92</v>
      </c>
      <c r="B97" s="5" t="s">
        <v>3</v>
      </c>
      <c r="C97" s="2">
        <v>20</v>
      </c>
      <c r="D97" s="2">
        <v>5000</v>
      </c>
      <c r="E97" s="6">
        <f t="shared" si="1"/>
        <v>100000</v>
      </c>
    </row>
    <row r="98" spans="1:5" ht="15" hidden="1" x14ac:dyDescent="0.45">
      <c r="A98" s="5" t="s">
        <v>94</v>
      </c>
      <c r="B98" s="5" t="s">
        <v>3</v>
      </c>
      <c r="C98" s="2">
        <v>0</v>
      </c>
      <c r="D98" s="2"/>
      <c r="E98" s="6">
        <f t="shared" si="1"/>
        <v>0</v>
      </c>
    </row>
    <row r="99" spans="1:5" ht="15" hidden="1" x14ac:dyDescent="0.45">
      <c r="A99" s="5" t="s">
        <v>96</v>
      </c>
      <c r="B99" s="5" t="s">
        <v>3</v>
      </c>
      <c r="C99" s="2">
        <v>0</v>
      </c>
      <c r="D99" s="2"/>
      <c r="E99" s="6">
        <f t="shared" si="1"/>
        <v>0</v>
      </c>
    </row>
    <row r="100" spans="1:5" ht="15" hidden="1" x14ac:dyDescent="0.45">
      <c r="A100" s="5" t="s">
        <v>97</v>
      </c>
      <c r="B100" s="5" t="s">
        <v>44</v>
      </c>
      <c r="C100" s="2">
        <v>0</v>
      </c>
      <c r="D100" s="2"/>
      <c r="E100" s="6">
        <f t="shared" si="1"/>
        <v>0</v>
      </c>
    </row>
    <row r="101" spans="1:5" ht="15" hidden="1" x14ac:dyDescent="0.45">
      <c r="A101" s="5" t="s">
        <v>98</v>
      </c>
      <c r="B101" s="5" t="s">
        <v>3</v>
      </c>
      <c r="C101" s="2">
        <v>0</v>
      </c>
      <c r="D101" s="2"/>
      <c r="E101" s="6">
        <f t="shared" si="1"/>
        <v>0</v>
      </c>
    </row>
    <row r="102" spans="1:5" ht="15" hidden="1" x14ac:dyDescent="0.45">
      <c r="A102" s="5" t="s">
        <v>99</v>
      </c>
      <c r="B102" s="5" t="s">
        <v>44</v>
      </c>
      <c r="C102" s="2">
        <v>0</v>
      </c>
      <c r="D102" s="2"/>
      <c r="E102" s="6">
        <f t="shared" si="1"/>
        <v>0</v>
      </c>
    </row>
    <row r="103" spans="1:5" ht="15" x14ac:dyDescent="0.45">
      <c r="A103" s="5" t="s">
        <v>100</v>
      </c>
      <c r="B103" s="5" t="s">
        <v>3</v>
      </c>
      <c r="C103" s="2">
        <v>7</v>
      </c>
      <c r="D103" s="2">
        <v>25000</v>
      </c>
      <c r="E103" s="6">
        <f t="shared" si="1"/>
        <v>175000</v>
      </c>
    </row>
    <row r="104" spans="1:5" ht="15" x14ac:dyDescent="0.45">
      <c r="A104" s="5" t="s">
        <v>101</v>
      </c>
      <c r="B104" s="5" t="s">
        <v>44</v>
      </c>
      <c r="C104" s="2">
        <v>70</v>
      </c>
      <c r="D104" s="2">
        <v>6500</v>
      </c>
      <c r="E104" s="6">
        <f t="shared" si="1"/>
        <v>455000</v>
      </c>
    </row>
    <row r="105" spans="1:5" x14ac:dyDescent="0.45">
      <c r="E105" s="8">
        <f>SUM(E3:E104)</f>
        <v>170276000</v>
      </c>
    </row>
  </sheetData>
  <autoFilter ref="A2:E104" xr:uid="{00000000-0009-0000-0000-000014000000}">
    <filterColumn colId="2">
      <filters>
        <filter val="1"/>
        <filter val="1,190"/>
        <filter val="1,820"/>
        <filter val="1,880"/>
        <filter val="1,905"/>
        <filter val="10"/>
        <filter val="130"/>
        <filter val="15"/>
        <filter val="155"/>
        <filter val="160"/>
        <filter val="165"/>
        <filter val="18"/>
        <filter val="2,410"/>
        <filter val="20"/>
        <filter val="220"/>
        <filter val="25"/>
        <filter val="26"/>
        <filter val="27"/>
        <filter val="28"/>
        <filter val="30"/>
        <filter val="31"/>
        <filter val="32"/>
        <filter val="35"/>
        <filter val="40"/>
        <filter val="410"/>
        <filter val="45"/>
        <filter val="48"/>
        <filter val="5"/>
        <filter val="550"/>
        <filter val="57"/>
        <filter val="6"/>
        <filter val="60"/>
        <filter val="7"/>
        <filter val="70"/>
        <filter val="75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E122"/>
  <sheetViews>
    <sheetView topLeftCell="A62" workbookViewId="0">
      <selection activeCell="I97" sqref="I97"/>
    </sheetView>
  </sheetViews>
  <sheetFormatPr defaultRowHeight="14.25" x14ac:dyDescent="0.45"/>
  <cols>
    <col min="1" max="1" width="34.3984375" customWidth="1"/>
    <col min="4" max="4" width="10.3984375" customWidth="1"/>
    <col min="5" max="5" width="19.06640625" customWidth="1"/>
  </cols>
  <sheetData>
    <row r="1" spans="1:5" x14ac:dyDescent="0.45">
      <c r="A1" t="s">
        <v>162</v>
      </c>
    </row>
    <row r="2" spans="1:5" ht="49.8" customHeight="1" x14ac:dyDescent="0.45">
      <c r="A2" s="1" t="s">
        <v>0</v>
      </c>
      <c r="B2" s="1" t="s">
        <v>1</v>
      </c>
      <c r="C2" s="2" t="s">
        <v>103</v>
      </c>
      <c r="D2" s="2" t="s">
        <v>104</v>
      </c>
      <c r="E2" s="3" t="s">
        <v>105</v>
      </c>
    </row>
    <row r="3" spans="1:5" ht="15" x14ac:dyDescent="0.45">
      <c r="A3" s="5" t="s">
        <v>2</v>
      </c>
      <c r="B3" s="5" t="s">
        <v>3</v>
      </c>
      <c r="C3" s="2">
        <v>30</v>
      </c>
      <c r="D3" s="2">
        <v>10000</v>
      </c>
      <c r="E3" s="6">
        <f>C3*D3</f>
        <v>300000</v>
      </c>
    </row>
    <row r="4" spans="1:5" ht="15" x14ac:dyDescent="0.45">
      <c r="A4" s="5" t="s">
        <v>4</v>
      </c>
      <c r="B4" s="5" t="s">
        <v>3</v>
      </c>
      <c r="C4" s="2">
        <v>270</v>
      </c>
      <c r="D4" s="2">
        <v>6000</v>
      </c>
      <c r="E4" s="6">
        <f t="shared" ref="E4:E67" si="0">C4*D4</f>
        <v>1620000</v>
      </c>
    </row>
    <row r="5" spans="1:5" ht="15" x14ac:dyDescent="0.45">
      <c r="A5" s="5" t="s">
        <v>5</v>
      </c>
      <c r="B5" s="5" t="s">
        <v>3</v>
      </c>
      <c r="C5" s="2">
        <v>915</v>
      </c>
      <c r="D5" s="2">
        <v>5000</v>
      </c>
      <c r="E5" s="6">
        <f t="shared" si="0"/>
        <v>4575000</v>
      </c>
    </row>
    <row r="6" spans="1:5" ht="15" hidden="1" x14ac:dyDescent="0.45">
      <c r="A6" s="5" t="s">
        <v>6</v>
      </c>
      <c r="B6" s="5" t="s">
        <v>3</v>
      </c>
      <c r="C6" s="2">
        <v>0</v>
      </c>
      <c r="D6" s="2"/>
      <c r="E6" s="6">
        <f t="shared" si="0"/>
        <v>0</v>
      </c>
    </row>
    <row r="7" spans="1:5" ht="15" x14ac:dyDescent="0.45">
      <c r="A7" s="5" t="s">
        <v>8</v>
      </c>
      <c r="B7" s="5" t="s">
        <v>3</v>
      </c>
      <c r="C7" s="2">
        <v>790</v>
      </c>
      <c r="D7" s="2">
        <v>7000</v>
      </c>
      <c r="E7" s="6">
        <f t="shared" si="0"/>
        <v>5530000</v>
      </c>
    </row>
    <row r="8" spans="1:5" ht="15" hidden="1" x14ac:dyDescent="0.45">
      <c r="A8" s="5" t="s">
        <v>9</v>
      </c>
      <c r="B8" s="5" t="s">
        <v>3</v>
      </c>
      <c r="C8" s="2">
        <v>0</v>
      </c>
      <c r="D8" s="2"/>
      <c r="E8" s="6">
        <f t="shared" si="0"/>
        <v>0</v>
      </c>
    </row>
    <row r="9" spans="1:5" ht="15" x14ac:dyDescent="0.45">
      <c r="A9" s="5" t="s">
        <v>10</v>
      </c>
      <c r="B9" s="5" t="s">
        <v>3</v>
      </c>
      <c r="C9" s="2">
        <v>105</v>
      </c>
      <c r="D9" s="2">
        <v>7000</v>
      </c>
      <c r="E9" s="6">
        <f t="shared" si="0"/>
        <v>735000</v>
      </c>
    </row>
    <row r="10" spans="1:5" ht="15" hidden="1" x14ac:dyDescent="0.45">
      <c r="A10" s="5" t="s">
        <v>10</v>
      </c>
      <c r="B10" s="5" t="s">
        <v>11</v>
      </c>
      <c r="C10" s="2">
        <v>0</v>
      </c>
      <c r="D10" s="2"/>
      <c r="E10" s="6">
        <f t="shared" si="0"/>
        <v>0</v>
      </c>
    </row>
    <row r="11" spans="1:5" ht="15" x14ac:dyDescent="0.45">
      <c r="A11" s="5" t="s">
        <v>12</v>
      </c>
      <c r="B11" s="5" t="s">
        <v>3</v>
      </c>
      <c r="C11" s="2">
        <v>73</v>
      </c>
      <c r="D11" s="2">
        <v>10000</v>
      </c>
      <c r="E11" s="6">
        <f t="shared" si="0"/>
        <v>730000</v>
      </c>
    </row>
    <row r="12" spans="1:5" ht="15" hidden="1" x14ac:dyDescent="0.45">
      <c r="A12" s="5" t="s">
        <v>12</v>
      </c>
      <c r="B12" s="5" t="s">
        <v>11</v>
      </c>
      <c r="C12" s="2">
        <v>0</v>
      </c>
      <c r="D12" s="2"/>
      <c r="E12" s="6">
        <f t="shared" si="0"/>
        <v>0</v>
      </c>
    </row>
    <row r="13" spans="1:5" ht="15" x14ac:dyDescent="0.45">
      <c r="A13" s="5" t="s">
        <v>13</v>
      </c>
      <c r="B13" s="5" t="s">
        <v>3</v>
      </c>
      <c r="C13" s="2">
        <v>70</v>
      </c>
      <c r="D13" s="2">
        <v>30000</v>
      </c>
      <c r="E13" s="6">
        <f t="shared" si="0"/>
        <v>2100000</v>
      </c>
    </row>
    <row r="14" spans="1:5" ht="15" hidden="1" x14ac:dyDescent="0.45">
      <c r="A14" s="5" t="s">
        <v>116</v>
      </c>
      <c r="B14" s="5" t="s">
        <v>3</v>
      </c>
      <c r="C14" s="2">
        <v>0</v>
      </c>
      <c r="D14" s="2"/>
      <c r="E14" s="6">
        <f t="shared" si="0"/>
        <v>0</v>
      </c>
    </row>
    <row r="15" spans="1:5" ht="15" hidden="1" x14ac:dyDescent="0.45">
      <c r="A15" s="5" t="s">
        <v>14</v>
      </c>
      <c r="B15" s="5" t="s">
        <v>3</v>
      </c>
      <c r="C15" s="2">
        <v>0</v>
      </c>
      <c r="D15" s="2"/>
      <c r="E15" s="6">
        <f t="shared" si="0"/>
        <v>0</v>
      </c>
    </row>
    <row r="16" spans="1:5" ht="15" hidden="1" x14ac:dyDescent="0.45">
      <c r="A16" s="5" t="s">
        <v>15</v>
      </c>
      <c r="B16" s="5" t="s">
        <v>3</v>
      </c>
      <c r="C16" s="2">
        <v>0</v>
      </c>
      <c r="D16" s="2"/>
      <c r="E16" s="6">
        <f t="shared" si="0"/>
        <v>0</v>
      </c>
    </row>
    <row r="17" spans="1:5" ht="15" hidden="1" x14ac:dyDescent="0.45">
      <c r="A17" s="5" t="s">
        <v>16</v>
      </c>
      <c r="B17" s="5" t="s">
        <v>3</v>
      </c>
      <c r="C17" s="2">
        <v>0</v>
      </c>
      <c r="D17" s="2"/>
      <c r="E17" s="6">
        <f t="shared" si="0"/>
        <v>0</v>
      </c>
    </row>
    <row r="18" spans="1:5" ht="15" hidden="1" x14ac:dyDescent="0.45">
      <c r="A18" s="5" t="s">
        <v>17</v>
      </c>
      <c r="B18" s="5" t="s">
        <v>18</v>
      </c>
      <c r="C18" s="2">
        <v>0</v>
      </c>
      <c r="D18" s="2"/>
      <c r="E18" s="6">
        <f t="shared" si="0"/>
        <v>0</v>
      </c>
    </row>
    <row r="19" spans="1:5" ht="15" hidden="1" x14ac:dyDescent="0.45">
      <c r="A19" s="5" t="s">
        <v>19</v>
      </c>
      <c r="B19" s="5" t="s">
        <v>3</v>
      </c>
      <c r="C19" s="2">
        <v>0</v>
      </c>
      <c r="D19" s="2"/>
      <c r="E19" s="6">
        <f t="shared" si="0"/>
        <v>0</v>
      </c>
    </row>
    <row r="20" spans="1:5" ht="15" x14ac:dyDescent="0.45">
      <c r="A20" s="5" t="s">
        <v>20</v>
      </c>
      <c r="B20" s="5" t="s">
        <v>3</v>
      </c>
      <c r="C20" s="2">
        <v>80</v>
      </c>
      <c r="D20" s="2">
        <v>8000</v>
      </c>
      <c r="E20" s="6">
        <f t="shared" si="0"/>
        <v>640000</v>
      </c>
    </row>
    <row r="21" spans="1:5" ht="15" hidden="1" x14ac:dyDescent="0.45">
      <c r="A21" s="5" t="s">
        <v>20</v>
      </c>
      <c r="B21" s="5" t="s">
        <v>21</v>
      </c>
      <c r="C21" s="2">
        <v>0</v>
      </c>
      <c r="D21" s="2"/>
      <c r="E21" s="6">
        <f t="shared" si="0"/>
        <v>0</v>
      </c>
    </row>
    <row r="22" spans="1:5" ht="15" x14ac:dyDescent="0.45">
      <c r="A22" s="5" t="s">
        <v>22</v>
      </c>
      <c r="B22" s="5" t="s">
        <v>3</v>
      </c>
      <c r="C22" s="2">
        <v>5</v>
      </c>
      <c r="D22" s="2">
        <v>10000</v>
      </c>
      <c r="E22" s="6">
        <f t="shared" si="0"/>
        <v>50000</v>
      </c>
    </row>
    <row r="23" spans="1:5" ht="15" hidden="1" x14ac:dyDescent="0.45">
      <c r="A23" s="5" t="s">
        <v>22</v>
      </c>
      <c r="B23" s="5" t="s">
        <v>23</v>
      </c>
      <c r="C23" s="2">
        <v>0</v>
      </c>
      <c r="D23" s="2"/>
      <c r="E23" s="6">
        <f t="shared" si="0"/>
        <v>0</v>
      </c>
    </row>
    <row r="24" spans="1:5" ht="15" x14ac:dyDescent="0.45">
      <c r="A24" s="5" t="s">
        <v>24</v>
      </c>
      <c r="B24" s="5" t="s">
        <v>3</v>
      </c>
      <c r="C24" s="2">
        <v>2</v>
      </c>
      <c r="D24" s="2">
        <v>15000</v>
      </c>
      <c r="E24" s="6">
        <f t="shared" si="0"/>
        <v>30000</v>
      </c>
    </row>
    <row r="25" spans="1:5" ht="15" x14ac:dyDescent="0.45">
      <c r="A25" s="5" t="s">
        <v>24</v>
      </c>
      <c r="B25" s="5" t="s">
        <v>25</v>
      </c>
      <c r="C25" s="2">
        <v>40</v>
      </c>
      <c r="D25" s="2">
        <v>4500</v>
      </c>
      <c r="E25" s="6">
        <f t="shared" si="0"/>
        <v>180000</v>
      </c>
    </row>
    <row r="26" spans="1:5" ht="15" hidden="1" x14ac:dyDescent="0.45">
      <c r="A26" s="5" t="s">
        <v>26</v>
      </c>
      <c r="B26" s="5" t="s">
        <v>27</v>
      </c>
      <c r="C26" s="2">
        <v>0</v>
      </c>
      <c r="D26" s="2"/>
      <c r="E26" s="6">
        <f t="shared" si="0"/>
        <v>0</v>
      </c>
    </row>
    <row r="27" spans="1:5" ht="15" hidden="1" x14ac:dyDescent="0.45">
      <c r="A27" s="5" t="s">
        <v>28</v>
      </c>
      <c r="B27" s="5" t="s">
        <v>3</v>
      </c>
      <c r="C27" s="2">
        <v>0</v>
      </c>
      <c r="D27" s="2"/>
      <c r="E27" s="6">
        <f t="shared" si="0"/>
        <v>0</v>
      </c>
    </row>
    <row r="28" spans="1:5" ht="15" x14ac:dyDescent="0.45">
      <c r="A28" s="5" t="s">
        <v>28</v>
      </c>
      <c r="B28" s="5" t="s">
        <v>29</v>
      </c>
      <c r="C28" s="2">
        <v>24</v>
      </c>
      <c r="D28" s="2">
        <v>7500</v>
      </c>
      <c r="E28" s="6">
        <f t="shared" si="0"/>
        <v>180000</v>
      </c>
    </row>
    <row r="29" spans="1:5" ht="15" x14ac:dyDescent="0.45">
      <c r="A29" s="5" t="s">
        <v>30</v>
      </c>
      <c r="B29" s="5" t="s">
        <v>3</v>
      </c>
      <c r="C29" s="2">
        <v>190</v>
      </c>
      <c r="D29" s="2">
        <v>13000</v>
      </c>
      <c r="E29" s="6">
        <f t="shared" si="0"/>
        <v>2470000</v>
      </c>
    </row>
    <row r="30" spans="1:5" ht="15" hidden="1" x14ac:dyDescent="0.45">
      <c r="A30" s="5" t="s">
        <v>30</v>
      </c>
      <c r="B30" s="5" t="s">
        <v>18</v>
      </c>
      <c r="C30" s="2">
        <v>0</v>
      </c>
      <c r="D30" s="2"/>
      <c r="E30" s="6">
        <f t="shared" si="0"/>
        <v>0</v>
      </c>
    </row>
    <row r="31" spans="1:5" ht="15" x14ac:dyDescent="0.45">
      <c r="A31" s="5" t="s">
        <v>31</v>
      </c>
      <c r="B31" s="5" t="s">
        <v>32</v>
      </c>
      <c r="C31" s="2">
        <v>180</v>
      </c>
      <c r="D31" s="2">
        <v>8000</v>
      </c>
      <c r="E31" s="6">
        <f t="shared" si="0"/>
        <v>1440000</v>
      </c>
    </row>
    <row r="32" spans="1:5" ht="15" x14ac:dyDescent="0.45">
      <c r="A32" s="5" t="s">
        <v>33</v>
      </c>
      <c r="B32" s="5" t="s">
        <v>3</v>
      </c>
      <c r="C32" s="2">
        <v>10</v>
      </c>
      <c r="D32" s="2">
        <v>13000</v>
      </c>
      <c r="E32" s="6">
        <f t="shared" si="0"/>
        <v>130000</v>
      </c>
    </row>
    <row r="33" spans="1:5" ht="15" hidden="1" x14ac:dyDescent="0.45">
      <c r="A33" s="5" t="s">
        <v>33</v>
      </c>
      <c r="B33" s="5" t="s">
        <v>32</v>
      </c>
      <c r="C33" s="2">
        <v>0</v>
      </c>
      <c r="D33" s="2"/>
      <c r="E33" s="6">
        <f t="shared" si="0"/>
        <v>0</v>
      </c>
    </row>
    <row r="34" spans="1:5" ht="15" hidden="1" x14ac:dyDescent="0.45">
      <c r="A34" s="5" t="s">
        <v>34</v>
      </c>
      <c r="B34" s="5" t="s">
        <v>18</v>
      </c>
      <c r="C34" s="2">
        <v>0</v>
      </c>
      <c r="D34" s="2"/>
      <c r="E34" s="6">
        <f t="shared" si="0"/>
        <v>0</v>
      </c>
    </row>
    <row r="35" spans="1:5" ht="15" x14ac:dyDescent="0.45">
      <c r="A35" s="5" t="s">
        <v>35</v>
      </c>
      <c r="B35" s="5" t="s">
        <v>3</v>
      </c>
      <c r="C35" s="2">
        <v>45</v>
      </c>
      <c r="D35" s="2">
        <v>8000</v>
      </c>
      <c r="E35" s="6">
        <f t="shared" si="0"/>
        <v>360000</v>
      </c>
    </row>
    <row r="36" spans="1:5" ht="15" hidden="1" x14ac:dyDescent="0.45">
      <c r="A36" s="5" t="s">
        <v>35</v>
      </c>
      <c r="B36" s="5" t="s">
        <v>36</v>
      </c>
      <c r="C36" s="2">
        <v>0</v>
      </c>
      <c r="D36" s="2"/>
      <c r="E36" s="6">
        <f t="shared" si="0"/>
        <v>0</v>
      </c>
    </row>
    <row r="37" spans="1:5" ht="15" x14ac:dyDescent="0.45">
      <c r="A37" s="5" t="s">
        <v>37</v>
      </c>
      <c r="B37" s="5" t="s">
        <v>3</v>
      </c>
      <c r="C37" s="2">
        <v>4</v>
      </c>
      <c r="D37" s="2">
        <v>14000</v>
      </c>
      <c r="E37" s="6">
        <f t="shared" si="0"/>
        <v>56000</v>
      </c>
    </row>
    <row r="38" spans="1:5" ht="15" hidden="1" x14ac:dyDescent="0.45">
      <c r="A38" s="5" t="s">
        <v>37</v>
      </c>
      <c r="B38" s="5" t="s">
        <v>32</v>
      </c>
      <c r="C38" s="2">
        <v>0</v>
      </c>
      <c r="D38" s="2"/>
      <c r="E38" s="6">
        <f t="shared" si="0"/>
        <v>0</v>
      </c>
    </row>
    <row r="39" spans="1:5" ht="15" hidden="1" x14ac:dyDescent="0.45">
      <c r="A39" s="5" t="s">
        <v>38</v>
      </c>
      <c r="B39" s="5" t="s">
        <v>3</v>
      </c>
      <c r="C39" s="2">
        <v>0</v>
      </c>
      <c r="D39" s="2"/>
      <c r="E39" s="6">
        <f t="shared" si="0"/>
        <v>0</v>
      </c>
    </row>
    <row r="40" spans="1:5" ht="15" x14ac:dyDescent="0.45">
      <c r="A40" s="5" t="s">
        <v>38</v>
      </c>
      <c r="B40" s="5" t="s">
        <v>32</v>
      </c>
      <c r="C40" s="2">
        <v>15</v>
      </c>
      <c r="D40" s="2">
        <v>3000</v>
      </c>
      <c r="E40" s="6">
        <f t="shared" si="0"/>
        <v>45000</v>
      </c>
    </row>
    <row r="41" spans="1:5" ht="15" hidden="1" x14ac:dyDescent="0.45">
      <c r="A41" s="5" t="s">
        <v>39</v>
      </c>
      <c r="B41" s="5" t="s">
        <v>32</v>
      </c>
      <c r="C41" s="2">
        <v>0</v>
      </c>
      <c r="D41" s="2"/>
      <c r="E41" s="6">
        <f t="shared" si="0"/>
        <v>0</v>
      </c>
    </row>
    <row r="42" spans="1:5" ht="15" x14ac:dyDescent="0.45">
      <c r="A42" s="5" t="s">
        <v>40</v>
      </c>
      <c r="B42" s="5" t="s">
        <v>3</v>
      </c>
      <c r="C42" s="2">
        <v>720</v>
      </c>
      <c r="D42" s="2">
        <v>4000</v>
      </c>
      <c r="E42" s="6">
        <f t="shared" si="0"/>
        <v>2880000</v>
      </c>
    </row>
    <row r="43" spans="1:5" ht="15" hidden="1" x14ac:dyDescent="0.45">
      <c r="A43" s="5" t="s">
        <v>41</v>
      </c>
      <c r="B43" s="5" t="s">
        <v>3</v>
      </c>
      <c r="C43" s="2">
        <v>0</v>
      </c>
      <c r="D43" s="2"/>
      <c r="E43" s="6">
        <f t="shared" si="0"/>
        <v>0</v>
      </c>
    </row>
    <row r="44" spans="1:5" ht="15" x14ac:dyDescent="0.45">
      <c r="A44" s="5" t="s">
        <v>42</v>
      </c>
      <c r="B44" s="5" t="s">
        <v>3</v>
      </c>
      <c r="C44" s="2">
        <v>530</v>
      </c>
      <c r="D44" s="2">
        <v>3000</v>
      </c>
      <c r="E44" s="6">
        <f t="shared" si="0"/>
        <v>1590000</v>
      </c>
    </row>
    <row r="45" spans="1:5" ht="15" x14ac:dyDescent="0.45">
      <c r="A45" s="5" t="s">
        <v>43</v>
      </c>
      <c r="B45" s="5" t="s">
        <v>3</v>
      </c>
      <c r="C45" s="2">
        <v>30</v>
      </c>
      <c r="D45" s="2">
        <v>9000</v>
      </c>
      <c r="E45" s="6">
        <f t="shared" si="0"/>
        <v>270000</v>
      </c>
    </row>
    <row r="46" spans="1:5" ht="15" hidden="1" x14ac:dyDescent="0.45">
      <c r="A46" s="5" t="s">
        <v>43</v>
      </c>
      <c r="B46" s="5" t="s">
        <v>44</v>
      </c>
      <c r="C46" s="2">
        <v>0</v>
      </c>
      <c r="D46" s="2"/>
      <c r="E46" s="6">
        <f t="shared" si="0"/>
        <v>0</v>
      </c>
    </row>
    <row r="47" spans="1:5" ht="15" hidden="1" x14ac:dyDescent="0.45">
      <c r="A47" s="5" t="s">
        <v>45</v>
      </c>
      <c r="B47" s="5" t="s">
        <v>3</v>
      </c>
      <c r="C47" s="2">
        <v>0</v>
      </c>
      <c r="D47" s="2"/>
      <c r="E47" s="6">
        <f t="shared" si="0"/>
        <v>0</v>
      </c>
    </row>
    <row r="48" spans="1:5" ht="15" hidden="1" x14ac:dyDescent="0.45">
      <c r="A48" s="5" t="s">
        <v>46</v>
      </c>
      <c r="B48" s="5" t="s">
        <v>3</v>
      </c>
      <c r="C48" s="2">
        <v>0</v>
      </c>
      <c r="D48" s="2"/>
      <c r="E48" s="6">
        <f t="shared" si="0"/>
        <v>0</v>
      </c>
    </row>
    <row r="49" spans="1:5" ht="15" hidden="1" x14ac:dyDescent="0.45">
      <c r="A49" s="5" t="s">
        <v>47</v>
      </c>
      <c r="B49" s="5" t="s">
        <v>27</v>
      </c>
      <c r="C49" s="2">
        <v>0</v>
      </c>
      <c r="D49" s="2"/>
      <c r="E49" s="6">
        <f t="shared" si="0"/>
        <v>0</v>
      </c>
    </row>
    <row r="50" spans="1:5" ht="15" hidden="1" x14ac:dyDescent="0.45">
      <c r="A50" s="5" t="s">
        <v>47</v>
      </c>
      <c r="B50" s="5" t="s">
        <v>3</v>
      </c>
      <c r="C50" s="2">
        <v>0</v>
      </c>
      <c r="D50" s="2"/>
      <c r="E50" s="6">
        <f t="shared" si="0"/>
        <v>0</v>
      </c>
    </row>
    <row r="51" spans="1:5" ht="15" hidden="1" x14ac:dyDescent="0.45">
      <c r="A51" s="5" t="s">
        <v>48</v>
      </c>
      <c r="B51" s="5" t="s">
        <v>3</v>
      </c>
      <c r="C51" s="2">
        <v>0</v>
      </c>
      <c r="D51" s="2"/>
      <c r="E51" s="6">
        <f t="shared" si="0"/>
        <v>0</v>
      </c>
    </row>
    <row r="52" spans="1:5" ht="15" x14ac:dyDescent="0.45">
      <c r="A52" s="5" t="s">
        <v>49</v>
      </c>
      <c r="B52" s="5" t="s">
        <v>3</v>
      </c>
      <c r="C52" s="2">
        <v>30</v>
      </c>
      <c r="D52" s="2">
        <v>7000</v>
      </c>
      <c r="E52" s="6">
        <f t="shared" si="0"/>
        <v>210000</v>
      </c>
    </row>
    <row r="53" spans="1:5" ht="15" hidden="1" x14ac:dyDescent="0.45">
      <c r="A53" s="5" t="s">
        <v>49</v>
      </c>
      <c r="B53" s="5" t="s">
        <v>32</v>
      </c>
      <c r="C53" s="2">
        <v>0</v>
      </c>
      <c r="D53" s="2"/>
      <c r="E53" s="6">
        <f t="shared" si="0"/>
        <v>0</v>
      </c>
    </row>
    <row r="54" spans="1:5" ht="15" x14ac:dyDescent="0.45">
      <c r="A54" s="5" t="s">
        <v>50</v>
      </c>
      <c r="B54" s="5" t="s">
        <v>3</v>
      </c>
      <c r="C54" s="2">
        <v>8</v>
      </c>
      <c r="D54" s="2">
        <v>22000</v>
      </c>
      <c r="E54" s="6">
        <f t="shared" si="0"/>
        <v>176000</v>
      </c>
    </row>
    <row r="55" spans="1:5" ht="15" x14ac:dyDescent="0.45">
      <c r="A55" s="5" t="s">
        <v>51</v>
      </c>
      <c r="B55" s="5" t="s">
        <v>3</v>
      </c>
      <c r="C55" s="2">
        <v>330</v>
      </c>
      <c r="D55" s="2">
        <v>4500</v>
      </c>
      <c r="E55" s="6">
        <f t="shared" si="0"/>
        <v>1485000</v>
      </c>
    </row>
    <row r="56" spans="1:5" ht="15" hidden="1" x14ac:dyDescent="0.45">
      <c r="A56" s="5" t="s">
        <v>51</v>
      </c>
      <c r="B56" s="5" t="s">
        <v>52</v>
      </c>
      <c r="C56" s="2">
        <v>0</v>
      </c>
      <c r="D56" s="2"/>
      <c r="E56" s="6">
        <f t="shared" si="0"/>
        <v>0</v>
      </c>
    </row>
    <row r="57" spans="1:5" ht="15" hidden="1" x14ac:dyDescent="0.45">
      <c r="A57" s="5" t="s">
        <v>53</v>
      </c>
      <c r="B57" s="5" t="s">
        <v>3</v>
      </c>
      <c r="C57" s="2">
        <v>0</v>
      </c>
      <c r="D57" s="2"/>
      <c r="E57" s="6">
        <f t="shared" si="0"/>
        <v>0</v>
      </c>
    </row>
    <row r="58" spans="1:5" ht="15" x14ac:dyDescent="0.45">
      <c r="A58" s="5" t="s">
        <v>54</v>
      </c>
      <c r="B58" s="5" t="s">
        <v>32</v>
      </c>
      <c r="C58" s="2">
        <v>100</v>
      </c>
      <c r="D58" s="2">
        <v>1350</v>
      </c>
      <c r="E58" s="6">
        <f t="shared" si="0"/>
        <v>135000</v>
      </c>
    </row>
    <row r="59" spans="1:5" ht="15" x14ac:dyDescent="0.45">
      <c r="A59" s="5" t="s">
        <v>55</v>
      </c>
      <c r="B59" s="5" t="s">
        <v>3</v>
      </c>
      <c r="C59" s="2">
        <v>1810</v>
      </c>
      <c r="D59" s="2">
        <v>26000</v>
      </c>
      <c r="E59" s="6">
        <f t="shared" si="0"/>
        <v>47060000</v>
      </c>
    </row>
    <row r="60" spans="1:5" ht="15" x14ac:dyDescent="0.45">
      <c r="A60" s="5" t="s">
        <v>56</v>
      </c>
      <c r="B60" s="5" t="s">
        <v>3</v>
      </c>
      <c r="C60" s="2">
        <v>1490</v>
      </c>
      <c r="D60" s="2">
        <v>26000</v>
      </c>
      <c r="E60" s="6">
        <f t="shared" si="0"/>
        <v>38740000</v>
      </c>
    </row>
    <row r="61" spans="1:5" ht="15" hidden="1" x14ac:dyDescent="0.45">
      <c r="A61" s="5" t="s">
        <v>56</v>
      </c>
      <c r="B61" s="5" t="s">
        <v>32</v>
      </c>
      <c r="C61" s="2">
        <v>0</v>
      </c>
      <c r="D61" s="2"/>
      <c r="E61" s="6">
        <f t="shared" si="0"/>
        <v>0</v>
      </c>
    </row>
    <row r="62" spans="1:5" ht="15" x14ac:dyDescent="0.45">
      <c r="A62" s="5" t="s">
        <v>57</v>
      </c>
      <c r="B62" s="5" t="s">
        <v>3</v>
      </c>
      <c r="C62" s="2">
        <v>110</v>
      </c>
      <c r="D62" s="2">
        <v>14500</v>
      </c>
      <c r="E62" s="6">
        <f t="shared" si="0"/>
        <v>1595000</v>
      </c>
    </row>
    <row r="63" spans="1:5" ht="15" x14ac:dyDescent="0.45">
      <c r="A63" s="5" t="s">
        <v>58</v>
      </c>
      <c r="B63" s="5" t="s">
        <v>3</v>
      </c>
      <c r="C63" s="2">
        <v>48</v>
      </c>
      <c r="D63" s="2">
        <v>22000</v>
      </c>
      <c r="E63" s="6">
        <f t="shared" si="0"/>
        <v>1056000</v>
      </c>
    </row>
    <row r="64" spans="1:5" ht="15" hidden="1" x14ac:dyDescent="0.45">
      <c r="A64" s="5" t="s">
        <v>59</v>
      </c>
      <c r="B64" s="5" t="s">
        <v>3</v>
      </c>
      <c r="C64" s="2">
        <v>0</v>
      </c>
      <c r="D64" s="2"/>
      <c r="E64" s="6">
        <f t="shared" si="0"/>
        <v>0</v>
      </c>
    </row>
    <row r="65" spans="1:5" ht="15" hidden="1" x14ac:dyDescent="0.45">
      <c r="A65" s="5" t="s">
        <v>59</v>
      </c>
      <c r="B65" s="5" t="s">
        <v>32</v>
      </c>
      <c r="C65" s="2">
        <v>0</v>
      </c>
      <c r="D65" s="2"/>
      <c r="E65" s="6">
        <f t="shared" si="0"/>
        <v>0</v>
      </c>
    </row>
    <row r="66" spans="1:5" ht="15" hidden="1" x14ac:dyDescent="0.45">
      <c r="A66" s="5" t="s">
        <v>60</v>
      </c>
      <c r="B66" s="5" t="s">
        <v>3</v>
      </c>
      <c r="C66" s="2">
        <v>0</v>
      </c>
      <c r="D66" s="2"/>
      <c r="E66" s="6">
        <f t="shared" si="0"/>
        <v>0</v>
      </c>
    </row>
    <row r="67" spans="1:5" ht="15" x14ac:dyDescent="0.45">
      <c r="A67" s="5" t="s">
        <v>61</v>
      </c>
      <c r="B67" s="5" t="s">
        <v>3</v>
      </c>
      <c r="C67" s="2">
        <v>1030</v>
      </c>
      <c r="D67" s="2">
        <v>12500</v>
      </c>
      <c r="E67" s="6">
        <f t="shared" si="0"/>
        <v>12875000</v>
      </c>
    </row>
    <row r="68" spans="1:5" ht="15" hidden="1" x14ac:dyDescent="0.45">
      <c r="A68" s="5" t="s">
        <v>61</v>
      </c>
      <c r="B68" s="5" t="s">
        <v>32</v>
      </c>
      <c r="C68" s="2">
        <v>0</v>
      </c>
      <c r="D68" s="2"/>
      <c r="E68" s="6">
        <f t="shared" ref="E68:E121" si="1">C68*D68</f>
        <v>0</v>
      </c>
    </row>
    <row r="69" spans="1:5" ht="15" x14ac:dyDescent="0.45">
      <c r="A69" s="5" t="s">
        <v>62</v>
      </c>
      <c r="B69" s="5" t="s">
        <v>32</v>
      </c>
      <c r="C69" s="2">
        <v>70</v>
      </c>
      <c r="D69" s="2">
        <v>5000</v>
      </c>
      <c r="E69" s="6">
        <f t="shared" si="1"/>
        <v>350000</v>
      </c>
    </row>
    <row r="70" spans="1:5" ht="15" hidden="1" x14ac:dyDescent="0.45">
      <c r="A70" s="5" t="s">
        <v>160</v>
      </c>
      <c r="B70" s="5" t="s">
        <v>3</v>
      </c>
      <c r="C70" s="2">
        <v>0</v>
      </c>
      <c r="D70" s="2"/>
      <c r="E70" s="6">
        <f t="shared" si="1"/>
        <v>0</v>
      </c>
    </row>
    <row r="71" spans="1:5" ht="15" hidden="1" x14ac:dyDescent="0.45">
      <c r="A71" s="5" t="s">
        <v>63</v>
      </c>
      <c r="B71" s="5" t="s">
        <v>3</v>
      </c>
      <c r="C71" s="2">
        <v>0</v>
      </c>
      <c r="D71" s="2"/>
      <c r="E71" s="6">
        <f t="shared" si="1"/>
        <v>0</v>
      </c>
    </row>
    <row r="72" spans="1:5" ht="15" hidden="1" x14ac:dyDescent="0.45">
      <c r="A72" s="5" t="s">
        <v>64</v>
      </c>
      <c r="B72" s="5" t="s">
        <v>32</v>
      </c>
      <c r="C72" s="2">
        <v>0</v>
      </c>
      <c r="D72" s="2"/>
      <c r="E72" s="6">
        <f t="shared" si="1"/>
        <v>0</v>
      </c>
    </row>
    <row r="73" spans="1:5" ht="15" hidden="1" x14ac:dyDescent="0.45">
      <c r="A73" s="5" t="s">
        <v>65</v>
      </c>
      <c r="B73" s="5" t="s">
        <v>3</v>
      </c>
      <c r="C73" s="2">
        <v>0</v>
      </c>
      <c r="D73" s="2"/>
      <c r="E73" s="6">
        <f t="shared" si="1"/>
        <v>0</v>
      </c>
    </row>
    <row r="74" spans="1:5" ht="15" x14ac:dyDescent="0.45">
      <c r="A74" s="5" t="s">
        <v>65</v>
      </c>
      <c r="B74" s="5" t="s">
        <v>32</v>
      </c>
      <c r="C74" s="2">
        <v>49</v>
      </c>
      <c r="D74" s="2">
        <v>7000</v>
      </c>
      <c r="E74" s="6">
        <f t="shared" si="1"/>
        <v>343000</v>
      </c>
    </row>
    <row r="75" spans="1:5" ht="15" hidden="1" x14ac:dyDescent="0.45">
      <c r="A75" s="5" t="s">
        <v>66</v>
      </c>
      <c r="B75" s="5" t="s">
        <v>3</v>
      </c>
      <c r="C75" s="2">
        <v>0</v>
      </c>
      <c r="D75" s="2"/>
      <c r="E75" s="6">
        <f t="shared" si="1"/>
        <v>0</v>
      </c>
    </row>
    <row r="76" spans="1:5" ht="15" x14ac:dyDescent="0.45">
      <c r="A76" s="5" t="s">
        <v>68</v>
      </c>
      <c r="B76" s="5" t="s">
        <v>3</v>
      </c>
      <c r="C76" s="2">
        <v>0.5</v>
      </c>
      <c r="D76" s="2">
        <v>70000</v>
      </c>
      <c r="E76" s="6">
        <f t="shared" si="1"/>
        <v>35000</v>
      </c>
    </row>
    <row r="77" spans="1:5" ht="15" x14ac:dyDescent="0.45">
      <c r="A77" s="5" t="s">
        <v>69</v>
      </c>
      <c r="B77" s="5" t="s">
        <v>3</v>
      </c>
      <c r="C77" s="2">
        <v>0.5</v>
      </c>
      <c r="D77" s="2">
        <v>70000</v>
      </c>
      <c r="E77" s="6">
        <f t="shared" si="1"/>
        <v>35000</v>
      </c>
    </row>
    <row r="78" spans="1:5" ht="15" hidden="1" x14ac:dyDescent="0.45">
      <c r="A78" s="5" t="s">
        <v>111</v>
      </c>
      <c r="B78" s="5" t="s">
        <v>32</v>
      </c>
      <c r="C78" s="2">
        <v>0</v>
      </c>
      <c r="D78" s="2"/>
      <c r="E78" s="6">
        <f t="shared" si="1"/>
        <v>0</v>
      </c>
    </row>
    <row r="79" spans="1:5" ht="15" hidden="1" x14ac:dyDescent="0.45">
      <c r="A79" s="5" t="s">
        <v>70</v>
      </c>
      <c r="B79" s="5" t="s">
        <v>3</v>
      </c>
      <c r="C79" s="2">
        <v>0</v>
      </c>
      <c r="D79" s="2"/>
      <c r="E79" s="6">
        <f t="shared" si="1"/>
        <v>0</v>
      </c>
    </row>
    <row r="80" spans="1:5" ht="15" x14ac:dyDescent="0.45">
      <c r="A80" s="5" t="s">
        <v>70</v>
      </c>
      <c r="B80" s="5" t="s">
        <v>18</v>
      </c>
      <c r="C80" s="2">
        <v>114</v>
      </c>
      <c r="D80" s="2">
        <v>6500</v>
      </c>
      <c r="E80" s="6">
        <f t="shared" si="1"/>
        <v>741000</v>
      </c>
    </row>
    <row r="81" spans="1:5" ht="15" hidden="1" x14ac:dyDescent="0.45">
      <c r="A81" s="5" t="s">
        <v>71</v>
      </c>
      <c r="B81" s="5" t="s">
        <v>3</v>
      </c>
      <c r="C81" s="2">
        <v>0</v>
      </c>
      <c r="D81" s="2"/>
      <c r="E81" s="6">
        <f t="shared" si="1"/>
        <v>0</v>
      </c>
    </row>
    <row r="82" spans="1:5" ht="15" x14ac:dyDescent="0.45">
      <c r="A82" s="5" t="s">
        <v>72</v>
      </c>
      <c r="B82" s="5" t="s">
        <v>3</v>
      </c>
      <c r="C82" s="2">
        <v>20</v>
      </c>
      <c r="D82" s="2">
        <v>12000</v>
      </c>
      <c r="E82" s="6">
        <f t="shared" si="1"/>
        <v>240000</v>
      </c>
    </row>
    <row r="83" spans="1:5" ht="15" x14ac:dyDescent="0.45">
      <c r="A83" s="5" t="s">
        <v>73</v>
      </c>
      <c r="B83" s="5" t="s">
        <v>3</v>
      </c>
      <c r="C83" s="2">
        <v>30</v>
      </c>
      <c r="D83" s="2">
        <v>10000</v>
      </c>
      <c r="E83" s="6">
        <f t="shared" si="1"/>
        <v>300000</v>
      </c>
    </row>
    <row r="84" spans="1:5" ht="15" hidden="1" x14ac:dyDescent="0.45">
      <c r="A84" s="5" t="s">
        <v>73</v>
      </c>
      <c r="B84" s="5" t="s">
        <v>44</v>
      </c>
      <c r="C84" s="2">
        <v>0</v>
      </c>
      <c r="D84" s="2"/>
      <c r="E84" s="6">
        <f t="shared" si="1"/>
        <v>0</v>
      </c>
    </row>
    <row r="85" spans="1:5" ht="15" hidden="1" x14ac:dyDescent="0.45">
      <c r="A85" s="5" t="s">
        <v>74</v>
      </c>
      <c r="B85" s="5" t="s">
        <v>3</v>
      </c>
      <c r="C85" s="2">
        <v>0</v>
      </c>
      <c r="D85" s="2"/>
      <c r="E85" s="6">
        <f t="shared" si="1"/>
        <v>0</v>
      </c>
    </row>
    <row r="86" spans="1:5" ht="15" hidden="1" x14ac:dyDescent="0.45">
      <c r="A86" s="5" t="s">
        <v>74</v>
      </c>
      <c r="B86" s="5" t="s">
        <v>32</v>
      </c>
      <c r="C86" s="2">
        <v>0</v>
      </c>
      <c r="D86" s="2"/>
      <c r="E86" s="6">
        <f t="shared" si="1"/>
        <v>0</v>
      </c>
    </row>
    <row r="87" spans="1:5" ht="15" hidden="1" x14ac:dyDescent="0.45">
      <c r="A87" s="5" t="s">
        <v>75</v>
      </c>
      <c r="B87" s="5" t="s">
        <v>3</v>
      </c>
      <c r="C87" s="2">
        <v>0</v>
      </c>
      <c r="D87" s="2"/>
      <c r="E87" s="6">
        <f t="shared" si="1"/>
        <v>0</v>
      </c>
    </row>
    <row r="88" spans="1:5" ht="15" hidden="1" x14ac:dyDescent="0.45">
      <c r="A88" s="5" t="s">
        <v>76</v>
      </c>
      <c r="B88" s="5" t="s">
        <v>27</v>
      </c>
      <c r="C88" s="2">
        <v>0</v>
      </c>
      <c r="D88" s="2"/>
      <c r="E88" s="6">
        <f t="shared" si="1"/>
        <v>0</v>
      </c>
    </row>
    <row r="89" spans="1:5" ht="15" x14ac:dyDescent="0.45">
      <c r="A89" s="5" t="s">
        <v>76</v>
      </c>
      <c r="B89" s="5" t="s">
        <v>3</v>
      </c>
      <c r="C89" s="2">
        <v>150</v>
      </c>
      <c r="D89" s="2">
        <v>45000</v>
      </c>
      <c r="E89" s="6">
        <f t="shared" si="1"/>
        <v>6750000</v>
      </c>
    </row>
    <row r="90" spans="1:5" ht="15" hidden="1" x14ac:dyDescent="0.45">
      <c r="A90" s="5" t="s">
        <v>76</v>
      </c>
      <c r="B90" s="5" t="s">
        <v>77</v>
      </c>
      <c r="C90" s="2">
        <v>0</v>
      </c>
      <c r="D90" s="2"/>
      <c r="E90" s="6">
        <f t="shared" si="1"/>
        <v>0</v>
      </c>
    </row>
    <row r="91" spans="1:5" ht="15" hidden="1" x14ac:dyDescent="0.45">
      <c r="A91" s="5" t="s">
        <v>79</v>
      </c>
      <c r="B91" s="5" t="s">
        <v>18</v>
      </c>
      <c r="C91" s="2">
        <v>0</v>
      </c>
      <c r="D91" s="2"/>
      <c r="E91" s="6">
        <f t="shared" si="1"/>
        <v>0</v>
      </c>
    </row>
    <row r="92" spans="1:5" ht="15" hidden="1" x14ac:dyDescent="0.45">
      <c r="A92" s="5" t="s">
        <v>80</v>
      </c>
      <c r="B92" s="5" t="s">
        <v>27</v>
      </c>
      <c r="C92" s="2">
        <v>0</v>
      </c>
      <c r="D92" s="2"/>
      <c r="E92" s="6">
        <f t="shared" si="1"/>
        <v>0</v>
      </c>
    </row>
    <row r="93" spans="1:5" ht="15" x14ac:dyDescent="0.45">
      <c r="A93" s="5" t="s">
        <v>80</v>
      </c>
      <c r="B93" s="5" t="s">
        <v>3</v>
      </c>
      <c r="C93" s="2">
        <v>9</v>
      </c>
      <c r="D93" s="2">
        <v>38000</v>
      </c>
      <c r="E93" s="6">
        <f t="shared" si="1"/>
        <v>342000</v>
      </c>
    </row>
    <row r="94" spans="1:5" ht="15" x14ac:dyDescent="0.45">
      <c r="A94" s="5" t="s">
        <v>81</v>
      </c>
      <c r="B94" s="5" t="s">
        <v>3</v>
      </c>
      <c r="C94" s="2">
        <v>215</v>
      </c>
      <c r="D94" s="2">
        <v>40000</v>
      </c>
      <c r="E94" s="6">
        <f t="shared" si="1"/>
        <v>8600000</v>
      </c>
    </row>
    <row r="95" spans="1:5" ht="15" hidden="1" x14ac:dyDescent="0.45">
      <c r="A95" s="5" t="s">
        <v>81</v>
      </c>
      <c r="B95" s="5" t="s">
        <v>11</v>
      </c>
      <c r="C95" s="2">
        <v>0</v>
      </c>
      <c r="D95" s="2"/>
      <c r="E95" s="6">
        <f t="shared" si="1"/>
        <v>0</v>
      </c>
    </row>
    <row r="96" spans="1:5" ht="15" x14ac:dyDescent="0.45">
      <c r="A96" s="5" t="s">
        <v>82</v>
      </c>
      <c r="B96" s="5" t="s">
        <v>3</v>
      </c>
      <c r="C96" s="2">
        <v>20</v>
      </c>
      <c r="D96" s="2">
        <v>30000</v>
      </c>
      <c r="E96" s="6">
        <f t="shared" si="1"/>
        <v>600000</v>
      </c>
    </row>
    <row r="97" spans="1:5" ht="15" x14ac:dyDescent="0.45">
      <c r="A97" s="5" t="s">
        <v>83</v>
      </c>
      <c r="B97" s="5" t="s">
        <v>3</v>
      </c>
      <c r="C97" s="2">
        <v>140</v>
      </c>
      <c r="D97" s="2">
        <v>40000</v>
      </c>
      <c r="E97" s="6">
        <f t="shared" si="1"/>
        <v>5600000</v>
      </c>
    </row>
    <row r="98" spans="1:5" ht="15" hidden="1" x14ac:dyDescent="0.45">
      <c r="A98" s="5" t="s">
        <v>83</v>
      </c>
      <c r="B98" s="5" t="s">
        <v>11</v>
      </c>
      <c r="C98" s="2">
        <v>0</v>
      </c>
      <c r="D98" s="2"/>
      <c r="E98" s="6">
        <f t="shared" si="1"/>
        <v>0</v>
      </c>
    </row>
    <row r="99" spans="1:5" ht="15" x14ac:dyDescent="0.45">
      <c r="A99" s="5" t="s">
        <v>84</v>
      </c>
      <c r="B99" s="5" t="s">
        <v>3</v>
      </c>
      <c r="C99" s="2">
        <v>13</v>
      </c>
      <c r="D99" s="2">
        <v>30000</v>
      </c>
      <c r="E99" s="6">
        <f t="shared" si="1"/>
        <v>390000</v>
      </c>
    </row>
    <row r="100" spans="1:5" ht="15" x14ac:dyDescent="0.45">
      <c r="A100" s="5" t="s">
        <v>85</v>
      </c>
      <c r="B100" s="5" t="s">
        <v>3</v>
      </c>
      <c r="C100" s="2">
        <v>30</v>
      </c>
      <c r="D100" s="2">
        <v>32000</v>
      </c>
      <c r="E100" s="6">
        <f t="shared" si="1"/>
        <v>960000</v>
      </c>
    </row>
    <row r="101" spans="1:5" ht="15" hidden="1" x14ac:dyDescent="0.45">
      <c r="A101" s="5" t="s">
        <v>85</v>
      </c>
      <c r="B101" s="5" t="s">
        <v>11</v>
      </c>
      <c r="C101" s="2">
        <v>0</v>
      </c>
      <c r="D101" s="2"/>
      <c r="E101" s="6">
        <f t="shared" si="1"/>
        <v>0</v>
      </c>
    </row>
    <row r="102" spans="1:5" ht="15" x14ac:dyDescent="0.45">
      <c r="A102" s="5" t="s">
        <v>113</v>
      </c>
      <c r="B102" s="5" t="s">
        <v>3</v>
      </c>
      <c r="C102" s="2">
        <v>65</v>
      </c>
      <c r="D102" s="2">
        <v>26000</v>
      </c>
      <c r="E102" s="6">
        <f t="shared" si="1"/>
        <v>1690000</v>
      </c>
    </row>
    <row r="103" spans="1:5" ht="15" x14ac:dyDescent="0.45">
      <c r="A103" s="5" t="s">
        <v>86</v>
      </c>
      <c r="B103" s="5" t="s">
        <v>163</v>
      </c>
      <c r="C103" s="2">
        <v>58</v>
      </c>
      <c r="D103" s="2">
        <v>17000</v>
      </c>
      <c r="E103" s="6">
        <f t="shared" si="1"/>
        <v>986000</v>
      </c>
    </row>
    <row r="104" spans="1:5" ht="15" hidden="1" x14ac:dyDescent="0.45">
      <c r="A104" s="5" t="s">
        <v>86</v>
      </c>
      <c r="B104" s="5" t="s">
        <v>32</v>
      </c>
      <c r="C104" s="2">
        <v>0</v>
      </c>
      <c r="D104" s="2"/>
      <c r="E104" s="6">
        <f t="shared" si="1"/>
        <v>0</v>
      </c>
    </row>
    <row r="105" spans="1:5" ht="15" x14ac:dyDescent="0.45">
      <c r="A105" s="5" t="s">
        <v>109</v>
      </c>
      <c r="B105" s="5" t="s">
        <v>3</v>
      </c>
      <c r="C105" s="2">
        <v>11</v>
      </c>
      <c r="D105" s="2">
        <v>21000</v>
      </c>
      <c r="E105" s="6">
        <f t="shared" si="1"/>
        <v>231000</v>
      </c>
    </row>
    <row r="106" spans="1:5" ht="15" hidden="1" x14ac:dyDescent="0.45">
      <c r="A106" s="5" t="s">
        <v>87</v>
      </c>
      <c r="B106" s="5" t="s">
        <v>32</v>
      </c>
      <c r="C106" s="2">
        <v>0</v>
      </c>
      <c r="D106" s="2"/>
      <c r="E106" s="6">
        <f t="shared" si="1"/>
        <v>0</v>
      </c>
    </row>
    <row r="107" spans="1:5" ht="15" hidden="1" x14ac:dyDescent="0.45">
      <c r="A107" s="5" t="s">
        <v>88</v>
      </c>
      <c r="B107" s="5" t="s">
        <v>3</v>
      </c>
      <c r="C107" s="2">
        <v>0</v>
      </c>
      <c r="D107" s="2"/>
      <c r="E107" s="6">
        <f t="shared" si="1"/>
        <v>0</v>
      </c>
    </row>
    <row r="108" spans="1:5" ht="15" hidden="1" x14ac:dyDescent="0.45">
      <c r="A108" s="5" t="s">
        <v>125</v>
      </c>
      <c r="B108" s="5" t="s">
        <v>3</v>
      </c>
      <c r="C108" s="2">
        <v>0</v>
      </c>
      <c r="D108" s="2"/>
      <c r="E108" s="6">
        <f t="shared" si="1"/>
        <v>0</v>
      </c>
    </row>
    <row r="109" spans="1:5" ht="15" hidden="1" x14ac:dyDescent="0.45">
      <c r="A109" s="5" t="s">
        <v>91</v>
      </c>
      <c r="B109" s="5" t="s">
        <v>3</v>
      </c>
      <c r="C109" s="2">
        <v>0</v>
      </c>
      <c r="D109" s="2"/>
      <c r="E109" s="6">
        <f t="shared" si="1"/>
        <v>0</v>
      </c>
    </row>
    <row r="110" spans="1:5" ht="15" x14ac:dyDescent="0.45">
      <c r="A110" s="5" t="s">
        <v>92</v>
      </c>
      <c r="B110" s="5" t="s">
        <v>3</v>
      </c>
      <c r="C110" s="2">
        <v>25</v>
      </c>
      <c r="D110" s="2">
        <v>5000</v>
      </c>
      <c r="E110" s="6">
        <f t="shared" si="1"/>
        <v>125000</v>
      </c>
    </row>
    <row r="111" spans="1:5" ht="15" hidden="1" x14ac:dyDescent="0.45">
      <c r="A111" s="5" t="s">
        <v>93</v>
      </c>
      <c r="B111" s="5" t="s">
        <v>3</v>
      </c>
      <c r="C111" s="2">
        <v>0</v>
      </c>
      <c r="D111" s="2"/>
      <c r="E111" s="6">
        <f t="shared" si="1"/>
        <v>0</v>
      </c>
    </row>
    <row r="112" spans="1:5" ht="15" x14ac:dyDescent="0.45">
      <c r="A112" s="5" t="s">
        <v>94</v>
      </c>
      <c r="B112" s="5" t="s">
        <v>3</v>
      </c>
      <c r="C112" s="2">
        <v>10</v>
      </c>
      <c r="D112" s="2">
        <v>12000</v>
      </c>
      <c r="E112" s="6">
        <f t="shared" si="1"/>
        <v>120000</v>
      </c>
    </row>
    <row r="113" spans="1:5" ht="15" hidden="1" x14ac:dyDescent="0.45">
      <c r="A113" s="5" t="s">
        <v>95</v>
      </c>
      <c r="B113" s="5" t="s">
        <v>3</v>
      </c>
      <c r="C113" s="2">
        <v>0</v>
      </c>
      <c r="D113" s="2"/>
      <c r="E113" s="6">
        <f t="shared" si="1"/>
        <v>0</v>
      </c>
    </row>
    <row r="114" spans="1:5" ht="15" hidden="1" x14ac:dyDescent="0.45">
      <c r="A114" s="5" t="s">
        <v>96</v>
      </c>
      <c r="B114" s="5" t="s">
        <v>3</v>
      </c>
      <c r="C114" s="2">
        <v>0</v>
      </c>
      <c r="D114" s="2"/>
      <c r="E114" s="6">
        <f t="shared" si="1"/>
        <v>0</v>
      </c>
    </row>
    <row r="115" spans="1:5" ht="15" hidden="1" x14ac:dyDescent="0.45">
      <c r="A115" s="5" t="s">
        <v>97</v>
      </c>
      <c r="B115" s="5" t="s">
        <v>44</v>
      </c>
      <c r="C115" s="2">
        <v>0</v>
      </c>
      <c r="D115" s="2"/>
      <c r="E115" s="6">
        <f t="shared" si="1"/>
        <v>0</v>
      </c>
    </row>
    <row r="116" spans="1:5" ht="15" hidden="1" x14ac:dyDescent="0.45">
      <c r="A116" s="5" t="s">
        <v>161</v>
      </c>
      <c r="B116" s="5" t="s">
        <v>3</v>
      </c>
      <c r="C116" s="2">
        <v>0</v>
      </c>
      <c r="D116" s="2"/>
      <c r="E116" s="6">
        <f t="shared" si="1"/>
        <v>0</v>
      </c>
    </row>
    <row r="117" spans="1:5" ht="15" hidden="1" x14ac:dyDescent="0.45">
      <c r="A117" s="5" t="s">
        <v>98</v>
      </c>
      <c r="B117" s="5" t="s">
        <v>3</v>
      </c>
      <c r="C117" s="2">
        <v>0</v>
      </c>
      <c r="D117" s="2"/>
      <c r="E117" s="6">
        <f t="shared" si="1"/>
        <v>0</v>
      </c>
    </row>
    <row r="118" spans="1:5" ht="15" hidden="1" x14ac:dyDescent="0.45">
      <c r="A118" s="5" t="s">
        <v>99</v>
      </c>
      <c r="B118" s="5" t="s">
        <v>44</v>
      </c>
      <c r="C118" s="2">
        <v>0</v>
      </c>
      <c r="D118" s="2"/>
      <c r="E118" s="6">
        <f t="shared" si="1"/>
        <v>0</v>
      </c>
    </row>
    <row r="119" spans="1:5" ht="15" hidden="1" x14ac:dyDescent="0.45">
      <c r="A119" s="5" t="s">
        <v>126</v>
      </c>
      <c r="B119" s="5" t="s">
        <v>3</v>
      </c>
      <c r="C119" s="2">
        <v>0</v>
      </c>
      <c r="D119" s="2"/>
      <c r="E119" s="6">
        <f t="shared" si="1"/>
        <v>0</v>
      </c>
    </row>
    <row r="120" spans="1:5" ht="15" x14ac:dyDescent="0.45">
      <c r="A120" s="5" t="s">
        <v>100</v>
      </c>
      <c r="B120" s="5" t="s">
        <v>3</v>
      </c>
      <c r="C120" s="2">
        <v>5</v>
      </c>
      <c r="D120" s="2">
        <v>25000</v>
      </c>
      <c r="E120" s="6">
        <f t="shared" si="1"/>
        <v>125000</v>
      </c>
    </row>
    <row r="121" spans="1:5" ht="15" x14ac:dyDescent="0.45">
      <c r="A121" s="5" t="s">
        <v>101</v>
      </c>
      <c r="B121" s="5" t="s">
        <v>44</v>
      </c>
      <c r="C121" s="2">
        <v>55</v>
      </c>
      <c r="D121" s="2">
        <v>6500</v>
      </c>
      <c r="E121" s="6">
        <f t="shared" si="1"/>
        <v>357500</v>
      </c>
    </row>
    <row r="122" spans="1:5" x14ac:dyDescent="0.45">
      <c r="E122" s="8">
        <f>SUM(E3:E121)</f>
        <v>158163500</v>
      </c>
    </row>
  </sheetData>
  <autoFilter ref="A2:E121" xr:uid="{00000000-0009-0000-0000-000015000000}">
    <filterColumn colId="2">
      <filters>
        <filter val="1"/>
        <filter val="1,030"/>
        <filter val="1,490"/>
        <filter val="1,810"/>
        <filter val="10"/>
        <filter val="100"/>
        <filter val="105"/>
        <filter val="11"/>
        <filter val="110"/>
        <filter val="114"/>
        <filter val="13"/>
        <filter val="140"/>
        <filter val="15"/>
        <filter val="150"/>
        <filter val="180"/>
        <filter val="190"/>
        <filter val="2"/>
        <filter val="20"/>
        <filter val="215"/>
        <filter val="24"/>
        <filter val="25"/>
        <filter val="270"/>
        <filter val="30"/>
        <filter val="330"/>
        <filter val="4"/>
        <filter val="40"/>
        <filter val="45"/>
        <filter val="48"/>
        <filter val="49"/>
        <filter val="5"/>
        <filter val="530"/>
        <filter val="55"/>
        <filter val="58"/>
        <filter val="65"/>
        <filter val="70"/>
        <filter val="720"/>
        <filter val="73"/>
        <filter val="790"/>
        <filter val="8"/>
        <filter val="80"/>
        <filter val="9"/>
        <filter val="9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01.04</vt:lpstr>
      <vt:lpstr>2.4</vt:lpstr>
      <vt:lpstr>3.4</vt:lpstr>
      <vt:lpstr>4.4</vt:lpstr>
      <vt:lpstr>5.4</vt:lpstr>
      <vt:lpstr>6.4</vt:lpstr>
      <vt:lpstr>7.4</vt:lpstr>
      <vt:lpstr>8.4</vt:lpstr>
      <vt:lpstr>9.4</vt:lpstr>
      <vt:lpstr>10.4</vt:lpstr>
      <vt:lpstr>11.4</vt:lpstr>
      <vt:lpstr>12.4</vt:lpstr>
      <vt:lpstr>13.4</vt:lpstr>
      <vt:lpstr>14.4</vt:lpstr>
      <vt:lpstr>15.4</vt:lpstr>
      <vt:lpstr>16.4</vt:lpstr>
      <vt:lpstr>17.4</vt:lpstr>
      <vt:lpstr>18.4</vt:lpstr>
      <vt:lpstr>19.4</vt:lpstr>
      <vt:lpstr>20.4</vt:lpstr>
      <vt:lpstr>21.4</vt:lpstr>
      <vt:lpstr>22.4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</cp:lastModifiedBy>
  <dcterms:created xsi:type="dcterms:W3CDTF">2025-04-01T10:17:44Z</dcterms:created>
  <dcterms:modified xsi:type="dcterms:W3CDTF">2025-04-23T10:45:31Z</dcterms:modified>
</cp:coreProperties>
</file>