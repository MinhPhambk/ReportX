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2.VEGA\#VƯỜN RAU ĐÀ LẠT\_BÁO CÁO CHUNG\03. GIÁ TRỊ HÀNG TỒN KHO\2025\"/>
    </mc:Choice>
  </mc:AlternateContent>
  <xr:revisionPtr revIDLastSave="0" documentId="13_ncr:1_{1E8FDF2B-0205-485D-BE20-343CB018CF9C}" xr6:coauthVersionLast="47" xr6:coauthVersionMax="47" xr10:uidLastSave="{00000000-0000-0000-0000-000000000000}"/>
  <bookViews>
    <workbookView xWindow="-108" yWindow="-108" windowWidth="23256" windowHeight="12456" firstSheet="17" activeTab="30" xr2:uid="{00000000-000D-0000-FFFF-FFFF00000000}"/>
  </bookViews>
  <sheets>
    <sheet name="1.1" sheetId="1" r:id="rId1"/>
    <sheet name="2.1" sheetId="2" r:id="rId2"/>
    <sheet name="3.1" sheetId="3" r:id="rId3"/>
    <sheet name="4.1" sheetId="4" r:id="rId4"/>
    <sheet name="5.1" sheetId="5" r:id="rId5"/>
    <sheet name="6.1" sheetId="6" r:id="rId6"/>
    <sheet name="7.1" sheetId="7" r:id="rId7"/>
    <sheet name="8.1" sheetId="8" r:id="rId8"/>
    <sheet name="9.1" sheetId="9" r:id="rId9"/>
    <sheet name="10.1" sheetId="10" r:id="rId10"/>
    <sheet name="11.11" sheetId="11" r:id="rId11"/>
    <sheet name="12.1" sheetId="12" r:id="rId12"/>
    <sheet name="13.1" sheetId="13" r:id="rId13"/>
    <sheet name="14.1" sheetId="14" r:id="rId14"/>
    <sheet name="15.1" sheetId="15" r:id="rId15"/>
    <sheet name="16.1" sheetId="16" r:id="rId16"/>
    <sheet name="17.1" sheetId="17" r:id="rId17"/>
    <sheet name="18.1" sheetId="18" r:id="rId18"/>
    <sheet name="19.1" sheetId="19" r:id="rId19"/>
    <sheet name="20.1" sheetId="20" r:id="rId20"/>
    <sheet name="21.1" sheetId="21" r:id="rId21"/>
    <sheet name="22.1" sheetId="22" r:id="rId22"/>
    <sheet name="23.1" sheetId="23" r:id="rId23"/>
    <sheet name="24.1" sheetId="24" r:id="rId24"/>
    <sheet name="25.1" sheetId="25" r:id="rId25"/>
    <sheet name="26.1" sheetId="26" r:id="rId26"/>
    <sheet name="27.1" sheetId="27" r:id="rId27"/>
    <sheet name="28.1" sheetId="28" r:id="rId28"/>
    <sheet name="29.1" sheetId="29" r:id="rId29"/>
    <sheet name="30.1" sheetId="30" r:id="rId30"/>
    <sheet name="31.1" sheetId="31" r:id="rId31"/>
  </sheets>
  <externalReferences>
    <externalReference r:id="rId32"/>
    <externalReference r:id="rId33"/>
  </externalReferences>
  <definedNames>
    <definedName name="_xlnm._FilterDatabase" localSheetId="0" hidden="1">'1.1'!$A$2:$E$153</definedName>
    <definedName name="_xlnm._FilterDatabase" localSheetId="9" hidden="1">'10.1'!$A$2:$E$153</definedName>
    <definedName name="_xlnm._FilterDatabase" localSheetId="10" hidden="1">'11.11'!$A$1:$CZ$150</definedName>
    <definedName name="_xlnm._FilterDatabase" localSheetId="11" hidden="1">'12.1'!$A$2:$E$163</definedName>
    <definedName name="_xlnm._FilterDatabase" localSheetId="12" hidden="1">'13.1'!$A$2:$E$144</definedName>
    <definedName name="_xlnm._FilterDatabase" localSheetId="13" hidden="1">'14.1'!$A$2:$E$160</definedName>
    <definedName name="_xlnm._FilterDatabase" localSheetId="14" hidden="1">'15.1'!$A$2:$E$143</definedName>
    <definedName name="_xlnm._FilterDatabase" localSheetId="15" hidden="1">'16.1'!$A$1:$E$168</definedName>
    <definedName name="_xlnm._FilterDatabase" localSheetId="16" hidden="1">'17.1'!$A$2:$E$154</definedName>
    <definedName name="_xlnm._FilterDatabase" localSheetId="17" hidden="1">'18.1'!$A$2:$E$152</definedName>
    <definedName name="_xlnm._FilterDatabase" localSheetId="18" hidden="1">'19.1'!$A$1:$E$162</definedName>
    <definedName name="_xlnm._FilterDatabase" localSheetId="1" hidden="1">'2.1'!$A$2:$E$157</definedName>
    <definedName name="_xlnm._FilterDatabase" localSheetId="19" hidden="1">'20.1'!$A$1:$DA$156</definedName>
    <definedName name="_xlnm._FilterDatabase" localSheetId="20" hidden="1">'21.1'!$A$2:$E$163</definedName>
    <definedName name="_xlnm._FilterDatabase" localSheetId="21" hidden="1">'22.1'!$A$2:$E$150</definedName>
    <definedName name="_xlnm._FilterDatabase" localSheetId="22" hidden="1">'23.1'!$A$2:$E$154</definedName>
    <definedName name="_xlnm._FilterDatabase" localSheetId="23" hidden="1">'24.1'!$A$2:$E$152</definedName>
    <definedName name="_xlnm._FilterDatabase" localSheetId="24" hidden="1">'25.1'!$A$2:$E$148</definedName>
    <definedName name="_xlnm._FilterDatabase" localSheetId="25" hidden="1">'26.1'!$A$1:$E$134</definedName>
    <definedName name="_xlnm._FilterDatabase" localSheetId="26" hidden="1">'27.1'!$A$1:$E$148</definedName>
    <definedName name="_xlnm._FilterDatabase" localSheetId="27" hidden="1">'28.1'!$A$1:$C$149</definedName>
    <definedName name="_xlnm._FilterDatabase" localSheetId="28" hidden="1">'29.1'!$A$2:$E$153</definedName>
    <definedName name="_xlnm._FilterDatabase" localSheetId="2" hidden="1">'3.1'!$A$2:$E$149</definedName>
    <definedName name="_xlnm._FilterDatabase" localSheetId="29" hidden="1">'30.1'!$A$1:$C$152</definedName>
    <definedName name="_xlnm._FilterDatabase" localSheetId="30" hidden="1">'31.1'!$A$1:$E$161</definedName>
    <definedName name="_xlnm._FilterDatabase" localSheetId="3" hidden="1">'4.1'!$A$3:$F$156</definedName>
    <definedName name="_xlnm._FilterDatabase" localSheetId="4" hidden="1">'5.1'!$A$2:$E$150</definedName>
    <definedName name="_xlnm._FilterDatabase" localSheetId="5" hidden="1">'6.1'!$A$2:$E$131</definedName>
    <definedName name="_xlnm._FilterDatabase" localSheetId="6" hidden="1">'7.1'!$A$2:$E$164</definedName>
    <definedName name="_xlnm._FilterDatabase" localSheetId="7" hidden="1">'8.1'!$A$2:$E$140</definedName>
    <definedName name="_xlnm._FilterDatabase" localSheetId="8" hidden="1">'9.1'!$A$3:$E$96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9" i="26" l="1"/>
  <c r="D126" i="26"/>
  <c r="D116" i="26"/>
  <c r="D115" i="26"/>
  <c r="D112" i="26"/>
  <c r="D110" i="26"/>
  <c r="D105" i="26"/>
  <c r="D104" i="26"/>
  <c r="D102" i="26"/>
  <c r="D100" i="26"/>
  <c r="D98" i="26"/>
  <c r="D97" i="26"/>
  <c r="D89" i="26"/>
  <c r="D88" i="26"/>
  <c r="D83" i="26"/>
  <c r="D81" i="26"/>
  <c r="D73" i="26"/>
  <c r="D71" i="26"/>
  <c r="D70" i="26"/>
  <c r="D66" i="26"/>
  <c r="D65" i="26"/>
  <c r="D63" i="26"/>
  <c r="D56" i="26"/>
  <c r="D52" i="26"/>
  <c r="D51" i="26"/>
  <c r="D46" i="26"/>
  <c r="D44" i="26"/>
  <c r="D43" i="26"/>
  <c r="D39" i="26"/>
  <c r="D38" i="26"/>
  <c r="D37" i="26"/>
  <c r="D33" i="26"/>
  <c r="D29" i="26"/>
  <c r="D20" i="26"/>
  <c r="D26" i="26"/>
  <c r="D21" i="26"/>
  <c r="D19" i="26"/>
  <c r="D18" i="26"/>
  <c r="D15" i="26"/>
  <c r="D11" i="26"/>
  <c r="D9" i="26"/>
  <c r="D8" i="26"/>
  <c r="D7" i="26"/>
  <c r="D3" i="26"/>
  <c r="D4" i="26"/>
  <c r="D5" i="26"/>
  <c r="D6" i="26"/>
  <c r="E150" i="25"/>
  <c r="E154" i="24"/>
  <c r="E156" i="23"/>
  <c r="E162" i="31"/>
  <c r="E124" i="31"/>
  <c r="D101" i="31"/>
  <c r="D52" i="30"/>
  <c r="D42" i="31"/>
  <c r="D43" i="31"/>
  <c r="D45" i="31"/>
  <c r="D32" i="31"/>
  <c r="D31" i="31"/>
  <c r="D26" i="31"/>
  <c r="D25" i="31"/>
  <c r="D22" i="31"/>
  <c r="D19" i="31"/>
  <c r="D18" i="31"/>
  <c r="D17" i="31"/>
  <c r="D11" i="31"/>
  <c r="D9" i="31"/>
  <c r="D8" i="31"/>
  <c r="D7" i="31"/>
  <c r="D6" i="31"/>
  <c r="D4" i="31"/>
  <c r="D52" i="31"/>
  <c r="D53" i="31"/>
  <c r="D55" i="31"/>
  <c r="D64" i="31"/>
  <c r="D74" i="31"/>
  <c r="D76" i="31"/>
  <c r="D81" i="31"/>
  <c r="D82" i="31"/>
  <c r="D84" i="31"/>
  <c r="D86" i="31"/>
  <c r="D90" i="31"/>
  <c r="D109" i="31"/>
  <c r="D118" i="31"/>
  <c r="D122" i="31"/>
  <c r="D126" i="31"/>
  <c r="D129" i="31"/>
  <c r="D131" i="31"/>
  <c r="D134" i="31"/>
  <c r="D135" i="31"/>
  <c r="D139" i="31"/>
  <c r="D140" i="31"/>
  <c r="D143" i="31"/>
  <c r="D147" i="31"/>
  <c r="D150" i="31"/>
  <c r="D156" i="31"/>
  <c r="D93" i="30"/>
  <c r="D25" i="29"/>
  <c r="D145" i="30"/>
  <c r="D139" i="30"/>
  <c r="D138" i="30"/>
  <c r="D136" i="30"/>
  <c r="D134" i="30"/>
  <c r="D131" i="30"/>
  <c r="D130" i="30"/>
  <c r="D129" i="30"/>
  <c r="D128" i="30"/>
  <c r="D126" i="30"/>
  <c r="D124" i="30"/>
  <c r="D122" i="30"/>
  <c r="D121" i="30"/>
  <c r="D119" i="30"/>
  <c r="D117" i="30"/>
  <c r="D115" i="30"/>
  <c r="D114" i="30"/>
  <c r="D113" i="30"/>
  <c r="D112" i="30"/>
  <c r="D108" i="30"/>
  <c r="D100" i="30"/>
  <c r="D98" i="30"/>
  <c r="D81" i="30"/>
  <c r="D77" i="30"/>
  <c r="D75" i="30"/>
  <c r="D73" i="30"/>
  <c r="D72" i="30"/>
  <c r="D68" i="30"/>
  <c r="D66" i="30"/>
  <c r="D65" i="30"/>
  <c r="D50" i="30"/>
  <c r="D49" i="30"/>
  <c r="D47" i="30"/>
  <c r="D46" i="30"/>
  <c r="D44" i="30"/>
  <c r="D43" i="30"/>
  <c r="D40" i="30"/>
  <c r="D39" i="30"/>
  <c r="D36" i="30"/>
  <c r="D34" i="30"/>
  <c r="D31" i="30"/>
  <c r="D24" i="30"/>
  <c r="D21" i="30"/>
  <c r="D19" i="30"/>
  <c r="D18" i="30"/>
  <c r="D17" i="30"/>
  <c r="D16" i="30"/>
  <c r="D14" i="30"/>
  <c r="D11" i="30"/>
  <c r="D9" i="30"/>
  <c r="D5" i="30"/>
  <c r="D4" i="30"/>
  <c r="D3" i="30"/>
  <c r="D2" i="30"/>
  <c r="D146" i="29"/>
  <c r="D140" i="29"/>
  <c r="E140" i="29" s="1"/>
  <c r="D139" i="29"/>
  <c r="E139" i="29" s="1"/>
  <c r="D137" i="29"/>
  <c r="E137" i="29" s="1"/>
  <c r="D135" i="29"/>
  <c r="E135" i="29" s="1"/>
  <c r="D133" i="29"/>
  <c r="E133" i="29" s="1"/>
  <c r="D132" i="29"/>
  <c r="E132" i="29" s="1"/>
  <c r="D131" i="29"/>
  <c r="D130" i="29"/>
  <c r="D129" i="29"/>
  <c r="D127" i="29"/>
  <c r="D125" i="29"/>
  <c r="D123" i="29"/>
  <c r="D122" i="29"/>
  <c r="E122" i="29" s="1"/>
  <c r="D120" i="29"/>
  <c r="E119" i="29"/>
  <c r="D118" i="29"/>
  <c r="E118" i="29" s="1"/>
  <c r="E117" i="29"/>
  <c r="D116" i="29"/>
  <c r="E116" i="29" s="1"/>
  <c r="D115" i="29"/>
  <c r="E115" i="29" s="1"/>
  <c r="D114" i="29"/>
  <c r="E114" i="29" s="1"/>
  <c r="D113" i="29"/>
  <c r="E113" i="29" s="1"/>
  <c r="D42" i="29"/>
  <c r="E131" i="29"/>
  <c r="E125" i="29"/>
  <c r="E123" i="29"/>
  <c r="E121" i="29"/>
  <c r="D102" i="29"/>
  <c r="E100" i="29"/>
  <c r="E98" i="29"/>
  <c r="D97" i="29"/>
  <c r="E97" i="29" s="1"/>
  <c r="D96" i="29"/>
  <c r="E96" i="29" s="1"/>
  <c r="D95" i="29"/>
  <c r="D94" i="29"/>
  <c r="D93" i="29"/>
  <c r="E86" i="29"/>
  <c r="E81" i="29"/>
  <c r="D78" i="29"/>
  <c r="E78" i="29" s="1"/>
  <c r="D77" i="29"/>
  <c r="E77" i="29" s="1"/>
  <c r="D76" i="29"/>
  <c r="D75" i="29"/>
  <c r="D74" i="29"/>
  <c r="D73" i="29"/>
  <c r="D72" i="29"/>
  <c r="E72" i="29" s="1"/>
  <c r="E71" i="29"/>
  <c r="E69" i="29"/>
  <c r="E68" i="29"/>
  <c r="D67" i="29"/>
  <c r="D62" i="29"/>
  <c r="D61" i="29"/>
  <c r="D60" i="29"/>
  <c r="D58" i="29"/>
  <c r="E58" i="29" s="1"/>
  <c r="D57" i="29"/>
  <c r="E57" i="29" s="1"/>
  <c r="D56" i="29"/>
  <c r="E56" i="29" s="1"/>
  <c r="D54" i="29"/>
  <c r="E54" i="29" s="1"/>
  <c r="D53" i="29"/>
  <c r="D51" i="29"/>
  <c r="D49" i="29"/>
  <c r="E48" i="29"/>
  <c r="D47" i="29"/>
  <c r="E47" i="29" s="1"/>
  <c r="E43" i="29"/>
  <c r="E42" i="29"/>
  <c r="E34" i="29"/>
  <c r="E33" i="29"/>
  <c r="D31" i="29"/>
  <c r="E31" i="29" s="1"/>
  <c r="E30" i="29"/>
  <c r="D27" i="29"/>
  <c r="D23" i="29"/>
  <c r="E23" i="29" s="1"/>
  <c r="D20" i="29"/>
  <c r="E20" i="29" s="1"/>
  <c r="D19" i="29"/>
  <c r="E19" i="29" s="1"/>
  <c r="E18" i="29"/>
  <c r="D12" i="29"/>
  <c r="D10" i="29"/>
  <c r="D9" i="29"/>
  <c r="D8" i="29"/>
  <c r="E8" i="29" s="1"/>
  <c r="D7" i="29"/>
  <c r="E7" i="29" s="1"/>
  <c r="D6" i="29"/>
  <c r="E6" i="29" s="1"/>
  <c r="D5" i="29"/>
  <c r="E5" i="29" s="1"/>
  <c r="D4" i="29"/>
  <c r="D3" i="29"/>
  <c r="E146" i="29"/>
  <c r="E145" i="29"/>
  <c r="E130" i="29"/>
  <c r="E129" i="29"/>
  <c r="E127" i="29"/>
  <c r="E126" i="29"/>
  <c r="E120" i="29"/>
  <c r="E110" i="29"/>
  <c r="E103" i="29"/>
  <c r="E102" i="29"/>
  <c r="E101" i="29"/>
  <c r="E95" i="29"/>
  <c r="E94" i="29"/>
  <c r="E93" i="29"/>
  <c r="E91" i="29"/>
  <c r="E76" i="29"/>
  <c r="E75" i="29"/>
  <c r="E74" i="29"/>
  <c r="E73" i="29"/>
  <c r="E67" i="29"/>
  <c r="E62" i="29"/>
  <c r="E61" i="29"/>
  <c r="E60" i="29"/>
  <c r="E53" i="29"/>
  <c r="E51" i="29"/>
  <c r="E50" i="29"/>
  <c r="E49" i="29"/>
  <c r="E41" i="29"/>
  <c r="E39" i="29"/>
  <c r="E37" i="29"/>
  <c r="E36" i="29"/>
  <c r="E28" i="29"/>
  <c r="E27" i="29"/>
  <c r="E26" i="29"/>
  <c r="E25" i="29"/>
  <c r="E15" i="29"/>
  <c r="E12" i="29"/>
  <c r="E10" i="29"/>
  <c r="E9" i="29"/>
  <c r="E4" i="29"/>
  <c r="E3" i="29"/>
  <c r="E153" i="29" l="1"/>
  <c r="E111" i="29"/>
  <c r="E154" i="29" s="1"/>
  <c r="E145" i="30" l="1"/>
  <c r="E144" i="30"/>
  <c r="E139" i="30"/>
  <c r="E138" i="30"/>
  <c r="E136" i="30"/>
  <c r="E134" i="30"/>
  <c r="E131" i="30"/>
  <c r="E130" i="30"/>
  <c r="E129" i="30"/>
  <c r="E128" i="30"/>
  <c r="E126" i="30"/>
  <c r="E125" i="30"/>
  <c r="E124" i="30"/>
  <c r="E122" i="30"/>
  <c r="E121" i="30"/>
  <c r="E120" i="30"/>
  <c r="E119" i="30"/>
  <c r="E117" i="30"/>
  <c r="E116" i="30"/>
  <c r="E115" i="30"/>
  <c r="E114" i="30"/>
  <c r="E113" i="30"/>
  <c r="E112" i="30"/>
  <c r="E108" i="30"/>
  <c r="E101" i="30"/>
  <c r="E100" i="30"/>
  <c r="E99" i="30"/>
  <c r="E98" i="30"/>
  <c r="E96" i="30"/>
  <c r="E95" i="30"/>
  <c r="E94" i="30"/>
  <c r="E93" i="30"/>
  <c r="E92" i="30"/>
  <c r="E91" i="30"/>
  <c r="E89" i="30"/>
  <c r="E84" i="30"/>
  <c r="E81" i="30"/>
  <c r="E79" i="30"/>
  <c r="E78" i="30"/>
  <c r="E77" i="30"/>
  <c r="E75" i="30"/>
  <c r="E74" i="30"/>
  <c r="E73" i="30"/>
  <c r="E72" i="30"/>
  <c r="E71" i="30"/>
  <c r="E70" i="30"/>
  <c r="E69" i="30"/>
  <c r="E68" i="30"/>
  <c r="E66" i="30"/>
  <c r="E65" i="30"/>
  <c r="E64" i="30"/>
  <c r="E58" i="30"/>
  <c r="E56" i="30"/>
  <c r="E54" i="30"/>
  <c r="E53" i="30"/>
  <c r="E52" i="30"/>
  <c r="E50" i="30"/>
  <c r="E49" i="30"/>
  <c r="E47" i="30"/>
  <c r="E46" i="30"/>
  <c r="E45" i="30"/>
  <c r="E44" i="30"/>
  <c r="E43" i="30"/>
  <c r="E40" i="30"/>
  <c r="E39" i="30"/>
  <c r="E38" i="30"/>
  <c r="E36" i="30"/>
  <c r="E34" i="30"/>
  <c r="E33" i="30"/>
  <c r="E31" i="30"/>
  <c r="E30" i="30"/>
  <c r="E28" i="30"/>
  <c r="E25" i="30"/>
  <c r="E24" i="30"/>
  <c r="E23" i="30"/>
  <c r="E21" i="30"/>
  <c r="E19" i="30"/>
  <c r="E18" i="30"/>
  <c r="E17" i="30"/>
  <c r="E16" i="30"/>
  <c r="E15" i="30"/>
  <c r="E14" i="30"/>
  <c r="E11" i="30"/>
  <c r="E9" i="30"/>
  <c r="E8" i="30"/>
  <c r="E7" i="30"/>
  <c r="E6" i="30"/>
  <c r="E5" i="30"/>
  <c r="E4" i="30"/>
  <c r="E3" i="30"/>
  <c r="E2" i="30"/>
  <c r="E152" i="30" l="1"/>
  <c r="E110" i="30"/>
  <c r="E153" i="30" s="1"/>
  <c r="E156" i="31"/>
  <c r="E155" i="31"/>
  <c r="E150" i="31"/>
  <c r="E147" i="31"/>
  <c r="E143" i="31"/>
  <c r="E142" i="31"/>
  <c r="E141" i="31"/>
  <c r="E140" i="31"/>
  <c r="E139" i="31"/>
  <c r="E138" i="31"/>
  <c r="E135" i="31"/>
  <c r="E134" i="31"/>
  <c r="E132" i="31"/>
  <c r="E131" i="31"/>
  <c r="E130" i="31"/>
  <c r="E129" i="31"/>
  <c r="E128" i="31"/>
  <c r="E126" i="31"/>
  <c r="E125" i="31"/>
  <c r="E122" i="31"/>
  <c r="E161" i="31" s="1"/>
  <c r="E118" i="31"/>
  <c r="E109" i="31"/>
  <c r="E108" i="31"/>
  <c r="E107" i="31"/>
  <c r="E105" i="31"/>
  <c r="E104" i="31"/>
  <c r="E103" i="31"/>
  <c r="E101" i="31"/>
  <c r="E98" i="31"/>
  <c r="E90" i="31"/>
  <c r="E88" i="31"/>
  <c r="E86" i="31"/>
  <c r="E84" i="31"/>
  <c r="E82" i="31"/>
  <c r="E81" i="31"/>
  <c r="E80" i="31"/>
  <c r="E79" i="31"/>
  <c r="E77" i="31"/>
  <c r="E76" i="31"/>
  <c r="E74" i="31"/>
  <c r="E72" i="31"/>
  <c r="E65" i="31"/>
  <c r="E64" i="31"/>
  <c r="E63" i="31"/>
  <c r="E61" i="31"/>
  <c r="E60" i="31"/>
  <c r="E58" i="31"/>
  <c r="E56" i="31"/>
  <c r="E55" i="31"/>
  <c r="E53" i="31"/>
  <c r="E52" i="31"/>
  <c r="E51" i="31"/>
  <c r="E49" i="31"/>
  <c r="E48" i="31"/>
  <c r="E45" i="31"/>
  <c r="E43" i="31"/>
  <c r="E42" i="31"/>
  <c r="E41" i="31"/>
  <c r="E38" i="31"/>
  <c r="E36" i="31"/>
  <c r="E32" i="31"/>
  <c r="E31" i="31"/>
  <c r="E28" i="31"/>
  <c r="E26" i="31"/>
  <c r="E25" i="31"/>
  <c r="E22" i="31"/>
  <c r="E19" i="31"/>
  <c r="E18" i="31"/>
  <c r="E17" i="31"/>
  <c r="E11" i="31"/>
  <c r="E9" i="31"/>
  <c r="E8" i="31"/>
  <c r="E7" i="31"/>
  <c r="E6" i="31"/>
  <c r="E4" i="31"/>
  <c r="E3" i="31"/>
  <c r="E119" i="31" l="1"/>
  <c r="E109" i="28"/>
  <c r="E108" i="28"/>
  <c r="E103" i="28"/>
  <c r="E101" i="28"/>
  <c r="E100" i="28"/>
  <c r="E97" i="28"/>
  <c r="E96" i="28"/>
  <c r="E95" i="28"/>
  <c r="E94" i="28"/>
  <c r="E88" i="28"/>
  <c r="E87" i="28"/>
  <c r="E84" i="28"/>
  <c r="E82" i="28"/>
  <c r="E78" i="28"/>
  <c r="E77" i="28"/>
  <c r="E76" i="28"/>
  <c r="E75" i="28"/>
  <c r="E74" i="28"/>
  <c r="E73" i="28"/>
  <c r="E72" i="28"/>
  <c r="E67" i="28"/>
  <c r="E62" i="28"/>
  <c r="E61" i="28"/>
  <c r="E60" i="28"/>
  <c r="E58" i="28"/>
  <c r="E57" i="28"/>
  <c r="E56" i="28"/>
  <c r="E54" i="28"/>
  <c r="E53" i="28"/>
  <c r="E51" i="28"/>
  <c r="E49" i="28"/>
  <c r="E48" i="28"/>
  <c r="E46" i="28"/>
  <c r="E45" i="28"/>
  <c r="E43" i="28"/>
  <c r="E41" i="28"/>
  <c r="E40" i="28"/>
  <c r="E39" i="28"/>
  <c r="E37" i="28"/>
  <c r="E35" i="28"/>
  <c r="E34" i="28"/>
  <c r="E31" i="28"/>
  <c r="E30" i="28"/>
  <c r="E29" i="28"/>
  <c r="E28" i="28"/>
  <c r="E26" i="28"/>
  <c r="E25" i="28"/>
  <c r="E22" i="28"/>
  <c r="E19" i="28"/>
  <c r="E18" i="28"/>
  <c r="E11" i="28"/>
  <c r="E9" i="28"/>
  <c r="E8" i="28"/>
  <c r="E7" i="28"/>
  <c r="E6" i="28"/>
  <c r="E5" i="28"/>
  <c r="E4" i="28"/>
  <c r="E3" i="28"/>
  <c r="E2" i="28"/>
  <c r="C31" i="28"/>
  <c r="E128" i="26"/>
  <c r="E116" i="26"/>
  <c r="E112" i="26"/>
  <c r="E106" i="26"/>
  <c r="E104" i="26"/>
  <c r="E100" i="26"/>
  <c r="E93" i="26"/>
  <c r="E90" i="26"/>
  <c r="E88" i="26"/>
  <c r="E81" i="26"/>
  <c r="E79" i="26"/>
  <c r="E75" i="26"/>
  <c r="E73" i="26"/>
  <c r="E68" i="26"/>
  <c r="E65" i="26"/>
  <c r="E63" i="26"/>
  <c r="E58" i="26"/>
  <c r="E51" i="26"/>
  <c r="E46" i="26"/>
  <c r="E44" i="26"/>
  <c r="E41" i="26"/>
  <c r="E39" i="26"/>
  <c r="E33" i="26"/>
  <c r="E31" i="26"/>
  <c r="E28" i="26"/>
  <c r="E26" i="26"/>
  <c r="E20" i="26"/>
  <c r="E19" i="26"/>
  <c r="E18" i="26"/>
  <c r="E17" i="26"/>
  <c r="E15" i="26"/>
  <c r="E8" i="26"/>
  <c r="E7" i="26"/>
  <c r="E5" i="26"/>
  <c r="E4" i="26"/>
  <c r="E2" i="26"/>
  <c r="E129" i="26"/>
  <c r="E127" i="26"/>
  <c r="E126" i="26"/>
  <c r="E123" i="26"/>
  <c r="E120" i="26"/>
  <c r="E115" i="26"/>
  <c r="E113" i="26"/>
  <c r="E111" i="26"/>
  <c r="E110" i="26"/>
  <c r="E105" i="26"/>
  <c r="E102" i="26"/>
  <c r="E101" i="26"/>
  <c r="E98" i="26"/>
  <c r="E97" i="26"/>
  <c r="E89" i="26"/>
  <c r="E87" i="26"/>
  <c r="E84" i="26"/>
  <c r="E83" i="26"/>
  <c r="E78" i="26"/>
  <c r="E76" i="26"/>
  <c r="E71" i="26"/>
  <c r="E70" i="26"/>
  <c r="E69" i="26"/>
  <c r="E66" i="26"/>
  <c r="E62" i="26"/>
  <c r="E61" i="26"/>
  <c r="E60" i="26"/>
  <c r="E59" i="26"/>
  <c r="E56" i="26"/>
  <c r="E52" i="26"/>
  <c r="E50" i="26"/>
  <c r="E48" i="26"/>
  <c r="E47" i="26"/>
  <c r="E43" i="26"/>
  <c r="E38" i="26"/>
  <c r="E37" i="26"/>
  <c r="E34" i="26"/>
  <c r="E29" i="26"/>
  <c r="E25" i="26"/>
  <c r="E23" i="26"/>
  <c r="E21" i="26"/>
  <c r="E14" i="26"/>
  <c r="E11" i="26"/>
  <c r="E9" i="26"/>
  <c r="E6" i="26"/>
  <c r="E3" i="26"/>
  <c r="E134" i="26" l="1"/>
  <c r="E95" i="26"/>
  <c r="E149" i="27"/>
  <c r="E149" i="28"/>
  <c r="E135" i="26" l="1"/>
  <c r="E149" i="25"/>
  <c r="E4" i="25"/>
  <c r="E5" i="25"/>
  <c r="E6" i="25"/>
  <c r="E7" i="25"/>
  <c r="E8" i="25"/>
  <c r="E9" i="25"/>
  <c r="E108" i="25" s="1"/>
  <c r="E10" i="25"/>
  <c r="E11" i="25"/>
  <c r="E12" i="25"/>
  <c r="E13" i="25"/>
  <c r="E14" i="25"/>
  <c r="E15" i="25"/>
  <c r="E16" i="25"/>
  <c r="E17" i="25"/>
  <c r="E18" i="25"/>
  <c r="E19" i="25"/>
  <c r="E20" i="25"/>
  <c r="E21" i="25"/>
  <c r="E22" i="25"/>
  <c r="E23" i="25"/>
  <c r="E24" i="25"/>
  <c r="E25" i="25"/>
  <c r="E26" i="25"/>
  <c r="E27" i="25"/>
  <c r="E28" i="25"/>
  <c r="E29" i="25"/>
  <c r="E30" i="25"/>
  <c r="E31" i="25"/>
  <c r="E32" i="25"/>
  <c r="E33" i="25"/>
  <c r="E34" i="25"/>
  <c r="E35" i="25"/>
  <c r="E36" i="25"/>
  <c r="E37" i="25"/>
  <c r="E38" i="25"/>
  <c r="E39" i="25"/>
  <c r="E40" i="25"/>
  <c r="E41" i="25"/>
  <c r="E42" i="25"/>
  <c r="E43" i="25"/>
  <c r="E44" i="25"/>
  <c r="E45" i="25"/>
  <c r="E46" i="25"/>
  <c r="E47" i="25"/>
  <c r="E48" i="25"/>
  <c r="E49" i="25"/>
  <c r="E50" i="25"/>
  <c r="E51" i="25"/>
  <c r="E52" i="25"/>
  <c r="E53" i="25"/>
  <c r="E54" i="25"/>
  <c r="E55" i="25"/>
  <c r="E56" i="25"/>
  <c r="E57" i="25"/>
  <c r="E58" i="25"/>
  <c r="E59" i="25"/>
  <c r="E60" i="25"/>
  <c r="E61" i="25"/>
  <c r="E62" i="25"/>
  <c r="E63" i="25"/>
  <c r="E64" i="25"/>
  <c r="E65" i="25"/>
  <c r="E66" i="25"/>
  <c r="E67" i="25"/>
  <c r="E68" i="25"/>
  <c r="E69" i="25"/>
  <c r="E70" i="25"/>
  <c r="E71" i="25"/>
  <c r="E72" i="25"/>
  <c r="E73" i="25"/>
  <c r="E74" i="25"/>
  <c r="E75" i="25"/>
  <c r="E76" i="25"/>
  <c r="E77" i="25"/>
  <c r="E78" i="25"/>
  <c r="E79" i="25"/>
  <c r="E80" i="25"/>
  <c r="E81" i="25"/>
  <c r="E82" i="25"/>
  <c r="E83" i="25"/>
  <c r="E84" i="25"/>
  <c r="E85" i="25"/>
  <c r="E86" i="25"/>
  <c r="E87" i="25"/>
  <c r="E88" i="25"/>
  <c r="E89" i="25"/>
  <c r="E90" i="25"/>
  <c r="E91" i="25"/>
  <c r="E92" i="25"/>
  <c r="E93" i="25"/>
  <c r="E94" i="25"/>
  <c r="E95" i="25"/>
  <c r="E96" i="25"/>
  <c r="E97" i="25"/>
  <c r="E98" i="25"/>
  <c r="E99" i="25"/>
  <c r="E100" i="25"/>
  <c r="E101" i="25"/>
  <c r="E102" i="25"/>
  <c r="E103" i="25"/>
  <c r="E104" i="25"/>
  <c r="E105" i="25"/>
  <c r="E106" i="25"/>
  <c r="E107" i="25"/>
  <c r="E111" i="25"/>
  <c r="E112" i="25"/>
  <c r="E113" i="25"/>
  <c r="E114" i="25"/>
  <c r="E115" i="25"/>
  <c r="E116" i="25"/>
  <c r="E117" i="25"/>
  <c r="E118" i="25"/>
  <c r="E119" i="25"/>
  <c r="E120" i="25"/>
  <c r="E121" i="25"/>
  <c r="E122" i="25"/>
  <c r="E123" i="25"/>
  <c r="E124" i="25"/>
  <c r="E125" i="25"/>
  <c r="E126" i="25"/>
  <c r="E127" i="25"/>
  <c r="E128" i="25"/>
  <c r="E129" i="25"/>
  <c r="E130" i="25"/>
  <c r="E131" i="25"/>
  <c r="E132" i="25"/>
  <c r="E133" i="25"/>
  <c r="E134" i="25"/>
  <c r="E135" i="25"/>
  <c r="E136" i="25"/>
  <c r="E137" i="25"/>
  <c r="E138" i="25"/>
  <c r="E139" i="25"/>
  <c r="E140" i="25"/>
  <c r="E141" i="25"/>
  <c r="E142" i="25"/>
  <c r="E143" i="25"/>
  <c r="E144" i="25"/>
  <c r="E145" i="25"/>
  <c r="E146" i="25"/>
  <c r="E147" i="25"/>
  <c r="E148" i="25"/>
  <c r="E3" i="25"/>
  <c r="E4" i="24" l="1"/>
  <c r="E113" i="24" s="1"/>
  <c r="E5" i="24"/>
  <c r="E6" i="24"/>
  <c r="E7" i="24"/>
  <c r="E8" i="24"/>
  <c r="E9" i="24"/>
  <c r="E10" i="24"/>
  <c r="E11" i="24"/>
  <c r="E12" i="24"/>
  <c r="E13" i="24"/>
  <c r="E14" i="24"/>
  <c r="E15" i="24"/>
  <c r="E16" i="24"/>
  <c r="E17" i="24"/>
  <c r="E18" i="24"/>
  <c r="E19" i="24"/>
  <c r="E20" i="24"/>
  <c r="E21" i="24"/>
  <c r="E22" i="24"/>
  <c r="E23" i="24"/>
  <c r="E24" i="24"/>
  <c r="E25" i="24"/>
  <c r="E26" i="24"/>
  <c r="E27" i="24"/>
  <c r="E28" i="24"/>
  <c r="E29" i="24"/>
  <c r="E30" i="24"/>
  <c r="E31" i="24"/>
  <c r="E32" i="24"/>
  <c r="E33" i="24"/>
  <c r="E34" i="24"/>
  <c r="E35" i="24"/>
  <c r="E36" i="24"/>
  <c r="E37" i="24"/>
  <c r="E38" i="24"/>
  <c r="E39" i="24"/>
  <c r="E40" i="24"/>
  <c r="E41" i="24"/>
  <c r="E42" i="24"/>
  <c r="E43" i="24"/>
  <c r="E44" i="24"/>
  <c r="E45" i="24"/>
  <c r="E46" i="24"/>
  <c r="E47" i="24"/>
  <c r="E48" i="24"/>
  <c r="E49" i="24"/>
  <c r="E50" i="24"/>
  <c r="E51" i="24"/>
  <c r="E52" i="24"/>
  <c r="E53" i="24"/>
  <c r="E54" i="24"/>
  <c r="E55" i="24"/>
  <c r="E56" i="24"/>
  <c r="E57" i="24"/>
  <c r="E58" i="24"/>
  <c r="E59" i="24"/>
  <c r="E60" i="24"/>
  <c r="E61" i="24"/>
  <c r="E62" i="24"/>
  <c r="E63" i="24"/>
  <c r="E64" i="24"/>
  <c r="E65" i="24"/>
  <c r="E66" i="24"/>
  <c r="E67" i="24"/>
  <c r="E68" i="24"/>
  <c r="E69" i="24"/>
  <c r="E70" i="24"/>
  <c r="E71" i="24"/>
  <c r="E72" i="24"/>
  <c r="E73" i="24"/>
  <c r="E74" i="24"/>
  <c r="E75" i="24"/>
  <c r="E76" i="24"/>
  <c r="E77" i="24"/>
  <c r="E78" i="24"/>
  <c r="E79" i="24"/>
  <c r="E80" i="24"/>
  <c r="E81" i="24"/>
  <c r="E82" i="24"/>
  <c r="E83" i="24"/>
  <c r="E84" i="24"/>
  <c r="E85" i="24"/>
  <c r="E86" i="24"/>
  <c r="E87" i="24"/>
  <c r="E88" i="24"/>
  <c r="E89" i="24"/>
  <c r="E90" i="24"/>
  <c r="E91" i="24"/>
  <c r="E92" i="24"/>
  <c r="E93" i="24"/>
  <c r="E94" i="24"/>
  <c r="E95" i="24"/>
  <c r="E96" i="24"/>
  <c r="E97" i="24"/>
  <c r="E98" i="24"/>
  <c r="E99" i="24"/>
  <c r="E100" i="24"/>
  <c r="E101" i="24"/>
  <c r="E102" i="24"/>
  <c r="E103" i="24"/>
  <c r="E104" i="24"/>
  <c r="E105" i="24"/>
  <c r="E106" i="24"/>
  <c r="E107" i="24"/>
  <c r="E108" i="24"/>
  <c r="E109" i="24"/>
  <c r="E110" i="24"/>
  <c r="E111" i="24"/>
  <c r="E112" i="24"/>
  <c r="E116" i="24"/>
  <c r="E153" i="24" s="1"/>
  <c r="E117" i="24"/>
  <c r="E118" i="24"/>
  <c r="E119" i="24"/>
  <c r="E120" i="24"/>
  <c r="E121" i="24"/>
  <c r="E122" i="24"/>
  <c r="E123" i="24"/>
  <c r="E124" i="24"/>
  <c r="E125" i="24"/>
  <c r="E126" i="24"/>
  <c r="E127" i="24"/>
  <c r="E128" i="24"/>
  <c r="E129" i="24"/>
  <c r="E130" i="24"/>
  <c r="E131" i="24"/>
  <c r="E132" i="24"/>
  <c r="E133" i="24"/>
  <c r="E134" i="24"/>
  <c r="E135" i="24"/>
  <c r="E136" i="24"/>
  <c r="E137" i="24"/>
  <c r="E138" i="24"/>
  <c r="E139" i="24"/>
  <c r="E140" i="24"/>
  <c r="E141" i="24"/>
  <c r="E142" i="24"/>
  <c r="E143" i="24"/>
  <c r="E144" i="24"/>
  <c r="E145" i="24"/>
  <c r="E146" i="24"/>
  <c r="E147" i="24"/>
  <c r="E148" i="24"/>
  <c r="E149" i="24"/>
  <c r="E150" i="24"/>
  <c r="E151" i="24"/>
  <c r="E152" i="24"/>
  <c r="E3" i="24"/>
  <c r="E4" i="23" l="1"/>
  <c r="E5" i="23"/>
  <c r="E6" i="23"/>
  <c r="E7" i="23"/>
  <c r="E8" i="23"/>
  <c r="E9" i="23"/>
  <c r="E10" i="23"/>
  <c r="E11" i="23"/>
  <c r="E12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26" i="23"/>
  <c r="E27" i="23"/>
  <c r="E28" i="23"/>
  <c r="E29" i="23"/>
  <c r="E30" i="23"/>
  <c r="E31" i="23"/>
  <c r="E32" i="23"/>
  <c r="E33" i="23"/>
  <c r="E34" i="23"/>
  <c r="E35" i="23"/>
  <c r="E36" i="23"/>
  <c r="E37" i="23"/>
  <c r="E38" i="23"/>
  <c r="E39" i="23"/>
  <c r="E40" i="23"/>
  <c r="E41" i="23"/>
  <c r="E42" i="23"/>
  <c r="E43" i="23"/>
  <c r="E44" i="23"/>
  <c r="E45" i="23"/>
  <c r="E46" i="23"/>
  <c r="E47" i="23"/>
  <c r="E48" i="23"/>
  <c r="E49" i="23"/>
  <c r="E50" i="23"/>
  <c r="E51" i="23"/>
  <c r="E52" i="23"/>
  <c r="E53" i="23"/>
  <c r="E54" i="23"/>
  <c r="E55" i="23"/>
  <c r="E56" i="23"/>
  <c r="E57" i="23"/>
  <c r="E58" i="23"/>
  <c r="E59" i="23"/>
  <c r="E60" i="23"/>
  <c r="E61" i="23"/>
  <c r="E62" i="23"/>
  <c r="E63" i="23"/>
  <c r="E64" i="23"/>
  <c r="E65" i="23"/>
  <c r="E66" i="23"/>
  <c r="E67" i="23"/>
  <c r="E68" i="23"/>
  <c r="E69" i="23"/>
  <c r="E70" i="23"/>
  <c r="E71" i="23"/>
  <c r="E72" i="23"/>
  <c r="E73" i="23"/>
  <c r="E74" i="23"/>
  <c r="E75" i="23"/>
  <c r="E76" i="23"/>
  <c r="E77" i="23"/>
  <c r="E78" i="23"/>
  <c r="E79" i="23"/>
  <c r="E80" i="23"/>
  <c r="E81" i="23"/>
  <c r="E82" i="23"/>
  <c r="E83" i="23"/>
  <c r="E84" i="23"/>
  <c r="E85" i="23"/>
  <c r="E86" i="23"/>
  <c r="E87" i="23"/>
  <c r="E88" i="23"/>
  <c r="E89" i="23"/>
  <c r="E90" i="23"/>
  <c r="E91" i="23"/>
  <c r="E92" i="23"/>
  <c r="E93" i="23"/>
  <c r="E94" i="23"/>
  <c r="E95" i="23"/>
  <c r="E96" i="23"/>
  <c r="E97" i="23"/>
  <c r="E98" i="23"/>
  <c r="E99" i="23"/>
  <c r="E100" i="23"/>
  <c r="E101" i="23"/>
  <c r="E102" i="23"/>
  <c r="E103" i="23"/>
  <c r="E104" i="23"/>
  <c r="E105" i="23"/>
  <c r="E106" i="23"/>
  <c r="E107" i="23"/>
  <c r="E108" i="23"/>
  <c r="E109" i="23"/>
  <c r="E110" i="23"/>
  <c r="E111" i="23"/>
  <c r="E112" i="23"/>
  <c r="E116" i="23"/>
  <c r="E155" i="23" s="1"/>
  <c r="E117" i="23"/>
  <c r="E118" i="23"/>
  <c r="E119" i="23"/>
  <c r="E120" i="23"/>
  <c r="E121" i="23"/>
  <c r="E122" i="23"/>
  <c r="E123" i="23"/>
  <c r="E124" i="23"/>
  <c r="E125" i="23"/>
  <c r="E126" i="23"/>
  <c r="E127" i="23"/>
  <c r="E128" i="23"/>
  <c r="E129" i="23"/>
  <c r="E130" i="23"/>
  <c r="E131" i="23"/>
  <c r="E132" i="23"/>
  <c r="E133" i="23"/>
  <c r="E134" i="23"/>
  <c r="E135" i="23"/>
  <c r="E136" i="23"/>
  <c r="E137" i="23"/>
  <c r="E138" i="23"/>
  <c r="E139" i="23"/>
  <c r="E140" i="23"/>
  <c r="E141" i="23"/>
  <c r="E142" i="23"/>
  <c r="E143" i="23"/>
  <c r="E144" i="23"/>
  <c r="E145" i="23"/>
  <c r="E146" i="23"/>
  <c r="E147" i="23"/>
  <c r="E148" i="23"/>
  <c r="E149" i="23"/>
  <c r="E150" i="23"/>
  <c r="E151" i="23"/>
  <c r="E152" i="23"/>
  <c r="E153" i="23"/>
  <c r="E154" i="23"/>
  <c r="E3" i="23"/>
  <c r="E113" i="23" l="1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3" i="22"/>
  <c r="E34" i="22"/>
  <c r="E35" i="22"/>
  <c r="E36" i="22"/>
  <c r="E37" i="22"/>
  <c r="E38" i="22"/>
  <c r="E39" i="22"/>
  <c r="E40" i="22"/>
  <c r="E41" i="22"/>
  <c r="E42" i="22"/>
  <c r="E43" i="22"/>
  <c r="E44" i="22"/>
  <c r="E45" i="22"/>
  <c r="E46" i="22"/>
  <c r="E47" i="22"/>
  <c r="E48" i="22"/>
  <c r="E49" i="22"/>
  <c r="E50" i="22"/>
  <c r="E51" i="22"/>
  <c r="E52" i="22"/>
  <c r="E53" i="22"/>
  <c r="E54" i="22"/>
  <c r="E55" i="22"/>
  <c r="E56" i="22"/>
  <c r="E57" i="22"/>
  <c r="E58" i="22"/>
  <c r="E59" i="22"/>
  <c r="E60" i="22"/>
  <c r="E61" i="22"/>
  <c r="E62" i="22"/>
  <c r="E63" i="22"/>
  <c r="E64" i="22"/>
  <c r="E65" i="22"/>
  <c r="E66" i="22"/>
  <c r="E67" i="22"/>
  <c r="E68" i="22"/>
  <c r="E69" i="22"/>
  <c r="E70" i="22"/>
  <c r="E71" i="22"/>
  <c r="E72" i="22"/>
  <c r="E73" i="22"/>
  <c r="E74" i="22"/>
  <c r="E75" i="22"/>
  <c r="E76" i="22"/>
  <c r="E77" i="22"/>
  <c r="E78" i="22"/>
  <c r="E79" i="22"/>
  <c r="E80" i="22"/>
  <c r="E81" i="22"/>
  <c r="E82" i="22"/>
  <c r="E83" i="22"/>
  <c r="E84" i="22"/>
  <c r="E85" i="22"/>
  <c r="E86" i="22"/>
  <c r="E87" i="22"/>
  <c r="E88" i="22"/>
  <c r="E89" i="22"/>
  <c r="E90" i="22"/>
  <c r="E91" i="22"/>
  <c r="E92" i="22"/>
  <c r="E93" i="22"/>
  <c r="E94" i="22"/>
  <c r="E95" i="22"/>
  <c r="E96" i="22"/>
  <c r="E97" i="22"/>
  <c r="E98" i="22"/>
  <c r="E99" i="22"/>
  <c r="E100" i="22"/>
  <c r="E101" i="22"/>
  <c r="E102" i="22"/>
  <c r="E103" i="22"/>
  <c r="E104" i="22"/>
  <c r="E105" i="22"/>
  <c r="E106" i="22"/>
  <c r="E107" i="22"/>
  <c r="E108" i="22"/>
  <c r="E109" i="22"/>
  <c r="E113" i="22"/>
  <c r="E114" i="22"/>
  <c r="E115" i="22"/>
  <c r="E116" i="22"/>
  <c r="E117" i="22"/>
  <c r="E118" i="22"/>
  <c r="E119" i="22"/>
  <c r="E120" i="22"/>
  <c r="E121" i="22"/>
  <c r="E122" i="22"/>
  <c r="E123" i="22"/>
  <c r="E124" i="22"/>
  <c r="E125" i="22"/>
  <c r="E126" i="22"/>
  <c r="E127" i="22"/>
  <c r="E128" i="22"/>
  <c r="E129" i="22"/>
  <c r="E130" i="22"/>
  <c r="E131" i="22"/>
  <c r="E132" i="22"/>
  <c r="E133" i="22"/>
  <c r="E134" i="22"/>
  <c r="E135" i="22"/>
  <c r="E136" i="22"/>
  <c r="E137" i="22"/>
  <c r="E138" i="22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3" i="22"/>
  <c r="E151" i="22" l="1"/>
  <c r="E110" i="22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34" i="21"/>
  <c r="E35" i="21"/>
  <c r="E36" i="21"/>
  <c r="E37" i="21"/>
  <c r="E38" i="21"/>
  <c r="E39" i="21"/>
  <c r="E40" i="21"/>
  <c r="E41" i="21"/>
  <c r="E42" i="21"/>
  <c r="E43" i="21"/>
  <c r="E44" i="21"/>
  <c r="E45" i="21"/>
  <c r="E46" i="21"/>
  <c r="E47" i="21"/>
  <c r="E48" i="21"/>
  <c r="E49" i="21"/>
  <c r="E50" i="21"/>
  <c r="E51" i="21"/>
  <c r="E52" i="21"/>
  <c r="E53" i="21"/>
  <c r="E54" i="21"/>
  <c r="E55" i="21"/>
  <c r="E56" i="21"/>
  <c r="E57" i="21"/>
  <c r="E58" i="21"/>
  <c r="E59" i="21"/>
  <c r="E60" i="21"/>
  <c r="E61" i="21"/>
  <c r="E62" i="21"/>
  <c r="E63" i="21"/>
  <c r="E64" i="21"/>
  <c r="E65" i="21"/>
  <c r="E66" i="21"/>
  <c r="E67" i="21"/>
  <c r="E68" i="21"/>
  <c r="E69" i="21"/>
  <c r="E70" i="21"/>
  <c r="E71" i="21"/>
  <c r="E72" i="21"/>
  <c r="E73" i="21"/>
  <c r="E74" i="21"/>
  <c r="E75" i="21"/>
  <c r="E76" i="21"/>
  <c r="E77" i="21"/>
  <c r="E78" i="21"/>
  <c r="E79" i="21"/>
  <c r="E80" i="21"/>
  <c r="E81" i="21"/>
  <c r="E82" i="21"/>
  <c r="E83" i="21"/>
  <c r="E84" i="21"/>
  <c r="E85" i="21"/>
  <c r="E86" i="21"/>
  <c r="E87" i="21"/>
  <c r="E88" i="21"/>
  <c r="E89" i="21"/>
  <c r="E90" i="21"/>
  <c r="E91" i="21"/>
  <c r="E92" i="21"/>
  <c r="E93" i="21"/>
  <c r="E94" i="21"/>
  <c r="E95" i="21"/>
  <c r="E96" i="21"/>
  <c r="E97" i="21"/>
  <c r="E98" i="21"/>
  <c r="E99" i="21"/>
  <c r="E100" i="21"/>
  <c r="E101" i="21"/>
  <c r="E102" i="21"/>
  <c r="E103" i="21"/>
  <c r="E104" i="21"/>
  <c r="E105" i="21"/>
  <c r="E106" i="21"/>
  <c r="E107" i="21"/>
  <c r="E108" i="21"/>
  <c r="E109" i="21"/>
  <c r="E110" i="21"/>
  <c r="E111" i="21"/>
  <c r="E112" i="21"/>
  <c r="E113" i="21"/>
  <c r="E114" i="21"/>
  <c r="E115" i="21"/>
  <c r="E116" i="21"/>
  <c r="E117" i="21"/>
  <c r="E118" i="21"/>
  <c r="E119" i="21"/>
  <c r="E120" i="21"/>
  <c r="E121" i="21"/>
  <c r="E122" i="21"/>
  <c r="E126" i="21"/>
  <c r="E127" i="21"/>
  <c r="E128" i="21"/>
  <c r="E129" i="21"/>
  <c r="E130" i="21"/>
  <c r="E131" i="21"/>
  <c r="E132" i="21"/>
  <c r="E133" i="21"/>
  <c r="E134" i="21"/>
  <c r="E135" i="21"/>
  <c r="E136" i="21"/>
  <c r="E137" i="21"/>
  <c r="E138" i="21"/>
  <c r="E139" i="21"/>
  <c r="E140" i="21"/>
  <c r="E141" i="21"/>
  <c r="E142" i="21"/>
  <c r="E143" i="21"/>
  <c r="E144" i="21"/>
  <c r="E145" i="21"/>
  <c r="E146" i="21"/>
  <c r="E147" i="21"/>
  <c r="E148" i="21"/>
  <c r="E149" i="21"/>
  <c r="E150" i="21"/>
  <c r="E151" i="21"/>
  <c r="E152" i="21"/>
  <c r="E153" i="21"/>
  <c r="E154" i="21"/>
  <c r="E155" i="21"/>
  <c r="E156" i="21"/>
  <c r="E157" i="21"/>
  <c r="E158" i="21"/>
  <c r="E159" i="21"/>
  <c r="E160" i="21"/>
  <c r="E161" i="21"/>
  <c r="E162" i="21"/>
  <c r="E163" i="21"/>
  <c r="E3" i="21"/>
  <c r="E123" i="21" l="1"/>
  <c r="E164" i="21"/>
  <c r="E166" i="21" s="1"/>
  <c r="E152" i="22"/>
  <c r="E62" i="16"/>
  <c r="E155" i="16"/>
  <c r="E141" i="20"/>
  <c r="E139" i="20"/>
  <c r="E131" i="20"/>
  <c r="E130" i="20"/>
  <c r="E119" i="20"/>
  <c r="E114" i="20"/>
  <c r="E106" i="20"/>
  <c r="E102" i="20"/>
  <c r="E90" i="20"/>
  <c r="E89" i="20"/>
  <c r="E77" i="20"/>
  <c r="E73" i="20"/>
  <c r="E68" i="20"/>
  <c r="E60" i="20"/>
  <c r="E47" i="20"/>
  <c r="E46" i="20"/>
  <c r="E44" i="20"/>
  <c r="E36" i="20"/>
  <c r="E34" i="20"/>
  <c r="E33" i="20"/>
  <c r="E31" i="20"/>
  <c r="E28" i="20"/>
  <c r="E27" i="20"/>
  <c r="E21" i="20"/>
  <c r="E18" i="20"/>
  <c r="E16" i="20"/>
  <c r="E14" i="20"/>
  <c r="E10" i="20"/>
  <c r="E4" i="20"/>
  <c r="E3" i="20"/>
  <c r="E2" i="20"/>
  <c r="E5" i="20"/>
  <c r="E6" i="20"/>
  <c r="E7" i="20"/>
  <c r="E8" i="20"/>
  <c r="E9" i="20"/>
  <c r="E11" i="20"/>
  <c r="E12" i="20"/>
  <c r="E13" i="20"/>
  <c r="E15" i="20"/>
  <c r="E17" i="20"/>
  <c r="E19" i="20"/>
  <c r="E20" i="20"/>
  <c r="E22" i="20"/>
  <c r="E23" i="20"/>
  <c r="E24" i="20"/>
  <c r="E25" i="20"/>
  <c r="E26" i="20"/>
  <c r="E29" i="20"/>
  <c r="E30" i="20"/>
  <c r="E32" i="20"/>
  <c r="E35" i="20"/>
  <c r="E37" i="20"/>
  <c r="E38" i="20"/>
  <c r="E39" i="20"/>
  <c r="E40" i="20"/>
  <c r="E41" i="20"/>
  <c r="E42" i="20"/>
  <c r="E43" i="20"/>
  <c r="E45" i="20"/>
  <c r="E48" i="20"/>
  <c r="E49" i="20"/>
  <c r="E50" i="20"/>
  <c r="E51" i="20"/>
  <c r="E52" i="20"/>
  <c r="E53" i="20"/>
  <c r="E54" i="20"/>
  <c r="E55" i="20"/>
  <c r="E56" i="20"/>
  <c r="E57" i="20"/>
  <c r="E58" i="20"/>
  <c r="E59" i="20"/>
  <c r="E61" i="20"/>
  <c r="E62" i="20"/>
  <c r="E63" i="20"/>
  <c r="E64" i="20"/>
  <c r="E65" i="20"/>
  <c r="E66" i="20"/>
  <c r="E67" i="20"/>
  <c r="E69" i="20"/>
  <c r="E70" i="20"/>
  <c r="E71" i="20"/>
  <c r="E72" i="20"/>
  <c r="E74" i="20"/>
  <c r="E75" i="20"/>
  <c r="E76" i="20"/>
  <c r="E78" i="20"/>
  <c r="E79" i="20"/>
  <c r="E80" i="20"/>
  <c r="E81" i="20"/>
  <c r="E82" i="20"/>
  <c r="E83" i="20"/>
  <c r="E84" i="20"/>
  <c r="E85" i="20"/>
  <c r="E86" i="20"/>
  <c r="E87" i="20"/>
  <c r="E88" i="20"/>
  <c r="E91" i="20"/>
  <c r="E92" i="20"/>
  <c r="E93" i="20"/>
  <c r="E94" i="20"/>
  <c r="E95" i="20"/>
  <c r="E96" i="20"/>
  <c r="E97" i="20"/>
  <c r="E98" i="20"/>
  <c r="E99" i="20"/>
  <c r="E100" i="20"/>
  <c r="E101" i="20"/>
  <c r="E103" i="20"/>
  <c r="E104" i="20"/>
  <c r="E105" i="20"/>
  <c r="E107" i="20"/>
  <c r="E108" i="20"/>
  <c r="E109" i="20"/>
  <c r="E110" i="20"/>
  <c r="E111" i="20"/>
  <c r="E112" i="20"/>
  <c r="E113" i="20"/>
  <c r="E117" i="20"/>
  <c r="E118" i="20"/>
  <c r="E120" i="20"/>
  <c r="E121" i="20"/>
  <c r="E122" i="20"/>
  <c r="E123" i="20"/>
  <c r="E124" i="20"/>
  <c r="E125" i="20"/>
  <c r="E126" i="20"/>
  <c r="E127" i="20"/>
  <c r="E128" i="20"/>
  <c r="E129" i="20"/>
  <c r="E132" i="20"/>
  <c r="E133" i="20"/>
  <c r="E134" i="20"/>
  <c r="E135" i="20"/>
  <c r="E136" i="20"/>
  <c r="E137" i="20"/>
  <c r="E138" i="20"/>
  <c r="E140" i="20"/>
  <c r="E142" i="20"/>
  <c r="E143" i="20"/>
  <c r="E144" i="20"/>
  <c r="E145" i="20"/>
  <c r="E146" i="20"/>
  <c r="E147" i="20"/>
  <c r="E148" i="20"/>
  <c r="E149" i="20"/>
  <c r="E150" i="20"/>
  <c r="E151" i="20"/>
  <c r="E152" i="20"/>
  <c r="E153" i="20"/>
  <c r="E154" i="20"/>
  <c r="E155" i="20" l="1"/>
  <c r="E115" i="20"/>
  <c r="E156" i="19"/>
  <c r="E155" i="19"/>
  <c r="E154" i="19"/>
  <c r="E153" i="19"/>
  <c r="E150" i="19"/>
  <c r="E147" i="19"/>
  <c r="E145" i="19"/>
  <c r="E144" i="19"/>
  <c r="E143" i="19"/>
  <c r="E142" i="19"/>
  <c r="E141" i="19"/>
  <c r="E140" i="19"/>
  <c r="E139" i="19"/>
  <c r="E137" i="19"/>
  <c r="E136" i="19"/>
  <c r="E134" i="19"/>
  <c r="E133" i="19"/>
  <c r="E132" i="19"/>
  <c r="E131" i="19"/>
  <c r="E130" i="19"/>
  <c r="E129" i="19"/>
  <c r="E128" i="19"/>
  <c r="E127" i="19"/>
  <c r="E126" i="19"/>
  <c r="E125" i="19"/>
  <c r="E124" i="19"/>
  <c r="E123" i="19"/>
  <c r="E120" i="19"/>
  <c r="E119" i="19"/>
  <c r="E113" i="19"/>
  <c r="E111" i="19"/>
  <c r="E110" i="19"/>
  <c r="E109" i="19"/>
  <c r="E108" i="19"/>
  <c r="E107" i="19"/>
  <c r="E106" i="19"/>
  <c r="E105" i="19"/>
  <c r="E102" i="19"/>
  <c r="E101" i="19"/>
  <c r="E99" i="19"/>
  <c r="E98" i="19"/>
  <c r="E96" i="19"/>
  <c r="E95" i="19"/>
  <c r="E93" i="19"/>
  <c r="E92" i="19"/>
  <c r="E89" i="19"/>
  <c r="E88" i="19"/>
  <c r="E86" i="19"/>
  <c r="E85" i="19"/>
  <c r="E83" i="19"/>
  <c r="E82" i="19"/>
  <c r="E81" i="19"/>
  <c r="E79" i="19"/>
  <c r="E78" i="19"/>
  <c r="E76" i="19"/>
  <c r="E75" i="19"/>
  <c r="E73" i="19"/>
  <c r="E72" i="19"/>
  <c r="E71" i="19"/>
  <c r="E69" i="19"/>
  <c r="E64" i="19"/>
  <c r="E63" i="19"/>
  <c r="E62" i="19"/>
  <c r="E61" i="19"/>
  <c r="E60" i="19"/>
  <c r="E59" i="19"/>
  <c r="E58" i="19"/>
  <c r="E56" i="19"/>
  <c r="E53" i="19"/>
  <c r="E52" i="19"/>
  <c r="E51" i="19"/>
  <c r="E48" i="19"/>
  <c r="E47" i="19"/>
  <c r="E44" i="19"/>
  <c r="E43" i="19"/>
  <c r="E42" i="19"/>
  <c r="E41" i="19"/>
  <c r="E38" i="19"/>
  <c r="E36" i="19"/>
  <c r="E32" i="19"/>
  <c r="E31" i="19"/>
  <c r="E29" i="19"/>
  <c r="E26" i="19"/>
  <c r="E25" i="19"/>
  <c r="E24" i="19"/>
  <c r="E22" i="19"/>
  <c r="E19" i="19"/>
  <c r="E18" i="19"/>
  <c r="E17" i="19"/>
  <c r="E15" i="19"/>
  <c r="E14" i="19"/>
  <c r="E11" i="19"/>
  <c r="E9" i="19"/>
  <c r="E8" i="19"/>
  <c r="E7" i="19"/>
  <c r="E4" i="19"/>
  <c r="E2" i="19"/>
  <c r="E161" i="19" l="1"/>
  <c r="E156" i="20"/>
  <c r="E121" i="19"/>
  <c r="E162" i="19" s="1"/>
  <c r="E4" i="18"/>
  <c r="E5" i="18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103" i="18"/>
  <c r="E104" i="18"/>
  <c r="E105" i="18"/>
  <c r="E106" i="18"/>
  <c r="E107" i="18"/>
  <c r="E108" i="18"/>
  <c r="E109" i="18"/>
  <c r="E110" i="18"/>
  <c r="E111" i="18"/>
  <c r="E115" i="18"/>
  <c r="E116" i="18"/>
  <c r="E117" i="18"/>
  <c r="E118" i="18"/>
  <c r="E119" i="18"/>
  <c r="E120" i="18"/>
  <c r="E121" i="18"/>
  <c r="E122" i="18"/>
  <c r="E123" i="18"/>
  <c r="E124" i="18"/>
  <c r="E125" i="18"/>
  <c r="E126" i="18"/>
  <c r="E127" i="18"/>
  <c r="E128" i="18"/>
  <c r="E129" i="18"/>
  <c r="E130" i="18"/>
  <c r="E131" i="18"/>
  <c r="E132" i="18"/>
  <c r="E133" i="18"/>
  <c r="E134" i="18"/>
  <c r="E135" i="18"/>
  <c r="E136" i="18"/>
  <c r="E137" i="18"/>
  <c r="E138" i="18"/>
  <c r="E139" i="18"/>
  <c r="E140" i="18"/>
  <c r="E141" i="18"/>
  <c r="E142" i="18"/>
  <c r="E143" i="18"/>
  <c r="E144" i="18"/>
  <c r="E145" i="18"/>
  <c r="E146" i="18"/>
  <c r="E147" i="18"/>
  <c r="E148" i="18"/>
  <c r="E149" i="18"/>
  <c r="E150" i="18"/>
  <c r="E151" i="18"/>
  <c r="E152" i="18"/>
  <c r="E3" i="18"/>
  <c r="E112" i="18" l="1"/>
  <c r="E153" i="18"/>
  <c r="E154" i="18" s="1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6" i="17"/>
  <c r="E87" i="17"/>
  <c r="E88" i="17"/>
  <c r="E89" i="17"/>
  <c r="E90" i="17"/>
  <c r="E91" i="17"/>
  <c r="E92" i="17"/>
  <c r="E93" i="17"/>
  <c r="E94" i="17"/>
  <c r="E95" i="17"/>
  <c r="E96" i="17"/>
  <c r="E97" i="17"/>
  <c r="E98" i="17"/>
  <c r="E99" i="17"/>
  <c r="E100" i="17"/>
  <c r="E101" i="17"/>
  <c r="E102" i="17"/>
  <c r="E103" i="17"/>
  <c r="E104" i="17"/>
  <c r="E105" i="17"/>
  <c r="E106" i="17"/>
  <c r="E107" i="17"/>
  <c r="E108" i="17"/>
  <c r="E109" i="17"/>
  <c r="E110" i="17"/>
  <c r="E111" i="17"/>
  <c r="E112" i="17"/>
  <c r="E116" i="17"/>
  <c r="E117" i="17"/>
  <c r="E118" i="17"/>
  <c r="E119" i="17"/>
  <c r="E120" i="17"/>
  <c r="E121" i="17"/>
  <c r="E122" i="17"/>
  <c r="E123" i="17"/>
  <c r="E124" i="17"/>
  <c r="E125" i="17"/>
  <c r="E126" i="17"/>
  <c r="E127" i="17"/>
  <c r="E128" i="17"/>
  <c r="E129" i="17"/>
  <c r="E130" i="17"/>
  <c r="E131" i="17"/>
  <c r="E132" i="17"/>
  <c r="E133" i="17"/>
  <c r="E134" i="17"/>
  <c r="E135" i="17"/>
  <c r="E136" i="17"/>
  <c r="E137" i="17"/>
  <c r="E138" i="17"/>
  <c r="E139" i="17"/>
  <c r="E140" i="17"/>
  <c r="E141" i="17"/>
  <c r="E142" i="17"/>
  <c r="E143" i="17"/>
  <c r="E144" i="17"/>
  <c r="E145" i="17"/>
  <c r="E146" i="17"/>
  <c r="E147" i="17"/>
  <c r="E148" i="17"/>
  <c r="E149" i="17"/>
  <c r="E150" i="17"/>
  <c r="E151" i="17"/>
  <c r="E152" i="17"/>
  <c r="E153" i="17"/>
  <c r="E3" i="17"/>
  <c r="E154" i="17" l="1"/>
  <c r="E113" i="17"/>
  <c r="E155" i="17" s="1"/>
  <c r="E162" i="16"/>
  <c r="E158" i="16"/>
  <c r="E151" i="16"/>
  <c r="E146" i="16"/>
  <c r="E145" i="16"/>
  <c r="E143" i="16"/>
  <c r="E140" i="16"/>
  <c r="E139" i="16"/>
  <c r="E137" i="16"/>
  <c r="E136" i="16"/>
  <c r="E134" i="16"/>
  <c r="E131" i="16"/>
  <c r="E130" i="16"/>
  <c r="E128" i="16"/>
  <c r="E127" i="16"/>
  <c r="E104" i="16"/>
  <c r="E77" i="16"/>
  <c r="E72" i="16"/>
  <c r="E64" i="16"/>
  <c r="E56" i="16"/>
  <c r="E50" i="16"/>
  <c r="E45" i="16"/>
  <c r="E33" i="16"/>
  <c r="E27" i="16"/>
  <c r="E22" i="16"/>
  <c r="E17" i="16"/>
  <c r="E9" i="16"/>
  <c r="E7" i="16"/>
  <c r="E2" i="16"/>
  <c r="E160" i="16"/>
  <c r="E159" i="16"/>
  <c r="E149" i="16"/>
  <c r="E144" i="16"/>
  <c r="E142" i="16"/>
  <c r="E141" i="16"/>
  <c r="E138" i="16"/>
  <c r="E135" i="16"/>
  <c r="E133" i="16"/>
  <c r="E132" i="16"/>
  <c r="E129" i="16"/>
  <c r="E126" i="16"/>
  <c r="E120" i="16"/>
  <c r="E119" i="16"/>
  <c r="E116" i="16"/>
  <c r="E114" i="16"/>
  <c r="E112" i="16"/>
  <c r="E111" i="16"/>
  <c r="E110" i="16"/>
  <c r="E109" i="16"/>
  <c r="E108" i="16"/>
  <c r="E105" i="16"/>
  <c r="E102" i="16"/>
  <c r="E101" i="16"/>
  <c r="E99" i="16"/>
  <c r="E98" i="16"/>
  <c r="E96" i="16"/>
  <c r="E95" i="16"/>
  <c r="E92" i="16"/>
  <c r="E91" i="16"/>
  <c r="E86" i="16"/>
  <c r="E85" i="16"/>
  <c r="E84" i="16"/>
  <c r="E75" i="16"/>
  <c r="E74" i="16"/>
  <c r="E70" i="16"/>
  <c r="E65" i="16"/>
  <c r="E61" i="16"/>
  <c r="E60" i="16"/>
  <c r="E59" i="16"/>
  <c r="E57" i="16"/>
  <c r="E54" i="16"/>
  <c r="E53" i="16"/>
  <c r="E52" i="16"/>
  <c r="E49" i="16"/>
  <c r="E48" i="16"/>
  <c r="E43" i="16"/>
  <c r="E40" i="16"/>
  <c r="E38" i="16"/>
  <c r="E34" i="16"/>
  <c r="E31" i="16"/>
  <c r="E30" i="16"/>
  <c r="E29" i="16"/>
  <c r="E26" i="16"/>
  <c r="E25" i="16"/>
  <c r="E24" i="16"/>
  <c r="E23" i="16"/>
  <c r="E20" i="16"/>
  <c r="E19" i="16"/>
  <c r="E18" i="16"/>
  <c r="E11" i="16"/>
  <c r="E4" i="16"/>
  <c r="E167" i="16" l="1"/>
  <c r="E124" i="16"/>
  <c r="E168" i="16" s="1"/>
  <c r="C55" i="11"/>
  <c r="C54" i="11"/>
  <c r="E119" i="11"/>
  <c r="E118" i="11"/>
  <c r="E116" i="11"/>
  <c r="E113" i="11"/>
  <c r="E112" i="11"/>
  <c r="E93" i="11"/>
  <c r="E97" i="11"/>
  <c r="E100" i="11"/>
  <c r="E101" i="11"/>
  <c r="E114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102" i="15"/>
  <c r="E103" i="15"/>
  <c r="E104" i="15"/>
  <c r="E105" i="15"/>
  <c r="E106" i="15"/>
  <c r="E107" i="15"/>
  <c r="E111" i="15"/>
  <c r="E112" i="15"/>
  <c r="E113" i="15"/>
  <c r="E115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E137" i="15"/>
  <c r="E138" i="15"/>
  <c r="E139" i="15"/>
  <c r="E140" i="15"/>
  <c r="E141" i="15"/>
  <c r="E142" i="15"/>
  <c r="E143" i="15"/>
  <c r="E3" i="15"/>
  <c r="E144" i="15" l="1"/>
  <c r="E108" i="15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61" i="14"/>
  <c r="E62" i="14"/>
  <c r="E63" i="14"/>
  <c r="E64" i="14"/>
  <c r="E65" i="14"/>
  <c r="E66" i="14"/>
  <c r="E67" i="14"/>
  <c r="E68" i="14"/>
  <c r="E69" i="14"/>
  <c r="E70" i="14"/>
  <c r="E71" i="14"/>
  <c r="E72" i="14"/>
  <c r="E73" i="14"/>
  <c r="E74" i="14"/>
  <c r="E75" i="14"/>
  <c r="E76" i="14"/>
  <c r="E77" i="14"/>
  <c r="E78" i="14"/>
  <c r="E79" i="14"/>
  <c r="E80" i="14"/>
  <c r="E81" i="14"/>
  <c r="E82" i="14"/>
  <c r="E83" i="14"/>
  <c r="E84" i="14"/>
  <c r="E85" i="14"/>
  <c r="E86" i="14"/>
  <c r="E87" i="14"/>
  <c r="E88" i="14"/>
  <c r="E89" i="14"/>
  <c r="E90" i="14"/>
  <c r="E91" i="14"/>
  <c r="E92" i="14"/>
  <c r="E93" i="14"/>
  <c r="E94" i="14"/>
  <c r="E95" i="14"/>
  <c r="E96" i="14"/>
  <c r="E97" i="14"/>
  <c r="E98" i="14"/>
  <c r="E99" i="14"/>
  <c r="E100" i="14"/>
  <c r="E101" i="14"/>
  <c r="E102" i="14"/>
  <c r="E103" i="14"/>
  <c r="E104" i="14"/>
  <c r="E105" i="14"/>
  <c r="E106" i="14"/>
  <c r="E107" i="14"/>
  <c r="E108" i="14"/>
  <c r="E109" i="14"/>
  <c r="E110" i="14"/>
  <c r="E111" i="14"/>
  <c r="E112" i="14"/>
  <c r="E113" i="14"/>
  <c r="E114" i="14"/>
  <c r="E115" i="14"/>
  <c r="E116" i="14"/>
  <c r="E117" i="14"/>
  <c r="E118" i="14"/>
  <c r="E119" i="14"/>
  <c r="E123" i="14"/>
  <c r="E124" i="14"/>
  <c r="E125" i="14"/>
  <c r="E126" i="14"/>
  <c r="E127" i="14"/>
  <c r="E128" i="14"/>
  <c r="E129" i="14"/>
  <c r="E130" i="14"/>
  <c r="E131" i="14"/>
  <c r="E132" i="14"/>
  <c r="E133" i="14"/>
  <c r="E134" i="14"/>
  <c r="E135" i="14"/>
  <c r="E136" i="14"/>
  <c r="E137" i="14"/>
  <c r="E138" i="14"/>
  <c r="E139" i="14"/>
  <c r="E140" i="14"/>
  <c r="E141" i="14"/>
  <c r="E142" i="14"/>
  <c r="E143" i="14"/>
  <c r="E144" i="14"/>
  <c r="E145" i="14"/>
  <c r="E146" i="14"/>
  <c r="E147" i="14"/>
  <c r="E148" i="14"/>
  <c r="E149" i="14"/>
  <c r="E150" i="14"/>
  <c r="E151" i="14"/>
  <c r="E152" i="14"/>
  <c r="E153" i="14"/>
  <c r="E154" i="14"/>
  <c r="E155" i="14"/>
  <c r="E156" i="14"/>
  <c r="E157" i="14"/>
  <c r="E158" i="14"/>
  <c r="E159" i="14"/>
  <c r="E160" i="14"/>
  <c r="E3" i="14"/>
  <c r="E145" i="15" l="1"/>
  <c r="E120" i="14"/>
  <c r="E161" i="14"/>
  <c r="E162" i="14" s="1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3" i="13"/>
  <c r="E104" i="13" l="1"/>
  <c r="E145" i="13"/>
  <c r="E146" i="13" s="1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3" i="12"/>
  <c r="E162" i="12" l="1"/>
  <c r="E121" i="12"/>
  <c r="E137" i="11"/>
  <c r="E132" i="11"/>
  <c r="E129" i="11"/>
  <c r="E126" i="11"/>
  <c r="E124" i="11"/>
  <c r="E122" i="11"/>
  <c r="E96" i="11"/>
  <c r="E92" i="11"/>
  <c r="E89" i="11"/>
  <c r="E81" i="11"/>
  <c r="E78" i="11"/>
  <c r="E75" i="11"/>
  <c r="E66" i="11"/>
  <c r="E63" i="11"/>
  <c r="E61" i="11"/>
  <c r="E56" i="11"/>
  <c r="E55" i="11"/>
  <c r="E53" i="11"/>
  <c r="E51" i="11"/>
  <c r="E47" i="11"/>
  <c r="E46" i="11"/>
  <c r="E43" i="11"/>
  <c r="E39" i="11"/>
  <c r="E27" i="11"/>
  <c r="E26" i="11"/>
  <c r="E22" i="11"/>
  <c r="E17" i="11"/>
  <c r="E7" i="11"/>
  <c r="E2" i="11"/>
  <c r="E144" i="11"/>
  <c r="E143" i="11"/>
  <c r="E142" i="11"/>
  <c r="E141" i="11"/>
  <c r="E138" i="11"/>
  <c r="E135" i="11"/>
  <c r="E133" i="11"/>
  <c r="E131" i="11"/>
  <c r="E130" i="11"/>
  <c r="E128" i="11"/>
  <c r="E127" i="11"/>
  <c r="E125" i="11"/>
  <c r="E121" i="11"/>
  <c r="E120" i="11"/>
  <c r="E117" i="11"/>
  <c r="E115" i="11"/>
  <c r="E90" i="11"/>
  <c r="E87" i="11"/>
  <c r="E85" i="11"/>
  <c r="E84" i="11"/>
  <c r="E77" i="11"/>
  <c r="E73" i="11"/>
  <c r="E68" i="11"/>
  <c r="E65" i="11"/>
  <c r="E57" i="11"/>
  <c r="E54" i="11"/>
  <c r="E50" i="11"/>
  <c r="E48" i="11"/>
  <c r="E45" i="11"/>
  <c r="E41" i="11"/>
  <c r="E40" i="11"/>
  <c r="E38" i="11"/>
  <c r="E36" i="11"/>
  <c r="E34" i="11"/>
  <c r="E33" i="11"/>
  <c r="E31" i="11"/>
  <c r="E30" i="11"/>
  <c r="E28" i="11"/>
  <c r="E24" i="11"/>
  <c r="E23" i="11"/>
  <c r="E21" i="11"/>
  <c r="E20" i="11"/>
  <c r="E12" i="11"/>
  <c r="E9" i="11"/>
  <c r="E5" i="11"/>
  <c r="E4" i="11"/>
  <c r="E163" i="12" l="1"/>
  <c r="E149" i="11"/>
  <c r="E109" i="11"/>
  <c r="E150" i="11" s="1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3" i="10"/>
  <c r="E152" i="10" l="1"/>
  <c r="E111" i="10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4" i="9"/>
  <c r="E153" i="10" l="1"/>
  <c r="E66" i="9"/>
  <c r="E95" i="9"/>
  <c r="E96" i="9" s="1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3" i="8"/>
  <c r="E103" i="8" l="1"/>
  <c r="E139" i="8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3" i="7"/>
  <c r="E165" i="7" l="1"/>
  <c r="E140" i="8"/>
  <c r="E121" i="7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3" i="6"/>
  <c r="E166" i="7" l="1"/>
  <c r="E104" i="6"/>
  <c r="E132" i="6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3" i="5"/>
  <c r="E133" i="6" l="1"/>
  <c r="E151" i="5"/>
  <c r="E113" i="5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4" i="4"/>
  <c r="E152" i="5" l="1"/>
  <c r="E157" i="4"/>
  <c r="E113" i="4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3" i="3"/>
  <c r="E107" i="3" l="1"/>
  <c r="E150" i="3"/>
  <c r="E151" i="3" s="1"/>
  <c r="E158" i="4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3" i="2"/>
  <c r="E158" i="2" l="1"/>
  <c r="E117" i="2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3" i="1"/>
  <c r="E159" i="2" l="1"/>
  <c r="E154" i="1"/>
  <c r="E112" i="1"/>
  <c r="E155" i="1" l="1"/>
</calcChain>
</file>

<file path=xl/sharedStrings.xml><?xml version="1.0" encoding="utf-8"?>
<sst xmlns="http://schemas.openxmlformats.org/spreadsheetml/2006/main" count="9356" uniqueCount="171">
  <si>
    <t>Tên Sản phẩm</t>
  </si>
  <si>
    <t>ĐVT</t>
  </si>
  <si>
    <t>Bắp Cải Tím</t>
  </si>
  <si>
    <t>Kg</t>
  </si>
  <si>
    <t>Bắp Cải Trái Tim</t>
  </si>
  <si>
    <t>Bắp Cải Trắng</t>
  </si>
  <si>
    <t>Bí Đỏ Hồ Lô</t>
  </si>
  <si>
    <t>Bí Đỏ Tròn</t>
  </si>
  <si>
    <t>Bí Ngòi Xanh</t>
  </si>
  <si>
    <t>Trái</t>
  </si>
  <si>
    <t>Bí Non Nhật</t>
  </si>
  <si>
    <t>Bơ Booth</t>
  </si>
  <si>
    <t>Bông Cải Trắng</t>
  </si>
  <si>
    <t>Bông Cải Xanh 10Cm</t>
  </si>
  <si>
    <t>Bông Cải Xanh 12Cm</t>
  </si>
  <si>
    <t>Bông Cải Xanh 7Cm</t>
  </si>
  <si>
    <t>Bông Cải Xanh Baby</t>
  </si>
  <si>
    <t>Vỉ</t>
  </si>
  <si>
    <t>Cà Chua Beef</t>
  </si>
  <si>
    <t>Vỉ 650gr</t>
  </si>
  <si>
    <t>Cà Chua Beef Trung</t>
  </si>
  <si>
    <t>Vỉ 500gr</t>
  </si>
  <si>
    <t>Cà Chua Bi Đỏ</t>
  </si>
  <si>
    <t>Hộp 300gr</t>
  </si>
  <si>
    <t>Cà Chua Bi Mix</t>
  </si>
  <si>
    <t>Hộp</t>
  </si>
  <si>
    <t>Cà Chua Socola</t>
  </si>
  <si>
    <t>Hộp 250GR</t>
  </si>
  <si>
    <t>Cà Chua Thường</t>
  </si>
  <si>
    <t>Cà Chua Thường Trung</t>
  </si>
  <si>
    <t>Túi</t>
  </si>
  <si>
    <t>Cà Rốt</t>
  </si>
  <si>
    <t>Cà Rốt Baby</t>
  </si>
  <si>
    <t>Cà Tím</t>
  </si>
  <si>
    <t>Cặp</t>
  </si>
  <si>
    <t>Cải Bó Xôi</t>
  </si>
  <si>
    <t>Cải Cầu Vồng</t>
  </si>
  <si>
    <t>Cải Kale</t>
  </si>
  <si>
    <t>Cải Thảo</t>
  </si>
  <si>
    <t>Cần Tây</t>
  </si>
  <si>
    <t>Cây</t>
  </si>
  <si>
    <t>Chuối Laba</t>
  </si>
  <si>
    <t>Củ Cải Đỏ</t>
  </si>
  <si>
    <t>Củ Cải Muối</t>
  </si>
  <si>
    <t>Củ Cải Trắng</t>
  </si>
  <si>
    <t>Củ Dền</t>
  </si>
  <si>
    <t>Củ Gừng</t>
  </si>
  <si>
    <t>Củ Hành Tây</t>
  </si>
  <si>
    <t>Túi 300gr</t>
  </si>
  <si>
    <t>Củ Hành Tây Tím</t>
  </si>
  <si>
    <t>Củ Hành Tây Trung</t>
  </si>
  <si>
    <t>Củ Khoai Lang Mật Size 23</t>
  </si>
  <si>
    <t>Củ Khoai Lang Mật Size 46</t>
  </si>
  <si>
    <t>Củ Khoai Lang Mật Size 78</t>
  </si>
  <si>
    <t>Củ Khoai Lang Nhật</t>
  </si>
  <si>
    <t>Củ Khoai Mỡ</t>
  </si>
  <si>
    <t>Củ Khoai Sâm</t>
  </si>
  <si>
    <t>Củ Khoai Tây Bi Vàng</t>
  </si>
  <si>
    <t>Củ Khoai Tây Hồng</t>
  </si>
  <si>
    <t>Củ Khoai Tây Vàng</t>
  </si>
  <si>
    <t>Củ Khoai Tây Vàng Trung</t>
  </si>
  <si>
    <t>Củ Su Hào</t>
  </si>
  <si>
    <t>Đậu Cove Nhật</t>
  </si>
  <si>
    <t>Đậu Cove Trắng</t>
  </si>
  <si>
    <t>Túi 500gr</t>
  </si>
  <si>
    <t>Đậu Đỏ</t>
  </si>
  <si>
    <t>Đậu Ngự</t>
  </si>
  <si>
    <t>Đậu Trắng</t>
  </si>
  <si>
    <t>Dưa Leo Baby</t>
  </si>
  <si>
    <t>Dưa Leo Nhật</t>
  </si>
  <si>
    <t>Dưa Leo Thường</t>
  </si>
  <si>
    <t>Hành Paro</t>
  </si>
  <si>
    <t>Hạt Dẻ Ngố</t>
  </si>
  <si>
    <t>Hồng Giòn Đà Lạt</t>
  </si>
  <si>
    <t>Lá Mè</t>
  </si>
  <si>
    <t>Lá Nha Đam</t>
  </si>
  <si>
    <t>Ớt Chuông Ba Màu</t>
  </si>
  <si>
    <t>Ớt Chuông Baby</t>
  </si>
  <si>
    <t>Ớt Chuông Đỏ</t>
  </si>
  <si>
    <t>Ớt Chuông Đỏ Trung</t>
  </si>
  <si>
    <t>Ớt Chuông Vàng</t>
  </si>
  <si>
    <t>Ớt Chuông Vàng Trung</t>
  </si>
  <si>
    <t>Ớt Chuông Xanh</t>
  </si>
  <si>
    <t>Ớt Chuông Xanh Trung</t>
  </si>
  <si>
    <t>Ớt Sweet Palemo</t>
  </si>
  <si>
    <t>Rau Bầu Đất</t>
  </si>
  <si>
    <t>Trái Bưởi Diễn L2</t>
  </si>
  <si>
    <t>Trái Bưởi Diễn Xô</t>
  </si>
  <si>
    <t>Trái Bưởi Đường</t>
  </si>
  <si>
    <t>Trái Cam Canh</t>
  </si>
  <si>
    <t>Trái Khổ Qua</t>
  </si>
  <si>
    <t>Trái Mâm Xôi</t>
  </si>
  <si>
    <t>Trái Su Su</t>
  </si>
  <si>
    <t>Xà Lách Lolo Xanh</t>
  </si>
  <si>
    <t>Xà Lách Lolo Xanh T.C</t>
  </si>
  <si>
    <t>Xà Lách Lolo Xanh T.C Cây</t>
  </si>
  <si>
    <t>Xà Lách Mỡ T.C</t>
  </si>
  <si>
    <t>Xà Lách Mỡ T.C Cây</t>
  </si>
  <si>
    <t>Xà Lách Romaine T.C</t>
  </si>
  <si>
    <t>Xà Lách Thủy Tinh T.C</t>
  </si>
  <si>
    <t>Xà Lách Thủy Tinh T.C Cây</t>
  </si>
  <si>
    <t>hàng tồn cuối ngày 1/1 vr</t>
  </si>
  <si>
    <t>Bông Cải Xanh Cọng</t>
  </si>
  <si>
    <t>Cải Thảo Hỏa Tiễn</t>
  </si>
  <si>
    <t>Cải Thảo Kim Chi</t>
  </si>
  <si>
    <t>Chanh Dây Tím</t>
  </si>
  <si>
    <t>Trái Bưởi Diễn</t>
  </si>
  <si>
    <t>tồn</t>
  </si>
  <si>
    <t>giá</t>
  </si>
  <si>
    <t>thành tiền</t>
  </si>
  <si>
    <t>kq</t>
  </si>
  <si>
    <t>Bí Ngòi Vàng</t>
  </si>
  <si>
    <t>Đậu Hà Lan Trái</t>
  </si>
  <si>
    <t>Trái Bưởi Diễn l2</t>
  </si>
  <si>
    <t>Xà Lách Carol</t>
  </si>
  <si>
    <t>hàng tồn cuối ngày 2.1 vr</t>
  </si>
  <si>
    <t xml:space="preserve">giá </t>
  </si>
  <si>
    <t>Trái Bưởi Đường XÔ</t>
  </si>
  <si>
    <t>hàng tồn cuối ngày 3/1 vr</t>
  </si>
  <si>
    <t>Bí Đao Xanh</t>
  </si>
  <si>
    <t>Rau Mầm</t>
  </si>
  <si>
    <t>Xà Lách Lolo Xanh Sushi</t>
  </si>
  <si>
    <t>hàng tồn cuối ngày 4/1 vr</t>
  </si>
  <si>
    <t>Trái Bầu</t>
  </si>
  <si>
    <t>Bơ 034 L1</t>
  </si>
  <si>
    <t>Hồng Treo Gió</t>
  </si>
  <si>
    <t>hàng tồn cuối ngày 5/1 vr</t>
  </si>
  <si>
    <t>Tên Sản phẩm
VR</t>
  </si>
  <si>
    <t>Bông Cải Xanh Gốc Dài</t>
  </si>
  <si>
    <t>hàng tồn cuối ngày 6/1 vr</t>
  </si>
  <si>
    <t>Tên Sản phẩm
KQ</t>
  </si>
  <si>
    <t>Cà Chua Beef 650Gr</t>
  </si>
  <si>
    <t>hàng tồn cuối ngày 7/1 vr</t>
  </si>
  <si>
    <t>hàng tồn cuối ngày 8/1 vr</t>
  </si>
  <si>
    <t>hàng tồn cuối ngày 9/1 vr</t>
  </si>
  <si>
    <t>Túi 250gr</t>
  </si>
  <si>
    <t>hàng tồn cuối ngày 10/1 vr</t>
  </si>
  <si>
    <t>Tồn
ĐL
現在個</t>
  </si>
  <si>
    <t>Củ Kiệu</t>
  </si>
  <si>
    <t>Tồn
ĐL
現在庫</t>
  </si>
  <si>
    <t>Gía nhập</t>
  </si>
  <si>
    <t>Thành tiền</t>
  </si>
  <si>
    <t>hàng tồn cuối ngày 12/1 vr</t>
  </si>
  <si>
    <t>duyên 30, tuyết 32</t>
  </si>
  <si>
    <t>hàng tồn cuối ngày 13/1 vr</t>
  </si>
  <si>
    <t>l1 60. l2 40</t>
  </si>
  <si>
    <t>Trái Bưởi Tiến Vua</t>
  </si>
  <si>
    <t>hàng tồn cuối ngày 14/1 vr</t>
  </si>
  <si>
    <t>tên sản phẩm</t>
  </si>
  <si>
    <t>dvt</t>
  </si>
  <si>
    <t>Củ Khoai Lang Mật Xô</t>
  </si>
  <si>
    <t>hàng tồn cuối ngày 15/1 vr</t>
  </si>
  <si>
    <t>Đậu Tươi Hỗn Hợp Túi 100gr</t>
  </si>
  <si>
    <t>Củ Khoai Lang Mật Size XÔ</t>
  </si>
  <si>
    <t>Trái Phật Thủ</t>
  </si>
  <si>
    <t>hàng tồn cuối ngày 17/1 vr</t>
  </si>
  <si>
    <t>hùng báo sáng 18/1</t>
  </si>
  <si>
    <t>hàng tồn cuối ngày 18/1 vr</t>
  </si>
  <si>
    <t>Củ Khoai Lang Mật XÔ</t>
  </si>
  <si>
    <t>Hạt Dẻ Tươi</t>
  </si>
  <si>
    <t>hàng tồn cuối ngày 21/1 vr</t>
  </si>
  <si>
    <t>Củ Khoai Lang Mật Size 910</t>
  </si>
  <si>
    <t>hàng tồn cuối ngày 22/1 vr</t>
  </si>
  <si>
    <t>hàng tồn cuối ngày 23/1 vr</t>
  </si>
  <si>
    <t>Trái 250gr</t>
  </si>
  <si>
    <t>hàng tồn cuối ngày 24/1 vr</t>
  </si>
  <si>
    <t>hàng tồn cuối ngày 25/1 vr</t>
  </si>
  <si>
    <t>Củ Khoai Lang Mật xô</t>
  </si>
  <si>
    <t xml:space="preserve">Cây </t>
  </si>
  <si>
    <t>(trống)</t>
  </si>
  <si>
    <t>Cà Chua Bi Ngọc Bích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</si>
</sst>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  <charset val="163"/>
    </font>
    <font>
      <sz val="12"/>
      <color theme="1"/>
      <name val="Times New Roman"/>
      <family val="1"/>
      <charset val="163"/>
    </font>
    <font>
      <b/>
      <sz val="11"/>
      <color theme="1"/>
      <name val="Times New Roman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7" tint="0.39997558519241921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wrapText="1"/>
    </xf>
    <xf numFmtId="164" fontId="0" fillId="0" borderId="0" xfId="1" applyNumberFormat="1" applyFont="1"/>
    <xf numFmtId="164" fontId="0" fillId="0" borderId="0" xfId="0" applyNumberFormat="1"/>
    <xf numFmtId="0" fontId="2" fillId="2" borderId="0" xfId="0" applyFont="1" applyFill="1" applyAlignment="1">
      <alignment vertical="center"/>
    </xf>
    <xf numFmtId="165" fontId="2" fillId="2" borderId="0" xfId="1" applyNumberFormat="1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165" fontId="5" fillId="2" borderId="1" xfId="1" applyNumberFormat="1" applyFont="1" applyFill="1" applyBorder="1" applyAlignment="1">
      <alignment vertical="center"/>
    </xf>
    <xf numFmtId="0" fontId="2" fillId="2" borderId="1" xfId="0" applyFont="1" applyFill="1" applyBorder="1"/>
    <xf numFmtId="0" fontId="4" fillId="4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165" fontId="4" fillId="7" borderId="1" xfId="1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165" fontId="5" fillId="3" borderId="1" xfId="1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164" fontId="5" fillId="7" borderId="1" xfId="1" applyNumberFormat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vertical="center"/>
    </xf>
    <xf numFmtId="164" fontId="2" fillId="3" borderId="1" xfId="1" applyNumberFormat="1" applyFont="1" applyFill="1" applyBorder="1" applyAlignment="1">
      <alignment vertical="center"/>
    </xf>
    <xf numFmtId="164" fontId="2" fillId="2" borderId="0" xfId="1" applyNumberFormat="1" applyFont="1" applyFill="1" applyAlignment="1">
      <alignment vertical="center"/>
    </xf>
    <xf numFmtId="164" fontId="2" fillId="8" borderId="0" xfId="1" applyNumberFormat="1" applyFont="1" applyFill="1" applyAlignment="1">
      <alignment vertical="center"/>
    </xf>
    <xf numFmtId="0" fontId="7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vertical="center"/>
    </xf>
    <xf numFmtId="0" fontId="8" fillId="10" borderId="1" xfId="0" applyFont="1" applyFill="1" applyBorder="1" applyAlignment="1">
      <alignment vertical="center"/>
    </xf>
    <xf numFmtId="165" fontId="7" fillId="2" borderId="1" xfId="1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/>
    </xf>
    <xf numFmtId="164" fontId="4" fillId="7" borderId="1" xfId="1" applyNumberFormat="1" applyFont="1" applyFill="1" applyBorder="1" applyAlignment="1">
      <alignment horizontal="center" vertical="center"/>
    </xf>
    <xf numFmtId="0" fontId="6" fillId="2" borderId="0" xfId="0" applyFont="1" applyFill="1"/>
    <xf numFmtId="165" fontId="4" fillId="2" borderId="1" xfId="1" applyNumberFormat="1" applyFont="1" applyFill="1" applyBorder="1" applyAlignment="1">
      <alignment vertical="center"/>
    </xf>
    <xf numFmtId="0" fontId="6" fillId="2" borderId="1" xfId="0" applyFont="1" applyFill="1" applyBorder="1"/>
    <xf numFmtId="0" fontId="4" fillId="6" borderId="1" xfId="0" applyFont="1" applyFill="1" applyBorder="1" applyAlignment="1">
      <alignment horizontal="center" vertical="center" wrapText="1"/>
    </xf>
    <xf numFmtId="165" fontId="6" fillId="2" borderId="1" xfId="0" applyNumberFormat="1" applyFont="1" applyFill="1" applyBorder="1"/>
    <xf numFmtId="164" fontId="6" fillId="2" borderId="1" xfId="1" applyNumberFormat="1" applyFont="1" applyFill="1" applyBorder="1"/>
    <xf numFmtId="164" fontId="6" fillId="2" borderId="0" xfId="1" applyNumberFormat="1" applyFont="1" applyFill="1"/>
    <xf numFmtId="164" fontId="6" fillId="3" borderId="1" xfId="1" applyNumberFormat="1" applyFont="1" applyFill="1" applyBorder="1"/>
    <xf numFmtId="0" fontId="6" fillId="3" borderId="1" xfId="0" applyFont="1" applyFill="1" applyBorder="1"/>
    <xf numFmtId="165" fontId="4" fillId="3" borderId="1" xfId="1" applyNumberFormat="1" applyFont="1" applyFill="1" applyBorder="1" applyAlignment="1">
      <alignment vertical="center"/>
    </xf>
    <xf numFmtId="165" fontId="6" fillId="3" borderId="1" xfId="0" applyNumberFormat="1" applyFont="1" applyFill="1" applyBorder="1"/>
    <xf numFmtId="165" fontId="6" fillId="8" borderId="0" xfId="0" applyNumberFormat="1" applyFont="1" applyFill="1"/>
    <xf numFmtId="0" fontId="6" fillId="2" borderId="0" xfId="0" applyFont="1" applyFill="1" applyAlignment="1">
      <alignment vertical="center"/>
    </xf>
    <xf numFmtId="165" fontId="6" fillId="2" borderId="0" xfId="1" applyNumberFormat="1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165" fontId="6" fillId="2" borderId="1" xfId="0" applyNumberFormat="1" applyFont="1" applyFill="1" applyBorder="1" applyAlignment="1">
      <alignment vertical="center"/>
    </xf>
    <xf numFmtId="165" fontId="6" fillId="3" borderId="1" xfId="0" applyNumberFormat="1" applyFont="1" applyFill="1" applyBorder="1" applyAlignment="1">
      <alignment vertical="center"/>
    </xf>
    <xf numFmtId="164" fontId="6" fillId="2" borderId="1" xfId="1" applyNumberFormat="1" applyFont="1" applyFill="1" applyBorder="1" applyAlignment="1">
      <alignment vertical="center"/>
    </xf>
    <xf numFmtId="164" fontId="6" fillId="3" borderId="1" xfId="1" applyNumberFormat="1" applyFont="1" applyFill="1" applyBorder="1" applyAlignment="1">
      <alignment vertical="center"/>
    </xf>
    <xf numFmtId="164" fontId="6" fillId="2" borderId="0" xfId="1" applyNumberFormat="1" applyFont="1" applyFill="1" applyAlignment="1">
      <alignment vertical="center"/>
    </xf>
    <xf numFmtId="165" fontId="6" fillId="8" borderId="0" xfId="0" applyNumberFormat="1" applyFont="1" applyFill="1" applyAlignment="1">
      <alignment vertical="center"/>
    </xf>
    <xf numFmtId="164" fontId="6" fillId="8" borderId="0" xfId="1" applyNumberFormat="1" applyFont="1" applyFill="1"/>
    <xf numFmtId="0" fontId="0" fillId="2" borderId="0" xfId="0" applyFill="1"/>
    <xf numFmtId="0" fontId="9" fillId="4" borderId="1" xfId="0" applyFont="1" applyFill="1" applyBorder="1" applyAlignment="1">
      <alignment vertical="center"/>
    </xf>
    <xf numFmtId="165" fontId="9" fillId="2" borderId="1" xfId="1" applyNumberFormat="1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164" fontId="6" fillId="8" borderId="0" xfId="0" applyNumberFormat="1" applyFont="1" applyFill="1"/>
    <xf numFmtId="0" fontId="9" fillId="9" borderId="1" xfId="0" applyFont="1" applyFill="1" applyBorder="1" applyAlignment="1">
      <alignment vertical="center"/>
    </xf>
    <xf numFmtId="165" fontId="9" fillId="11" borderId="1" xfId="1" applyNumberFormat="1" applyFont="1" applyFill="1" applyBorder="1" applyAlignment="1">
      <alignment vertical="center"/>
    </xf>
    <xf numFmtId="1" fontId="6" fillId="2" borderId="1" xfId="0" applyNumberFormat="1" applyFont="1" applyFill="1" applyBorder="1" applyAlignment="1">
      <alignment vertical="center"/>
    </xf>
    <xf numFmtId="1" fontId="6" fillId="3" borderId="1" xfId="0" applyNumberFormat="1" applyFont="1" applyFill="1" applyBorder="1" applyAlignment="1">
      <alignment vertical="center"/>
    </xf>
    <xf numFmtId="165" fontId="6" fillId="12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C\Downloads\So_chi_tiet_mua_hang%20(6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C\Downloads\So_chi_tiet_mua_hang%20(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Ổ CHI TIẾT MUA HÀNG"/>
    </sheetNames>
    <sheetDataSet>
      <sheetData sheetId="0">
        <row r="5">
          <cell r="A5" t="str">
            <v>Bắp Cải Tím</v>
          </cell>
          <cell r="B5" t="str">
            <v>Kg</v>
          </cell>
          <cell r="C5">
            <v>8000</v>
          </cell>
        </row>
        <row r="6">
          <cell r="A6" t="str">
            <v>Bắp Cải Trái Tim</v>
          </cell>
          <cell r="B6" t="str">
            <v>Kg</v>
          </cell>
          <cell r="C6">
            <v>4000</v>
          </cell>
        </row>
        <row r="7">
          <cell r="A7" t="str">
            <v>Bắp Cải Trái Tim</v>
          </cell>
          <cell r="B7" t="str">
            <v>Kg</v>
          </cell>
          <cell r="C7">
            <v>4000</v>
          </cell>
        </row>
        <row r="8">
          <cell r="A8" t="str">
            <v>Bắp Cải Trái Tim</v>
          </cell>
          <cell r="B8" t="str">
            <v>Kg</v>
          </cell>
          <cell r="C8">
            <v>5000</v>
          </cell>
        </row>
        <row r="9">
          <cell r="A9" t="str">
            <v>Bắp Cải Trắng</v>
          </cell>
          <cell r="B9" t="str">
            <v>Kg</v>
          </cell>
          <cell r="C9">
            <v>6000</v>
          </cell>
        </row>
        <row r="10">
          <cell r="A10" t="str">
            <v>Bắp Cải Trắng</v>
          </cell>
          <cell r="B10" t="str">
            <v>Kg</v>
          </cell>
          <cell r="C10">
            <v>5500</v>
          </cell>
        </row>
        <row r="11">
          <cell r="A11" t="str">
            <v>Bắp Cải Trắng</v>
          </cell>
          <cell r="B11" t="str">
            <v>Kg</v>
          </cell>
          <cell r="C11">
            <v>6000</v>
          </cell>
        </row>
        <row r="12">
          <cell r="A12" t="str">
            <v>Bí Đao Xanh</v>
          </cell>
          <cell r="B12" t="str">
            <v>Kg</v>
          </cell>
          <cell r="C12">
            <v>10000</v>
          </cell>
        </row>
        <row r="13">
          <cell r="A13" t="str">
            <v>Bí Ngòi Xanh</v>
          </cell>
          <cell r="B13" t="str">
            <v>Kg</v>
          </cell>
          <cell r="C13">
            <v>13000</v>
          </cell>
        </row>
        <row r="14">
          <cell r="A14" t="str">
            <v>Bí Ngòi Xanh</v>
          </cell>
          <cell r="B14" t="str">
            <v>Kg</v>
          </cell>
          <cell r="C14">
            <v>16000</v>
          </cell>
        </row>
        <row r="15">
          <cell r="A15" t="str">
            <v>Bí Non Nhật</v>
          </cell>
          <cell r="B15" t="str">
            <v>Kg</v>
          </cell>
          <cell r="C15">
            <v>15000</v>
          </cell>
        </row>
        <row r="16">
          <cell r="A16" t="str">
            <v>Bí Non Nhật</v>
          </cell>
          <cell r="B16" t="str">
            <v>Kg</v>
          </cell>
          <cell r="C16">
            <v>10000</v>
          </cell>
        </row>
        <row r="17">
          <cell r="A17" t="str">
            <v>Bông Cải Trắng</v>
          </cell>
          <cell r="B17" t="str">
            <v>Kg</v>
          </cell>
          <cell r="C17">
            <v>12000</v>
          </cell>
        </row>
        <row r="18">
          <cell r="A18" t="str">
            <v>Bông Cải Xanh 12Cm</v>
          </cell>
          <cell r="B18" t="str">
            <v>Kg</v>
          </cell>
          <cell r="C18">
            <v>10000</v>
          </cell>
        </row>
        <row r="19">
          <cell r="A19" t="str">
            <v>Bông Cải Xanh 7Cm</v>
          </cell>
          <cell r="B19" t="str">
            <v>Kg</v>
          </cell>
          <cell r="C19">
            <v>25000</v>
          </cell>
        </row>
        <row r="20">
          <cell r="A20" t="str">
            <v>Bông Cải Xanh 7Cm</v>
          </cell>
          <cell r="B20" t="str">
            <v>Kg</v>
          </cell>
          <cell r="C20">
            <v>17000</v>
          </cell>
        </row>
        <row r="21">
          <cell r="A21" t="str">
            <v>Bông Cải Xanh 7Cm</v>
          </cell>
          <cell r="B21" t="str">
            <v>Kg</v>
          </cell>
          <cell r="C21">
            <v>22000</v>
          </cell>
        </row>
        <row r="22">
          <cell r="A22" t="str">
            <v>Bông Cải Xanh 7Cm</v>
          </cell>
          <cell r="B22" t="str">
            <v>Kg</v>
          </cell>
          <cell r="C22">
            <v>17000</v>
          </cell>
        </row>
        <row r="23">
          <cell r="A23" t="str">
            <v>Bông Cải Xanh 7Cm</v>
          </cell>
          <cell r="B23" t="str">
            <v>Kg</v>
          </cell>
          <cell r="C23">
            <v>22000</v>
          </cell>
        </row>
        <row r="24">
          <cell r="A24" t="str">
            <v>Bông Cải Xanh Baby</v>
          </cell>
          <cell r="B24" t="str">
            <v>Kg</v>
          </cell>
          <cell r="C24">
            <v>25000</v>
          </cell>
        </row>
        <row r="25">
          <cell r="A25" t="str">
            <v>Bông Cải Xanh Cây</v>
          </cell>
          <cell r="B25" t="str">
            <v>Cây</v>
          </cell>
          <cell r="C25">
            <v>10000</v>
          </cell>
        </row>
        <row r="26">
          <cell r="A26" t="str">
            <v>Cà Chua Beef</v>
          </cell>
          <cell r="B26" t="str">
            <v>Kg</v>
          </cell>
          <cell r="C26">
            <v>22000</v>
          </cell>
        </row>
        <row r="27">
          <cell r="A27" t="str">
            <v>Cà Chua Beef</v>
          </cell>
          <cell r="B27" t="str">
            <v>Kg</v>
          </cell>
          <cell r="C27">
            <v>16000</v>
          </cell>
        </row>
        <row r="28">
          <cell r="A28" t="str">
            <v>Cà Chua Beef</v>
          </cell>
          <cell r="B28" t="str">
            <v>Kg</v>
          </cell>
          <cell r="C28">
            <v>22000</v>
          </cell>
        </row>
        <row r="29">
          <cell r="A29" t="str">
            <v>Cà Chua Beef Trung</v>
          </cell>
          <cell r="B29" t="str">
            <v>Kg</v>
          </cell>
          <cell r="C29">
            <v>17000</v>
          </cell>
        </row>
        <row r="30">
          <cell r="A30" t="str">
            <v>Cà Chua Beef Trung</v>
          </cell>
          <cell r="B30" t="str">
            <v>Kg</v>
          </cell>
          <cell r="C30">
            <v>18000</v>
          </cell>
        </row>
        <row r="31">
          <cell r="A31" t="str">
            <v>Cà Chua Bi Đỏ</v>
          </cell>
          <cell r="B31" t="str">
            <v>Hộp 300gr</v>
          </cell>
          <cell r="C31">
            <v>5400</v>
          </cell>
        </row>
        <row r="32">
          <cell r="A32" t="str">
            <v>Cải Bó Xôi</v>
          </cell>
          <cell r="B32" t="str">
            <v>Kg</v>
          </cell>
          <cell r="C32">
            <v>22000</v>
          </cell>
        </row>
        <row r="33">
          <cell r="A33" t="str">
            <v>Cải Kale</v>
          </cell>
          <cell r="B33" t="str">
            <v>Kg</v>
          </cell>
          <cell r="C33">
            <v>25000</v>
          </cell>
        </row>
        <row r="34">
          <cell r="A34" t="str">
            <v>Cải Thảo</v>
          </cell>
          <cell r="B34" t="str">
            <v>Kg</v>
          </cell>
          <cell r="C34">
            <v>5500</v>
          </cell>
        </row>
        <row r="35">
          <cell r="A35" t="str">
            <v>Cải Thảo</v>
          </cell>
          <cell r="B35" t="str">
            <v>Kg</v>
          </cell>
          <cell r="C35">
            <v>5500</v>
          </cell>
        </row>
        <row r="36">
          <cell r="A36" t="str">
            <v>Cải Thảo Hỏa Tiễn</v>
          </cell>
          <cell r="B36" t="str">
            <v>Kg</v>
          </cell>
          <cell r="C36">
            <v>14000</v>
          </cell>
        </row>
        <row r="37">
          <cell r="A37" t="str">
            <v>Cần Tây</v>
          </cell>
          <cell r="B37" t="str">
            <v>Kg</v>
          </cell>
          <cell r="C37">
            <v>19000</v>
          </cell>
        </row>
        <row r="38">
          <cell r="A38" t="str">
            <v>Cần Tây</v>
          </cell>
          <cell r="B38" t="str">
            <v>Kg</v>
          </cell>
          <cell r="C38">
            <v>16000</v>
          </cell>
        </row>
        <row r="39">
          <cell r="A39" t="str">
            <v>Cà Rốt</v>
          </cell>
          <cell r="B39" t="str">
            <v>Kg</v>
          </cell>
          <cell r="C39">
            <v>10000</v>
          </cell>
        </row>
        <row r="40">
          <cell r="A40" t="str">
            <v>Cà Rốt</v>
          </cell>
          <cell r="B40" t="str">
            <v>Kg</v>
          </cell>
          <cell r="C40">
            <v>12000</v>
          </cell>
        </row>
        <row r="41">
          <cell r="A41" t="str">
            <v>Cà Rốt</v>
          </cell>
          <cell r="B41" t="str">
            <v>Kg</v>
          </cell>
          <cell r="C41">
            <v>10000</v>
          </cell>
        </row>
        <row r="42">
          <cell r="A42" t="str">
            <v>Cà Tím</v>
          </cell>
          <cell r="B42" t="str">
            <v>Kg</v>
          </cell>
          <cell r="C42">
            <v>8000</v>
          </cell>
        </row>
        <row r="43">
          <cell r="A43" t="str">
            <v>Cà Tím</v>
          </cell>
          <cell r="B43" t="str">
            <v>Kg</v>
          </cell>
          <cell r="C43">
            <v>8000</v>
          </cell>
        </row>
        <row r="44">
          <cell r="A44" t="str">
            <v>Chanh Dây Tím</v>
          </cell>
          <cell r="B44" t="str">
            <v>Kg</v>
          </cell>
          <cell r="C44">
            <v>27000</v>
          </cell>
        </row>
        <row r="45">
          <cell r="A45" t="str">
            <v>Chuối Laba</v>
          </cell>
          <cell r="B45" t="str">
            <v>Kg</v>
          </cell>
          <cell r="C45">
            <v>14000</v>
          </cell>
        </row>
        <row r="46">
          <cell r="A46" t="str">
            <v>Củ Cải Trắng</v>
          </cell>
          <cell r="B46" t="str">
            <v>Kg</v>
          </cell>
          <cell r="C46">
            <v>7000</v>
          </cell>
        </row>
        <row r="47">
          <cell r="A47" t="str">
            <v>Củ Cải Trắng</v>
          </cell>
          <cell r="B47" t="str">
            <v>Kg</v>
          </cell>
          <cell r="C47">
            <v>7000</v>
          </cell>
        </row>
        <row r="48">
          <cell r="A48" t="str">
            <v>Củ Dền</v>
          </cell>
          <cell r="B48" t="str">
            <v>Kg</v>
          </cell>
          <cell r="C48">
            <v>11000</v>
          </cell>
        </row>
        <row r="49">
          <cell r="A49" t="str">
            <v>Củ Gừng</v>
          </cell>
          <cell r="B49" t="str">
            <v>Kg</v>
          </cell>
          <cell r="C49">
            <v>18000</v>
          </cell>
        </row>
        <row r="50">
          <cell r="A50" t="str">
            <v>Củ Hành Tây</v>
          </cell>
          <cell r="B50" t="str">
            <v>Kg</v>
          </cell>
          <cell r="C50">
            <v>9500</v>
          </cell>
        </row>
        <row r="51">
          <cell r="A51" t="str">
            <v>Củ Hành Tây</v>
          </cell>
          <cell r="B51" t="str">
            <v>Kg</v>
          </cell>
          <cell r="C51">
            <v>10000</v>
          </cell>
        </row>
        <row r="52">
          <cell r="A52" t="str">
            <v>Củ Hành Tây Trung</v>
          </cell>
          <cell r="B52" t="str">
            <v>Kg</v>
          </cell>
          <cell r="C52">
            <v>7000</v>
          </cell>
        </row>
        <row r="53">
          <cell r="A53" t="str">
            <v>Củ Khoai Lang Nhật</v>
          </cell>
          <cell r="B53" t="str">
            <v>Kg</v>
          </cell>
          <cell r="C53">
            <v>16000</v>
          </cell>
        </row>
        <row r="54">
          <cell r="A54" t="str">
            <v>Củ Khoai Lang Nhật</v>
          </cell>
          <cell r="B54" t="str">
            <v>Kg</v>
          </cell>
          <cell r="C54">
            <v>18000</v>
          </cell>
        </row>
        <row r="55">
          <cell r="A55" t="str">
            <v>Củ Su Hào</v>
          </cell>
          <cell r="B55" t="str">
            <v>Kg</v>
          </cell>
          <cell r="C55">
            <v>13000</v>
          </cell>
        </row>
        <row r="56">
          <cell r="A56" t="str">
            <v>Đậu Cove Nhật</v>
          </cell>
          <cell r="B56" t="str">
            <v>Túi</v>
          </cell>
          <cell r="C56">
            <v>11000</v>
          </cell>
        </row>
        <row r="57">
          <cell r="A57" t="str">
            <v>Đậu Cove Trắng</v>
          </cell>
          <cell r="B57" t="str">
            <v>Túi 500gr</v>
          </cell>
          <cell r="C57">
            <v>13000</v>
          </cell>
        </row>
        <row r="58">
          <cell r="A58" t="str">
            <v>Đậu Cove Trắng</v>
          </cell>
          <cell r="B58" t="str">
            <v>Túi 500gr</v>
          </cell>
          <cell r="C58">
            <v>13000</v>
          </cell>
        </row>
        <row r="59">
          <cell r="A59" t="str">
            <v>Dưa Leo Baby</v>
          </cell>
          <cell r="B59" t="str">
            <v>Vỉ</v>
          </cell>
          <cell r="C59">
            <v>6500</v>
          </cell>
        </row>
        <row r="60">
          <cell r="A60" t="str">
            <v>Dưa Leo Baby</v>
          </cell>
          <cell r="B60" t="str">
            <v>Vỉ</v>
          </cell>
          <cell r="C60">
            <v>8000</v>
          </cell>
        </row>
        <row r="61">
          <cell r="A61" t="str">
            <v>Dưa Leo Thường</v>
          </cell>
          <cell r="B61" t="str">
            <v>Kg</v>
          </cell>
          <cell r="C61">
            <v>20000</v>
          </cell>
        </row>
        <row r="62">
          <cell r="A62" t="str">
            <v>Dưa Leo Thường</v>
          </cell>
          <cell r="B62" t="str">
            <v>Kg</v>
          </cell>
          <cell r="C62">
            <v>15000</v>
          </cell>
        </row>
        <row r="63">
          <cell r="A63" t="str">
            <v>Hành Paro</v>
          </cell>
          <cell r="B63" t="str">
            <v>Kg</v>
          </cell>
          <cell r="C63">
            <v>17000</v>
          </cell>
        </row>
        <row r="64">
          <cell r="A64" t="str">
            <v>Hành Paro</v>
          </cell>
          <cell r="B64" t="str">
            <v>Kg</v>
          </cell>
          <cell r="C64">
            <v>17000</v>
          </cell>
        </row>
        <row r="65">
          <cell r="A65" t="str">
            <v>Lá Nha Đam</v>
          </cell>
          <cell r="B65" t="str">
            <v>Kg</v>
          </cell>
          <cell r="C65">
            <v>14000</v>
          </cell>
        </row>
        <row r="66">
          <cell r="A66" t="str">
            <v>Măng Tây</v>
          </cell>
          <cell r="B66" t="str">
            <v>Kg</v>
          </cell>
          <cell r="C66">
            <v>50000</v>
          </cell>
        </row>
        <row r="67">
          <cell r="A67" t="str">
            <v>Măng Tây</v>
          </cell>
          <cell r="B67" t="str">
            <v>Kg</v>
          </cell>
          <cell r="C67">
            <v>40000</v>
          </cell>
        </row>
        <row r="68">
          <cell r="A68" t="str">
            <v>Ớt Chuông Đỏ</v>
          </cell>
          <cell r="B68" t="str">
            <v>Kg</v>
          </cell>
          <cell r="C68">
            <v>38000</v>
          </cell>
        </row>
        <row r="69">
          <cell r="A69" t="str">
            <v>Ớt Chuông Vàng</v>
          </cell>
          <cell r="B69" t="str">
            <v>Kg</v>
          </cell>
          <cell r="C69">
            <v>30000</v>
          </cell>
        </row>
        <row r="70">
          <cell r="A70" t="str">
            <v>Trái Khổ Qua</v>
          </cell>
          <cell r="B70" t="str">
            <v>Kg</v>
          </cell>
          <cell r="C70">
            <v>32000</v>
          </cell>
        </row>
        <row r="71">
          <cell r="A71" t="str">
            <v>Trái Su Su</v>
          </cell>
          <cell r="B71" t="str">
            <v>Kg</v>
          </cell>
          <cell r="C71">
            <v>8000</v>
          </cell>
        </row>
        <row r="72">
          <cell r="A72" t="str">
            <v>Trái Su Su</v>
          </cell>
          <cell r="B72" t="str">
            <v>Kg</v>
          </cell>
          <cell r="C72">
            <v>8000</v>
          </cell>
        </row>
        <row r="73">
          <cell r="A73" t="str">
            <v>Trái Su Su</v>
          </cell>
          <cell r="B73" t="str">
            <v>Kg</v>
          </cell>
          <cell r="C73">
            <v>9000</v>
          </cell>
        </row>
        <row r="74">
          <cell r="A74" t="str">
            <v>Xà Lách Lolo Xanh T.C</v>
          </cell>
          <cell r="B74" t="str">
            <v>Kg</v>
          </cell>
          <cell r="C74">
            <v>28000</v>
          </cell>
        </row>
        <row r="75">
          <cell r="A75" t="str">
            <v>Xà Lách Lolo Xanh T.C Cây</v>
          </cell>
          <cell r="B75" t="str">
            <v>Cây</v>
          </cell>
          <cell r="C75">
            <v>6800</v>
          </cell>
        </row>
        <row r="76">
          <cell r="A76" t="str">
            <v>Xà Lách Lolo Xanh T.C Cây</v>
          </cell>
          <cell r="B76" t="str">
            <v>Cây</v>
          </cell>
          <cell r="C76">
            <v>6800</v>
          </cell>
        </row>
        <row r="77">
          <cell r="A77" t="str">
            <v>Xà Lách Mỡ T.C</v>
          </cell>
          <cell r="B77" t="str">
            <v>Kg</v>
          </cell>
          <cell r="C77">
            <v>28000</v>
          </cell>
        </row>
        <row r="78">
          <cell r="A78" t="str">
            <v>Xà Lách Mỡ T.C Cây</v>
          </cell>
          <cell r="B78" t="str">
            <v>Cây</v>
          </cell>
          <cell r="C78">
            <v>6800</v>
          </cell>
        </row>
        <row r="79">
          <cell r="A79" t="str">
            <v>Xà Lách Mỡ T.C Cây</v>
          </cell>
          <cell r="B79" t="str">
            <v>Cây</v>
          </cell>
          <cell r="C79">
            <v>6800</v>
          </cell>
        </row>
        <row r="80">
          <cell r="A80" t="str">
            <v>Xà Lách Thủy Tinh T.C Cây</v>
          </cell>
          <cell r="B80" t="str">
            <v>Cây</v>
          </cell>
          <cell r="C80">
            <v>6800</v>
          </cell>
        </row>
        <row r="81">
          <cell r="A81" t="str">
            <v>Xà Lách Thủy Tinh T.C Cây</v>
          </cell>
          <cell r="B81" t="str">
            <v>Cây</v>
          </cell>
          <cell r="C81">
            <v>7000</v>
          </cell>
        </row>
        <row r="82">
          <cell r="A82" t="str">
            <v>Xà Lách Thủy Tinh T.C Cây</v>
          </cell>
          <cell r="B82" t="str">
            <v>Cây</v>
          </cell>
          <cell r="C82">
            <v>6800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Ổ CHI TIẾT MUA HÀNG"/>
    </sheetNames>
    <sheetDataSet>
      <sheetData sheetId="0">
        <row r="5">
          <cell r="A5" t="str">
            <v>Bắp Cải Trái Tim</v>
          </cell>
          <cell r="B5" t="str">
            <v>Kg</v>
          </cell>
          <cell r="C5">
            <v>400</v>
          </cell>
          <cell r="D5">
            <v>5000</v>
          </cell>
        </row>
        <row r="6">
          <cell r="A6" t="str">
            <v>Bắp Cải Trắng</v>
          </cell>
          <cell r="B6" t="str">
            <v>Kg</v>
          </cell>
          <cell r="C6">
            <v>468</v>
          </cell>
          <cell r="D6">
            <v>6000</v>
          </cell>
        </row>
        <row r="7">
          <cell r="A7" t="str">
            <v>Bí Ngòi Xanh</v>
          </cell>
          <cell r="B7" t="str">
            <v>Kg</v>
          </cell>
          <cell r="C7">
            <v>70</v>
          </cell>
          <cell r="D7">
            <v>13000</v>
          </cell>
        </row>
        <row r="8">
          <cell r="A8" t="str">
            <v>Bí Ngòi Xanh</v>
          </cell>
          <cell r="B8" t="str">
            <v>Kg</v>
          </cell>
          <cell r="C8">
            <v>35</v>
          </cell>
          <cell r="D8">
            <v>16000</v>
          </cell>
        </row>
        <row r="9">
          <cell r="A9" t="str">
            <v>Bông Cải Xanh 7Cm</v>
          </cell>
          <cell r="B9" t="str">
            <v>Kg</v>
          </cell>
          <cell r="C9">
            <v>37</v>
          </cell>
          <cell r="D9">
            <v>17000</v>
          </cell>
        </row>
        <row r="10">
          <cell r="A10" t="str">
            <v>Bông Cải Xanh 7Cm</v>
          </cell>
          <cell r="B10" t="str">
            <v>Kg</v>
          </cell>
          <cell r="C10">
            <v>28</v>
          </cell>
          <cell r="D10">
            <v>22000</v>
          </cell>
        </row>
        <row r="11">
          <cell r="A11" t="str">
            <v>Bông Cải Xanh 7Cm</v>
          </cell>
          <cell r="B11" t="str">
            <v>Kg</v>
          </cell>
          <cell r="C11">
            <v>70</v>
          </cell>
          <cell r="D11">
            <v>22000</v>
          </cell>
        </row>
        <row r="12">
          <cell r="A12" t="str">
            <v>Bông Cải Xanh 7Cm</v>
          </cell>
          <cell r="B12" t="str">
            <v>Kg</v>
          </cell>
          <cell r="C12">
            <v>32</v>
          </cell>
          <cell r="D12">
            <v>22000</v>
          </cell>
        </row>
        <row r="13">
          <cell r="A13" t="str">
            <v>Cà Chua Beef</v>
          </cell>
          <cell r="B13" t="str">
            <v>Kg</v>
          </cell>
          <cell r="C13">
            <v>40</v>
          </cell>
          <cell r="D13">
            <v>16000</v>
          </cell>
        </row>
        <row r="14">
          <cell r="A14" t="str">
            <v>Cà Chua Beef</v>
          </cell>
          <cell r="B14" t="str">
            <v>Kg</v>
          </cell>
          <cell r="C14">
            <v>150</v>
          </cell>
          <cell r="D14">
            <v>18000</v>
          </cell>
        </row>
        <row r="15">
          <cell r="A15" t="str">
            <v>Cà Chua Beef</v>
          </cell>
          <cell r="B15" t="str">
            <v>Kg</v>
          </cell>
          <cell r="C15">
            <v>100</v>
          </cell>
          <cell r="D15">
            <v>16000</v>
          </cell>
        </row>
        <row r="16">
          <cell r="A16" t="str">
            <v>Cà Chua Bi Cam Sữa</v>
          </cell>
          <cell r="B16" t="str">
            <v>Kg</v>
          </cell>
          <cell r="C16">
            <v>5</v>
          </cell>
          <cell r="D16">
            <v>45000</v>
          </cell>
        </row>
        <row r="17">
          <cell r="A17" t="str">
            <v>Cà Chua Bi Đỏ</v>
          </cell>
          <cell r="B17" t="str">
            <v>Kg</v>
          </cell>
          <cell r="C17">
            <v>5</v>
          </cell>
          <cell r="D17">
            <v>45000</v>
          </cell>
        </row>
        <row r="18">
          <cell r="A18" t="str">
            <v>Cà Chua Bi Mix</v>
          </cell>
          <cell r="B18" t="str">
            <v>Hộp</v>
          </cell>
          <cell r="C18">
            <v>60</v>
          </cell>
          <cell r="D18">
            <v>12000</v>
          </cell>
        </row>
        <row r="19">
          <cell r="A19" t="str">
            <v>Cà Chua Socola</v>
          </cell>
          <cell r="B19" t="str">
            <v>Kg</v>
          </cell>
          <cell r="C19">
            <v>50</v>
          </cell>
          <cell r="D19">
            <v>39000</v>
          </cell>
        </row>
        <row r="20">
          <cell r="A20" t="str">
            <v>Cà Chua Socola</v>
          </cell>
          <cell r="B20" t="str">
            <v>Hộp 300gr</v>
          </cell>
          <cell r="C20">
            <v>60</v>
          </cell>
          <cell r="D20">
            <v>12000</v>
          </cell>
        </row>
        <row r="21">
          <cell r="A21" t="str">
            <v>Cải Bó Xôi</v>
          </cell>
          <cell r="B21" t="str">
            <v>Kg</v>
          </cell>
          <cell r="C21">
            <v>45</v>
          </cell>
          <cell r="D21">
            <v>22000</v>
          </cell>
        </row>
        <row r="22">
          <cell r="A22" t="str">
            <v>Cải Kale</v>
          </cell>
          <cell r="B22" t="str">
            <v>Túi</v>
          </cell>
          <cell r="C22">
            <v>53</v>
          </cell>
          <cell r="D22">
            <v>7500</v>
          </cell>
        </row>
        <row r="23">
          <cell r="A23" t="str">
            <v>Cải Thảo</v>
          </cell>
          <cell r="B23" t="str">
            <v>Kg</v>
          </cell>
          <cell r="C23">
            <v>200</v>
          </cell>
          <cell r="D23">
            <v>5500</v>
          </cell>
        </row>
        <row r="24">
          <cell r="A24" t="str">
            <v>Cải Thảo</v>
          </cell>
          <cell r="B24" t="str">
            <v>Kg</v>
          </cell>
          <cell r="C24">
            <v>1750</v>
          </cell>
          <cell r="D24">
            <v>5500</v>
          </cell>
        </row>
        <row r="25">
          <cell r="A25" t="str">
            <v>Cải Thảo Hỏa Tiễn</v>
          </cell>
          <cell r="B25" t="str">
            <v>Kg</v>
          </cell>
          <cell r="C25">
            <v>13</v>
          </cell>
          <cell r="D25">
            <v>14000</v>
          </cell>
        </row>
        <row r="26">
          <cell r="A26" t="str">
            <v>Cải Thảo Kim Chi</v>
          </cell>
          <cell r="B26" t="str">
            <v>Kg</v>
          </cell>
          <cell r="C26">
            <v>140</v>
          </cell>
          <cell r="D26">
            <v>3000</v>
          </cell>
        </row>
        <row r="27">
          <cell r="A27" t="str">
            <v>Cà Rốt</v>
          </cell>
          <cell r="B27" t="str">
            <v>Kg</v>
          </cell>
          <cell r="C27">
            <v>216</v>
          </cell>
          <cell r="D27">
            <v>10000</v>
          </cell>
        </row>
        <row r="28">
          <cell r="A28" t="str">
            <v>Củ Cải Trắng</v>
          </cell>
          <cell r="B28" t="str">
            <v>Kg</v>
          </cell>
          <cell r="C28">
            <v>150</v>
          </cell>
          <cell r="D28">
            <v>6500</v>
          </cell>
        </row>
        <row r="29">
          <cell r="A29" t="str">
            <v>Củ Dền</v>
          </cell>
          <cell r="B29" t="str">
            <v>Kg</v>
          </cell>
          <cell r="C29">
            <v>60</v>
          </cell>
          <cell r="D29">
            <v>11000</v>
          </cell>
        </row>
        <row r="30">
          <cell r="A30" t="str">
            <v>Củ Gừng</v>
          </cell>
          <cell r="B30" t="str">
            <v>Kg</v>
          </cell>
          <cell r="C30">
            <v>6</v>
          </cell>
          <cell r="D30">
            <v>18000</v>
          </cell>
        </row>
        <row r="31">
          <cell r="A31" t="str">
            <v>Củ Khoai Lang Nhật</v>
          </cell>
          <cell r="B31" t="str">
            <v>Kg</v>
          </cell>
          <cell r="C31">
            <v>200</v>
          </cell>
          <cell r="D31">
            <v>18000</v>
          </cell>
        </row>
        <row r="32">
          <cell r="A32" t="str">
            <v>Củ Khoai Lang Nhật</v>
          </cell>
          <cell r="B32" t="str">
            <v>Kg</v>
          </cell>
          <cell r="C32">
            <v>100</v>
          </cell>
          <cell r="D32">
            <v>18000</v>
          </cell>
        </row>
        <row r="33">
          <cell r="A33" t="str">
            <v>Củ Su Hào</v>
          </cell>
          <cell r="B33" t="str">
            <v>Kg</v>
          </cell>
          <cell r="C33">
            <v>80</v>
          </cell>
          <cell r="D33">
            <v>13000</v>
          </cell>
        </row>
        <row r="34">
          <cell r="A34" t="str">
            <v>Đậu Cove Nhật</v>
          </cell>
          <cell r="B34" t="str">
            <v>Túi</v>
          </cell>
          <cell r="C34">
            <v>9</v>
          </cell>
          <cell r="D34">
            <v>11000</v>
          </cell>
        </row>
        <row r="35">
          <cell r="A35" t="str">
            <v>Đậu Cove Trắng</v>
          </cell>
          <cell r="B35" t="str">
            <v>Túi 500gr</v>
          </cell>
          <cell r="C35">
            <v>33</v>
          </cell>
          <cell r="D35">
            <v>13000</v>
          </cell>
        </row>
        <row r="36">
          <cell r="A36" t="str">
            <v>Đậu Cove Trắng</v>
          </cell>
          <cell r="B36" t="str">
            <v>Túi 500gr</v>
          </cell>
          <cell r="C36">
            <v>40</v>
          </cell>
          <cell r="D36">
            <v>13000</v>
          </cell>
        </row>
        <row r="37">
          <cell r="A37" t="str">
            <v>Dưa Leo Baby</v>
          </cell>
          <cell r="B37" t="str">
            <v>Kg</v>
          </cell>
          <cell r="C37">
            <v>181</v>
          </cell>
          <cell r="D37">
            <v>9500</v>
          </cell>
        </row>
        <row r="38">
          <cell r="A38" t="str">
            <v>Dưa Leo Baby</v>
          </cell>
          <cell r="B38" t="str">
            <v>Kg</v>
          </cell>
          <cell r="C38">
            <v>50</v>
          </cell>
          <cell r="D38">
            <v>8000</v>
          </cell>
        </row>
        <row r="39">
          <cell r="A39" t="str">
            <v>Dưa Leo Baby</v>
          </cell>
          <cell r="B39" t="str">
            <v>Vỉ</v>
          </cell>
          <cell r="C39">
            <v>133</v>
          </cell>
          <cell r="D39">
            <v>7000</v>
          </cell>
        </row>
        <row r="40">
          <cell r="A40" t="str">
            <v>Dưa Leo Baby</v>
          </cell>
          <cell r="B40" t="str">
            <v>Vỉ</v>
          </cell>
          <cell r="C40">
            <v>500</v>
          </cell>
          <cell r="D40">
            <v>6500</v>
          </cell>
        </row>
        <row r="41">
          <cell r="A41" t="str">
            <v>Dưa Leo Thường</v>
          </cell>
          <cell r="B41" t="str">
            <v>Kg</v>
          </cell>
          <cell r="C41">
            <v>80</v>
          </cell>
          <cell r="D41">
            <v>13000</v>
          </cell>
        </row>
        <row r="42">
          <cell r="A42" t="str">
            <v>Dưa Leo Thường</v>
          </cell>
          <cell r="B42" t="str">
            <v>Kg</v>
          </cell>
          <cell r="C42">
            <v>50</v>
          </cell>
          <cell r="D42">
            <v>20000</v>
          </cell>
        </row>
        <row r="43">
          <cell r="A43" t="str">
            <v>Gia Công Rau Củ Quả</v>
          </cell>
          <cell r="B43" t="str">
            <v>Kg</v>
          </cell>
          <cell r="C43">
            <v>231</v>
          </cell>
          <cell r="D43">
            <v>700</v>
          </cell>
        </row>
        <row r="44">
          <cell r="A44" t="str">
            <v>Gia Công Rau Củ Quả</v>
          </cell>
          <cell r="B44" t="str">
            <v>Kg</v>
          </cell>
          <cell r="C44">
            <v>170</v>
          </cell>
          <cell r="D44">
            <v>1700</v>
          </cell>
        </row>
        <row r="45">
          <cell r="A45" t="str">
            <v>Hành Paro</v>
          </cell>
          <cell r="B45" t="str">
            <v>Kg</v>
          </cell>
          <cell r="C45">
            <v>60</v>
          </cell>
          <cell r="D45">
            <v>17000</v>
          </cell>
        </row>
        <row r="46">
          <cell r="A46" t="str">
            <v>Hành Paro</v>
          </cell>
          <cell r="B46" t="str">
            <v>Kg</v>
          </cell>
          <cell r="C46">
            <v>10</v>
          </cell>
          <cell r="D46">
            <v>17000</v>
          </cell>
        </row>
        <row r="47">
          <cell r="A47" t="str">
            <v>Lá Nha Đam</v>
          </cell>
          <cell r="B47" t="str">
            <v>Kg</v>
          </cell>
          <cell r="C47">
            <v>10</v>
          </cell>
          <cell r="D47">
            <v>14000</v>
          </cell>
        </row>
        <row r="48">
          <cell r="A48" t="str">
            <v>Măng Tây</v>
          </cell>
          <cell r="B48" t="str">
            <v>Kg</v>
          </cell>
          <cell r="C48">
            <v>15</v>
          </cell>
          <cell r="D48">
            <v>50000</v>
          </cell>
        </row>
        <row r="49">
          <cell r="A49" t="str">
            <v>Ớt Sweet Palemo</v>
          </cell>
          <cell r="B49" t="str">
            <v>Kg</v>
          </cell>
          <cell r="C49">
            <v>51</v>
          </cell>
          <cell r="D49">
            <v>55000</v>
          </cell>
        </row>
        <row r="50">
          <cell r="A50" t="str">
            <v>Rau Bầu Đất</v>
          </cell>
          <cell r="B50" t="str">
            <v>Kg</v>
          </cell>
          <cell r="C50">
            <v>6.8</v>
          </cell>
          <cell r="D50">
            <v>35000</v>
          </cell>
        </row>
        <row r="51">
          <cell r="A51" t="str">
            <v>Trái Su Su</v>
          </cell>
          <cell r="B51" t="str">
            <v>Kg</v>
          </cell>
          <cell r="C51">
            <v>60</v>
          </cell>
          <cell r="D51">
            <v>6000</v>
          </cell>
        </row>
        <row r="52">
          <cell r="A52" t="str">
            <v>Trái Su Su</v>
          </cell>
          <cell r="B52" t="str">
            <v>Kg</v>
          </cell>
          <cell r="C52">
            <v>45</v>
          </cell>
          <cell r="D52">
            <v>10000</v>
          </cell>
        </row>
        <row r="53">
          <cell r="A53" t="str">
            <v>Trái Su Su</v>
          </cell>
          <cell r="B53" t="str">
            <v>Kg</v>
          </cell>
          <cell r="C53">
            <v>60</v>
          </cell>
          <cell r="D53">
            <v>9000</v>
          </cell>
        </row>
        <row r="54">
          <cell r="A54" t="str">
            <v>Trái Su Su</v>
          </cell>
          <cell r="B54" t="str">
            <v>Kg</v>
          </cell>
          <cell r="C54">
            <v>110</v>
          </cell>
          <cell r="D54">
            <v>6000</v>
          </cell>
        </row>
        <row r="55">
          <cell r="A55" t="str">
            <v>Xà Lách Lolo Xanh</v>
          </cell>
          <cell r="B55" t="str">
            <v>Kg</v>
          </cell>
          <cell r="C55">
            <v>220</v>
          </cell>
          <cell r="D55">
            <v>18000</v>
          </cell>
        </row>
        <row r="56">
          <cell r="A56" t="str">
            <v>Xà Lách Lolo Xanh T.C</v>
          </cell>
          <cell r="B56" t="str">
            <v>Kg</v>
          </cell>
          <cell r="C56">
            <v>15</v>
          </cell>
          <cell r="D56">
            <v>28000</v>
          </cell>
        </row>
        <row r="57">
          <cell r="A57" t="str">
            <v>Xà Lách Lolo Xanh T.C Cây</v>
          </cell>
          <cell r="B57" t="str">
            <v>Cây</v>
          </cell>
          <cell r="C57">
            <v>130</v>
          </cell>
          <cell r="D57">
            <v>6800</v>
          </cell>
        </row>
        <row r="58">
          <cell r="A58" t="str">
            <v>Xà Lách Lolo Xanh T.C Cây</v>
          </cell>
          <cell r="B58" t="str">
            <v>Cây</v>
          </cell>
          <cell r="C58">
            <v>60</v>
          </cell>
          <cell r="D58">
            <v>6800</v>
          </cell>
        </row>
        <row r="59">
          <cell r="A59" t="str">
            <v>Xà Lách Mỡ T.C</v>
          </cell>
          <cell r="B59" t="str">
            <v>Kg</v>
          </cell>
          <cell r="C59">
            <v>40</v>
          </cell>
          <cell r="D59">
            <v>28000</v>
          </cell>
        </row>
        <row r="60">
          <cell r="A60" t="str">
            <v>Xà Lách Mỡ T.C Cây</v>
          </cell>
          <cell r="B60" t="str">
            <v>Cây</v>
          </cell>
          <cell r="C60">
            <v>110</v>
          </cell>
          <cell r="D60">
            <v>6800</v>
          </cell>
        </row>
        <row r="61">
          <cell r="A61" t="str">
            <v>Xà Lách Mỡ T.C Cây</v>
          </cell>
          <cell r="B61" t="str">
            <v>Cây</v>
          </cell>
          <cell r="C61">
            <v>15</v>
          </cell>
          <cell r="D61">
            <v>6800</v>
          </cell>
        </row>
        <row r="62">
          <cell r="A62" t="str">
            <v>Xà Lách Thủy Tinh T.C</v>
          </cell>
          <cell r="B62" t="str">
            <v>Kg</v>
          </cell>
          <cell r="C62">
            <v>5</v>
          </cell>
          <cell r="D62">
            <v>30000</v>
          </cell>
        </row>
        <row r="63">
          <cell r="A63" t="str">
            <v>Xà Lách Thủy Tinh T.C Cây</v>
          </cell>
          <cell r="B63" t="str">
            <v>Cây</v>
          </cell>
          <cell r="C63">
            <v>200</v>
          </cell>
          <cell r="D63">
            <v>6800</v>
          </cell>
        </row>
        <row r="64">
          <cell r="A64" t="str">
            <v>Xà Lách Thủy Tinh T.C Cây</v>
          </cell>
          <cell r="B64" t="str">
            <v>Cây</v>
          </cell>
          <cell r="C64">
            <v>210</v>
          </cell>
          <cell r="D64">
            <v>7000</v>
          </cell>
        </row>
        <row r="65">
          <cell r="A65" t="str">
            <v>Xà Lách Thủy Tinh T.C Cây</v>
          </cell>
          <cell r="B65" t="str">
            <v>Cây</v>
          </cell>
          <cell r="C65">
            <v>405</v>
          </cell>
          <cell r="D65">
            <v>6800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155"/>
  <sheetViews>
    <sheetView topLeftCell="A95" zoomScale="70" zoomScaleNormal="70" workbookViewId="0">
      <selection activeCell="L116" sqref="L116"/>
    </sheetView>
  </sheetViews>
  <sheetFormatPr defaultRowHeight="14.4" x14ac:dyDescent="0.3"/>
  <cols>
    <col min="1" max="1" width="31" customWidth="1"/>
    <col min="4" max="4" width="14.109375" customWidth="1"/>
    <col min="5" max="5" width="17.77734375" customWidth="1"/>
  </cols>
  <sheetData>
    <row r="1" spans="1:5" x14ac:dyDescent="0.3">
      <c r="A1" t="s">
        <v>101</v>
      </c>
    </row>
    <row r="2" spans="1:5" x14ac:dyDescent="0.3">
      <c r="A2" t="s">
        <v>0</v>
      </c>
      <c r="B2" t="s">
        <v>1</v>
      </c>
      <c r="C2" t="s">
        <v>107</v>
      </c>
      <c r="D2" t="s">
        <v>108</v>
      </c>
      <c r="E2" t="s">
        <v>109</v>
      </c>
    </row>
    <row r="3" spans="1:5" hidden="1" x14ac:dyDescent="0.3">
      <c r="A3" t="s">
        <v>2</v>
      </c>
      <c r="B3" t="s">
        <v>3</v>
      </c>
      <c r="C3">
        <v>0</v>
      </c>
      <c r="E3">
        <f>C3*D3</f>
        <v>0</v>
      </c>
    </row>
    <row r="4" spans="1:5" x14ac:dyDescent="0.3">
      <c r="A4" t="s">
        <v>4</v>
      </c>
      <c r="B4" t="s">
        <v>3</v>
      </c>
      <c r="C4">
        <v>310</v>
      </c>
      <c r="D4">
        <v>7500</v>
      </c>
      <c r="E4">
        <f t="shared" ref="E4:E67" si="0">C4*D4</f>
        <v>2325000</v>
      </c>
    </row>
    <row r="5" spans="1:5" x14ac:dyDescent="0.3">
      <c r="A5" t="s">
        <v>5</v>
      </c>
      <c r="B5" t="s">
        <v>3</v>
      </c>
      <c r="C5">
        <v>462</v>
      </c>
      <c r="D5">
        <v>5500</v>
      </c>
      <c r="E5">
        <f t="shared" si="0"/>
        <v>2541000</v>
      </c>
    </row>
    <row r="6" spans="1:5" x14ac:dyDescent="0.3">
      <c r="A6" t="s">
        <v>6</v>
      </c>
      <c r="B6" t="s">
        <v>3</v>
      </c>
      <c r="C6">
        <v>3</v>
      </c>
      <c r="D6">
        <v>11500</v>
      </c>
      <c r="E6">
        <f t="shared" si="0"/>
        <v>34500</v>
      </c>
    </row>
    <row r="7" spans="1:5" x14ac:dyDescent="0.3">
      <c r="A7" t="s">
        <v>7</v>
      </c>
      <c r="B7" t="s">
        <v>3</v>
      </c>
      <c r="C7">
        <v>108</v>
      </c>
      <c r="D7">
        <v>11000</v>
      </c>
      <c r="E7">
        <f t="shared" si="0"/>
        <v>1188000</v>
      </c>
    </row>
    <row r="8" spans="1:5" x14ac:dyDescent="0.3">
      <c r="A8" t="s">
        <v>8</v>
      </c>
      <c r="B8" t="s">
        <v>3</v>
      </c>
      <c r="C8">
        <v>465</v>
      </c>
      <c r="D8">
        <v>10000</v>
      </c>
      <c r="E8">
        <f t="shared" si="0"/>
        <v>4650000</v>
      </c>
    </row>
    <row r="9" spans="1:5" hidden="1" x14ac:dyDescent="0.3">
      <c r="A9" t="s">
        <v>8</v>
      </c>
      <c r="B9" t="s">
        <v>9</v>
      </c>
      <c r="C9">
        <v>0</v>
      </c>
      <c r="E9">
        <f t="shared" si="0"/>
        <v>0</v>
      </c>
    </row>
    <row r="10" spans="1:5" hidden="1" x14ac:dyDescent="0.3">
      <c r="A10" t="s">
        <v>10</v>
      </c>
      <c r="B10" t="s">
        <v>3</v>
      </c>
      <c r="C10">
        <v>0</v>
      </c>
      <c r="E10">
        <f t="shared" si="0"/>
        <v>0</v>
      </c>
    </row>
    <row r="11" spans="1:5" hidden="1" x14ac:dyDescent="0.3">
      <c r="A11" t="s">
        <v>10</v>
      </c>
      <c r="B11" t="s">
        <v>9</v>
      </c>
      <c r="C11">
        <v>0</v>
      </c>
      <c r="E11">
        <f t="shared" si="0"/>
        <v>0</v>
      </c>
    </row>
    <row r="12" spans="1:5" hidden="1" x14ac:dyDescent="0.3">
      <c r="A12" t="s">
        <v>11</v>
      </c>
      <c r="B12" t="s">
        <v>3</v>
      </c>
      <c r="C12">
        <v>0</v>
      </c>
      <c r="E12">
        <f t="shared" si="0"/>
        <v>0</v>
      </c>
    </row>
    <row r="13" spans="1:5" x14ac:dyDescent="0.3">
      <c r="A13" t="s">
        <v>12</v>
      </c>
      <c r="B13" t="s">
        <v>3</v>
      </c>
      <c r="C13">
        <v>12</v>
      </c>
      <c r="D13">
        <v>15000</v>
      </c>
      <c r="E13">
        <f t="shared" si="0"/>
        <v>180000</v>
      </c>
    </row>
    <row r="14" spans="1:5" x14ac:dyDescent="0.3">
      <c r="A14" t="s">
        <v>13</v>
      </c>
      <c r="B14" t="s">
        <v>3</v>
      </c>
      <c r="C14">
        <v>24</v>
      </c>
      <c r="D14">
        <v>20000</v>
      </c>
      <c r="E14">
        <f t="shared" si="0"/>
        <v>480000</v>
      </c>
    </row>
    <row r="15" spans="1:5" hidden="1" x14ac:dyDescent="0.3">
      <c r="A15" t="s">
        <v>14</v>
      </c>
      <c r="B15" t="s">
        <v>3</v>
      </c>
      <c r="C15">
        <v>0</v>
      </c>
      <c r="E15">
        <f t="shared" si="0"/>
        <v>0</v>
      </c>
    </row>
    <row r="16" spans="1:5" x14ac:dyDescent="0.3">
      <c r="A16" t="s">
        <v>15</v>
      </c>
      <c r="B16" t="s">
        <v>3</v>
      </c>
      <c r="C16">
        <v>34</v>
      </c>
      <c r="D16">
        <v>33000</v>
      </c>
      <c r="E16">
        <f t="shared" si="0"/>
        <v>1122000</v>
      </c>
    </row>
    <row r="17" spans="1:5" x14ac:dyDescent="0.3">
      <c r="A17" t="s">
        <v>16</v>
      </c>
      <c r="B17" t="s">
        <v>17</v>
      </c>
      <c r="C17">
        <v>22</v>
      </c>
      <c r="D17">
        <v>8000</v>
      </c>
      <c r="E17">
        <f t="shared" si="0"/>
        <v>176000</v>
      </c>
    </row>
    <row r="18" spans="1:5" x14ac:dyDescent="0.3">
      <c r="A18" t="s">
        <v>18</v>
      </c>
      <c r="B18" t="s">
        <v>3</v>
      </c>
      <c r="C18">
        <v>85</v>
      </c>
      <c r="D18">
        <v>15000</v>
      </c>
      <c r="E18">
        <f t="shared" si="0"/>
        <v>1275000</v>
      </c>
    </row>
    <row r="19" spans="1:5" hidden="1" x14ac:dyDescent="0.3">
      <c r="A19" t="s">
        <v>18</v>
      </c>
      <c r="B19" t="s">
        <v>17</v>
      </c>
      <c r="C19">
        <v>0</v>
      </c>
      <c r="E19">
        <f t="shared" si="0"/>
        <v>0</v>
      </c>
    </row>
    <row r="20" spans="1:5" hidden="1" x14ac:dyDescent="0.3">
      <c r="A20" t="s">
        <v>18</v>
      </c>
      <c r="B20" t="s">
        <v>19</v>
      </c>
      <c r="C20">
        <v>0</v>
      </c>
      <c r="E20">
        <f t="shared" si="0"/>
        <v>0</v>
      </c>
    </row>
    <row r="21" spans="1:5" x14ac:dyDescent="0.3">
      <c r="A21" t="s">
        <v>20</v>
      </c>
      <c r="B21" t="s">
        <v>3</v>
      </c>
      <c r="C21">
        <v>13</v>
      </c>
      <c r="D21">
        <v>14000</v>
      </c>
      <c r="E21">
        <f t="shared" si="0"/>
        <v>182000</v>
      </c>
    </row>
    <row r="22" spans="1:5" x14ac:dyDescent="0.3">
      <c r="A22" t="s">
        <v>20</v>
      </c>
      <c r="B22" t="s">
        <v>21</v>
      </c>
      <c r="C22">
        <v>95</v>
      </c>
      <c r="D22">
        <v>7000</v>
      </c>
      <c r="E22">
        <f t="shared" si="0"/>
        <v>665000</v>
      </c>
    </row>
    <row r="23" spans="1:5" x14ac:dyDescent="0.3">
      <c r="A23" t="s">
        <v>22</v>
      </c>
      <c r="B23" t="s">
        <v>3</v>
      </c>
      <c r="C23">
        <v>5</v>
      </c>
      <c r="D23">
        <v>24000</v>
      </c>
      <c r="E23">
        <f t="shared" si="0"/>
        <v>120000</v>
      </c>
    </row>
    <row r="24" spans="1:5" x14ac:dyDescent="0.3">
      <c r="A24" t="s">
        <v>22</v>
      </c>
      <c r="B24" t="s">
        <v>23</v>
      </c>
      <c r="C24">
        <v>73</v>
      </c>
      <c r="D24">
        <v>7200</v>
      </c>
      <c r="E24">
        <f t="shared" si="0"/>
        <v>525600</v>
      </c>
    </row>
    <row r="25" spans="1:5" x14ac:dyDescent="0.3">
      <c r="A25" t="s">
        <v>24</v>
      </c>
      <c r="B25" t="s">
        <v>25</v>
      </c>
      <c r="C25">
        <v>5</v>
      </c>
      <c r="D25">
        <v>12000</v>
      </c>
      <c r="E25">
        <f t="shared" si="0"/>
        <v>60000</v>
      </c>
    </row>
    <row r="26" spans="1:5" x14ac:dyDescent="0.3">
      <c r="A26" t="s">
        <v>26</v>
      </c>
      <c r="B26" t="s">
        <v>3</v>
      </c>
      <c r="C26">
        <v>5</v>
      </c>
      <c r="D26">
        <v>28000</v>
      </c>
      <c r="E26">
        <f t="shared" si="0"/>
        <v>140000</v>
      </c>
    </row>
    <row r="27" spans="1:5" x14ac:dyDescent="0.3">
      <c r="A27" t="s">
        <v>26</v>
      </c>
      <c r="B27" t="s">
        <v>27</v>
      </c>
      <c r="C27">
        <v>370</v>
      </c>
      <c r="D27">
        <v>9000</v>
      </c>
      <c r="E27">
        <f t="shared" si="0"/>
        <v>3330000</v>
      </c>
    </row>
    <row r="28" spans="1:5" x14ac:dyDescent="0.3">
      <c r="A28" t="s">
        <v>28</v>
      </c>
      <c r="B28" t="s">
        <v>3</v>
      </c>
      <c r="C28">
        <v>532</v>
      </c>
      <c r="D28">
        <v>16000</v>
      </c>
      <c r="E28">
        <f t="shared" si="0"/>
        <v>8512000</v>
      </c>
    </row>
    <row r="29" spans="1:5" hidden="1" x14ac:dyDescent="0.3">
      <c r="A29" t="s">
        <v>28</v>
      </c>
      <c r="B29" t="s">
        <v>17</v>
      </c>
      <c r="C29">
        <v>0</v>
      </c>
      <c r="E29">
        <f t="shared" si="0"/>
        <v>0</v>
      </c>
    </row>
    <row r="30" spans="1:5" x14ac:dyDescent="0.3">
      <c r="A30" t="s">
        <v>29</v>
      </c>
      <c r="B30" t="s">
        <v>30</v>
      </c>
      <c r="C30">
        <v>140</v>
      </c>
      <c r="D30">
        <v>14000</v>
      </c>
      <c r="E30">
        <f t="shared" si="0"/>
        <v>1960000</v>
      </c>
    </row>
    <row r="31" spans="1:5" x14ac:dyDescent="0.3">
      <c r="A31" t="s">
        <v>31</v>
      </c>
      <c r="B31" t="s">
        <v>3</v>
      </c>
      <c r="C31">
        <v>67</v>
      </c>
      <c r="D31">
        <v>11000</v>
      </c>
      <c r="E31">
        <f t="shared" si="0"/>
        <v>737000</v>
      </c>
    </row>
    <row r="32" spans="1:5" hidden="1" x14ac:dyDescent="0.3">
      <c r="A32" t="s">
        <v>31</v>
      </c>
      <c r="B32" t="s">
        <v>30</v>
      </c>
      <c r="C32">
        <v>0</v>
      </c>
      <c r="E32">
        <f t="shared" si="0"/>
        <v>0</v>
      </c>
    </row>
    <row r="33" spans="1:5" x14ac:dyDescent="0.3">
      <c r="A33" t="s">
        <v>32</v>
      </c>
      <c r="B33" t="s">
        <v>17</v>
      </c>
      <c r="C33">
        <v>7</v>
      </c>
      <c r="D33">
        <v>10000</v>
      </c>
      <c r="E33">
        <f t="shared" si="0"/>
        <v>70000</v>
      </c>
    </row>
    <row r="34" spans="1:5" x14ac:dyDescent="0.3">
      <c r="A34" t="s">
        <v>33</v>
      </c>
      <c r="B34" t="s">
        <v>3</v>
      </c>
      <c r="C34">
        <v>69</v>
      </c>
      <c r="D34">
        <v>8000</v>
      </c>
      <c r="E34">
        <f t="shared" si="0"/>
        <v>552000</v>
      </c>
    </row>
    <row r="35" spans="1:5" hidden="1" x14ac:dyDescent="0.3">
      <c r="A35" t="s">
        <v>33</v>
      </c>
      <c r="B35" t="s">
        <v>34</v>
      </c>
      <c r="C35">
        <v>0</v>
      </c>
      <c r="E35">
        <f t="shared" si="0"/>
        <v>0</v>
      </c>
    </row>
    <row r="36" spans="1:5" x14ac:dyDescent="0.3">
      <c r="A36" t="s">
        <v>35</v>
      </c>
      <c r="B36" t="s">
        <v>3</v>
      </c>
      <c r="C36">
        <v>20</v>
      </c>
      <c r="D36">
        <v>28000</v>
      </c>
      <c r="E36">
        <f t="shared" si="0"/>
        <v>560000</v>
      </c>
    </row>
    <row r="37" spans="1:5" hidden="1" x14ac:dyDescent="0.3">
      <c r="A37" t="s">
        <v>35</v>
      </c>
      <c r="B37" t="s">
        <v>30</v>
      </c>
      <c r="C37">
        <v>0</v>
      </c>
      <c r="E37">
        <f t="shared" si="0"/>
        <v>0</v>
      </c>
    </row>
    <row r="38" spans="1:5" x14ac:dyDescent="0.3">
      <c r="A38" t="s">
        <v>36</v>
      </c>
      <c r="B38" t="s">
        <v>30</v>
      </c>
      <c r="C38">
        <v>11</v>
      </c>
      <c r="D38">
        <v>5000</v>
      </c>
      <c r="E38">
        <f t="shared" si="0"/>
        <v>55000</v>
      </c>
    </row>
    <row r="39" spans="1:5" x14ac:dyDescent="0.3">
      <c r="A39" t="s">
        <v>37</v>
      </c>
      <c r="B39" t="s">
        <v>30</v>
      </c>
      <c r="C39">
        <v>12</v>
      </c>
      <c r="D39">
        <v>4000</v>
      </c>
      <c r="E39">
        <f t="shared" si="0"/>
        <v>48000</v>
      </c>
    </row>
    <row r="40" spans="1:5" x14ac:dyDescent="0.3">
      <c r="A40" t="s">
        <v>38</v>
      </c>
      <c r="B40" t="s">
        <v>3</v>
      </c>
      <c r="C40">
        <v>717</v>
      </c>
      <c r="D40">
        <v>7500</v>
      </c>
      <c r="E40">
        <f t="shared" si="0"/>
        <v>5377500</v>
      </c>
    </row>
    <row r="41" spans="1:5" hidden="1" x14ac:dyDescent="0.3">
      <c r="A41" t="s">
        <v>39</v>
      </c>
      <c r="B41" t="s">
        <v>40</v>
      </c>
      <c r="C41">
        <v>0</v>
      </c>
      <c r="E41">
        <f t="shared" si="0"/>
        <v>0</v>
      </c>
    </row>
    <row r="42" spans="1:5" x14ac:dyDescent="0.3">
      <c r="A42" t="s">
        <v>39</v>
      </c>
      <c r="B42" t="s">
        <v>3</v>
      </c>
      <c r="C42">
        <v>40</v>
      </c>
      <c r="D42">
        <v>9000</v>
      </c>
      <c r="E42">
        <f t="shared" si="0"/>
        <v>360000</v>
      </c>
    </row>
    <row r="43" spans="1:5" hidden="1" x14ac:dyDescent="0.3">
      <c r="A43" t="s">
        <v>41</v>
      </c>
      <c r="B43" t="s">
        <v>3</v>
      </c>
      <c r="C43">
        <v>0</v>
      </c>
      <c r="E43">
        <f t="shared" si="0"/>
        <v>0</v>
      </c>
    </row>
    <row r="44" spans="1:5" hidden="1" x14ac:dyDescent="0.3">
      <c r="A44" t="s">
        <v>42</v>
      </c>
      <c r="B44" t="s">
        <v>25</v>
      </c>
      <c r="C44">
        <v>0</v>
      </c>
      <c r="E44">
        <f t="shared" si="0"/>
        <v>0</v>
      </c>
    </row>
    <row r="45" spans="1:5" x14ac:dyDescent="0.3">
      <c r="A45" t="s">
        <v>43</v>
      </c>
      <c r="B45" t="s">
        <v>3</v>
      </c>
      <c r="C45">
        <v>9</v>
      </c>
      <c r="D45">
        <v>16000</v>
      </c>
      <c r="E45">
        <f t="shared" si="0"/>
        <v>144000</v>
      </c>
    </row>
    <row r="46" spans="1:5" x14ac:dyDescent="0.3">
      <c r="A46" t="s">
        <v>44</v>
      </c>
      <c r="B46" t="s">
        <v>3</v>
      </c>
      <c r="C46">
        <v>93</v>
      </c>
      <c r="D46">
        <v>6500</v>
      </c>
      <c r="E46">
        <f t="shared" si="0"/>
        <v>604500</v>
      </c>
    </row>
    <row r="47" spans="1:5" x14ac:dyDescent="0.3">
      <c r="A47" t="s">
        <v>45</v>
      </c>
      <c r="B47" t="s">
        <v>3</v>
      </c>
      <c r="C47">
        <v>112</v>
      </c>
      <c r="D47">
        <v>10000</v>
      </c>
      <c r="E47">
        <f t="shared" si="0"/>
        <v>1120000</v>
      </c>
    </row>
    <row r="48" spans="1:5" hidden="1" x14ac:dyDescent="0.3">
      <c r="A48" t="s">
        <v>45</v>
      </c>
      <c r="B48" t="s">
        <v>30</v>
      </c>
      <c r="C48">
        <v>0</v>
      </c>
      <c r="E48">
        <f t="shared" si="0"/>
        <v>0</v>
      </c>
    </row>
    <row r="49" spans="1:5" x14ac:dyDescent="0.3">
      <c r="A49" t="s">
        <v>46</v>
      </c>
      <c r="B49" t="s">
        <v>3</v>
      </c>
      <c r="C49">
        <v>6</v>
      </c>
      <c r="D49">
        <v>17000</v>
      </c>
      <c r="E49">
        <f t="shared" si="0"/>
        <v>102000</v>
      </c>
    </row>
    <row r="50" spans="1:5" x14ac:dyDescent="0.3">
      <c r="A50" t="s">
        <v>47</v>
      </c>
      <c r="B50" t="s">
        <v>3</v>
      </c>
      <c r="C50">
        <v>710</v>
      </c>
      <c r="D50">
        <v>15000</v>
      </c>
      <c r="E50">
        <f t="shared" si="0"/>
        <v>10650000</v>
      </c>
    </row>
    <row r="51" spans="1:5" hidden="1" x14ac:dyDescent="0.3">
      <c r="A51" t="s">
        <v>47</v>
      </c>
      <c r="B51" t="s">
        <v>48</v>
      </c>
      <c r="C51">
        <v>0</v>
      </c>
      <c r="E51">
        <f t="shared" si="0"/>
        <v>0</v>
      </c>
    </row>
    <row r="52" spans="1:5" x14ac:dyDescent="0.3">
      <c r="A52" t="s">
        <v>49</v>
      </c>
      <c r="B52" t="s">
        <v>3</v>
      </c>
      <c r="C52">
        <v>7</v>
      </c>
      <c r="D52">
        <v>20000</v>
      </c>
      <c r="E52">
        <f t="shared" si="0"/>
        <v>140000</v>
      </c>
    </row>
    <row r="53" spans="1:5" x14ac:dyDescent="0.3">
      <c r="A53" t="s">
        <v>50</v>
      </c>
      <c r="B53" t="s">
        <v>30</v>
      </c>
      <c r="C53">
        <v>126</v>
      </c>
      <c r="D53">
        <v>3600</v>
      </c>
      <c r="E53">
        <f t="shared" si="0"/>
        <v>453600</v>
      </c>
    </row>
    <row r="54" spans="1:5" x14ac:dyDescent="0.3">
      <c r="A54" t="s">
        <v>51</v>
      </c>
      <c r="B54" t="s">
        <v>3</v>
      </c>
      <c r="C54">
        <v>305</v>
      </c>
      <c r="D54">
        <v>28000</v>
      </c>
      <c r="E54">
        <f t="shared" si="0"/>
        <v>8540000</v>
      </c>
    </row>
    <row r="55" spans="1:5" x14ac:dyDescent="0.3">
      <c r="A55" t="s">
        <v>52</v>
      </c>
      <c r="B55" t="s">
        <v>3</v>
      </c>
      <c r="C55">
        <v>405</v>
      </c>
      <c r="D55">
        <v>28000</v>
      </c>
      <c r="E55">
        <f t="shared" si="0"/>
        <v>11340000</v>
      </c>
    </row>
    <row r="56" spans="1:5" x14ac:dyDescent="0.3">
      <c r="A56" t="s">
        <v>53</v>
      </c>
      <c r="B56" t="s">
        <v>3</v>
      </c>
      <c r="C56">
        <v>200</v>
      </c>
      <c r="D56">
        <v>17000</v>
      </c>
      <c r="E56">
        <f t="shared" si="0"/>
        <v>3400000</v>
      </c>
    </row>
    <row r="57" spans="1:5" x14ac:dyDescent="0.3">
      <c r="A57" t="s">
        <v>54</v>
      </c>
      <c r="B57" t="s">
        <v>3</v>
      </c>
      <c r="C57">
        <v>366</v>
      </c>
      <c r="D57">
        <v>17000</v>
      </c>
      <c r="E57">
        <f t="shared" si="0"/>
        <v>6222000</v>
      </c>
    </row>
    <row r="58" spans="1:5" hidden="1" x14ac:dyDescent="0.3">
      <c r="A58" t="s">
        <v>55</v>
      </c>
      <c r="B58" t="s">
        <v>3</v>
      </c>
      <c r="C58">
        <v>0</v>
      </c>
      <c r="E58">
        <f t="shared" si="0"/>
        <v>0</v>
      </c>
    </row>
    <row r="59" spans="1:5" hidden="1" x14ac:dyDescent="0.3">
      <c r="A59" t="s">
        <v>56</v>
      </c>
      <c r="B59" t="s">
        <v>3</v>
      </c>
      <c r="C59">
        <v>0</v>
      </c>
      <c r="E59">
        <f t="shared" si="0"/>
        <v>0</v>
      </c>
    </row>
    <row r="60" spans="1:5" hidden="1" x14ac:dyDescent="0.3">
      <c r="A60" t="s">
        <v>57</v>
      </c>
      <c r="B60" t="s">
        <v>30</v>
      </c>
      <c r="C60">
        <v>0</v>
      </c>
      <c r="E60">
        <f t="shared" si="0"/>
        <v>0</v>
      </c>
    </row>
    <row r="61" spans="1:5" x14ac:dyDescent="0.3">
      <c r="A61" t="s">
        <v>58</v>
      </c>
      <c r="B61" t="s">
        <v>3</v>
      </c>
      <c r="C61">
        <v>60</v>
      </c>
      <c r="D61">
        <v>30000</v>
      </c>
      <c r="E61">
        <f t="shared" si="0"/>
        <v>1800000</v>
      </c>
    </row>
    <row r="62" spans="1:5" x14ac:dyDescent="0.3">
      <c r="A62" t="s">
        <v>59</v>
      </c>
      <c r="B62" t="s">
        <v>3</v>
      </c>
      <c r="C62">
        <v>55</v>
      </c>
      <c r="D62">
        <v>17000</v>
      </c>
      <c r="E62">
        <f t="shared" si="0"/>
        <v>935000</v>
      </c>
    </row>
    <row r="63" spans="1:5" hidden="1" x14ac:dyDescent="0.3">
      <c r="A63" t="s">
        <v>59</v>
      </c>
      <c r="B63" t="s">
        <v>30</v>
      </c>
      <c r="C63">
        <v>0</v>
      </c>
      <c r="E63">
        <f t="shared" si="0"/>
        <v>0</v>
      </c>
    </row>
    <row r="64" spans="1:5" x14ac:dyDescent="0.3">
      <c r="A64" t="s">
        <v>60</v>
      </c>
      <c r="B64" t="s">
        <v>30</v>
      </c>
      <c r="C64">
        <v>40</v>
      </c>
      <c r="D64">
        <v>7500</v>
      </c>
      <c r="E64">
        <f t="shared" si="0"/>
        <v>300000</v>
      </c>
    </row>
    <row r="65" spans="1:5" x14ac:dyDescent="0.3">
      <c r="A65" t="s">
        <v>61</v>
      </c>
      <c r="B65" t="s">
        <v>3</v>
      </c>
      <c r="C65">
        <v>110</v>
      </c>
      <c r="D65">
        <v>13000</v>
      </c>
      <c r="E65">
        <f t="shared" si="0"/>
        <v>1430000</v>
      </c>
    </row>
    <row r="66" spans="1:5" x14ac:dyDescent="0.3">
      <c r="A66" t="s">
        <v>62</v>
      </c>
      <c r="B66" t="s">
        <v>30</v>
      </c>
      <c r="C66">
        <v>39</v>
      </c>
      <c r="D66">
        <v>9000</v>
      </c>
      <c r="E66">
        <f t="shared" si="0"/>
        <v>351000</v>
      </c>
    </row>
    <row r="67" spans="1:5" hidden="1" x14ac:dyDescent="0.3">
      <c r="A67" t="s">
        <v>63</v>
      </c>
      <c r="B67" t="s">
        <v>3</v>
      </c>
      <c r="C67">
        <v>0</v>
      </c>
      <c r="E67">
        <f t="shared" si="0"/>
        <v>0</v>
      </c>
    </row>
    <row r="68" spans="1:5" hidden="1" x14ac:dyDescent="0.3">
      <c r="A68" t="s">
        <v>63</v>
      </c>
      <c r="B68" t="s">
        <v>64</v>
      </c>
      <c r="C68">
        <v>0</v>
      </c>
      <c r="E68">
        <f t="shared" ref="E68:E133" si="1">C68*D68</f>
        <v>0</v>
      </c>
    </row>
    <row r="69" spans="1:5" hidden="1" x14ac:dyDescent="0.3">
      <c r="A69" t="s">
        <v>65</v>
      </c>
      <c r="B69" t="s">
        <v>3</v>
      </c>
      <c r="C69">
        <v>0</v>
      </c>
      <c r="E69">
        <f t="shared" si="1"/>
        <v>0</v>
      </c>
    </row>
    <row r="70" spans="1:5" hidden="1" x14ac:dyDescent="0.3">
      <c r="A70" t="s">
        <v>66</v>
      </c>
      <c r="B70" t="s">
        <v>3</v>
      </c>
      <c r="C70">
        <v>0</v>
      </c>
      <c r="E70">
        <f t="shared" si="1"/>
        <v>0</v>
      </c>
    </row>
    <row r="71" spans="1:5" hidden="1" x14ac:dyDescent="0.3">
      <c r="A71" t="s">
        <v>67</v>
      </c>
      <c r="B71" t="s">
        <v>3</v>
      </c>
      <c r="C71">
        <v>0</v>
      </c>
      <c r="E71">
        <f t="shared" si="1"/>
        <v>0</v>
      </c>
    </row>
    <row r="72" spans="1:5" hidden="1" x14ac:dyDescent="0.3">
      <c r="A72" t="s">
        <v>68</v>
      </c>
      <c r="B72" t="s">
        <v>3</v>
      </c>
      <c r="C72">
        <v>0</v>
      </c>
      <c r="E72">
        <f t="shared" si="1"/>
        <v>0</v>
      </c>
    </row>
    <row r="73" spans="1:5" x14ac:dyDescent="0.3">
      <c r="A73" t="s">
        <v>68</v>
      </c>
      <c r="B73" t="s">
        <v>17</v>
      </c>
      <c r="C73">
        <v>66</v>
      </c>
      <c r="D73">
        <v>5500</v>
      </c>
      <c r="E73">
        <f t="shared" si="1"/>
        <v>363000</v>
      </c>
    </row>
    <row r="74" spans="1:5" x14ac:dyDescent="0.3">
      <c r="A74" t="s">
        <v>69</v>
      </c>
      <c r="B74" t="s">
        <v>3</v>
      </c>
      <c r="C74">
        <v>5</v>
      </c>
      <c r="D74">
        <v>14000</v>
      </c>
      <c r="E74">
        <f t="shared" si="1"/>
        <v>70000</v>
      </c>
    </row>
    <row r="75" spans="1:5" x14ac:dyDescent="0.3">
      <c r="A75" t="s">
        <v>70</v>
      </c>
      <c r="B75" t="s">
        <v>3</v>
      </c>
      <c r="C75">
        <v>34</v>
      </c>
      <c r="D75">
        <v>8000</v>
      </c>
      <c r="E75">
        <f t="shared" si="1"/>
        <v>272000</v>
      </c>
    </row>
    <row r="76" spans="1:5" hidden="1" x14ac:dyDescent="0.3">
      <c r="A76" t="s">
        <v>71</v>
      </c>
      <c r="B76" t="s">
        <v>40</v>
      </c>
      <c r="C76">
        <v>0</v>
      </c>
      <c r="E76">
        <f t="shared" si="1"/>
        <v>0</v>
      </c>
    </row>
    <row r="77" spans="1:5" hidden="1" x14ac:dyDescent="0.3">
      <c r="A77" t="s">
        <v>71</v>
      </c>
      <c r="B77" t="s">
        <v>3</v>
      </c>
      <c r="C77">
        <v>0</v>
      </c>
      <c r="E77">
        <f t="shared" si="1"/>
        <v>0</v>
      </c>
    </row>
    <row r="78" spans="1:5" hidden="1" x14ac:dyDescent="0.3">
      <c r="A78" t="s">
        <v>72</v>
      </c>
      <c r="B78" t="s">
        <v>3</v>
      </c>
      <c r="C78">
        <v>0</v>
      </c>
      <c r="E78">
        <f t="shared" si="1"/>
        <v>0</v>
      </c>
    </row>
    <row r="79" spans="1:5" hidden="1" x14ac:dyDescent="0.3">
      <c r="A79" t="s">
        <v>73</v>
      </c>
      <c r="B79" t="s">
        <v>3</v>
      </c>
      <c r="C79">
        <v>0</v>
      </c>
      <c r="E79">
        <f t="shared" si="1"/>
        <v>0</v>
      </c>
    </row>
    <row r="80" spans="1:5" hidden="1" x14ac:dyDescent="0.3">
      <c r="A80" t="s">
        <v>74</v>
      </c>
      <c r="B80" t="s">
        <v>30</v>
      </c>
      <c r="C80">
        <v>0</v>
      </c>
      <c r="E80">
        <f t="shared" si="1"/>
        <v>0</v>
      </c>
    </row>
    <row r="81" spans="1:5" x14ac:dyDescent="0.3">
      <c r="A81" t="s">
        <v>75</v>
      </c>
      <c r="B81" t="s">
        <v>3</v>
      </c>
      <c r="C81">
        <v>12</v>
      </c>
      <c r="D81">
        <v>14000</v>
      </c>
      <c r="E81">
        <f t="shared" si="1"/>
        <v>168000</v>
      </c>
    </row>
    <row r="82" spans="1:5" hidden="1" x14ac:dyDescent="0.3">
      <c r="A82" t="s">
        <v>76</v>
      </c>
      <c r="B82" t="s">
        <v>17</v>
      </c>
      <c r="C82">
        <v>0</v>
      </c>
      <c r="E82">
        <f t="shared" si="1"/>
        <v>0</v>
      </c>
    </row>
    <row r="83" spans="1:5" hidden="1" x14ac:dyDescent="0.3">
      <c r="A83" t="s">
        <v>77</v>
      </c>
      <c r="B83" t="s">
        <v>25</v>
      </c>
      <c r="C83">
        <v>0</v>
      </c>
      <c r="E83">
        <f t="shared" si="1"/>
        <v>0</v>
      </c>
    </row>
    <row r="84" spans="1:5" x14ac:dyDescent="0.3">
      <c r="A84" t="s">
        <v>77</v>
      </c>
      <c r="B84" t="s">
        <v>3</v>
      </c>
      <c r="C84">
        <v>11</v>
      </c>
      <c r="D84">
        <v>45000</v>
      </c>
      <c r="E84">
        <f t="shared" si="1"/>
        <v>495000</v>
      </c>
    </row>
    <row r="85" spans="1:5" x14ac:dyDescent="0.3">
      <c r="A85" t="s">
        <v>78</v>
      </c>
      <c r="B85" t="s">
        <v>3</v>
      </c>
      <c r="C85">
        <v>45</v>
      </c>
      <c r="D85">
        <v>30000</v>
      </c>
      <c r="E85">
        <f t="shared" si="1"/>
        <v>1350000</v>
      </c>
    </row>
    <row r="86" spans="1:5" hidden="1" x14ac:dyDescent="0.3">
      <c r="A86" t="s">
        <v>78</v>
      </c>
      <c r="B86" t="s">
        <v>9</v>
      </c>
      <c r="C86">
        <v>0</v>
      </c>
      <c r="E86">
        <f t="shared" si="1"/>
        <v>0</v>
      </c>
    </row>
    <row r="87" spans="1:5" x14ac:dyDescent="0.3">
      <c r="A87" t="s">
        <v>79</v>
      </c>
      <c r="B87" t="s">
        <v>3</v>
      </c>
      <c r="C87">
        <v>20</v>
      </c>
      <c r="D87">
        <v>25000</v>
      </c>
      <c r="E87">
        <f t="shared" si="1"/>
        <v>500000</v>
      </c>
    </row>
    <row r="88" spans="1:5" x14ac:dyDescent="0.3">
      <c r="A88" t="s">
        <v>80</v>
      </c>
      <c r="B88" t="s">
        <v>3</v>
      </c>
      <c r="C88">
        <v>100</v>
      </c>
      <c r="D88">
        <v>30000</v>
      </c>
      <c r="E88">
        <f t="shared" si="1"/>
        <v>3000000</v>
      </c>
    </row>
    <row r="89" spans="1:5" hidden="1" x14ac:dyDescent="0.3">
      <c r="A89" t="s">
        <v>80</v>
      </c>
      <c r="B89" t="s">
        <v>9</v>
      </c>
      <c r="C89">
        <v>0</v>
      </c>
      <c r="E89">
        <f t="shared" si="1"/>
        <v>0</v>
      </c>
    </row>
    <row r="90" spans="1:5" x14ac:dyDescent="0.3">
      <c r="A90" t="s">
        <v>81</v>
      </c>
      <c r="B90" t="s">
        <v>3</v>
      </c>
      <c r="C90">
        <v>20</v>
      </c>
      <c r="D90">
        <v>25000</v>
      </c>
      <c r="E90">
        <f t="shared" si="1"/>
        <v>500000</v>
      </c>
    </row>
    <row r="91" spans="1:5" x14ac:dyDescent="0.3">
      <c r="A91" t="s">
        <v>82</v>
      </c>
      <c r="B91" t="s">
        <v>3</v>
      </c>
      <c r="C91">
        <v>115</v>
      </c>
      <c r="D91">
        <v>31000</v>
      </c>
      <c r="E91">
        <f t="shared" si="1"/>
        <v>3565000</v>
      </c>
    </row>
    <row r="92" spans="1:5" hidden="1" x14ac:dyDescent="0.3">
      <c r="A92" t="s">
        <v>82</v>
      </c>
      <c r="B92" t="s">
        <v>9</v>
      </c>
      <c r="C92">
        <v>0</v>
      </c>
      <c r="E92">
        <f t="shared" si="1"/>
        <v>0</v>
      </c>
    </row>
    <row r="93" spans="1:5" x14ac:dyDescent="0.3">
      <c r="A93" t="s">
        <v>83</v>
      </c>
      <c r="B93" t="s">
        <v>3</v>
      </c>
      <c r="C93">
        <v>8</v>
      </c>
      <c r="D93">
        <v>26000</v>
      </c>
      <c r="E93">
        <f t="shared" si="1"/>
        <v>208000</v>
      </c>
    </row>
    <row r="94" spans="1:5" x14ac:dyDescent="0.3">
      <c r="A94" t="s">
        <v>84</v>
      </c>
      <c r="B94" t="s">
        <v>3</v>
      </c>
      <c r="C94">
        <v>60</v>
      </c>
      <c r="D94">
        <v>50000</v>
      </c>
      <c r="E94">
        <f t="shared" si="1"/>
        <v>3000000</v>
      </c>
    </row>
    <row r="95" spans="1:5" x14ac:dyDescent="0.3">
      <c r="A95" t="s">
        <v>84</v>
      </c>
      <c r="B95" t="s">
        <v>30</v>
      </c>
      <c r="C95">
        <v>90</v>
      </c>
      <c r="D95">
        <v>22000</v>
      </c>
      <c r="E95">
        <f t="shared" si="1"/>
        <v>1980000</v>
      </c>
    </row>
    <row r="96" spans="1:5" hidden="1" x14ac:dyDescent="0.3">
      <c r="A96" t="s">
        <v>85</v>
      </c>
      <c r="B96" t="s">
        <v>30</v>
      </c>
      <c r="C96">
        <v>0</v>
      </c>
      <c r="E96">
        <f t="shared" si="1"/>
        <v>0</v>
      </c>
    </row>
    <row r="97" spans="1:5" x14ac:dyDescent="0.3">
      <c r="A97" t="s">
        <v>86</v>
      </c>
      <c r="B97" t="s">
        <v>9</v>
      </c>
      <c r="C97">
        <v>379</v>
      </c>
      <c r="D97">
        <v>10000</v>
      </c>
      <c r="E97">
        <f t="shared" si="1"/>
        <v>3790000</v>
      </c>
    </row>
    <row r="98" spans="1:5" x14ac:dyDescent="0.3">
      <c r="A98" t="s">
        <v>87</v>
      </c>
      <c r="B98" t="s">
        <v>9</v>
      </c>
      <c r="C98">
        <v>1960</v>
      </c>
      <c r="D98">
        <v>10000</v>
      </c>
      <c r="E98">
        <f t="shared" si="1"/>
        <v>19600000</v>
      </c>
    </row>
    <row r="99" spans="1:5" x14ac:dyDescent="0.3">
      <c r="A99" t="s">
        <v>88</v>
      </c>
      <c r="B99" t="s">
        <v>9</v>
      </c>
      <c r="C99">
        <v>651</v>
      </c>
      <c r="D99">
        <v>17000</v>
      </c>
      <c r="E99">
        <f t="shared" si="1"/>
        <v>11067000</v>
      </c>
    </row>
    <row r="100" spans="1:5" hidden="1" x14ac:dyDescent="0.3">
      <c r="A100" t="s">
        <v>89</v>
      </c>
      <c r="B100" t="s">
        <v>3</v>
      </c>
      <c r="C100">
        <v>0</v>
      </c>
      <c r="E100">
        <f t="shared" si="1"/>
        <v>0</v>
      </c>
    </row>
    <row r="101" spans="1:5" hidden="1" x14ac:dyDescent="0.3">
      <c r="A101" t="s">
        <v>90</v>
      </c>
      <c r="B101" t="s">
        <v>3</v>
      </c>
      <c r="C101">
        <v>0</v>
      </c>
      <c r="E101">
        <f t="shared" si="1"/>
        <v>0</v>
      </c>
    </row>
    <row r="102" spans="1:5" hidden="1" x14ac:dyDescent="0.3">
      <c r="A102" t="s">
        <v>91</v>
      </c>
      <c r="B102" t="s">
        <v>25</v>
      </c>
      <c r="C102">
        <v>0</v>
      </c>
      <c r="E102">
        <f t="shared" si="1"/>
        <v>0</v>
      </c>
    </row>
    <row r="103" spans="1:5" hidden="1" x14ac:dyDescent="0.3">
      <c r="A103" t="s">
        <v>92</v>
      </c>
      <c r="B103" t="s">
        <v>3</v>
      </c>
      <c r="C103">
        <v>0</v>
      </c>
      <c r="E103">
        <f t="shared" si="1"/>
        <v>0</v>
      </c>
    </row>
    <row r="104" spans="1:5" x14ac:dyDescent="0.3">
      <c r="A104" t="s">
        <v>93</v>
      </c>
      <c r="B104" t="s">
        <v>3</v>
      </c>
      <c r="C104">
        <v>7</v>
      </c>
      <c r="D104">
        <v>30000</v>
      </c>
      <c r="E104">
        <f t="shared" si="1"/>
        <v>210000</v>
      </c>
    </row>
    <row r="105" spans="1:5" hidden="1" x14ac:dyDescent="0.3">
      <c r="A105" t="s">
        <v>94</v>
      </c>
      <c r="B105" t="s">
        <v>3</v>
      </c>
      <c r="C105">
        <v>0</v>
      </c>
      <c r="E105">
        <f t="shared" si="1"/>
        <v>0</v>
      </c>
    </row>
    <row r="106" spans="1:5" hidden="1" x14ac:dyDescent="0.3">
      <c r="A106" t="s">
        <v>95</v>
      </c>
      <c r="B106" t="s">
        <v>40</v>
      </c>
      <c r="C106">
        <v>0</v>
      </c>
      <c r="E106">
        <f t="shared" si="1"/>
        <v>0</v>
      </c>
    </row>
    <row r="107" spans="1:5" hidden="1" x14ac:dyDescent="0.3">
      <c r="A107" t="s">
        <v>96</v>
      </c>
      <c r="B107" t="s">
        <v>3</v>
      </c>
      <c r="C107">
        <v>0</v>
      </c>
      <c r="E107">
        <f t="shared" si="1"/>
        <v>0</v>
      </c>
    </row>
    <row r="108" spans="1:5" hidden="1" x14ac:dyDescent="0.3">
      <c r="A108" t="s">
        <v>97</v>
      </c>
      <c r="B108" t="s">
        <v>40</v>
      </c>
      <c r="C108">
        <v>0</v>
      </c>
      <c r="E108">
        <f t="shared" si="1"/>
        <v>0</v>
      </c>
    </row>
    <row r="109" spans="1:5" hidden="1" x14ac:dyDescent="0.3">
      <c r="A109" t="s">
        <v>98</v>
      </c>
      <c r="B109" t="s">
        <v>3</v>
      </c>
      <c r="C109">
        <v>0</v>
      </c>
      <c r="E109">
        <f t="shared" si="1"/>
        <v>0</v>
      </c>
    </row>
    <row r="110" spans="1:5" hidden="1" x14ac:dyDescent="0.3">
      <c r="A110" t="s">
        <v>99</v>
      </c>
      <c r="B110" t="s">
        <v>3</v>
      </c>
      <c r="C110">
        <v>0</v>
      </c>
      <c r="E110">
        <f t="shared" si="1"/>
        <v>0</v>
      </c>
    </row>
    <row r="111" spans="1:5" hidden="1" x14ac:dyDescent="0.3">
      <c r="A111" t="s">
        <v>100</v>
      </c>
      <c r="B111" t="s">
        <v>40</v>
      </c>
      <c r="C111">
        <v>0</v>
      </c>
      <c r="E111">
        <f t="shared" si="1"/>
        <v>0</v>
      </c>
    </row>
    <row r="112" spans="1:5" x14ac:dyDescent="0.3">
      <c r="E112">
        <f>SUM(E4:E104)</f>
        <v>134895700</v>
      </c>
    </row>
    <row r="113" spans="1:5" x14ac:dyDescent="0.3">
      <c r="A113" t="s">
        <v>110</v>
      </c>
    </row>
    <row r="114" spans="1:5" x14ac:dyDescent="0.3">
      <c r="A114" t="s">
        <v>0</v>
      </c>
      <c r="B114" t="s">
        <v>1</v>
      </c>
      <c r="C114" t="s">
        <v>107</v>
      </c>
      <c r="D114" t="s">
        <v>108</v>
      </c>
      <c r="E114" t="s">
        <v>109</v>
      </c>
    </row>
    <row r="115" spans="1:5" x14ac:dyDescent="0.3">
      <c r="A115" t="s">
        <v>2</v>
      </c>
      <c r="B115" t="s">
        <v>3</v>
      </c>
      <c r="C115">
        <v>13</v>
      </c>
      <c r="D115">
        <v>17000</v>
      </c>
      <c r="E115">
        <f t="shared" si="1"/>
        <v>221000</v>
      </c>
    </row>
    <row r="116" spans="1:5" x14ac:dyDescent="0.3">
      <c r="A116" t="s">
        <v>4</v>
      </c>
      <c r="B116" t="s">
        <v>3</v>
      </c>
      <c r="C116">
        <v>30</v>
      </c>
      <c r="D116">
        <v>7500</v>
      </c>
      <c r="E116">
        <f t="shared" si="1"/>
        <v>225000</v>
      </c>
    </row>
    <row r="117" spans="1:5" x14ac:dyDescent="0.3">
      <c r="A117" t="s">
        <v>5</v>
      </c>
      <c r="B117" t="s">
        <v>3</v>
      </c>
      <c r="C117">
        <v>198.00000000000003</v>
      </c>
      <c r="D117">
        <v>6500</v>
      </c>
      <c r="E117">
        <f t="shared" si="1"/>
        <v>1287000.0000000002</v>
      </c>
    </row>
    <row r="118" spans="1:5" x14ac:dyDescent="0.3">
      <c r="A118" t="s">
        <v>7</v>
      </c>
      <c r="B118" t="s">
        <v>3</v>
      </c>
      <c r="C118">
        <v>22</v>
      </c>
      <c r="D118">
        <v>10000</v>
      </c>
      <c r="E118">
        <f t="shared" si="1"/>
        <v>220000</v>
      </c>
    </row>
    <row r="119" spans="1:5" hidden="1" x14ac:dyDescent="0.3">
      <c r="A119" t="s">
        <v>8</v>
      </c>
      <c r="B119" t="s">
        <v>3</v>
      </c>
      <c r="C119">
        <v>0</v>
      </c>
      <c r="E119">
        <f t="shared" si="1"/>
        <v>0</v>
      </c>
    </row>
    <row r="120" spans="1:5" x14ac:dyDescent="0.3">
      <c r="A120" t="s">
        <v>12</v>
      </c>
      <c r="B120" t="s">
        <v>3</v>
      </c>
      <c r="C120">
        <v>3</v>
      </c>
      <c r="D120">
        <v>15000</v>
      </c>
      <c r="E120">
        <f t="shared" si="1"/>
        <v>45000</v>
      </c>
    </row>
    <row r="121" spans="1:5" x14ac:dyDescent="0.3">
      <c r="A121" t="s">
        <v>102</v>
      </c>
      <c r="B121" t="s">
        <v>3</v>
      </c>
      <c r="C121">
        <v>34</v>
      </c>
      <c r="D121">
        <v>23000</v>
      </c>
      <c r="E121">
        <f t="shared" si="1"/>
        <v>782000</v>
      </c>
    </row>
    <row r="122" spans="1:5" x14ac:dyDescent="0.3">
      <c r="A122" t="s">
        <v>18</v>
      </c>
      <c r="B122" t="s">
        <v>3</v>
      </c>
      <c r="C122">
        <v>40</v>
      </c>
      <c r="D122">
        <v>15000</v>
      </c>
      <c r="E122">
        <f t="shared" si="1"/>
        <v>600000</v>
      </c>
    </row>
    <row r="123" spans="1:5" x14ac:dyDescent="0.3">
      <c r="A123" t="s">
        <v>28</v>
      </c>
      <c r="B123" t="s">
        <v>3</v>
      </c>
      <c r="C123">
        <v>88</v>
      </c>
      <c r="D123">
        <v>16000</v>
      </c>
      <c r="E123">
        <f t="shared" si="1"/>
        <v>1408000</v>
      </c>
    </row>
    <row r="124" spans="1:5" x14ac:dyDescent="0.3">
      <c r="A124" t="s">
        <v>31</v>
      </c>
      <c r="B124" t="s">
        <v>3</v>
      </c>
      <c r="C124">
        <v>88</v>
      </c>
      <c r="D124">
        <v>11000</v>
      </c>
      <c r="E124">
        <f t="shared" si="1"/>
        <v>968000</v>
      </c>
    </row>
    <row r="125" spans="1:5" x14ac:dyDescent="0.3">
      <c r="A125" t="s">
        <v>33</v>
      </c>
      <c r="B125" t="s">
        <v>3</v>
      </c>
      <c r="C125">
        <v>6</v>
      </c>
      <c r="D125">
        <v>8000</v>
      </c>
      <c r="E125">
        <f t="shared" si="1"/>
        <v>48000</v>
      </c>
    </row>
    <row r="126" spans="1:5" x14ac:dyDescent="0.3">
      <c r="A126" t="s">
        <v>38</v>
      </c>
      <c r="B126" t="s">
        <v>3</v>
      </c>
      <c r="C126">
        <v>143</v>
      </c>
      <c r="D126">
        <v>7500</v>
      </c>
      <c r="E126">
        <f t="shared" si="1"/>
        <v>1072500</v>
      </c>
    </row>
    <row r="127" spans="1:5" x14ac:dyDescent="0.3">
      <c r="A127" t="s">
        <v>103</v>
      </c>
      <c r="B127" t="s">
        <v>3</v>
      </c>
      <c r="C127">
        <v>8</v>
      </c>
      <c r="D127">
        <v>16000</v>
      </c>
      <c r="E127">
        <f t="shared" si="1"/>
        <v>128000</v>
      </c>
    </row>
    <row r="128" spans="1:5" hidden="1" x14ac:dyDescent="0.3">
      <c r="A128" t="s">
        <v>104</v>
      </c>
      <c r="B128" t="s">
        <v>3</v>
      </c>
      <c r="C128">
        <v>0</v>
      </c>
      <c r="E128">
        <f t="shared" si="1"/>
        <v>0</v>
      </c>
    </row>
    <row r="129" spans="1:5" x14ac:dyDescent="0.3">
      <c r="A129" t="s">
        <v>39</v>
      </c>
      <c r="B129" t="s">
        <v>3</v>
      </c>
      <c r="C129">
        <v>20</v>
      </c>
      <c r="D129">
        <v>9000</v>
      </c>
      <c r="E129">
        <f t="shared" si="1"/>
        <v>180000</v>
      </c>
    </row>
    <row r="130" spans="1:5" hidden="1" x14ac:dyDescent="0.3">
      <c r="A130" t="s">
        <v>105</v>
      </c>
      <c r="B130" t="s">
        <v>3</v>
      </c>
      <c r="C130">
        <v>0</v>
      </c>
      <c r="E130">
        <f t="shared" si="1"/>
        <v>0</v>
      </c>
    </row>
    <row r="131" spans="1:5" x14ac:dyDescent="0.3">
      <c r="A131" t="s">
        <v>41</v>
      </c>
      <c r="B131" t="s">
        <v>3</v>
      </c>
      <c r="C131">
        <v>20</v>
      </c>
      <c r="D131">
        <v>14000</v>
      </c>
      <c r="E131">
        <f t="shared" si="1"/>
        <v>280000</v>
      </c>
    </row>
    <row r="132" spans="1:5" x14ac:dyDescent="0.3">
      <c r="A132" t="s">
        <v>44</v>
      </c>
      <c r="B132" t="s">
        <v>3</v>
      </c>
      <c r="C132">
        <v>22</v>
      </c>
      <c r="D132">
        <v>6500</v>
      </c>
      <c r="E132">
        <f t="shared" si="1"/>
        <v>143000</v>
      </c>
    </row>
    <row r="133" spans="1:5" x14ac:dyDescent="0.3">
      <c r="A133" t="s">
        <v>45</v>
      </c>
      <c r="B133" t="s">
        <v>3</v>
      </c>
      <c r="C133">
        <v>3</v>
      </c>
      <c r="D133">
        <v>10000</v>
      </c>
      <c r="E133">
        <f t="shared" si="1"/>
        <v>30000</v>
      </c>
    </row>
    <row r="134" spans="1:5" x14ac:dyDescent="0.3">
      <c r="A134" t="s">
        <v>47</v>
      </c>
      <c r="B134" t="s">
        <v>3</v>
      </c>
      <c r="C134">
        <v>20</v>
      </c>
      <c r="D134">
        <v>15000</v>
      </c>
      <c r="E134">
        <f t="shared" ref="E134:E153" si="2">C134*D134</f>
        <v>300000</v>
      </c>
    </row>
    <row r="135" spans="1:5" x14ac:dyDescent="0.3">
      <c r="A135" t="s">
        <v>54</v>
      </c>
      <c r="B135" t="s">
        <v>3</v>
      </c>
      <c r="C135">
        <v>44</v>
      </c>
      <c r="D135">
        <v>17000</v>
      </c>
      <c r="E135">
        <f t="shared" si="2"/>
        <v>748000</v>
      </c>
    </row>
    <row r="136" spans="1:5" hidden="1" x14ac:dyDescent="0.3">
      <c r="A136" t="s">
        <v>59</v>
      </c>
      <c r="B136" t="s">
        <v>3</v>
      </c>
      <c r="C136">
        <v>0</v>
      </c>
      <c r="E136">
        <f t="shared" si="2"/>
        <v>0</v>
      </c>
    </row>
    <row r="137" spans="1:5" x14ac:dyDescent="0.3">
      <c r="A137" t="s">
        <v>61</v>
      </c>
      <c r="B137" t="s">
        <v>3</v>
      </c>
      <c r="C137">
        <v>5</v>
      </c>
      <c r="D137">
        <v>13000</v>
      </c>
      <c r="E137">
        <f t="shared" si="2"/>
        <v>65000</v>
      </c>
    </row>
    <row r="138" spans="1:5" hidden="1" x14ac:dyDescent="0.3">
      <c r="A138" t="s">
        <v>62</v>
      </c>
      <c r="B138" t="s">
        <v>30</v>
      </c>
      <c r="C138">
        <v>0</v>
      </c>
      <c r="E138">
        <f t="shared" si="2"/>
        <v>0</v>
      </c>
    </row>
    <row r="139" spans="1:5" x14ac:dyDescent="0.3">
      <c r="A139" t="s">
        <v>63</v>
      </c>
      <c r="B139" t="s">
        <v>30</v>
      </c>
      <c r="C139">
        <v>60</v>
      </c>
      <c r="D139">
        <v>9000</v>
      </c>
      <c r="E139">
        <f t="shared" si="2"/>
        <v>540000</v>
      </c>
    </row>
    <row r="140" spans="1:5" hidden="1" x14ac:dyDescent="0.3">
      <c r="A140" t="s">
        <v>68</v>
      </c>
      <c r="B140" t="s">
        <v>3</v>
      </c>
      <c r="C140">
        <v>0</v>
      </c>
      <c r="E140">
        <f t="shared" si="2"/>
        <v>0</v>
      </c>
    </row>
    <row r="141" spans="1:5" x14ac:dyDescent="0.3">
      <c r="A141" t="s">
        <v>68</v>
      </c>
      <c r="B141" t="s">
        <v>17</v>
      </c>
      <c r="C141">
        <v>50</v>
      </c>
      <c r="D141">
        <v>5500</v>
      </c>
      <c r="E141">
        <f t="shared" si="2"/>
        <v>275000</v>
      </c>
    </row>
    <row r="142" spans="1:5" x14ac:dyDescent="0.3">
      <c r="A142" t="s">
        <v>71</v>
      </c>
      <c r="B142" t="s">
        <v>3</v>
      </c>
      <c r="C142">
        <v>12</v>
      </c>
      <c r="D142">
        <v>17000</v>
      </c>
      <c r="E142">
        <f t="shared" si="2"/>
        <v>204000</v>
      </c>
    </row>
    <row r="143" spans="1:5" hidden="1" x14ac:dyDescent="0.3">
      <c r="A143" t="s">
        <v>72</v>
      </c>
      <c r="B143" t="s">
        <v>3</v>
      </c>
      <c r="C143">
        <v>0</v>
      </c>
      <c r="E143">
        <f t="shared" si="2"/>
        <v>0</v>
      </c>
    </row>
    <row r="144" spans="1:5" hidden="1" x14ac:dyDescent="0.3">
      <c r="A144" t="s">
        <v>73</v>
      </c>
      <c r="B144" t="s">
        <v>3</v>
      </c>
      <c r="C144">
        <v>0</v>
      </c>
      <c r="E144">
        <f t="shared" si="2"/>
        <v>0</v>
      </c>
    </row>
    <row r="145" spans="1:5" x14ac:dyDescent="0.3">
      <c r="A145" t="s">
        <v>78</v>
      </c>
      <c r="B145" t="s">
        <v>3</v>
      </c>
      <c r="C145">
        <v>5</v>
      </c>
      <c r="D145">
        <v>30000</v>
      </c>
      <c r="E145">
        <f t="shared" si="2"/>
        <v>150000</v>
      </c>
    </row>
    <row r="146" spans="1:5" x14ac:dyDescent="0.3">
      <c r="A146" t="s">
        <v>80</v>
      </c>
      <c r="B146" t="s">
        <v>3</v>
      </c>
      <c r="C146">
        <v>5</v>
      </c>
      <c r="D146">
        <v>30000</v>
      </c>
      <c r="E146">
        <f t="shared" si="2"/>
        <v>150000</v>
      </c>
    </row>
    <row r="147" spans="1:5" x14ac:dyDescent="0.3">
      <c r="A147" t="s">
        <v>82</v>
      </c>
      <c r="B147" t="s">
        <v>3</v>
      </c>
      <c r="C147">
        <v>5</v>
      </c>
      <c r="D147">
        <v>31000</v>
      </c>
      <c r="E147">
        <f t="shared" si="2"/>
        <v>155000</v>
      </c>
    </row>
    <row r="148" spans="1:5" hidden="1" x14ac:dyDescent="0.3">
      <c r="A148" t="s">
        <v>106</v>
      </c>
      <c r="B148" t="s">
        <v>9</v>
      </c>
      <c r="C148">
        <v>0</v>
      </c>
      <c r="E148">
        <f t="shared" si="2"/>
        <v>0</v>
      </c>
    </row>
    <row r="149" spans="1:5" x14ac:dyDescent="0.3">
      <c r="A149" t="s">
        <v>92</v>
      </c>
      <c r="B149" t="s">
        <v>3</v>
      </c>
      <c r="C149">
        <v>26</v>
      </c>
      <c r="D149">
        <v>16000</v>
      </c>
      <c r="E149">
        <f t="shared" si="2"/>
        <v>416000</v>
      </c>
    </row>
    <row r="150" spans="1:5" hidden="1" x14ac:dyDescent="0.3">
      <c r="A150" t="s">
        <v>94</v>
      </c>
      <c r="B150" t="s">
        <v>40</v>
      </c>
      <c r="C150">
        <v>0</v>
      </c>
      <c r="E150">
        <f t="shared" si="2"/>
        <v>0</v>
      </c>
    </row>
    <row r="151" spans="1:5" hidden="1" x14ac:dyDescent="0.3">
      <c r="A151" t="s">
        <v>95</v>
      </c>
      <c r="B151" t="s">
        <v>40</v>
      </c>
      <c r="C151">
        <v>0</v>
      </c>
      <c r="E151">
        <f t="shared" si="2"/>
        <v>0</v>
      </c>
    </row>
    <row r="152" spans="1:5" hidden="1" x14ac:dyDescent="0.3">
      <c r="A152" t="s">
        <v>97</v>
      </c>
      <c r="B152" t="s">
        <v>40</v>
      </c>
      <c r="C152">
        <v>0</v>
      </c>
      <c r="E152">
        <f t="shared" si="2"/>
        <v>0</v>
      </c>
    </row>
    <row r="153" spans="1:5" hidden="1" x14ac:dyDescent="0.3">
      <c r="A153" t="s">
        <v>100</v>
      </c>
      <c r="B153" t="s">
        <v>40</v>
      </c>
      <c r="C153">
        <v>0</v>
      </c>
      <c r="E153">
        <f t="shared" si="2"/>
        <v>0</v>
      </c>
    </row>
    <row r="154" spans="1:5" x14ac:dyDescent="0.3">
      <c r="E154">
        <f>SUM(E115:E149)</f>
        <v>10640500</v>
      </c>
    </row>
    <row r="155" spans="1:5" x14ac:dyDescent="0.3">
      <c r="E155" s="2">
        <f>E154+E112</f>
        <v>145536200</v>
      </c>
    </row>
  </sheetData>
  <autoFilter ref="A2:E153" xr:uid="{00000000-0009-0000-0000-000000000000}">
    <filterColumn colId="2">
      <filters>
        <filter val="100"/>
        <filter val="108"/>
        <filter val="11"/>
        <filter val="110"/>
        <filter val="112"/>
        <filter val="115"/>
        <filter val="12"/>
        <filter val="126"/>
        <filter val="13"/>
        <filter val="140"/>
        <filter val="143"/>
        <filter val="1960"/>
        <filter val="198"/>
        <filter val="20"/>
        <filter val="200"/>
        <filter val="22"/>
        <filter val="24"/>
        <filter val="26"/>
        <filter val="3"/>
        <filter val="30"/>
        <filter val="305"/>
        <filter val="310"/>
        <filter val="34"/>
        <filter val="366"/>
        <filter val="370"/>
        <filter val="379"/>
        <filter val="39"/>
        <filter val="40"/>
        <filter val="405"/>
        <filter val="44"/>
        <filter val="45"/>
        <filter val="462"/>
        <filter val="465"/>
        <filter val="5"/>
        <filter val="50"/>
        <filter val="532"/>
        <filter val="55"/>
        <filter val="6"/>
        <filter val="60"/>
        <filter val="651"/>
        <filter val="66"/>
        <filter val="67"/>
        <filter val="69"/>
        <filter val="7"/>
        <filter val="710"/>
        <filter val="717"/>
        <filter val="73"/>
        <filter val="8"/>
        <filter val="85"/>
        <filter val="88"/>
        <filter val="9"/>
        <filter val="90"/>
        <filter val="93"/>
        <filter val="95"/>
        <filter val="Tồn_x000a_ĐL_x000a__x000a_現在庫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E159"/>
  <sheetViews>
    <sheetView topLeftCell="A119" workbookViewId="0">
      <selection activeCell="H137" sqref="H137"/>
    </sheetView>
  </sheetViews>
  <sheetFormatPr defaultRowHeight="14.4" x14ac:dyDescent="0.3"/>
  <cols>
    <col min="1" max="1" width="24" customWidth="1"/>
    <col min="3" max="3" width="9.5546875" customWidth="1"/>
    <col min="4" max="4" width="11.5546875" customWidth="1"/>
    <col min="5" max="5" width="15.44140625" customWidth="1"/>
  </cols>
  <sheetData>
    <row r="1" spans="1:5" x14ac:dyDescent="0.3">
      <c r="A1" t="s">
        <v>115</v>
      </c>
    </row>
    <row r="2" spans="1:5" x14ac:dyDescent="0.3">
      <c r="A2" t="s">
        <v>0</v>
      </c>
      <c r="B2" t="s">
        <v>1</v>
      </c>
      <c r="C2" t="s">
        <v>107</v>
      </c>
      <c r="D2" t="s">
        <v>108</v>
      </c>
      <c r="E2" t="s">
        <v>109</v>
      </c>
    </row>
    <row r="3" spans="1:5" x14ac:dyDescent="0.3">
      <c r="A3" t="s">
        <v>2</v>
      </c>
      <c r="B3" t="s">
        <v>3</v>
      </c>
      <c r="C3">
        <v>14</v>
      </c>
      <c r="D3">
        <v>17000</v>
      </c>
      <c r="E3">
        <f>C3*D3</f>
        <v>238000</v>
      </c>
    </row>
    <row r="4" spans="1:5" x14ac:dyDescent="0.3">
      <c r="A4" t="s">
        <v>4</v>
      </c>
      <c r="B4" t="s">
        <v>3</v>
      </c>
      <c r="C4">
        <v>213</v>
      </c>
      <c r="D4">
        <v>7500</v>
      </c>
      <c r="E4">
        <f t="shared" ref="E4:E67" si="0">C4*D4</f>
        <v>1597500</v>
      </c>
    </row>
    <row r="5" spans="1:5" x14ac:dyDescent="0.3">
      <c r="A5" t="s">
        <v>5</v>
      </c>
      <c r="B5" t="s">
        <v>3</v>
      </c>
      <c r="C5">
        <v>84</v>
      </c>
      <c r="D5">
        <v>5500</v>
      </c>
      <c r="E5">
        <f t="shared" si="0"/>
        <v>462000</v>
      </c>
    </row>
    <row r="6" spans="1:5" x14ac:dyDescent="0.3">
      <c r="A6" t="s">
        <v>6</v>
      </c>
      <c r="B6" t="s">
        <v>3</v>
      </c>
      <c r="C6">
        <v>3</v>
      </c>
      <c r="D6">
        <v>11500</v>
      </c>
      <c r="E6">
        <f t="shared" si="0"/>
        <v>34500</v>
      </c>
    </row>
    <row r="7" spans="1:5" x14ac:dyDescent="0.3">
      <c r="A7" t="s">
        <v>7</v>
      </c>
      <c r="B7" t="s">
        <v>3</v>
      </c>
      <c r="C7">
        <v>130</v>
      </c>
      <c r="D7">
        <v>10000</v>
      </c>
      <c r="E7">
        <f t="shared" si="0"/>
        <v>1300000</v>
      </c>
    </row>
    <row r="8" spans="1:5" hidden="1" x14ac:dyDescent="0.3">
      <c r="A8" t="s">
        <v>111</v>
      </c>
      <c r="B8" t="s">
        <v>3</v>
      </c>
      <c r="C8">
        <v>0</v>
      </c>
      <c r="E8">
        <f t="shared" si="0"/>
        <v>0</v>
      </c>
    </row>
    <row r="9" spans="1:5" x14ac:dyDescent="0.3">
      <c r="A9" t="s">
        <v>8</v>
      </c>
      <c r="B9" t="s">
        <v>3</v>
      </c>
      <c r="C9">
        <v>120</v>
      </c>
      <c r="D9">
        <v>10000</v>
      </c>
      <c r="E9">
        <f t="shared" si="0"/>
        <v>1200000</v>
      </c>
    </row>
    <row r="10" spans="1:5" hidden="1" x14ac:dyDescent="0.3">
      <c r="A10" t="s">
        <v>8</v>
      </c>
      <c r="B10" t="s">
        <v>9</v>
      </c>
      <c r="C10">
        <v>0</v>
      </c>
      <c r="E10">
        <f t="shared" si="0"/>
        <v>0</v>
      </c>
    </row>
    <row r="11" spans="1:5" x14ac:dyDescent="0.3">
      <c r="A11" t="s">
        <v>10</v>
      </c>
      <c r="B11" t="s">
        <v>3</v>
      </c>
      <c r="C11">
        <v>60</v>
      </c>
      <c r="D11">
        <v>19000</v>
      </c>
      <c r="E11">
        <f t="shared" si="0"/>
        <v>1140000</v>
      </c>
    </row>
    <row r="12" spans="1:5" hidden="1" x14ac:dyDescent="0.3">
      <c r="A12" t="s">
        <v>10</v>
      </c>
      <c r="B12" t="s">
        <v>9</v>
      </c>
      <c r="C12">
        <v>0</v>
      </c>
      <c r="E12">
        <f t="shared" si="0"/>
        <v>0</v>
      </c>
    </row>
    <row r="13" spans="1:5" hidden="1" x14ac:dyDescent="0.3">
      <c r="A13" t="s">
        <v>11</v>
      </c>
      <c r="B13" t="s">
        <v>3</v>
      </c>
      <c r="C13">
        <v>0</v>
      </c>
      <c r="E13">
        <f t="shared" si="0"/>
        <v>0</v>
      </c>
    </row>
    <row r="14" spans="1:5" x14ac:dyDescent="0.3">
      <c r="A14" t="s">
        <v>12</v>
      </c>
      <c r="B14" t="s">
        <v>3</v>
      </c>
      <c r="C14">
        <v>20</v>
      </c>
      <c r="D14">
        <v>16000</v>
      </c>
      <c r="E14">
        <f t="shared" si="0"/>
        <v>320000</v>
      </c>
    </row>
    <row r="15" spans="1:5" x14ac:dyDescent="0.3">
      <c r="A15" t="s">
        <v>13</v>
      </c>
      <c r="B15" t="s">
        <v>3</v>
      </c>
      <c r="C15">
        <v>27</v>
      </c>
      <c r="D15">
        <v>20000</v>
      </c>
      <c r="E15">
        <f t="shared" si="0"/>
        <v>540000</v>
      </c>
    </row>
    <row r="16" spans="1:5" hidden="1" x14ac:dyDescent="0.3">
      <c r="A16" t="s">
        <v>14</v>
      </c>
      <c r="B16" t="s">
        <v>3</v>
      </c>
      <c r="C16">
        <v>0</v>
      </c>
      <c r="E16">
        <f t="shared" si="0"/>
        <v>0</v>
      </c>
    </row>
    <row r="17" spans="1:5" hidden="1" x14ac:dyDescent="0.3">
      <c r="A17" t="s">
        <v>15</v>
      </c>
      <c r="B17" t="s">
        <v>3</v>
      </c>
      <c r="C17">
        <v>0</v>
      </c>
      <c r="E17">
        <f t="shared" si="0"/>
        <v>0</v>
      </c>
    </row>
    <row r="18" spans="1:5" hidden="1" x14ac:dyDescent="0.3">
      <c r="A18" t="s">
        <v>16</v>
      </c>
      <c r="B18" t="s">
        <v>17</v>
      </c>
      <c r="C18">
        <v>0</v>
      </c>
      <c r="E18">
        <f t="shared" si="0"/>
        <v>0</v>
      </c>
    </row>
    <row r="19" spans="1:5" x14ac:dyDescent="0.3">
      <c r="A19" t="s">
        <v>18</v>
      </c>
      <c r="B19" t="s">
        <v>3</v>
      </c>
      <c r="C19">
        <v>697</v>
      </c>
      <c r="D19">
        <v>15000</v>
      </c>
      <c r="E19">
        <f t="shared" si="0"/>
        <v>10455000</v>
      </c>
    </row>
    <row r="20" spans="1:5" hidden="1" x14ac:dyDescent="0.3">
      <c r="A20" t="s">
        <v>18</v>
      </c>
      <c r="B20" t="s">
        <v>17</v>
      </c>
      <c r="C20">
        <v>0</v>
      </c>
      <c r="E20">
        <f t="shared" si="0"/>
        <v>0</v>
      </c>
    </row>
    <row r="21" spans="1:5" hidden="1" x14ac:dyDescent="0.3">
      <c r="A21" t="s">
        <v>18</v>
      </c>
      <c r="B21" t="s">
        <v>19</v>
      </c>
      <c r="C21">
        <v>0</v>
      </c>
      <c r="E21">
        <f t="shared" si="0"/>
        <v>0</v>
      </c>
    </row>
    <row r="22" spans="1:5" hidden="1" x14ac:dyDescent="0.3">
      <c r="A22" t="s">
        <v>20</v>
      </c>
      <c r="B22" t="s">
        <v>3</v>
      </c>
      <c r="C22">
        <v>0</v>
      </c>
      <c r="E22">
        <f t="shared" si="0"/>
        <v>0</v>
      </c>
    </row>
    <row r="23" spans="1:5" x14ac:dyDescent="0.3">
      <c r="A23" t="s">
        <v>20</v>
      </c>
      <c r="B23" t="s">
        <v>21</v>
      </c>
      <c r="C23">
        <v>50</v>
      </c>
      <c r="D23">
        <v>7000</v>
      </c>
      <c r="E23">
        <f t="shared" si="0"/>
        <v>350000</v>
      </c>
    </row>
    <row r="24" spans="1:5" x14ac:dyDescent="0.3">
      <c r="A24" t="s">
        <v>22</v>
      </c>
      <c r="B24" t="s">
        <v>3</v>
      </c>
      <c r="C24">
        <v>6</v>
      </c>
      <c r="D24">
        <v>24000</v>
      </c>
      <c r="E24">
        <f t="shared" si="0"/>
        <v>144000</v>
      </c>
    </row>
    <row r="25" spans="1:5" x14ac:dyDescent="0.3">
      <c r="A25" t="s">
        <v>22</v>
      </c>
      <c r="B25" t="s">
        <v>23</v>
      </c>
      <c r="C25">
        <v>83</v>
      </c>
      <c r="D25">
        <v>7200</v>
      </c>
      <c r="E25">
        <f t="shared" si="0"/>
        <v>597600</v>
      </c>
    </row>
    <row r="26" spans="1:5" x14ac:dyDescent="0.3">
      <c r="A26" t="s">
        <v>24</v>
      </c>
      <c r="B26" t="s">
        <v>25</v>
      </c>
      <c r="C26">
        <v>5</v>
      </c>
      <c r="D26">
        <v>12000</v>
      </c>
      <c r="E26">
        <f t="shared" si="0"/>
        <v>60000</v>
      </c>
    </row>
    <row r="27" spans="1:5" hidden="1" x14ac:dyDescent="0.3">
      <c r="A27" t="s">
        <v>26</v>
      </c>
      <c r="B27" t="s">
        <v>3</v>
      </c>
      <c r="C27">
        <v>0</v>
      </c>
      <c r="E27">
        <f t="shared" si="0"/>
        <v>0</v>
      </c>
    </row>
    <row r="28" spans="1:5" x14ac:dyDescent="0.3">
      <c r="A28" t="s">
        <v>26</v>
      </c>
      <c r="B28" t="s">
        <v>27</v>
      </c>
      <c r="C28">
        <v>310</v>
      </c>
      <c r="D28">
        <v>9000</v>
      </c>
      <c r="E28">
        <f t="shared" si="0"/>
        <v>2790000</v>
      </c>
    </row>
    <row r="29" spans="1:5" x14ac:dyDescent="0.3">
      <c r="A29" t="s">
        <v>28</v>
      </c>
      <c r="B29" t="s">
        <v>3</v>
      </c>
      <c r="C29">
        <v>212</v>
      </c>
      <c r="D29">
        <v>18000</v>
      </c>
      <c r="E29">
        <f t="shared" si="0"/>
        <v>3816000</v>
      </c>
    </row>
    <row r="30" spans="1:5" hidden="1" x14ac:dyDescent="0.3">
      <c r="A30" t="s">
        <v>28</v>
      </c>
      <c r="B30" t="s">
        <v>17</v>
      </c>
      <c r="C30">
        <v>0</v>
      </c>
      <c r="E30">
        <f t="shared" si="0"/>
        <v>0</v>
      </c>
    </row>
    <row r="31" spans="1:5" x14ac:dyDescent="0.3">
      <c r="A31" t="s">
        <v>29</v>
      </c>
      <c r="B31" t="s">
        <v>30</v>
      </c>
      <c r="C31">
        <v>110</v>
      </c>
      <c r="D31">
        <v>14000</v>
      </c>
      <c r="E31">
        <f t="shared" si="0"/>
        <v>1540000</v>
      </c>
    </row>
    <row r="32" spans="1:5" x14ac:dyDescent="0.3">
      <c r="A32" t="s">
        <v>31</v>
      </c>
      <c r="B32" t="s">
        <v>3</v>
      </c>
      <c r="C32">
        <v>118</v>
      </c>
      <c r="D32">
        <v>11500</v>
      </c>
      <c r="E32">
        <f t="shared" si="0"/>
        <v>1357000</v>
      </c>
    </row>
    <row r="33" spans="1:5" hidden="1" x14ac:dyDescent="0.3">
      <c r="A33" t="s">
        <v>31</v>
      </c>
      <c r="B33" t="s">
        <v>30</v>
      </c>
      <c r="C33">
        <v>0</v>
      </c>
      <c r="E33">
        <f t="shared" si="0"/>
        <v>0</v>
      </c>
    </row>
    <row r="34" spans="1:5" hidden="1" x14ac:dyDescent="0.3">
      <c r="A34" t="s">
        <v>32</v>
      </c>
      <c r="B34" t="s">
        <v>3</v>
      </c>
      <c r="C34">
        <v>0</v>
      </c>
      <c r="E34">
        <f t="shared" si="0"/>
        <v>0</v>
      </c>
    </row>
    <row r="35" spans="1:5" x14ac:dyDescent="0.3">
      <c r="A35" t="s">
        <v>32</v>
      </c>
      <c r="B35" t="s">
        <v>17</v>
      </c>
      <c r="C35">
        <v>7</v>
      </c>
      <c r="D35">
        <v>9500</v>
      </c>
      <c r="E35">
        <f t="shared" si="0"/>
        <v>66500</v>
      </c>
    </row>
    <row r="36" spans="1:5" hidden="1" x14ac:dyDescent="0.3">
      <c r="A36" t="s">
        <v>33</v>
      </c>
      <c r="B36" t="s">
        <v>3</v>
      </c>
      <c r="C36">
        <v>0</v>
      </c>
      <c r="E36">
        <f t="shared" si="0"/>
        <v>0</v>
      </c>
    </row>
    <row r="37" spans="1:5" hidden="1" x14ac:dyDescent="0.3">
      <c r="A37" t="s">
        <v>33</v>
      </c>
      <c r="B37" t="s">
        <v>34</v>
      </c>
      <c r="C37">
        <v>0</v>
      </c>
      <c r="E37">
        <f t="shared" si="0"/>
        <v>0</v>
      </c>
    </row>
    <row r="38" spans="1:5" x14ac:dyDescent="0.3">
      <c r="A38" t="s">
        <v>35</v>
      </c>
      <c r="B38" t="s">
        <v>3</v>
      </c>
      <c r="C38">
        <v>5</v>
      </c>
      <c r="D38">
        <v>28000</v>
      </c>
      <c r="E38">
        <f t="shared" si="0"/>
        <v>140000</v>
      </c>
    </row>
    <row r="39" spans="1:5" x14ac:dyDescent="0.3">
      <c r="A39" t="s">
        <v>35</v>
      </c>
      <c r="B39" t="s">
        <v>30</v>
      </c>
      <c r="C39">
        <v>7</v>
      </c>
      <c r="D39">
        <v>9000</v>
      </c>
      <c r="E39">
        <f t="shared" si="0"/>
        <v>63000</v>
      </c>
    </row>
    <row r="40" spans="1:5" hidden="1" x14ac:dyDescent="0.3">
      <c r="A40" t="s">
        <v>36</v>
      </c>
      <c r="B40" t="s">
        <v>3</v>
      </c>
      <c r="C40">
        <v>0</v>
      </c>
      <c r="E40">
        <f t="shared" si="0"/>
        <v>0</v>
      </c>
    </row>
    <row r="41" spans="1:5" hidden="1" x14ac:dyDescent="0.3">
      <c r="A41" t="s">
        <v>36</v>
      </c>
      <c r="B41" t="s">
        <v>30</v>
      </c>
      <c r="C41">
        <v>0</v>
      </c>
      <c r="E41">
        <f t="shared" si="0"/>
        <v>0</v>
      </c>
    </row>
    <row r="42" spans="1:5" x14ac:dyDescent="0.3">
      <c r="A42" t="s">
        <v>37</v>
      </c>
      <c r="B42" t="s">
        <v>30</v>
      </c>
      <c r="C42">
        <v>15</v>
      </c>
      <c r="D42">
        <v>4000</v>
      </c>
      <c r="E42">
        <f t="shared" si="0"/>
        <v>60000</v>
      </c>
    </row>
    <row r="43" spans="1:5" x14ac:dyDescent="0.3">
      <c r="A43" t="s">
        <v>38</v>
      </c>
      <c r="B43" t="s">
        <v>3</v>
      </c>
      <c r="C43">
        <v>980</v>
      </c>
      <c r="D43">
        <v>7500</v>
      </c>
      <c r="E43">
        <f t="shared" si="0"/>
        <v>7350000</v>
      </c>
    </row>
    <row r="44" spans="1:5" hidden="1" x14ac:dyDescent="0.3">
      <c r="A44" t="s">
        <v>103</v>
      </c>
      <c r="B44" t="s">
        <v>3</v>
      </c>
      <c r="C44">
        <v>0</v>
      </c>
      <c r="E44">
        <f t="shared" si="0"/>
        <v>0</v>
      </c>
    </row>
    <row r="45" spans="1:5" hidden="1" x14ac:dyDescent="0.3">
      <c r="A45" t="s">
        <v>39</v>
      </c>
      <c r="B45" t="s">
        <v>40</v>
      </c>
      <c r="C45">
        <v>0</v>
      </c>
      <c r="E45">
        <f t="shared" si="0"/>
        <v>0</v>
      </c>
    </row>
    <row r="46" spans="1:5" x14ac:dyDescent="0.3">
      <c r="A46" t="s">
        <v>39</v>
      </c>
      <c r="B46" t="s">
        <v>3</v>
      </c>
      <c r="C46">
        <v>50</v>
      </c>
      <c r="D46">
        <v>9000</v>
      </c>
      <c r="E46">
        <f t="shared" si="0"/>
        <v>450000</v>
      </c>
    </row>
    <row r="47" spans="1:5" hidden="1" x14ac:dyDescent="0.3">
      <c r="A47" t="s">
        <v>41</v>
      </c>
      <c r="B47" t="s">
        <v>3</v>
      </c>
      <c r="C47">
        <v>0</v>
      </c>
      <c r="E47">
        <f t="shared" si="0"/>
        <v>0</v>
      </c>
    </row>
    <row r="48" spans="1:5" x14ac:dyDescent="0.3">
      <c r="A48" t="s">
        <v>42</v>
      </c>
      <c r="B48" t="s">
        <v>25</v>
      </c>
      <c r="C48">
        <v>5</v>
      </c>
      <c r="D48">
        <v>11000</v>
      </c>
      <c r="E48">
        <f t="shared" si="0"/>
        <v>55000</v>
      </c>
    </row>
    <row r="49" spans="1:5" hidden="1" x14ac:dyDescent="0.3">
      <c r="A49" t="s">
        <v>42</v>
      </c>
      <c r="B49" t="s">
        <v>3</v>
      </c>
      <c r="C49">
        <v>0</v>
      </c>
      <c r="E49">
        <f t="shared" si="0"/>
        <v>0</v>
      </c>
    </row>
    <row r="50" spans="1:5" x14ac:dyDescent="0.3">
      <c r="A50" t="s">
        <v>43</v>
      </c>
      <c r="B50" t="s">
        <v>3</v>
      </c>
      <c r="C50">
        <v>9</v>
      </c>
      <c r="D50">
        <v>16000</v>
      </c>
      <c r="E50">
        <f t="shared" si="0"/>
        <v>144000</v>
      </c>
    </row>
    <row r="51" spans="1:5" hidden="1" x14ac:dyDescent="0.3">
      <c r="A51" t="s">
        <v>44</v>
      </c>
      <c r="B51" t="s">
        <v>3</v>
      </c>
      <c r="C51">
        <v>0</v>
      </c>
      <c r="E51">
        <f t="shared" si="0"/>
        <v>0</v>
      </c>
    </row>
    <row r="52" spans="1:5" x14ac:dyDescent="0.3">
      <c r="A52" t="s">
        <v>45</v>
      </c>
      <c r="B52" t="s">
        <v>3</v>
      </c>
      <c r="C52">
        <v>25</v>
      </c>
      <c r="D52">
        <v>10000</v>
      </c>
      <c r="E52">
        <f t="shared" si="0"/>
        <v>250000</v>
      </c>
    </row>
    <row r="53" spans="1:5" hidden="1" x14ac:dyDescent="0.3">
      <c r="A53" t="s">
        <v>45</v>
      </c>
      <c r="B53" t="s">
        <v>30</v>
      </c>
      <c r="C53">
        <v>0</v>
      </c>
      <c r="E53">
        <f t="shared" si="0"/>
        <v>0</v>
      </c>
    </row>
    <row r="54" spans="1:5" x14ac:dyDescent="0.3">
      <c r="A54" t="s">
        <v>46</v>
      </c>
      <c r="B54" t="s">
        <v>3</v>
      </c>
      <c r="C54">
        <v>5</v>
      </c>
      <c r="D54">
        <v>17000</v>
      </c>
      <c r="E54">
        <f t="shared" si="0"/>
        <v>85000</v>
      </c>
    </row>
    <row r="55" spans="1:5" x14ac:dyDescent="0.3">
      <c r="A55" t="s">
        <v>47</v>
      </c>
      <c r="B55" t="s">
        <v>3</v>
      </c>
      <c r="C55">
        <v>320</v>
      </c>
      <c r="D55">
        <v>12500</v>
      </c>
      <c r="E55">
        <f t="shared" si="0"/>
        <v>4000000</v>
      </c>
    </row>
    <row r="56" spans="1:5" hidden="1" x14ac:dyDescent="0.3">
      <c r="A56" t="s">
        <v>47</v>
      </c>
      <c r="B56" t="s">
        <v>48</v>
      </c>
      <c r="C56">
        <v>0</v>
      </c>
      <c r="E56">
        <f t="shared" si="0"/>
        <v>0</v>
      </c>
    </row>
    <row r="57" spans="1:5" x14ac:dyDescent="0.3">
      <c r="A57" t="s">
        <v>49</v>
      </c>
      <c r="B57" t="s">
        <v>3</v>
      </c>
      <c r="C57">
        <v>7</v>
      </c>
      <c r="D57">
        <v>20000</v>
      </c>
      <c r="E57">
        <f t="shared" si="0"/>
        <v>140000</v>
      </c>
    </row>
    <row r="58" spans="1:5" x14ac:dyDescent="0.3">
      <c r="A58" t="s">
        <v>50</v>
      </c>
      <c r="B58" t="s">
        <v>30</v>
      </c>
      <c r="C58">
        <v>43</v>
      </c>
      <c r="D58">
        <v>3600</v>
      </c>
      <c r="E58">
        <f t="shared" si="0"/>
        <v>154800</v>
      </c>
    </row>
    <row r="59" spans="1:5" x14ac:dyDescent="0.3">
      <c r="A59" t="s">
        <v>51</v>
      </c>
      <c r="B59" t="s">
        <v>3</v>
      </c>
      <c r="C59">
        <v>1400</v>
      </c>
      <c r="D59">
        <v>28000</v>
      </c>
      <c r="E59">
        <f t="shared" si="0"/>
        <v>39200000</v>
      </c>
    </row>
    <row r="60" spans="1:5" x14ac:dyDescent="0.3">
      <c r="A60" t="s">
        <v>52</v>
      </c>
      <c r="B60" t="s">
        <v>3</v>
      </c>
      <c r="C60">
        <v>990</v>
      </c>
      <c r="D60">
        <v>28000</v>
      </c>
      <c r="E60">
        <f t="shared" si="0"/>
        <v>27720000</v>
      </c>
    </row>
    <row r="61" spans="1:5" hidden="1" x14ac:dyDescent="0.3">
      <c r="A61" t="s">
        <v>52</v>
      </c>
      <c r="B61" t="s">
        <v>30</v>
      </c>
      <c r="C61">
        <v>0</v>
      </c>
      <c r="E61">
        <f t="shared" si="0"/>
        <v>0</v>
      </c>
    </row>
    <row r="62" spans="1:5" x14ac:dyDescent="0.3">
      <c r="A62" t="s">
        <v>53</v>
      </c>
      <c r="B62" t="s">
        <v>3</v>
      </c>
      <c r="C62">
        <v>1300</v>
      </c>
      <c r="D62">
        <v>23000</v>
      </c>
      <c r="E62">
        <f t="shared" si="0"/>
        <v>29900000</v>
      </c>
    </row>
    <row r="63" spans="1:5" x14ac:dyDescent="0.3">
      <c r="A63" t="s">
        <v>54</v>
      </c>
      <c r="B63" t="s">
        <v>3</v>
      </c>
      <c r="C63">
        <v>320</v>
      </c>
      <c r="D63">
        <v>17000</v>
      </c>
      <c r="E63">
        <f t="shared" si="0"/>
        <v>5440000</v>
      </c>
    </row>
    <row r="64" spans="1:5" hidden="1" x14ac:dyDescent="0.3">
      <c r="A64" t="s">
        <v>55</v>
      </c>
      <c r="B64" t="s">
        <v>3</v>
      </c>
      <c r="C64">
        <v>0</v>
      </c>
      <c r="E64">
        <f t="shared" si="0"/>
        <v>0</v>
      </c>
    </row>
    <row r="65" spans="1:5" hidden="1" x14ac:dyDescent="0.3">
      <c r="A65" t="s">
        <v>56</v>
      </c>
      <c r="B65" t="s">
        <v>3</v>
      </c>
      <c r="C65">
        <v>0</v>
      </c>
      <c r="E65">
        <f t="shared" si="0"/>
        <v>0</v>
      </c>
    </row>
    <row r="66" spans="1:5" hidden="1" x14ac:dyDescent="0.3">
      <c r="A66" t="s">
        <v>57</v>
      </c>
      <c r="B66" t="s">
        <v>30</v>
      </c>
      <c r="C66">
        <v>0</v>
      </c>
      <c r="E66">
        <f t="shared" si="0"/>
        <v>0</v>
      </c>
    </row>
    <row r="67" spans="1:5" x14ac:dyDescent="0.3">
      <c r="A67" t="s">
        <v>58</v>
      </c>
      <c r="B67" t="s">
        <v>3</v>
      </c>
      <c r="C67">
        <v>60</v>
      </c>
      <c r="D67">
        <v>30000</v>
      </c>
      <c r="E67">
        <f t="shared" si="0"/>
        <v>1800000</v>
      </c>
    </row>
    <row r="68" spans="1:5" x14ac:dyDescent="0.3">
      <c r="A68" t="s">
        <v>59</v>
      </c>
      <c r="B68" t="s">
        <v>3</v>
      </c>
      <c r="C68">
        <v>30</v>
      </c>
      <c r="D68">
        <v>17000</v>
      </c>
      <c r="E68">
        <f t="shared" ref="E68:E133" si="1">C68*D68</f>
        <v>510000</v>
      </c>
    </row>
    <row r="69" spans="1:5" hidden="1" x14ac:dyDescent="0.3">
      <c r="A69" t="s">
        <v>59</v>
      </c>
      <c r="B69" t="s">
        <v>30</v>
      </c>
      <c r="C69">
        <v>0</v>
      </c>
      <c r="E69">
        <f t="shared" si="1"/>
        <v>0</v>
      </c>
    </row>
    <row r="70" spans="1:5" x14ac:dyDescent="0.3">
      <c r="A70" t="s">
        <v>60</v>
      </c>
      <c r="B70" t="s">
        <v>30</v>
      </c>
      <c r="C70">
        <v>50</v>
      </c>
      <c r="D70">
        <v>7500</v>
      </c>
      <c r="E70">
        <f t="shared" si="1"/>
        <v>375000</v>
      </c>
    </row>
    <row r="71" spans="1:5" x14ac:dyDescent="0.3">
      <c r="A71" t="s">
        <v>61</v>
      </c>
      <c r="B71" t="s">
        <v>3</v>
      </c>
      <c r="C71">
        <v>48</v>
      </c>
      <c r="D71">
        <v>13000</v>
      </c>
      <c r="E71">
        <f t="shared" si="1"/>
        <v>624000</v>
      </c>
    </row>
    <row r="72" spans="1:5" x14ac:dyDescent="0.3">
      <c r="A72" t="s">
        <v>62</v>
      </c>
      <c r="B72" t="s">
        <v>30</v>
      </c>
      <c r="C72">
        <v>25</v>
      </c>
      <c r="D72">
        <v>8000</v>
      </c>
      <c r="E72">
        <f t="shared" si="1"/>
        <v>200000</v>
      </c>
    </row>
    <row r="73" spans="1:5" hidden="1" x14ac:dyDescent="0.3">
      <c r="A73" t="s">
        <v>63</v>
      </c>
      <c r="B73" t="s">
        <v>3</v>
      </c>
      <c r="C73">
        <v>0</v>
      </c>
      <c r="E73">
        <f t="shared" si="1"/>
        <v>0</v>
      </c>
    </row>
    <row r="74" spans="1:5" x14ac:dyDescent="0.3">
      <c r="A74" t="s">
        <v>63</v>
      </c>
      <c r="B74" t="s">
        <v>64</v>
      </c>
      <c r="C74">
        <v>29</v>
      </c>
      <c r="D74">
        <v>8000</v>
      </c>
      <c r="E74">
        <f t="shared" si="1"/>
        <v>232000</v>
      </c>
    </row>
    <row r="75" spans="1:5" x14ac:dyDescent="0.3">
      <c r="A75" t="s">
        <v>65</v>
      </c>
      <c r="B75" t="s">
        <v>3</v>
      </c>
      <c r="C75">
        <v>0.5</v>
      </c>
      <c r="D75">
        <v>80000</v>
      </c>
      <c r="E75">
        <f t="shared" si="1"/>
        <v>40000</v>
      </c>
    </row>
    <row r="76" spans="1:5" hidden="1" x14ac:dyDescent="0.3">
      <c r="A76" t="s">
        <v>112</v>
      </c>
      <c r="B76" t="s">
        <v>3</v>
      </c>
      <c r="C76">
        <v>0</v>
      </c>
      <c r="E76">
        <f t="shared" si="1"/>
        <v>0</v>
      </c>
    </row>
    <row r="77" spans="1:5" x14ac:dyDescent="0.3">
      <c r="A77" t="s">
        <v>66</v>
      </c>
      <c r="B77" t="s">
        <v>3</v>
      </c>
      <c r="C77">
        <v>1</v>
      </c>
      <c r="D77">
        <v>70000</v>
      </c>
      <c r="E77">
        <f t="shared" si="1"/>
        <v>70000</v>
      </c>
    </row>
    <row r="78" spans="1:5" x14ac:dyDescent="0.3">
      <c r="A78" t="s">
        <v>67</v>
      </c>
      <c r="B78" t="s">
        <v>3</v>
      </c>
      <c r="C78">
        <v>0.5</v>
      </c>
      <c r="D78">
        <v>70000</v>
      </c>
      <c r="E78">
        <f t="shared" si="1"/>
        <v>35000</v>
      </c>
    </row>
    <row r="79" spans="1:5" hidden="1" x14ac:dyDescent="0.3">
      <c r="A79" t="s">
        <v>68</v>
      </c>
      <c r="B79" t="s">
        <v>3</v>
      </c>
      <c r="C79">
        <v>0</v>
      </c>
      <c r="E79">
        <f t="shared" si="1"/>
        <v>0</v>
      </c>
    </row>
    <row r="80" spans="1:5" x14ac:dyDescent="0.3">
      <c r="A80" t="s">
        <v>68</v>
      </c>
      <c r="B80" t="s">
        <v>17</v>
      </c>
      <c r="C80">
        <v>484</v>
      </c>
      <c r="D80">
        <v>5000</v>
      </c>
      <c r="E80">
        <f t="shared" si="1"/>
        <v>2420000</v>
      </c>
    </row>
    <row r="81" spans="1:5" hidden="1" x14ac:dyDescent="0.3">
      <c r="A81" t="s">
        <v>69</v>
      </c>
      <c r="B81" t="s">
        <v>3</v>
      </c>
      <c r="C81">
        <v>0</v>
      </c>
      <c r="E81">
        <f t="shared" si="1"/>
        <v>0</v>
      </c>
    </row>
    <row r="82" spans="1:5" x14ac:dyDescent="0.3">
      <c r="A82" t="s">
        <v>70</v>
      </c>
      <c r="B82" t="s">
        <v>3</v>
      </c>
      <c r="C82">
        <v>10</v>
      </c>
      <c r="D82">
        <v>8000</v>
      </c>
      <c r="E82">
        <f t="shared" si="1"/>
        <v>80000</v>
      </c>
    </row>
    <row r="83" spans="1:5" hidden="1" x14ac:dyDescent="0.3">
      <c r="A83" t="s">
        <v>71</v>
      </c>
      <c r="B83" t="s">
        <v>40</v>
      </c>
      <c r="C83">
        <v>0</v>
      </c>
      <c r="E83">
        <f t="shared" si="1"/>
        <v>0</v>
      </c>
    </row>
    <row r="84" spans="1:5" hidden="1" x14ac:dyDescent="0.3">
      <c r="A84" t="s">
        <v>71</v>
      </c>
      <c r="B84" t="s">
        <v>3</v>
      </c>
      <c r="C84">
        <v>0</v>
      </c>
      <c r="E84">
        <f t="shared" si="1"/>
        <v>0</v>
      </c>
    </row>
    <row r="85" spans="1:5" x14ac:dyDescent="0.3">
      <c r="A85" t="s">
        <v>72</v>
      </c>
      <c r="B85" t="s">
        <v>3</v>
      </c>
      <c r="C85">
        <v>2505</v>
      </c>
      <c r="D85">
        <v>27600</v>
      </c>
      <c r="E85">
        <f t="shared" si="1"/>
        <v>69138000</v>
      </c>
    </row>
    <row r="86" spans="1:5" hidden="1" x14ac:dyDescent="0.3">
      <c r="A86" t="s">
        <v>73</v>
      </c>
      <c r="B86" t="s">
        <v>3</v>
      </c>
      <c r="C86">
        <v>0</v>
      </c>
      <c r="E86">
        <f t="shared" si="1"/>
        <v>0</v>
      </c>
    </row>
    <row r="87" spans="1:5" hidden="1" x14ac:dyDescent="0.3">
      <c r="A87" t="s">
        <v>74</v>
      </c>
      <c r="B87" t="s">
        <v>30</v>
      </c>
      <c r="C87">
        <v>0</v>
      </c>
      <c r="E87">
        <f t="shared" si="1"/>
        <v>0</v>
      </c>
    </row>
    <row r="88" spans="1:5" x14ac:dyDescent="0.3">
      <c r="A88" t="s">
        <v>75</v>
      </c>
      <c r="B88" t="s">
        <v>3</v>
      </c>
      <c r="C88">
        <v>15</v>
      </c>
      <c r="D88">
        <v>14000</v>
      </c>
      <c r="E88">
        <f t="shared" si="1"/>
        <v>210000</v>
      </c>
    </row>
    <row r="89" spans="1:5" hidden="1" x14ac:dyDescent="0.3">
      <c r="A89" t="s">
        <v>76</v>
      </c>
      <c r="B89" t="s">
        <v>17</v>
      </c>
      <c r="C89">
        <v>0</v>
      </c>
      <c r="E89">
        <f t="shared" si="1"/>
        <v>0</v>
      </c>
    </row>
    <row r="90" spans="1:5" hidden="1" x14ac:dyDescent="0.3">
      <c r="A90" t="s">
        <v>77</v>
      </c>
      <c r="B90" t="s">
        <v>25</v>
      </c>
      <c r="C90">
        <v>0</v>
      </c>
      <c r="E90">
        <f t="shared" si="1"/>
        <v>0</v>
      </c>
    </row>
    <row r="91" spans="1:5" x14ac:dyDescent="0.3">
      <c r="A91" t="s">
        <v>77</v>
      </c>
      <c r="B91" t="s">
        <v>3</v>
      </c>
      <c r="C91">
        <v>8</v>
      </c>
      <c r="D91">
        <v>45000</v>
      </c>
      <c r="E91">
        <f t="shared" si="1"/>
        <v>360000</v>
      </c>
    </row>
    <row r="92" spans="1:5" x14ac:dyDescent="0.3">
      <c r="A92" t="s">
        <v>78</v>
      </c>
      <c r="B92" t="s">
        <v>3</v>
      </c>
      <c r="C92">
        <v>79</v>
      </c>
      <c r="D92">
        <v>26000</v>
      </c>
      <c r="E92">
        <f t="shared" si="1"/>
        <v>2054000</v>
      </c>
    </row>
    <row r="93" spans="1:5" hidden="1" x14ac:dyDescent="0.3">
      <c r="A93" t="s">
        <v>78</v>
      </c>
      <c r="B93" t="s">
        <v>9</v>
      </c>
      <c r="C93">
        <v>0</v>
      </c>
      <c r="E93">
        <f t="shared" si="1"/>
        <v>0</v>
      </c>
    </row>
    <row r="94" spans="1:5" x14ac:dyDescent="0.3">
      <c r="A94" t="s">
        <v>80</v>
      </c>
      <c r="B94" t="s">
        <v>3</v>
      </c>
      <c r="C94">
        <v>175</v>
      </c>
      <c r="D94">
        <v>26000</v>
      </c>
      <c r="E94">
        <f t="shared" si="1"/>
        <v>4550000</v>
      </c>
    </row>
    <row r="95" spans="1:5" hidden="1" x14ac:dyDescent="0.3">
      <c r="A95" t="s">
        <v>80</v>
      </c>
      <c r="B95" t="s">
        <v>9</v>
      </c>
      <c r="C95">
        <v>0</v>
      </c>
      <c r="E95">
        <f t="shared" si="1"/>
        <v>0</v>
      </c>
    </row>
    <row r="96" spans="1:5" x14ac:dyDescent="0.3">
      <c r="A96" t="s">
        <v>82</v>
      </c>
      <c r="B96" t="s">
        <v>3</v>
      </c>
      <c r="C96">
        <v>35</v>
      </c>
      <c r="D96">
        <v>31000</v>
      </c>
      <c r="E96">
        <f t="shared" si="1"/>
        <v>1085000</v>
      </c>
    </row>
    <row r="97" spans="1:5" hidden="1" x14ac:dyDescent="0.3">
      <c r="A97" t="s">
        <v>82</v>
      </c>
      <c r="B97" t="s">
        <v>9</v>
      </c>
      <c r="C97">
        <v>0</v>
      </c>
      <c r="E97">
        <f t="shared" si="1"/>
        <v>0</v>
      </c>
    </row>
    <row r="98" spans="1:5" x14ac:dyDescent="0.3">
      <c r="A98" t="s">
        <v>84</v>
      </c>
      <c r="B98" t="s">
        <v>3</v>
      </c>
      <c r="C98">
        <v>60</v>
      </c>
      <c r="D98">
        <v>50000</v>
      </c>
      <c r="E98">
        <f t="shared" si="1"/>
        <v>3000000</v>
      </c>
    </row>
    <row r="99" spans="1:5" hidden="1" x14ac:dyDescent="0.3">
      <c r="A99" t="s">
        <v>84</v>
      </c>
      <c r="B99" t="s">
        <v>30</v>
      </c>
      <c r="C99">
        <v>0</v>
      </c>
      <c r="E99">
        <f t="shared" si="1"/>
        <v>0</v>
      </c>
    </row>
    <row r="100" spans="1:5" hidden="1" x14ac:dyDescent="0.3">
      <c r="A100" t="s">
        <v>85</v>
      </c>
      <c r="B100" t="s">
        <v>30</v>
      </c>
      <c r="C100">
        <v>0</v>
      </c>
      <c r="E100">
        <f t="shared" si="1"/>
        <v>0</v>
      </c>
    </row>
    <row r="101" spans="1:5" x14ac:dyDescent="0.3">
      <c r="A101" t="s">
        <v>113</v>
      </c>
      <c r="B101" t="s">
        <v>9</v>
      </c>
      <c r="C101">
        <v>379</v>
      </c>
      <c r="D101">
        <v>10000</v>
      </c>
      <c r="E101">
        <f t="shared" si="1"/>
        <v>3790000</v>
      </c>
    </row>
    <row r="102" spans="1:5" x14ac:dyDescent="0.3">
      <c r="A102" t="s">
        <v>87</v>
      </c>
      <c r="B102" t="s">
        <v>9</v>
      </c>
      <c r="C102">
        <v>1580</v>
      </c>
      <c r="D102">
        <v>10000</v>
      </c>
      <c r="E102">
        <f t="shared" si="1"/>
        <v>15800000</v>
      </c>
    </row>
    <row r="103" spans="1:5" x14ac:dyDescent="0.3">
      <c r="A103" t="s">
        <v>88</v>
      </c>
      <c r="B103" t="s">
        <v>9</v>
      </c>
      <c r="C103">
        <v>641</v>
      </c>
      <c r="D103">
        <v>17000</v>
      </c>
      <c r="E103">
        <f t="shared" si="1"/>
        <v>10897000</v>
      </c>
    </row>
    <row r="104" spans="1:5" hidden="1" x14ac:dyDescent="0.3">
      <c r="A104" t="s">
        <v>89</v>
      </c>
      <c r="B104" t="s">
        <v>3</v>
      </c>
      <c r="C104">
        <v>0</v>
      </c>
      <c r="E104">
        <f t="shared" si="1"/>
        <v>0</v>
      </c>
    </row>
    <row r="105" spans="1:5" hidden="1" x14ac:dyDescent="0.3">
      <c r="A105" t="s">
        <v>90</v>
      </c>
      <c r="B105" t="s">
        <v>3</v>
      </c>
      <c r="C105">
        <v>0</v>
      </c>
      <c r="E105">
        <f t="shared" si="1"/>
        <v>0</v>
      </c>
    </row>
    <row r="106" spans="1:5" hidden="1" x14ac:dyDescent="0.3">
      <c r="A106" t="s">
        <v>91</v>
      </c>
      <c r="B106" t="s">
        <v>25</v>
      </c>
      <c r="C106">
        <v>0</v>
      </c>
      <c r="E106">
        <f t="shared" si="1"/>
        <v>0</v>
      </c>
    </row>
    <row r="107" spans="1:5" x14ac:dyDescent="0.3">
      <c r="A107" t="s">
        <v>92</v>
      </c>
      <c r="B107" t="s">
        <v>3</v>
      </c>
      <c r="C107">
        <v>40</v>
      </c>
      <c r="D107">
        <v>16000</v>
      </c>
      <c r="E107">
        <f t="shared" si="1"/>
        <v>640000</v>
      </c>
    </row>
    <row r="108" spans="1:5" hidden="1" x14ac:dyDescent="0.3">
      <c r="A108" t="s">
        <v>114</v>
      </c>
      <c r="B108" t="s">
        <v>3</v>
      </c>
      <c r="C108">
        <v>0</v>
      </c>
      <c r="E108">
        <f t="shared" si="1"/>
        <v>0</v>
      </c>
    </row>
    <row r="109" spans="1:5" hidden="1" x14ac:dyDescent="0.3">
      <c r="A109" t="s">
        <v>93</v>
      </c>
      <c r="B109" t="s">
        <v>3</v>
      </c>
      <c r="C109">
        <v>0</v>
      </c>
      <c r="E109">
        <f t="shared" si="1"/>
        <v>0</v>
      </c>
    </row>
    <row r="110" spans="1:5" hidden="1" x14ac:dyDescent="0.3">
      <c r="A110" t="s">
        <v>94</v>
      </c>
      <c r="B110" t="s">
        <v>3</v>
      </c>
      <c r="C110">
        <v>0</v>
      </c>
      <c r="E110">
        <f t="shared" si="1"/>
        <v>0</v>
      </c>
    </row>
    <row r="111" spans="1:5" hidden="1" x14ac:dyDescent="0.3">
      <c r="A111" t="s">
        <v>95</v>
      </c>
      <c r="B111" t="s">
        <v>40</v>
      </c>
      <c r="C111">
        <v>0</v>
      </c>
      <c r="E111">
        <f t="shared" si="1"/>
        <v>0</v>
      </c>
    </row>
    <row r="112" spans="1:5" hidden="1" x14ac:dyDescent="0.3">
      <c r="A112" t="s">
        <v>96</v>
      </c>
      <c r="B112" t="s">
        <v>3</v>
      </c>
      <c r="C112">
        <v>0</v>
      </c>
      <c r="E112">
        <f t="shared" si="1"/>
        <v>0</v>
      </c>
    </row>
    <row r="113" spans="1:5" hidden="1" x14ac:dyDescent="0.3">
      <c r="A113" t="s">
        <v>97</v>
      </c>
      <c r="B113" t="s">
        <v>40</v>
      </c>
      <c r="C113">
        <v>0</v>
      </c>
      <c r="E113">
        <f t="shared" si="1"/>
        <v>0</v>
      </c>
    </row>
    <row r="114" spans="1:5" hidden="1" x14ac:dyDescent="0.3">
      <c r="A114" t="s">
        <v>98</v>
      </c>
      <c r="B114" t="s">
        <v>3</v>
      </c>
      <c r="C114">
        <v>0</v>
      </c>
      <c r="E114">
        <f t="shared" si="1"/>
        <v>0</v>
      </c>
    </row>
    <row r="115" spans="1:5" hidden="1" x14ac:dyDescent="0.3">
      <c r="A115" t="s">
        <v>99</v>
      </c>
      <c r="B115" t="s">
        <v>3</v>
      </c>
      <c r="C115">
        <v>0</v>
      </c>
      <c r="E115">
        <f t="shared" si="1"/>
        <v>0</v>
      </c>
    </row>
    <row r="116" spans="1:5" hidden="1" x14ac:dyDescent="0.3">
      <c r="A116" t="s">
        <v>100</v>
      </c>
      <c r="B116" t="s">
        <v>40</v>
      </c>
      <c r="C116">
        <v>0</v>
      </c>
      <c r="E116">
        <f t="shared" si="1"/>
        <v>0</v>
      </c>
    </row>
    <row r="117" spans="1:5" x14ac:dyDescent="0.3">
      <c r="E117">
        <f>SUM(E3:E107)</f>
        <v>261069900</v>
      </c>
    </row>
    <row r="118" spans="1:5" x14ac:dyDescent="0.3">
      <c r="A118" t="s">
        <v>110</v>
      </c>
    </row>
    <row r="119" spans="1:5" x14ac:dyDescent="0.3">
      <c r="A119" t="s">
        <v>0</v>
      </c>
      <c r="B119" t="s">
        <v>1</v>
      </c>
      <c r="C119" t="s">
        <v>107</v>
      </c>
      <c r="D119" t="s">
        <v>116</v>
      </c>
      <c r="E119" t="s">
        <v>109</v>
      </c>
    </row>
    <row r="120" spans="1:5" x14ac:dyDescent="0.3">
      <c r="A120" t="s">
        <v>2</v>
      </c>
      <c r="B120" t="s">
        <v>3</v>
      </c>
      <c r="C120">
        <v>6</v>
      </c>
      <c r="D120">
        <v>17000</v>
      </c>
      <c r="E120">
        <f t="shared" si="1"/>
        <v>102000</v>
      </c>
    </row>
    <row r="121" spans="1:5" x14ac:dyDescent="0.3">
      <c r="A121" t="s">
        <v>4</v>
      </c>
      <c r="B121" t="s">
        <v>3</v>
      </c>
      <c r="C121">
        <v>17</v>
      </c>
      <c r="D121">
        <v>7500</v>
      </c>
      <c r="E121">
        <f t="shared" si="1"/>
        <v>127500</v>
      </c>
    </row>
    <row r="122" spans="1:5" x14ac:dyDescent="0.3">
      <c r="A122" t="s">
        <v>5</v>
      </c>
      <c r="B122" t="s">
        <v>3</v>
      </c>
      <c r="C122">
        <v>176</v>
      </c>
      <c r="D122">
        <v>6500</v>
      </c>
      <c r="E122">
        <f t="shared" si="1"/>
        <v>1144000</v>
      </c>
    </row>
    <row r="123" spans="1:5" hidden="1" x14ac:dyDescent="0.3">
      <c r="A123" t="s">
        <v>7</v>
      </c>
      <c r="B123" t="s">
        <v>3</v>
      </c>
      <c r="C123">
        <v>0</v>
      </c>
      <c r="E123">
        <f t="shared" si="1"/>
        <v>0</v>
      </c>
    </row>
    <row r="124" spans="1:5" x14ac:dyDescent="0.3">
      <c r="A124" t="s">
        <v>8</v>
      </c>
      <c r="B124" t="s">
        <v>3</v>
      </c>
      <c r="C124">
        <v>9</v>
      </c>
      <c r="D124">
        <v>10000</v>
      </c>
      <c r="E124">
        <f t="shared" si="1"/>
        <v>90000</v>
      </c>
    </row>
    <row r="125" spans="1:5" x14ac:dyDescent="0.3">
      <c r="A125" t="s">
        <v>12</v>
      </c>
      <c r="B125" t="s">
        <v>3</v>
      </c>
      <c r="C125">
        <v>3</v>
      </c>
      <c r="D125">
        <v>16000</v>
      </c>
      <c r="E125">
        <f t="shared" si="1"/>
        <v>48000</v>
      </c>
    </row>
    <row r="126" spans="1:5" hidden="1" x14ac:dyDescent="0.3">
      <c r="A126" t="s">
        <v>102</v>
      </c>
      <c r="B126" t="s">
        <v>3</v>
      </c>
      <c r="C126">
        <v>0</v>
      </c>
      <c r="E126">
        <f t="shared" si="1"/>
        <v>0</v>
      </c>
    </row>
    <row r="127" spans="1:5" x14ac:dyDescent="0.3">
      <c r="A127" t="s">
        <v>18</v>
      </c>
      <c r="B127" t="s">
        <v>3</v>
      </c>
      <c r="C127">
        <v>33</v>
      </c>
      <c r="D127">
        <v>15000</v>
      </c>
      <c r="E127">
        <f t="shared" si="1"/>
        <v>495000</v>
      </c>
    </row>
    <row r="128" spans="1:5" x14ac:dyDescent="0.3">
      <c r="A128" t="s">
        <v>28</v>
      </c>
      <c r="B128" t="s">
        <v>3</v>
      </c>
      <c r="C128">
        <v>88</v>
      </c>
      <c r="D128">
        <v>18000</v>
      </c>
      <c r="E128">
        <f t="shared" si="1"/>
        <v>1584000</v>
      </c>
    </row>
    <row r="129" spans="1:5" x14ac:dyDescent="0.3">
      <c r="A129" t="s">
        <v>31</v>
      </c>
      <c r="B129" t="s">
        <v>3</v>
      </c>
      <c r="C129">
        <v>132</v>
      </c>
      <c r="D129">
        <v>11500</v>
      </c>
      <c r="E129">
        <f t="shared" si="1"/>
        <v>1518000</v>
      </c>
    </row>
    <row r="130" spans="1:5" x14ac:dyDescent="0.3">
      <c r="A130" t="s">
        <v>33</v>
      </c>
      <c r="B130" t="s">
        <v>3</v>
      </c>
      <c r="C130">
        <v>97</v>
      </c>
      <c r="D130">
        <v>8000</v>
      </c>
      <c r="E130">
        <f t="shared" si="1"/>
        <v>776000</v>
      </c>
    </row>
    <row r="131" spans="1:5" hidden="1" x14ac:dyDescent="0.3">
      <c r="A131" t="s">
        <v>38</v>
      </c>
      <c r="B131" t="s">
        <v>3</v>
      </c>
      <c r="C131">
        <v>0</v>
      </c>
      <c r="E131">
        <f t="shared" si="1"/>
        <v>0</v>
      </c>
    </row>
    <row r="132" spans="1:5" hidden="1" x14ac:dyDescent="0.3">
      <c r="A132" t="s">
        <v>103</v>
      </c>
      <c r="B132" t="s">
        <v>3</v>
      </c>
      <c r="C132">
        <v>0</v>
      </c>
      <c r="E132">
        <f t="shared" si="1"/>
        <v>0</v>
      </c>
    </row>
    <row r="133" spans="1:5" x14ac:dyDescent="0.3">
      <c r="A133" t="s">
        <v>104</v>
      </c>
      <c r="B133" t="s">
        <v>3</v>
      </c>
      <c r="C133">
        <v>300</v>
      </c>
      <c r="D133">
        <v>5000</v>
      </c>
      <c r="E133">
        <f t="shared" si="1"/>
        <v>1500000</v>
      </c>
    </row>
    <row r="134" spans="1:5" x14ac:dyDescent="0.3">
      <c r="A134" t="s">
        <v>39</v>
      </c>
      <c r="B134" t="s">
        <v>3</v>
      </c>
      <c r="C134">
        <v>30</v>
      </c>
      <c r="D134">
        <v>9000</v>
      </c>
      <c r="E134">
        <f t="shared" ref="E134:E157" si="2">C134*D134</f>
        <v>270000</v>
      </c>
    </row>
    <row r="135" spans="1:5" x14ac:dyDescent="0.3">
      <c r="A135" t="s">
        <v>105</v>
      </c>
      <c r="B135" t="s">
        <v>3</v>
      </c>
      <c r="C135">
        <v>2</v>
      </c>
      <c r="D135">
        <v>27000</v>
      </c>
      <c r="E135">
        <f t="shared" si="2"/>
        <v>54000</v>
      </c>
    </row>
    <row r="136" spans="1:5" x14ac:dyDescent="0.3">
      <c r="A136" t="s">
        <v>41</v>
      </c>
      <c r="B136" t="s">
        <v>3</v>
      </c>
      <c r="C136">
        <v>30</v>
      </c>
      <c r="D136">
        <v>14000</v>
      </c>
      <c r="E136">
        <f t="shared" si="2"/>
        <v>420000</v>
      </c>
    </row>
    <row r="137" spans="1:5" x14ac:dyDescent="0.3">
      <c r="A137" t="s">
        <v>44</v>
      </c>
      <c r="B137" t="s">
        <v>3</v>
      </c>
      <c r="C137">
        <v>30</v>
      </c>
      <c r="D137">
        <v>6500</v>
      </c>
      <c r="E137">
        <f t="shared" si="2"/>
        <v>195000</v>
      </c>
    </row>
    <row r="138" spans="1:5" x14ac:dyDescent="0.3">
      <c r="A138" t="s">
        <v>45</v>
      </c>
      <c r="B138" t="s">
        <v>3</v>
      </c>
      <c r="C138">
        <v>30</v>
      </c>
      <c r="D138">
        <v>10000</v>
      </c>
      <c r="E138">
        <f t="shared" si="2"/>
        <v>300000</v>
      </c>
    </row>
    <row r="139" spans="1:5" hidden="1" x14ac:dyDescent="0.3">
      <c r="A139" t="s">
        <v>47</v>
      </c>
      <c r="B139" t="s">
        <v>3</v>
      </c>
      <c r="C139">
        <v>0</v>
      </c>
      <c r="E139">
        <f t="shared" si="2"/>
        <v>0</v>
      </c>
    </row>
    <row r="140" spans="1:5" hidden="1" x14ac:dyDescent="0.3">
      <c r="A140" t="s">
        <v>54</v>
      </c>
      <c r="B140" t="s">
        <v>3</v>
      </c>
      <c r="C140">
        <v>0</v>
      </c>
      <c r="E140">
        <f t="shared" si="2"/>
        <v>0</v>
      </c>
    </row>
    <row r="141" spans="1:5" hidden="1" x14ac:dyDescent="0.3">
      <c r="A141" t="s">
        <v>59</v>
      </c>
      <c r="B141" t="s">
        <v>3</v>
      </c>
      <c r="C141">
        <v>0</v>
      </c>
      <c r="E141">
        <f t="shared" si="2"/>
        <v>0</v>
      </c>
    </row>
    <row r="142" spans="1:5" x14ac:dyDescent="0.3">
      <c r="A142" t="s">
        <v>61</v>
      </c>
      <c r="B142" t="s">
        <v>3</v>
      </c>
      <c r="C142">
        <v>7</v>
      </c>
      <c r="D142">
        <v>13000</v>
      </c>
      <c r="E142">
        <f t="shared" si="2"/>
        <v>91000</v>
      </c>
    </row>
    <row r="143" spans="1:5" hidden="1" x14ac:dyDescent="0.3">
      <c r="A143" t="s">
        <v>62</v>
      </c>
      <c r="B143" t="s">
        <v>30</v>
      </c>
      <c r="C143">
        <v>0</v>
      </c>
      <c r="E143">
        <f t="shared" si="2"/>
        <v>0</v>
      </c>
    </row>
    <row r="144" spans="1:5" x14ac:dyDescent="0.3">
      <c r="A144" t="s">
        <v>63</v>
      </c>
      <c r="B144" t="s">
        <v>30</v>
      </c>
      <c r="C144">
        <v>14</v>
      </c>
      <c r="D144">
        <v>9000</v>
      </c>
      <c r="E144">
        <f t="shared" si="2"/>
        <v>126000</v>
      </c>
    </row>
    <row r="145" spans="1:5" hidden="1" x14ac:dyDescent="0.3">
      <c r="A145" t="s">
        <v>68</v>
      </c>
      <c r="B145" t="s">
        <v>3</v>
      </c>
      <c r="C145">
        <v>0</v>
      </c>
      <c r="E145">
        <f t="shared" si="2"/>
        <v>0</v>
      </c>
    </row>
    <row r="146" spans="1:5" x14ac:dyDescent="0.3">
      <c r="A146" t="s">
        <v>68</v>
      </c>
      <c r="B146" t="s">
        <v>17</v>
      </c>
      <c r="C146">
        <v>61</v>
      </c>
      <c r="D146">
        <v>5000</v>
      </c>
      <c r="E146">
        <f t="shared" si="2"/>
        <v>305000</v>
      </c>
    </row>
    <row r="147" spans="1:5" hidden="1" x14ac:dyDescent="0.3">
      <c r="A147" t="s">
        <v>71</v>
      </c>
      <c r="B147" t="s">
        <v>3</v>
      </c>
      <c r="C147">
        <v>0</v>
      </c>
      <c r="E147">
        <f t="shared" si="2"/>
        <v>0</v>
      </c>
    </row>
    <row r="148" spans="1:5" hidden="1" x14ac:dyDescent="0.3">
      <c r="A148" t="s">
        <v>72</v>
      </c>
      <c r="B148" t="s">
        <v>3</v>
      </c>
      <c r="C148">
        <v>0</v>
      </c>
      <c r="E148">
        <f t="shared" si="2"/>
        <v>0</v>
      </c>
    </row>
    <row r="149" spans="1:5" hidden="1" x14ac:dyDescent="0.3">
      <c r="A149" t="s">
        <v>73</v>
      </c>
      <c r="B149" t="s">
        <v>3</v>
      </c>
      <c r="C149">
        <v>0</v>
      </c>
      <c r="E149">
        <f t="shared" si="2"/>
        <v>0</v>
      </c>
    </row>
    <row r="150" spans="1:5" x14ac:dyDescent="0.3">
      <c r="A150" t="s">
        <v>78</v>
      </c>
      <c r="B150" t="s">
        <v>3</v>
      </c>
      <c r="C150">
        <v>6</v>
      </c>
      <c r="D150">
        <v>26000</v>
      </c>
      <c r="E150">
        <f t="shared" si="2"/>
        <v>156000</v>
      </c>
    </row>
    <row r="151" spans="1:5" x14ac:dyDescent="0.3">
      <c r="A151" t="s">
        <v>80</v>
      </c>
      <c r="B151" t="s">
        <v>3</v>
      </c>
      <c r="C151">
        <v>5</v>
      </c>
      <c r="D151">
        <v>26000</v>
      </c>
      <c r="E151">
        <f t="shared" si="2"/>
        <v>130000</v>
      </c>
    </row>
    <row r="152" spans="1:5" x14ac:dyDescent="0.3">
      <c r="A152" t="s">
        <v>82</v>
      </c>
      <c r="B152" t="s">
        <v>3</v>
      </c>
      <c r="C152">
        <v>5</v>
      </c>
      <c r="D152">
        <v>31000</v>
      </c>
      <c r="E152">
        <f t="shared" si="2"/>
        <v>155000</v>
      </c>
    </row>
    <row r="153" spans="1:5" x14ac:dyDescent="0.3">
      <c r="A153" t="s">
        <v>92</v>
      </c>
      <c r="B153" t="s">
        <v>3</v>
      </c>
      <c r="C153">
        <v>40</v>
      </c>
      <c r="D153">
        <v>16000</v>
      </c>
      <c r="E153">
        <f t="shared" si="2"/>
        <v>640000</v>
      </c>
    </row>
    <row r="154" spans="1:5" hidden="1" x14ac:dyDescent="0.3">
      <c r="A154" t="s">
        <v>94</v>
      </c>
      <c r="B154" t="s">
        <v>40</v>
      </c>
      <c r="C154">
        <v>0</v>
      </c>
      <c r="E154">
        <f t="shared" si="2"/>
        <v>0</v>
      </c>
    </row>
    <row r="155" spans="1:5" hidden="1" x14ac:dyDescent="0.3">
      <c r="A155" t="s">
        <v>95</v>
      </c>
      <c r="B155" t="s">
        <v>40</v>
      </c>
      <c r="C155">
        <v>0</v>
      </c>
      <c r="E155">
        <f t="shared" si="2"/>
        <v>0</v>
      </c>
    </row>
    <row r="156" spans="1:5" hidden="1" x14ac:dyDescent="0.3">
      <c r="A156" t="s">
        <v>97</v>
      </c>
      <c r="B156" t="s">
        <v>40</v>
      </c>
      <c r="C156">
        <v>0</v>
      </c>
      <c r="E156">
        <f t="shared" si="2"/>
        <v>0</v>
      </c>
    </row>
    <row r="157" spans="1:5" hidden="1" x14ac:dyDescent="0.3">
      <c r="A157" t="s">
        <v>100</v>
      </c>
      <c r="B157" t="s">
        <v>40</v>
      </c>
      <c r="C157">
        <v>0</v>
      </c>
      <c r="E157">
        <f t="shared" si="2"/>
        <v>0</v>
      </c>
    </row>
    <row r="158" spans="1:5" x14ac:dyDescent="0.3">
      <c r="E158">
        <f>SUM(E120:E153)</f>
        <v>10226500</v>
      </c>
    </row>
    <row r="159" spans="1:5" x14ac:dyDescent="0.3">
      <c r="E159" s="2">
        <f>E158+E117</f>
        <v>271296400</v>
      </c>
    </row>
  </sheetData>
  <autoFilter ref="A2:E157" xr:uid="{00000000-0009-0000-0000-000001000000}">
    <filterColumn colId="2">
      <filters>
        <filter val="0.5"/>
        <filter val="1"/>
        <filter val="10"/>
        <filter val="110"/>
        <filter val="118"/>
        <filter val="120"/>
        <filter val="130"/>
        <filter val="1300"/>
        <filter val="132"/>
        <filter val="14"/>
        <filter val="1400"/>
        <filter val="15"/>
        <filter val="1580"/>
        <filter val="17"/>
        <filter val="175"/>
        <filter val="176"/>
        <filter val="2"/>
        <filter val="20"/>
        <filter val="212"/>
        <filter val="213"/>
        <filter val="25"/>
        <filter val="2505"/>
        <filter val="27"/>
        <filter val="29"/>
        <filter val="3"/>
        <filter val="30"/>
        <filter val="300"/>
        <filter val="310"/>
        <filter val="320"/>
        <filter val="33"/>
        <filter val="35"/>
        <filter val="379"/>
        <filter val="40"/>
        <filter val="43"/>
        <filter val="48"/>
        <filter val="484"/>
        <filter val="5"/>
        <filter val="50"/>
        <filter val="6"/>
        <filter val="60"/>
        <filter val="61"/>
        <filter val="641"/>
        <filter val="697"/>
        <filter val="7"/>
        <filter val="79"/>
        <filter val="8"/>
        <filter val="83"/>
        <filter val="84"/>
        <filter val="88"/>
        <filter val="9"/>
        <filter val="97"/>
        <filter val="980"/>
        <filter val="990"/>
        <filter val="Tồn_x000a_ĐL_x000a__x000a_現在庫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E151"/>
  <sheetViews>
    <sheetView topLeftCell="A116" workbookViewId="0">
      <selection activeCell="E151" sqref="E151"/>
    </sheetView>
  </sheetViews>
  <sheetFormatPr defaultRowHeight="14.4" x14ac:dyDescent="0.3"/>
  <cols>
    <col min="1" max="1" width="26.21875" customWidth="1"/>
    <col min="3" max="3" width="10" customWidth="1"/>
    <col min="4" max="4" width="11.33203125" customWidth="1"/>
    <col min="5" max="5" width="18.21875" customWidth="1"/>
  </cols>
  <sheetData>
    <row r="1" spans="1:5" x14ac:dyDescent="0.3">
      <c r="A1" t="s">
        <v>118</v>
      </c>
    </row>
    <row r="2" spans="1:5" x14ac:dyDescent="0.3">
      <c r="A2" t="s">
        <v>0</v>
      </c>
      <c r="B2" t="s">
        <v>1</v>
      </c>
      <c r="C2" t="s">
        <v>107</v>
      </c>
      <c r="D2" t="s">
        <v>108</v>
      </c>
      <c r="E2" t="s">
        <v>109</v>
      </c>
    </row>
    <row r="3" spans="1:5" x14ac:dyDescent="0.3">
      <c r="A3" t="s">
        <v>2</v>
      </c>
      <c r="B3" t="s">
        <v>3</v>
      </c>
      <c r="C3">
        <v>10</v>
      </c>
      <c r="D3">
        <v>15000</v>
      </c>
      <c r="E3">
        <f>C3*D3</f>
        <v>150000</v>
      </c>
    </row>
    <row r="4" spans="1:5" x14ac:dyDescent="0.3">
      <c r="A4" t="s">
        <v>4</v>
      </c>
      <c r="B4" t="s">
        <v>3</v>
      </c>
      <c r="C4">
        <v>105</v>
      </c>
      <c r="D4">
        <v>7500</v>
      </c>
      <c r="E4">
        <f t="shared" ref="E4:E67" si="0">C4*D4</f>
        <v>787500</v>
      </c>
    </row>
    <row r="5" spans="1:5" x14ac:dyDescent="0.3">
      <c r="A5" t="s">
        <v>5</v>
      </c>
      <c r="B5" t="s">
        <v>3</v>
      </c>
      <c r="C5">
        <v>420</v>
      </c>
      <c r="D5">
        <v>5500</v>
      </c>
      <c r="E5">
        <f t="shared" si="0"/>
        <v>2310000</v>
      </c>
    </row>
    <row r="6" spans="1:5" hidden="1" x14ac:dyDescent="0.3">
      <c r="A6" t="s">
        <v>6</v>
      </c>
      <c r="B6" t="s">
        <v>3</v>
      </c>
      <c r="C6">
        <v>0</v>
      </c>
      <c r="E6">
        <f t="shared" si="0"/>
        <v>0</v>
      </c>
    </row>
    <row r="7" spans="1:5" x14ac:dyDescent="0.3">
      <c r="A7" t="s">
        <v>7</v>
      </c>
      <c r="B7" t="s">
        <v>3</v>
      </c>
      <c r="C7">
        <v>15</v>
      </c>
      <c r="D7">
        <v>10000</v>
      </c>
      <c r="E7">
        <f t="shared" si="0"/>
        <v>150000</v>
      </c>
    </row>
    <row r="8" spans="1:5" x14ac:dyDescent="0.3">
      <c r="A8" t="s">
        <v>8</v>
      </c>
      <c r="B8" t="s">
        <v>3</v>
      </c>
      <c r="C8">
        <v>201</v>
      </c>
      <c r="D8">
        <v>10000</v>
      </c>
      <c r="E8">
        <f t="shared" si="0"/>
        <v>2010000</v>
      </c>
    </row>
    <row r="9" spans="1:5" hidden="1" x14ac:dyDescent="0.3">
      <c r="A9" t="s">
        <v>8</v>
      </c>
      <c r="B9" t="s">
        <v>9</v>
      </c>
      <c r="C9">
        <v>0</v>
      </c>
      <c r="E9">
        <f t="shared" si="0"/>
        <v>0</v>
      </c>
    </row>
    <row r="10" spans="1:5" x14ac:dyDescent="0.3">
      <c r="A10" t="s">
        <v>10</v>
      </c>
      <c r="B10" t="s">
        <v>3</v>
      </c>
      <c r="C10">
        <v>72</v>
      </c>
      <c r="D10">
        <v>19000</v>
      </c>
      <c r="E10">
        <f t="shared" si="0"/>
        <v>1368000</v>
      </c>
    </row>
    <row r="11" spans="1:5" hidden="1" x14ac:dyDescent="0.3">
      <c r="A11" t="s">
        <v>10</v>
      </c>
      <c r="B11" t="s">
        <v>9</v>
      </c>
      <c r="C11">
        <v>0</v>
      </c>
      <c r="E11">
        <f t="shared" si="0"/>
        <v>0</v>
      </c>
    </row>
    <row r="12" spans="1:5" hidden="1" x14ac:dyDescent="0.3">
      <c r="A12" t="s">
        <v>11</v>
      </c>
      <c r="B12" t="s">
        <v>3</v>
      </c>
      <c r="C12">
        <v>0</v>
      </c>
      <c r="E12">
        <f t="shared" si="0"/>
        <v>0</v>
      </c>
    </row>
    <row r="13" spans="1:5" hidden="1" x14ac:dyDescent="0.3">
      <c r="A13" t="s">
        <v>12</v>
      </c>
      <c r="B13" t="s">
        <v>3</v>
      </c>
      <c r="C13">
        <v>0</v>
      </c>
      <c r="E13">
        <f t="shared" si="0"/>
        <v>0</v>
      </c>
    </row>
    <row r="14" spans="1:5" hidden="1" x14ac:dyDescent="0.3">
      <c r="A14" t="s">
        <v>13</v>
      </c>
      <c r="B14" t="s">
        <v>3</v>
      </c>
      <c r="C14">
        <v>0</v>
      </c>
      <c r="E14">
        <f t="shared" si="0"/>
        <v>0</v>
      </c>
    </row>
    <row r="15" spans="1:5" hidden="1" x14ac:dyDescent="0.3">
      <c r="A15" t="s">
        <v>14</v>
      </c>
      <c r="B15" t="s">
        <v>3</v>
      </c>
      <c r="C15">
        <v>0</v>
      </c>
      <c r="E15">
        <f t="shared" si="0"/>
        <v>0</v>
      </c>
    </row>
    <row r="16" spans="1:5" hidden="1" x14ac:dyDescent="0.3">
      <c r="A16" t="s">
        <v>15</v>
      </c>
      <c r="B16" t="s">
        <v>3</v>
      </c>
      <c r="C16">
        <v>0</v>
      </c>
      <c r="E16">
        <f t="shared" si="0"/>
        <v>0</v>
      </c>
    </row>
    <row r="17" spans="1:5" hidden="1" x14ac:dyDescent="0.3">
      <c r="A17" t="s">
        <v>16</v>
      </c>
      <c r="B17" t="s">
        <v>17</v>
      </c>
      <c r="C17">
        <v>0</v>
      </c>
      <c r="E17">
        <f t="shared" si="0"/>
        <v>0</v>
      </c>
    </row>
    <row r="18" spans="1:5" x14ac:dyDescent="0.3">
      <c r="A18" t="s">
        <v>18</v>
      </c>
      <c r="B18" t="s">
        <v>3</v>
      </c>
      <c r="C18">
        <v>43</v>
      </c>
      <c r="D18">
        <v>15000</v>
      </c>
      <c r="E18">
        <f t="shared" si="0"/>
        <v>645000</v>
      </c>
    </row>
    <row r="19" spans="1:5" hidden="1" x14ac:dyDescent="0.3">
      <c r="A19" t="s">
        <v>18</v>
      </c>
      <c r="B19" t="s">
        <v>17</v>
      </c>
      <c r="C19">
        <v>0</v>
      </c>
      <c r="E19">
        <f t="shared" si="0"/>
        <v>0</v>
      </c>
    </row>
    <row r="20" spans="1:5" hidden="1" x14ac:dyDescent="0.3">
      <c r="A20" t="s">
        <v>18</v>
      </c>
      <c r="B20" t="s">
        <v>19</v>
      </c>
      <c r="C20">
        <v>0</v>
      </c>
      <c r="E20">
        <f t="shared" si="0"/>
        <v>0</v>
      </c>
    </row>
    <row r="21" spans="1:5" x14ac:dyDescent="0.3">
      <c r="A21" t="s">
        <v>20</v>
      </c>
      <c r="B21" t="s">
        <v>3</v>
      </c>
      <c r="C21">
        <v>29</v>
      </c>
      <c r="D21">
        <v>14000</v>
      </c>
      <c r="E21">
        <f t="shared" si="0"/>
        <v>406000</v>
      </c>
    </row>
    <row r="22" spans="1:5" x14ac:dyDescent="0.3">
      <c r="A22" t="s">
        <v>20</v>
      </c>
      <c r="B22" t="s">
        <v>21</v>
      </c>
      <c r="C22">
        <v>15</v>
      </c>
      <c r="D22">
        <v>7000</v>
      </c>
      <c r="E22">
        <f t="shared" si="0"/>
        <v>105000</v>
      </c>
    </row>
    <row r="23" spans="1:5" x14ac:dyDescent="0.3">
      <c r="A23" t="s">
        <v>22</v>
      </c>
      <c r="B23" t="s">
        <v>3</v>
      </c>
      <c r="C23">
        <v>5</v>
      </c>
      <c r="D23">
        <v>24000</v>
      </c>
      <c r="E23">
        <f t="shared" si="0"/>
        <v>120000</v>
      </c>
    </row>
    <row r="24" spans="1:5" x14ac:dyDescent="0.3">
      <c r="A24" t="s">
        <v>22</v>
      </c>
      <c r="B24" t="s">
        <v>23</v>
      </c>
      <c r="C24">
        <v>35</v>
      </c>
      <c r="D24">
        <v>7200</v>
      </c>
      <c r="E24">
        <f t="shared" si="0"/>
        <v>252000</v>
      </c>
    </row>
    <row r="25" spans="1:5" x14ac:dyDescent="0.3">
      <c r="A25" t="s">
        <v>24</v>
      </c>
      <c r="B25" t="s">
        <v>25</v>
      </c>
      <c r="C25">
        <v>5</v>
      </c>
      <c r="D25">
        <v>12000</v>
      </c>
      <c r="E25">
        <f t="shared" si="0"/>
        <v>60000</v>
      </c>
    </row>
    <row r="26" spans="1:5" hidden="1" x14ac:dyDescent="0.3">
      <c r="A26" t="s">
        <v>26</v>
      </c>
      <c r="B26" t="s">
        <v>3</v>
      </c>
      <c r="C26">
        <v>0</v>
      </c>
      <c r="E26">
        <f t="shared" si="0"/>
        <v>0</v>
      </c>
    </row>
    <row r="27" spans="1:5" hidden="1" x14ac:dyDescent="0.3">
      <c r="A27" t="s">
        <v>26</v>
      </c>
      <c r="B27" t="s">
        <v>27</v>
      </c>
      <c r="C27">
        <v>0</v>
      </c>
      <c r="E27">
        <f t="shared" si="0"/>
        <v>0</v>
      </c>
    </row>
    <row r="28" spans="1:5" x14ac:dyDescent="0.3">
      <c r="A28" t="s">
        <v>28</v>
      </c>
      <c r="B28" t="s">
        <v>3</v>
      </c>
      <c r="C28">
        <v>660</v>
      </c>
      <c r="D28">
        <v>16000</v>
      </c>
      <c r="E28">
        <f t="shared" si="0"/>
        <v>10560000</v>
      </c>
    </row>
    <row r="29" spans="1:5" hidden="1" x14ac:dyDescent="0.3">
      <c r="A29" t="s">
        <v>28</v>
      </c>
      <c r="B29" t="s">
        <v>17</v>
      </c>
      <c r="C29">
        <v>0</v>
      </c>
      <c r="E29">
        <f t="shared" si="0"/>
        <v>0</v>
      </c>
    </row>
    <row r="30" spans="1:5" x14ac:dyDescent="0.3">
      <c r="A30" t="s">
        <v>29</v>
      </c>
      <c r="B30" t="s">
        <v>30</v>
      </c>
      <c r="C30">
        <v>20</v>
      </c>
      <c r="D30">
        <v>14000</v>
      </c>
      <c r="E30">
        <f t="shared" si="0"/>
        <v>280000</v>
      </c>
    </row>
    <row r="31" spans="1:5" x14ac:dyDescent="0.3">
      <c r="A31" t="s">
        <v>31</v>
      </c>
      <c r="B31" t="s">
        <v>3</v>
      </c>
      <c r="C31">
        <v>90</v>
      </c>
      <c r="D31">
        <v>11500</v>
      </c>
      <c r="E31">
        <f t="shared" si="0"/>
        <v>1035000</v>
      </c>
    </row>
    <row r="32" spans="1:5" hidden="1" x14ac:dyDescent="0.3">
      <c r="A32" t="s">
        <v>31</v>
      </c>
      <c r="B32" t="s">
        <v>30</v>
      </c>
      <c r="C32">
        <v>0</v>
      </c>
      <c r="E32">
        <f t="shared" si="0"/>
        <v>0</v>
      </c>
    </row>
    <row r="33" spans="1:5" hidden="1" x14ac:dyDescent="0.3">
      <c r="A33" t="s">
        <v>32</v>
      </c>
      <c r="B33" t="s">
        <v>17</v>
      </c>
      <c r="C33">
        <v>0</v>
      </c>
      <c r="E33">
        <f t="shared" si="0"/>
        <v>0</v>
      </c>
    </row>
    <row r="34" spans="1:5" hidden="1" x14ac:dyDescent="0.3">
      <c r="A34" t="s">
        <v>33</v>
      </c>
      <c r="B34" t="s">
        <v>3</v>
      </c>
      <c r="C34">
        <v>0</v>
      </c>
      <c r="E34">
        <f t="shared" si="0"/>
        <v>0</v>
      </c>
    </row>
    <row r="35" spans="1:5" hidden="1" x14ac:dyDescent="0.3">
      <c r="A35" t="s">
        <v>33</v>
      </c>
      <c r="B35" t="s">
        <v>34</v>
      </c>
      <c r="C35">
        <v>0</v>
      </c>
      <c r="E35">
        <f t="shared" si="0"/>
        <v>0</v>
      </c>
    </row>
    <row r="36" spans="1:5" x14ac:dyDescent="0.3">
      <c r="A36" t="s">
        <v>35</v>
      </c>
      <c r="B36" t="s">
        <v>3</v>
      </c>
      <c r="C36">
        <v>8</v>
      </c>
      <c r="D36">
        <v>26000</v>
      </c>
      <c r="E36">
        <f t="shared" si="0"/>
        <v>208000</v>
      </c>
    </row>
    <row r="37" spans="1:5" hidden="1" x14ac:dyDescent="0.3">
      <c r="A37" t="s">
        <v>35</v>
      </c>
      <c r="B37" t="s">
        <v>30</v>
      </c>
      <c r="C37">
        <v>0</v>
      </c>
      <c r="E37">
        <f t="shared" si="0"/>
        <v>0</v>
      </c>
    </row>
    <row r="38" spans="1:5" x14ac:dyDescent="0.3">
      <c r="A38" t="s">
        <v>36</v>
      </c>
      <c r="B38" t="s">
        <v>30</v>
      </c>
      <c r="C38">
        <v>11</v>
      </c>
      <c r="D38">
        <v>5000</v>
      </c>
      <c r="E38">
        <f t="shared" si="0"/>
        <v>55000</v>
      </c>
    </row>
    <row r="39" spans="1:5" hidden="1" x14ac:dyDescent="0.3">
      <c r="A39" t="s">
        <v>37</v>
      </c>
      <c r="B39" t="s">
        <v>30</v>
      </c>
      <c r="C39">
        <v>0</v>
      </c>
      <c r="E39">
        <f t="shared" si="0"/>
        <v>0</v>
      </c>
    </row>
    <row r="40" spans="1:5" x14ac:dyDescent="0.3">
      <c r="A40" t="s">
        <v>38</v>
      </c>
      <c r="B40" t="s">
        <v>3</v>
      </c>
      <c r="C40">
        <v>1110</v>
      </c>
      <c r="D40">
        <v>6500</v>
      </c>
      <c r="E40">
        <f t="shared" si="0"/>
        <v>7215000</v>
      </c>
    </row>
    <row r="41" spans="1:5" hidden="1" x14ac:dyDescent="0.3">
      <c r="A41" t="s">
        <v>103</v>
      </c>
      <c r="B41" t="s">
        <v>3</v>
      </c>
      <c r="C41">
        <v>0</v>
      </c>
      <c r="E41">
        <f t="shared" si="0"/>
        <v>0</v>
      </c>
    </row>
    <row r="42" spans="1:5" hidden="1" x14ac:dyDescent="0.3">
      <c r="A42" t="s">
        <v>39</v>
      </c>
      <c r="B42" t="s">
        <v>40</v>
      </c>
      <c r="C42">
        <v>0</v>
      </c>
      <c r="E42">
        <f t="shared" si="0"/>
        <v>0</v>
      </c>
    </row>
    <row r="43" spans="1:5" x14ac:dyDescent="0.3">
      <c r="A43" t="s">
        <v>39</v>
      </c>
      <c r="B43" t="s">
        <v>3</v>
      </c>
      <c r="C43">
        <v>50</v>
      </c>
      <c r="D43">
        <v>9000</v>
      </c>
      <c r="E43">
        <f t="shared" si="0"/>
        <v>450000</v>
      </c>
    </row>
    <row r="44" spans="1:5" x14ac:dyDescent="0.3">
      <c r="A44" t="s">
        <v>41</v>
      </c>
      <c r="B44" t="s">
        <v>3</v>
      </c>
      <c r="C44">
        <v>8</v>
      </c>
      <c r="D44">
        <v>14000</v>
      </c>
      <c r="E44">
        <f t="shared" si="0"/>
        <v>112000</v>
      </c>
    </row>
    <row r="45" spans="1:5" x14ac:dyDescent="0.3">
      <c r="A45" t="s">
        <v>42</v>
      </c>
      <c r="B45" t="s">
        <v>25</v>
      </c>
      <c r="C45">
        <v>4</v>
      </c>
      <c r="D45">
        <v>12000</v>
      </c>
      <c r="E45">
        <f t="shared" si="0"/>
        <v>48000</v>
      </c>
    </row>
    <row r="46" spans="1:5" x14ac:dyDescent="0.3">
      <c r="A46" t="s">
        <v>44</v>
      </c>
      <c r="B46" t="s">
        <v>3</v>
      </c>
      <c r="C46">
        <v>47</v>
      </c>
      <c r="D46">
        <v>6500</v>
      </c>
      <c r="E46">
        <f t="shared" si="0"/>
        <v>305500</v>
      </c>
    </row>
    <row r="47" spans="1:5" x14ac:dyDescent="0.3">
      <c r="A47" t="s">
        <v>45</v>
      </c>
      <c r="B47" t="s">
        <v>3</v>
      </c>
      <c r="C47">
        <v>50</v>
      </c>
      <c r="D47">
        <v>10000</v>
      </c>
      <c r="E47">
        <f t="shared" si="0"/>
        <v>500000</v>
      </c>
    </row>
    <row r="48" spans="1:5" hidden="1" x14ac:dyDescent="0.3">
      <c r="A48" t="s">
        <v>45</v>
      </c>
      <c r="B48" t="s">
        <v>30</v>
      </c>
      <c r="C48">
        <v>0</v>
      </c>
      <c r="E48">
        <f t="shared" si="0"/>
        <v>0</v>
      </c>
    </row>
    <row r="49" spans="1:5" x14ac:dyDescent="0.3">
      <c r="A49" t="s">
        <v>46</v>
      </c>
      <c r="B49" t="s">
        <v>3</v>
      </c>
      <c r="C49">
        <v>7</v>
      </c>
      <c r="D49">
        <v>17000</v>
      </c>
      <c r="E49">
        <f t="shared" si="0"/>
        <v>119000</v>
      </c>
    </row>
    <row r="50" spans="1:5" x14ac:dyDescent="0.3">
      <c r="A50" t="s">
        <v>47</v>
      </c>
      <c r="B50" t="s">
        <v>3</v>
      </c>
      <c r="C50">
        <v>545</v>
      </c>
      <c r="D50">
        <v>12500</v>
      </c>
      <c r="E50">
        <f t="shared" si="0"/>
        <v>6812500</v>
      </c>
    </row>
    <row r="51" spans="1:5" hidden="1" x14ac:dyDescent="0.3">
      <c r="A51" t="s">
        <v>47</v>
      </c>
      <c r="B51" t="s">
        <v>48</v>
      </c>
      <c r="C51">
        <v>0</v>
      </c>
      <c r="E51">
        <f t="shared" si="0"/>
        <v>0</v>
      </c>
    </row>
    <row r="52" spans="1:5" x14ac:dyDescent="0.3">
      <c r="A52" t="s">
        <v>50</v>
      </c>
      <c r="B52" t="s">
        <v>30</v>
      </c>
      <c r="C52">
        <v>200</v>
      </c>
      <c r="D52">
        <v>3000</v>
      </c>
      <c r="E52">
        <f t="shared" si="0"/>
        <v>600000</v>
      </c>
    </row>
    <row r="53" spans="1:5" x14ac:dyDescent="0.3">
      <c r="A53" t="s">
        <v>51</v>
      </c>
      <c r="B53" t="s">
        <v>3</v>
      </c>
      <c r="C53">
        <v>1200</v>
      </c>
      <c r="D53">
        <v>28000</v>
      </c>
      <c r="E53">
        <f t="shared" si="0"/>
        <v>33600000</v>
      </c>
    </row>
    <row r="54" spans="1:5" x14ac:dyDescent="0.3">
      <c r="A54" t="s">
        <v>52</v>
      </c>
      <c r="B54" t="s">
        <v>3</v>
      </c>
      <c r="C54">
        <v>1390</v>
      </c>
      <c r="D54">
        <v>28000</v>
      </c>
      <c r="E54">
        <f t="shared" si="0"/>
        <v>38920000</v>
      </c>
    </row>
    <row r="55" spans="1:5" hidden="1" x14ac:dyDescent="0.3">
      <c r="A55" t="s">
        <v>52</v>
      </c>
      <c r="B55" t="s">
        <v>30</v>
      </c>
      <c r="C55">
        <v>0</v>
      </c>
      <c r="E55">
        <f t="shared" si="0"/>
        <v>0</v>
      </c>
    </row>
    <row r="56" spans="1:5" x14ac:dyDescent="0.3">
      <c r="A56" t="s">
        <v>53</v>
      </c>
      <c r="B56" t="s">
        <v>3</v>
      </c>
      <c r="C56">
        <v>750</v>
      </c>
      <c r="D56">
        <v>23000</v>
      </c>
      <c r="E56">
        <f t="shared" si="0"/>
        <v>17250000</v>
      </c>
    </row>
    <row r="57" spans="1:5" x14ac:dyDescent="0.3">
      <c r="A57" t="s">
        <v>54</v>
      </c>
      <c r="B57" t="s">
        <v>3</v>
      </c>
      <c r="C57">
        <v>40</v>
      </c>
      <c r="D57">
        <v>16000</v>
      </c>
      <c r="E57">
        <f t="shared" si="0"/>
        <v>640000</v>
      </c>
    </row>
    <row r="58" spans="1:5" hidden="1" x14ac:dyDescent="0.3">
      <c r="A58" t="s">
        <v>55</v>
      </c>
      <c r="B58" t="s">
        <v>3</v>
      </c>
      <c r="C58">
        <v>0</v>
      </c>
      <c r="E58">
        <f t="shared" si="0"/>
        <v>0</v>
      </c>
    </row>
    <row r="59" spans="1:5" hidden="1" x14ac:dyDescent="0.3">
      <c r="A59" t="s">
        <v>56</v>
      </c>
      <c r="B59" t="s">
        <v>3</v>
      </c>
      <c r="C59">
        <v>0</v>
      </c>
      <c r="E59">
        <f t="shared" si="0"/>
        <v>0</v>
      </c>
    </row>
    <row r="60" spans="1:5" hidden="1" x14ac:dyDescent="0.3">
      <c r="A60" t="s">
        <v>57</v>
      </c>
      <c r="B60" t="s">
        <v>30</v>
      </c>
      <c r="C60">
        <v>0</v>
      </c>
      <c r="E60">
        <f t="shared" si="0"/>
        <v>0</v>
      </c>
    </row>
    <row r="61" spans="1:5" x14ac:dyDescent="0.3">
      <c r="A61" t="s">
        <v>59</v>
      </c>
      <c r="B61" t="s">
        <v>3</v>
      </c>
      <c r="C61">
        <v>537</v>
      </c>
      <c r="D61">
        <v>17000</v>
      </c>
      <c r="E61">
        <f t="shared" si="0"/>
        <v>9129000</v>
      </c>
    </row>
    <row r="62" spans="1:5" hidden="1" x14ac:dyDescent="0.3">
      <c r="A62" t="s">
        <v>59</v>
      </c>
      <c r="B62" t="s">
        <v>30</v>
      </c>
      <c r="C62">
        <v>0</v>
      </c>
      <c r="E62">
        <f t="shared" si="0"/>
        <v>0</v>
      </c>
    </row>
    <row r="63" spans="1:5" x14ac:dyDescent="0.3">
      <c r="A63" t="s">
        <v>60</v>
      </c>
      <c r="B63" t="s">
        <v>30</v>
      </c>
      <c r="C63">
        <v>50</v>
      </c>
      <c r="D63">
        <v>7500</v>
      </c>
      <c r="E63">
        <f t="shared" si="0"/>
        <v>375000</v>
      </c>
    </row>
    <row r="64" spans="1:5" x14ac:dyDescent="0.3">
      <c r="A64" t="s">
        <v>61</v>
      </c>
      <c r="B64" t="s">
        <v>3</v>
      </c>
      <c r="C64">
        <v>33</v>
      </c>
      <c r="D64">
        <v>13000</v>
      </c>
      <c r="E64">
        <f t="shared" si="0"/>
        <v>429000</v>
      </c>
    </row>
    <row r="65" spans="1:5" hidden="1" x14ac:dyDescent="0.3">
      <c r="A65" t="s">
        <v>62</v>
      </c>
      <c r="B65" t="s">
        <v>30</v>
      </c>
      <c r="C65">
        <v>0</v>
      </c>
      <c r="E65">
        <f t="shared" si="0"/>
        <v>0</v>
      </c>
    </row>
    <row r="66" spans="1:5" hidden="1" x14ac:dyDescent="0.3">
      <c r="A66" t="s">
        <v>63</v>
      </c>
      <c r="B66" t="s">
        <v>3</v>
      </c>
      <c r="C66">
        <v>0</v>
      </c>
      <c r="E66">
        <f t="shared" si="0"/>
        <v>0</v>
      </c>
    </row>
    <row r="67" spans="1:5" x14ac:dyDescent="0.3">
      <c r="A67" t="s">
        <v>63</v>
      </c>
      <c r="B67" t="s">
        <v>64</v>
      </c>
      <c r="C67">
        <v>32</v>
      </c>
      <c r="D67">
        <v>9000</v>
      </c>
      <c r="E67">
        <f t="shared" si="0"/>
        <v>288000</v>
      </c>
    </row>
    <row r="68" spans="1:5" x14ac:dyDescent="0.3">
      <c r="A68" t="s">
        <v>65</v>
      </c>
      <c r="B68" t="s">
        <v>3</v>
      </c>
      <c r="C68">
        <v>0.8</v>
      </c>
      <c r="D68">
        <v>80000</v>
      </c>
      <c r="E68">
        <f t="shared" ref="E68:E133" si="1">C68*D68</f>
        <v>64000</v>
      </c>
    </row>
    <row r="69" spans="1:5" hidden="1" x14ac:dyDescent="0.3">
      <c r="A69" t="s">
        <v>66</v>
      </c>
      <c r="B69" t="s">
        <v>3</v>
      </c>
      <c r="C69">
        <v>0</v>
      </c>
      <c r="E69">
        <f t="shared" si="1"/>
        <v>0</v>
      </c>
    </row>
    <row r="70" spans="1:5" hidden="1" x14ac:dyDescent="0.3">
      <c r="A70" t="s">
        <v>67</v>
      </c>
      <c r="B70" t="s">
        <v>3</v>
      </c>
      <c r="C70">
        <v>0</v>
      </c>
      <c r="E70">
        <f t="shared" si="1"/>
        <v>0</v>
      </c>
    </row>
    <row r="71" spans="1:5" hidden="1" x14ac:dyDescent="0.3">
      <c r="A71" t="s">
        <v>68</v>
      </c>
      <c r="B71" t="s">
        <v>3</v>
      </c>
      <c r="C71">
        <v>0</v>
      </c>
      <c r="E71">
        <f t="shared" si="1"/>
        <v>0</v>
      </c>
    </row>
    <row r="72" spans="1:5" x14ac:dyDescent="0.3">
      <c r="A72" t="s">
        <v>68</v>
      </c>
      <c r="B72" t="s">
        <v>17</v>
      </c>
      <c r="C72">
        <v>95</v>
      </c>
      <c r="D72">
        <v>5000</v>
      </c>
      <c r="E72">
        <f t="shared" si="1"/>
        <v>475000</v>
      </c>
    </row>
    <row r="73" spans="1:5" x14ac:dyDescent="0.3">
      <c r="A73" t="s">
        <v>69</v>
      </c>
      <c r="B73" t="s">
        <v>3</v>
      </c>
      <c r="C73">
        <v>4</v>
      </c>
      <c r="D73">
        <v>10000</v>
      </c>
      <c r="E73">
        <f t="shared" si="1"/>
        <v>40000</v>
      </c>
    </row>
    <row r="74" spans="1:5" x14ac:dyDescent="0.3">
      <c r="A74" t="s">
        <v>70</v>
      </c>
      <c r="B74" t="s">
        <v>3</v>
      </c>
      <c r="C74">
        <v>12</v>
      </c>
      <c r="D74">
        <v>8000</v>
      </c>
      <c r="E74">
        <f t="shared" si="1"/>
        <v>96000</v>
      </c>
    </row>
    <row r="75" spans="1:5" hidden="1" x14ac:dyDescent="0.3">
      <c r="A75" t="s">
        <v>71</v>
      </c>
      <c r="B75" t="s">
        <v>40</v>
      </c>
      <c r="C75">
        <v>0</v>
      </c>
      <c r="E75">
        <f t="shared" si="1"/>
        <v>0</v>
      </c>
    </row>
    <row r="76" spans="1:5" x14ac:dyDescent="0.3">
      <c r="A76" t="s">
        <v>71</v>
      </c>
      <c r="B76" t="s">
        <v>3</v>
      </c>
      <c r="C76">
        <v>70</v>
      </c>
      <c r="D76">
        <v>17000</v>
      </c>
      <c r="E76">
        <f t="shared" si="1"/>
        <v>1190000</v>
      </c>
    </row>
    <row r="77" spans="1:5" x14ac:dyDescent="0.3">
      <c r="A77" t="s">
        <v>72</v>
      </c>
      <c r="B77" t="s">
        <v>3</v>
      </c>
      <c r="C77">
        <v>2820</v>
      </c>
      <c r="D77">
        <v>27600</v>
      </c>
      <c r="E77">
        <f t="shared" si="1"/>
        <v>77832000</v>
      </c>
    </row>
    <row r="78" spans="1:5" hidden="1" x14ac:dyDescent="0.3">
      <c r="A78" t="s">
        <v>73</v>
      </c>
      <c r="B78" t="s">
        <v>3</v>
      </c>
      <c r="C78">
        <v>0</v>
      </c>
      <c r="E78">
        <f t="shared" si="1"/>
        <v>0</v>
      </c>
    </row>
    <row r="79" spans="1:5" hidden="1" x14ac:dyDescent="0.3">
      <c r="A79" t="s">
        <v>74</v>
      </c>
      <c r="B79" t="s">
        <v>30</v>
      </c>
      <c r="C79">
        <v>0</v>
      </c>
      <c r="E79">
        <f t="shared" si="1"/>
        <v>0</v>
      </c>
    </row>
    <row r="80" spans="1:5" x14ac:dyDescent="0.3">
      <c r="A80" t="s">
        <v>75</v>
      </c>
      <c r="B80" t="s">
        <v>3</v>
      </c>
      <c r="C80">
        <v>7</v>
      </c>
      <c r="D80">
        <v>14000</v>
      </c>
      <c r="E80">
        <f t="shared" si="1"/>
        <v>98000</v>
      </c>
    </row>
    <row r="81" spans="1:5" hidden="1" x14ac:dyDescent="0.3">
      <c r="A81" t="s">
        <v>76</v>
      </c>
      <c r="B81" t="s">
        <v>17</v>
      </c>
      <c r="C81">
        <v>0</v>
      </c>
      <c r="E81">
        <f t="shared" si="1"/>
        <v>0</v>
      </c>
    </row>
    <row r="82" spans="1:5" hidden="1" x14ac:dyDescent="0.3">
      <c r="A82" t="s">
        <v>77</v>
      </c>
      <c r="B82" t="s">
        <v>25</v>
      </c>
      <c r="C82">
        <v>0</v>
      </c>
      <c r="E82">
        <f t="shared" si="1"/>
        <v>0</v>
      </c>
    </row>
    <row r="83" spans="1:5" x14ac:dyDescent="0.3">
      <c r="A83" t="s">
        <v>77</v>
      </c>
      <c r="B83" t="s">
        <v>3</v>
      </c>
      <c r="C83">
        <v>10</v>
      </c>
      <c r="D83">
        <v>45000</v>
      </c>
      <c r="E83">
        <f t="shared" si="1"/>
        <v>450000</v>
      </c>
    </row>
    <row r="84" spans="1:5" x14ac:dyDescent="0.3">
      <c r="A84" t="s">
        <v>78</v>
      </c>
      <c r="B84" t="s">
        <v>3</v>
      </c>
      <c r="C84">
        <v>73</v>
      </c>
      <c r="D84">
        <v>26000</v>
      </c>
      <c r="E84">
        <f t="shared" si="1"/>
        <v>1898000</v>
      </c>
    </row>
    <row r="85" spans="1:5" hidden="1" x14ac:dyDescent="0.3">
      <c r="A85" t="s">
        <v>78</v>
      </c>
      <c r="B85" t="s">
        <v>9</v>
      </c>
      <c r="C85">
        <v>0</v>
      </c>
      <c r="E85">
        <f t="shared" si="1"/>
        <v>0</v>
      </c>
    </row>
    <row r="86" spans="1:5" x14ac:dyDescent="0.3">
      <c r="A86" t="s">
        <v>80</v>
      </c>
      <c r="B86" t="s">
        <v>3</v>
      </c>
      <c r="C86">
        <v>109</v>
      </c>
      <c r="D86">
        <v>26000</v>
      </c>
      <c r="E86">
        <f t="shared" si="1"/>
        <v>2834000</v>
      </c>
    </row>
    <row r="87" spans="1:5" hidden="1" x14ac:dyDescent="0.3">
      <c r="A87" t="s">
        <v>80</v>
      </c>
      <c r="B87" t="s">
        <v>9</v>
      </c>
      <c r="C87">
        <v>0</v>
      </c>
      <c r="E87">
        <f t="shared" si="1"/>
        <v>0</v>
      </c>
    </row>
    <row r="88" spans="1:5" x14ac:dyDescent="0.3">
      <c r="A88" t="s">
        <v>82</v>
      </c>
      <c r="B88" t="s">
        <v>3</v>
      </c>
      <c r="C88">
        <v>30</v>
      </c>
      <c r="D88">
        <v>31000</v>
      </c>
      <c r="E88">
        <f t="shared" si="1"/>
        <v>930000</v>
      </c>
    </row>
    <row r="89" spans="1:5" hidden="1" x14ac:dyDescent="0.3">
      <c r="A89" t="s">
        <v>82</v>
      </c>
      <c r="B89" t="s">
        <v>9</v>
      </c>
      <c r="C89">
        <v>0</v>
      </c>
      <c r="E89">
        <f t="shared" si="1"/>
        <v>0</v>
      </c>
    </row>
    <row r="90" spans="1:5" x14ac:dyDescent="0.3">
      <c r="A90" t="s">
        <v>84</v>
      </c>
      <c r="B90" t="s">
        <v>3</v>
      </c>
      <c r="C90">
        <v>9</v>
      </c>
      <c r="D90">
        <v>50000</v>
      </c>
      <c r="E90">
        <f t="shared" si="1"/>
        <v>450000</v>
      </c>
    </row>
    <row r="91" spans="1:5" x14ac:dyDescent="0.3">
      <c r="A91" t="s">
        <v>84</v>
      </c>
      <c r="B91" t="s">
        <v>30</v>
      </c>
      <c r="C91">
        <v>25</v>
      </c>
      <c r="D91">
        <v>22000</v>
      </c>
      <c r="E91">
        <f t="shared" si="1"/>
        <v>550000</v>
      </c>
    </row>
    <row r="92" spans="1:5" hidden="1" x14ac:dyDescent="0.3">
      <c r="A92" t="s">
        <v>85</v>
      </c>
      <c r="B92" t="s">
        <v>30</v>
      </c>
      <c r="C92">
        <v>0</v>
      </c>
      <c r="E92">
        <f t="shared" si="1"/>
        <v>0</v>
      </c>
    </row>
    <row r="93" spans="1:5" x14ac:dyDescent="0.3">
      <c r="A93" t="s">
        <v>86</v>
      </c>
      <c r="B93" t="s">
        <v>9</v>
      </c>
      <c r="C93">
        <v>339</v>
      </c>
      <c r="D93">
        <v>10000</v>
      </c>
      <c r="E93">
        <f t="shared" si="1"/>
        <v>3390000</v>
      </c>
    </row>
    <row r="94" spans="1:5" x14ac:dyDescent="0.3">
      <c r="A94" t="s">
        <v>88</v>
      </c>
      <c r="B94" t="s">
        <v>9</v>
      </c>
      <c r="C94">
        <v>601</v>
      </c>
      <c r="D94">
        <v>17000</v>
      </c>
      <c r="E94">
        <f t="shared" si="1"/>
        <v>10217000</v>
      </c>
    </row>
    <row r="95" spans="1:5" x14ac:dyDescent="0.3">
      <c r="A95" t="s">
        <v>117</v>
      </c>
      <c r="B95" t="s">
        <v>9</v>
      </c>
      <c r="C95">
        <v>1580</v>
      </c>
      <c r="D95">
        <v>10000</v>
      </c>
      <c r="E95">
        <f t="shared" si="1"/>
        <v>15800000</v>
      </c>
    </row>
    <row r="96" spans="1:5" x14ac:dyDescent="0.3">
      <c r="A96" t="s">
        <v>89</v>
      </c>
      <c r="B96" t="s">
        <v>3</v>
      </c>
      <c r="C96">
        <v>100</v>
      </c>
      <c r="D96">
        <v>28000</v>
      </c>
      <c r="E96">
        <f t="shared" si="1"/>
        <v>2800000</v>
      </c>
    </row>
    <row r="97" spans="1:5" hidden="1" x14ac:dyDescent="0.3">
      <c r="A97" t="s">
        <v>90</v>
      </c>
      <c r="B97" t="s">
        <v>3</v>
      </c>
      <c r="C97">
        <v>0</v>
      </c>
      <c r="E97">
        <f t="shared" si="1"/>
        <v>0</v>
      </c>
    </row>
    <row r="98" spans="1:5" x14ac:dyDescent="0.3">
      <c r="A98" t="s">
        <v>92</v>
      </c>
      <c r="B98" t="s">
        <v>3</v>
      </c>
      <c r="C98">
        <v>60</v>
      </c>
      <c r="D98">
        <v>16000</v>
      </c>
      <c r="E98">
        <f t="shared" si="1"/>
        <v>960000</v>
      </c>
    </row>
    <row r="99" spans="1:5" hidden="1" x14ac:dyDescent="0.3">
      <c r="A99" t="s">
        <v>93</v>
      </c>
      <c r="B99" t="s">
        <v>3</v>
      </c>
      <c r="C99">
        <v>0</v>
      </c>
      <c r="E99">
        <f t="shared" si="1"/>
        <v>0</v>
      </c>
    </row>
    <row r="100" spans="1:5" hidden="1" x14ac:dyDescent="0.3">
      <c r="A100" t="s">
        <v>94</v>
      </c>
      <c r="B100" t="s">
        <v>3</v>
      </c>
      <c r="C100">
        <v>0</v>
      </c>
      <c r="E100">
        <f t="shared" si="1"/>
        <v>0</v>
      </c>
    </row>
    <row r="101" spans="1:5" hidden="1" x14ac:dyDescent="0.3">
      <c r="A101" t="s">
        <v>95</v>
      </c>
      <c r="B101" t="s">
        <v>40</v>
      </c>
      <c r="C101">
        <v>0</v>
      </c>
      <c r="E101">
        <f t="shared" si="1"/>
        <v>0</v>
      </c>
    </row>
    <row r="102" spans="1:5" hidden="1" x14ac:dyDescent="0.3">
      <c r="A102" t="s">
        <v>96</v>
      </c>
      <c r="B102" t="s">
        <v>3</v>
      </c>
      <c r="C102">
        <v>0</v>
      </c>
      <c r="E102">
        <f t="shared" si="1"/>
        <v>0</v>
      </c>
    </row>
    <row r="103" spans="1:5" hidden="1" x14ac:dyDescent="0.3">
      <c r="A103" t="s">
        <v>97</v>
      </c>
      <c r="B103" t="s">
        <v>40</v>
      </c>
      <c r="C103">
        <v>0</v>
      </c>
      <c r="E103">
        <f t="shared" si="1"/>
        <v>0</v>
      </c>
    </row>
    <row r="104" spans="1:5" hidden="1" x14ac:dyDescent="0.3">
      <c r="A104" t="s">
        <v>98</v>
      </c>
      <c r="B104" t="s">
        <v>3</v>
      </c>
      <c r="C104">
        <v>0</v>
      </c>
      <c r="E104">
        <f t="shared" si="1"/>
        <v>0</v>
      </c>
    </row>
    <row r="105" spans="1:5" hidden="1" x14ac:dyDescent="0.3">
      <c r="A105" t="s">
        <v>99</v>
      </c>
      <c r="B105" t="s">
        <v>3</v>
      </c>
      <c r="C105">
        <v>0</v>
      </c>
      <c r="E105">
        <f t="shared" si="1"/>
        <v>0</v>
      </c>
    </row>
    <row r="106" spans="1:5" hidden="1" x14ac:dyDescent="0.3">
      <c r="A106" t="s">
        <v>100</v>
      </c>
      <c r="B106" t="s">
        <v>40</v>
      </c>
      <c r="C106">
        <v>0</v>
      </c>
      <c r="E106">
        <f t="shared" si="1"/>
        <v>0</v>
      </c>
    </row>
    <row r="107" spans="1:5" x14ac:dyDescent="0.3">
      <c r="E107">
        <f>SUM(E3:E98)</f>
        <v>257368500</v>
      </c>
    </row>
    <row r="108" spans="1:5" x14ac:dyDescent="0.3">
      <c r="A108" t="s">
        <v>110</v>
      </c>
    </row>
    <row r="109" spans="1:5" x14ac:dyDescent="0.3">
      <c r="A109" t="s">
        <v>0</v>
      </c>
      <c r="B109" t="s">
        <v>1</v>
      </c>
      <c r="C109" t="s">
        <v>107</v>
      </c>
      <c r="D109" t="s">
        <v>108</v>
      </c>
      <c r="E109" t="s">
        <v>109</v>
      </c>
    </row>
    <row r="110" spans="1:5" x14ac:dyDescent="0.3">
      <c r="A110" t="s">
        <v>31</v>
      </c>
      <c r="B110" t="s">
        <v>3</v>
      </c>
      <c r="C110">
        <v>150</v>
      </c>
      <c r="D110">
        <v>11500</v>
      </c>
      <c r="E110">
        <f t="shared" si="1"/>
        <v>1725000</v>
      </c>
    </row>
    <row r="111" spans="1:5" x14ac:dyDescent="0.3">
      <c r="A111" t="s">
        <v>44</v>
      </c>
      <c r="B111" t="s">
        <v>3</v>
      </c>
      <c r="C111">
        <v>33</v>
      </c>
      <c r="D111">
        <v>6500</v>
      </c>
      <c r="E111">
        <f t="shared" si="1"/>
        <v>214500</v>
      </c>
    </row>
    <row r="112" spans="1:5" x14ac:dyDescent="0.3">
      <c r="A112" t="s">
        <v>45</v>
      </c>
      <c r="B112" t="s">
        <v>3</v>
      </c>
      <c r="C112">
        <v>5</v>
      </c>
      <c r="D112">
        <v>10000</v>
      </c>
      <c r="E112">
        <f t="shared" si="1"/>
        <v>50000</v>
      </c>
    </row>
    <row r="113" spans="1:5" x14ac:dyDescent="0.3">
      <c r="A113" t="s">
        <v>47</v>
      </c>
      <c r="B113" t="s">
        <v>3</v>
      </c>
      <c r="C113">
        <v>10</v>
      </c>
      <c r="D113">
        <v>12500</v>
      </c>
      <c r="E113">
        <f t="shared" si="1"/>
        <v>125000</v>
      </c>
    </row>
    <row r="114" spans="1:5" x14ac:dyDescent="0.3">
      <c r="A114" t="s">
        <v>54</v>
      </c>
      <c r="B114" t="s">
        <v>3</v>
      </c>
      <c r="C114">
        <v>40</v>
      </c>
      <c r="D114">
        <v>17000</v>
      </c>
      <c r="E114">
        <f t="shared" si="1"/>
        <v>680000</v>
      </c>
    </row>
    <row r="115" spans="1:5" x14ac:dyDescent="0.3">
      <c r="A115" t="s">
        <v>59</v>
      </c>
      <c r="B115" t="s">
        <v>3</v>
      </c>
      <c r="C115">
        <v>33</v>
      </c>
      <c r="D115">
        <v>17000</v>
      </c>
      <c r="E115">
        <f t="shared" si="1"/>
        <v>561000</v>
      </c>
    </row>
    <row r="116" spans="1:5" x14ac:dyDescent="0.3">
      <c r="A116" t="s">
        <v>61</v>
      </c>
      <c r="B116" t="s">
        <v>3</v>
      </c>
      <c r="C116">
        <v>5</v>
      </c>
      <c r="D116">
        <v>13000</v>
      </c>
      <c r="E116">
        <f t="shared" si="1"/>
        <v>65000</v>
      </c>
    </row>
    <row r="117" spans="1:5" hidden="1" x14ac:dyDescent="0.3">
      <c r="A117" t="s">
        <v>12</v>
      </c>
      <c r="B117" t="s">
        <v>3</v>
      </c>
      <c r="C117">
        <v>0</v>
      </c>
      <c r="E117">
        <f t="shared" si="1"/>
        <v>0</v>
      </c>
    </row>
    <row r="118" spans="1:5" hidden="1" x14ac:dyDescent="0.3">
      <c r="A118" t="s">
        <v>102</v>
      </c>
      <c r="B118" t="s">
        <v>3</v>
      </c>
      <c r="C118">
        <v>0</v>
      </c>
      <c r="E118">
        <f t="shared" si="1"/>
        <v>0</v>
      </c>
    </row>
    <row r="119" spans="1:5" x14ac:dyDescent="0.3">
      <c r="A119" t="s">
        <v>2</v>
      </c>
      <c r="B119" t="s">
        <v>3</v>
      </c>
      <c r="C119">
        <v>5</v>
      </c>
      <c r="D119">
        <v>15000</v>
      </c>
      <c r="E119">
        <f t="shared" si="1"/>
        <v>75000</v>
      </c>
    </row>
    <row r="120" spans="1:5" x14ac:dyDescent="0.3">
      <c r="A120" t="s">
        <v>4</v>
      </c>
      <c r="B120" t="s">
        <v>3</v>
      </c>
      <c r="C120">
        <v>15</v>
      </c>
      <c r="D120">
        <v>7500</v>
      </c>
      <c r="E120">
        <f t="shared" si="1"/>
        <v>112500</v>
      </c>
    </row>
    <row r="121" spans="1:5" x14ac:dyDescent="0.3">
      <c r="A121" t="s">
        <v>5</v>
      </c>
      <c r="B121" t="s">
        <v>3</v>
      </c>
      <c r="C121">
        <v>198.00000000000003</v>
      </c>
      <c r="D121">
        <v>6500</v>
      </c>
      <c r="E121">
        <f t="shared" si="1"/>
        <v>1287000.0000000002</v>
      </c>
    </row>
    <row r="122" spans="1:5" x14ac:dyDescent="0.3">
      <c r="A122" t="s">
        <v>38</v>
      </c>
      <c r="B122" t="s">
        <v>3</v>
      </c>
      <c r="C122">
        <v>110.00000000000001</v>
      </c>
      <c r="D122">
        <v>7500</v>
      </c>
      <c r="E122">
        <f t="shared" si="1"/>
        <v>825000.00000000012</v>
      </c>
    </row>
    <row r="123" spans="1:5" x14ac:dyDescent="0.3">
      <c r="A123" t="s">
        <v>39</v>
      </c>
      <c r="B123" t="s">
        <v>3</v>
      </c>
      <c r="C123">
        <v>40</v>
      </c>
      <c r="D123">
        <v>9000</v>
      </c>
      <c r="E123">
        <f t="shared" si="1"/>
        <v>360000</v>
      </c>
    </row>
    <row r="124" spans="1:5" hidden="1" x14ac:dyDescent="0.3">
      <c r="A124" t="s">
        <v>71</v>
      </c>
      <c r="B124" t="s">
        <v>3</v>
      </c>
      <c r="C124">
        <v>0</v>
      </c>
      <c r="E124">
        <f t="shared" si="1"/>
        <v>0</v>
      </c>
    </row>
    <row r="125" spans="1:5" hidden="1" x14ac:dyDescent="0.3">
      <c r="A125" t="s">
        <v>95</v>
      </c>
      <c r="B125" t="s">
        <v>40</v>
      </c>
      <c r="C125">
        <v>0</v>
      </c>
      <c r="E125">
        <f t="shared" si="1"/>
        <v>0</v>
      </c>
    </row>
    <row r="126" spans="1:5" hidden="1" x14ac:dyDescent="0.3">
      <c r="A126" t="s">
        <v>97</v>
      </c>
      <c r="B126" t="s">
        <v>40</v>
      </c>
      <c r="C126">
        <v>0</v>
      </c>
      <c r="E126">
        <f t="shared" si="1"/>
        <v>0</v>
      </c>
    </row>
    <row r="127" spans="1:5" hidden="1" x14ac:dyDescent="0.3">
      <c r="A127" t="s">
        <v>100</v>
      </c>
      <c r="B127" t="s">
        <v>40</v>
      </c>
      <c r="C127">
        <v>0</v>
      </c>
      <c r="E127">
        <f t="shared" si="1"/>
        <v>0</v>
      </c>
    </row>
    <row r="128" spans="1:5" x14ac:dyDescent="0.3">
      <c r="A128" t="s">
        <v>119</v>
      </c>
      <c r="B128" t="s">
        <v>3</v>
      </c>
      <c r="C128">
        <v>9</v>
      </c>
      <c r="D128">
        <v>10000</v>
      </c>
      <c r="E128">
        <f t="shared" si="1"/>
        <v>90000</v>
      </c>
    </row>
    <row r="129" spans="1:5" hidden="1" x14ac:dyDescent="0.3">
      <c r="A129" t="s">
        <v>7</v>
      </c>
      <c r="B129" t="s">
        <v>3</v>
      </c>
      <c r="C129">
        <v>0</v>
      </c>
      <c r="E129">
        <f t="shared" si="1"/>
        <v>0</v>
      </c>
    </row>
    <row r="130" spans="1:5" x14ac:dyDescent="0.3">
      <c r="A130" t="s">
        <v>8</v>
      </c>
      <c r="B130" t="s">
        <v>3</v>
      </c>
      <c r="C130">
        <v>14</v>
      </c>
      <c r="D130">
        <v>10000</v>
      </c>
      <c r="E130">
        <f t="shared" si="1"/>
        <v>140000</v>
      </c>
    </row>
    <row r="131" spans="1:5" x14ac:dyDescent="0.3">
      <c r="A131" t="s">
        <v>18</v>
      </c>
      <c r="B131" t="s">
        <v>3</v>
      </c>
      <c r="C131">
        <v>22</v>
      </c>
      <c r="D131">
        <v>15000</v>
      </c>
      <c r="E131">
        <f t="shared" si="1"/>
        <v>330000</v>
      </c>
    </row>
    <row r="132" spans="1:5" x14ac:dyDescent="0.3">
      <c r="A132" t="s">
        <v>28</v>
      </c>
      <c r="B132" t="s">
        <v>3</v>
      </c>
      <c r="C132">
        <v>220.00000000000003</v>
      </c>
      <c r="D132">
        <v>16000</v>
      </c>
      <c r="E132">
        <f t="shared" si="1"/>
        <v>3520000.0000000005</v>
      </c>
    </row>
    <row r="133" spans="1:5" hidden="1" x14ac:dyDescent="0.3">
      <c r="A133" t="s">
        <v>33</v>
      </c>
      <c r="B133" t="s">
        <v>3</v>
      </c>
      <c r="C133">
        <v>0</v>
      </c>
      <c r="E133">
        <f t="shared" si="1"/>
        <v>0</v>
      </c>
    </row>
    <row r="134" spans="1:5" x14ac:dyDescent="0.3">
      <c r="A134" t="s">
        <v>78</v>
      </c>
      <c r="B134" t="s">
        <v>3</v>
      </c>
      <c r="C134">
        <v>5</v>
      </c>
      <c r="D134">
        <v>26000</v>
      </c>
      <c r="E134">
        <f t="shared" ref="E134:E149" si="2">C134*D134</f>
        <v>130000</v>
      </c>
    </row>
    <row r="135" spans="1:5" x14ac:dyDescent="0.3">
      <c r="A135" t="s">
        <v>80</v>
      </c>
      <c r="B135" t="s">
        <v>3</v>
      </c>
      <c r="C135">
        <v>5</v>
      </c>
      <c r="D135">
        <v>26000</v>
      </c>
      <c r="E135">
        <f t="shared" si="2"/>
        <v>130000</v>
      </c>
    </row>
    <row r="136" spans="1:5" x14ac:dyDescent="0.3">
      <c r="A136" t="s">
        <v>82</v>
      </c>
      <c r="B136" t="s">
        <v>3</v>
      </c>
      <c r="C136">
        <v>5</v>
      </c>
      <c r="D136">
        <v>31000</v>
      </c>
      <c r="E136">
        <f t="shared" si="2"/>
        <v>155000</v>
      </c>
    </row>
    <row r="137" spans="1:5" x14ac:dyDescent="0.3">
      <c r="A137" t="s">
        <v>92</v>
      </c>
      <c r="B137" t="s">
        <v>3</v>
      </c>
      <c r="C137">
        <v>20</v>
      </c>
      <c r="D137">
        <v>16000</v>
      </c>
      <c r="E137">
        <f t="shared" si="2"/>
        <v>320000</v>
      </c>
    </row>
    <row r="138" spans="1:5" hidden="1" x14ac:dyDescent="0.3">
      <c r="A138" t="s">
        <v>41</v>
      </c>
      <c r="B138" t="s">
        <v>3</v>
      </c>
      <c r="C138">
        <v>0</v>
      </c>
      <c r="E138">
        <f t="shared" si="2"/>
        <v>0</v>
      </c>
    </row>
    <row r="139" spans="1:5" hidden="1" x14ac:dyDescent="0.3">
      <c r="A139" t="s">
        <v>105</v>
      </c>
      <c r="B139" t="s">
        <v>3</v>
      </c>
      <c r="C139">
        <v>0</v>
      </c>
      <c r="E139">
        <f t="shared" si="2"/>
        <v>0</v>
      </c>
    </row>
    <row r="140" spans="1:5" x14ac:dyDescent="0.3">
      <c r="A140" t="s">
        <v>103</v>
      </c>
      <c r="B140" t="s">
        <v>3</v>
      </c>
      <c r="C140">
        <v>8</v>
      </c>
      <c r="D140">
        <v>16000</v>
      </c>
      <c r="E140">
        <f t="shared" si="2"/>
        <v>128000</v>
      </c>
    </row>
    <row r="141" spans="1:5" hidden="1" x14ac:dyDescent="0.3">
      <c r="A141" t="s">
        <v>68</v>
      </c>
      <c r="B141" t="s">
        <v>3</v>
      </c>
      <c r="C141">
        <v>0</v>
      </c>
      <c r="E141">
        <f t="shared" si="2"/>
        <v>0</v>
      </c>
    </row>
    <row r="142" spans="1:5" x14ac:dyDescent="0.3">
      <c r="A142" t="s">
        <v>68</v>
      </c>
      <c r="B142" t="s">
        <v>17</v>
      </c>
      <c r="C142">
        <v>60</v>
      </c>
      <c r="D142">
        <v>6000</v>
      </c>
      <c r="E142">
        <f t="shared" si="2"/>
        <v>360000</v>
      </c>
    </row>
    <row r="143" spans="1:5" hidden="1" x14ac:dyDescent="0.3">
      <c r="A143" t="s">
        <v>72</v>
      </c>
      <c r="B143" t="s">
        <v>3</v>
      </c>
      <c r="C143">
        <v>0</v>
      </c>
      <c r="E143">
        <f t="shared" si="2"/>
        <v>0</v>
      </c>
    </row>
    <row r="144" spans="1:5" hidden="1" x14ac:dyDescent="0.3">
      <c r="A144" t="s">
        <v>62</v>
      </c>
      <c r="B144" t="s">
        <v>30</v>
      </c>
      <c r="C144">
        <v>0</v>
      </c>
      <c r="E144">
        <f t="shared" si="2"/>
        <v>0</v>
      </c>
    </row>
    <row r="145" spans="1:5" x14ac:dyDescent="0.3">
      <c r="A145" t="s">
        <v>63</v>
      </c>
      <c r="B145" t="s">
        <v>30</v>
      </c>
      <c r="C145">
        <v>28</v>
      </c>
      <c r="D145">
        <v>9000</v>
      </c>
      <c r="E145">
        <f t="shared" si="2"/>
        <v>252000</v>
      </c>
    </row>
    <row r="146" spans="1:5" hidden="1" x14ac:dyDescent="0.3">
      <c r="A146" t="s">
        <v>73</v>
      </c>
      <c r="B146" t="s">
        <v>3</v>
      </c>
      <c r="C146">
        <v>0</v>
      </c>
      <c r="E146">
        <f t="shared" si="2"/>
        <v>0</v>
      </c>
    </row>
    <row r="147" spans="1:5" hidden="1" x14ac:dyDescent="0.3">
      <c r="A147" t="s">
        <v>94</v>
      </c>
      <c r="B147" t="s">
        <v>40</v>
      </c>
      <c r="C147">
        <v>0</v>
      </c>
      <c r="E147">
        <f t="shared" si="2"/>
        <v>0</v>
      </c>
    </row>
    <row r="148" spans="1:5" hidden="1" x14ac:dyDescent="0.3">
      <c r="A148" t="s">
        <v>106</v>
      </c>
      <c r="B148" t="s">
        <v>9</v>
      </c>
      <c r="C148">
        <v>0</v>
      </c>
      <c r="E148">
        <f t="shared" si="2"/>
        <v>0</v>
      </c>
    </row>
    <row r="149" spans="1:5" x14ac:dyDescent="0.3">
      <c r="A149" t="s">
        <v>104</v>
      </c>
      <c r="B149" t="s">
        <v>3</v>
      </c>
      <c r="C149">
        <v>200</v>
      </c>
      <c r="D149">
        <v>5000</v>
      </c>
      <c r="E149">
        <f t="shared" si="2"/>
        <v>1000000</v>
      </c>
    </row>
    <row r="150" spans="1:5" x14ac:dyDescent="0.3">
      <c r="E150" s="2">
        <f>SUM(E110:E149)</f>
        <v>12635000</v>
      </c>
    </row>
    <row r="151" spans="1:5" x14ac:dyDescent="0.3">
      <c r="E151" s="3">
        <f>E150+E107</f>
        <v>270003500</v>
      </c>
    </row>
  </sheetData>
  <autoFilter ref="A2:E149" xr:uid="{00000000-0009-0000-0000-000002000000}">
    <filterColumn colId="2">
      <filters>
        <filter val="0.8"/>
        <filter val="10"/>
        <filter val="100"/>
        <filter val="105"/>
        <filter val="109"/>
        <filter val="11"/>
        <filter val="110"/>
        <filter val="1110"/>
        <filter val="12"/>
        <filter val="1200"/>
        <filter val="1390"/>
        <filter val="14"/>
        <filter val="15"/>
        <filter val="150"/>
        <filter val="1580"/>
        <filter val="198"/>
        <filter val="20"/>
        <filter val="200"/>
        <filter val="201"/>
        <filter val="22"/>
        <filter val="220"/>
        <filter val="25"/>
        <filter val="28"/>
        <filter val="2820"/>
        <filter val="29"/>
        <filter val="30"/>
        <filter val="32"/>
        <filter val="33"/>
        <filter val="339"/>
        <filter val="35"/>
        <filter val="4"/>
        <filter val="40"/>
        <filter val="420"/>
        <filter val="43"/>
        <filter val="47"/>
        <filter val="5"/>
        <filter val="50"/>
        <filter val="537"/>
        <filter val="545"/>
        <filter val="60"/>
        <filter val="601"/>
        <filter val="660"/>
        <filter val="7"/>
        <filter val="70"/>
        <filter val="72"/>
        <filter val="73"/>
        <filter val="750"/>
        <filter val="8"/>
        <filter val="9"/>
        <filter val="90"/>
        <filter val="95"/>
        <filter val="Tồn_x000a_ĐL_x000a__x000a_現在庫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2:E158"/>
  <sheetViews>
    <sheetView topLeftCell="A116" zoomScale="90" zoomScaleNormal="90" workbookViewId="0">
      <selection activeCell="E158" sqref="E158"/>
    </sheetView>
  </sheetViews>
  <sheetFormatPr defaultRowHeight="14.4" x14ac:dyDescent="0.3"/>
  <cols>
    <col min="1" max="1" width="27" customWidth="1"/>
    <col min="5" max="5" width="18" customWidth="1"/>
  </cols>
  <sheetData>
    <row r="2" spans="1:5" x14ac:dyDescent="0.3">
      <c r="A2" t="s">
        <v>122</v>
      </c>
    </row>
    <row r="3" spans="1:5" x14ac:dyDescent="0.3">
      <c r="A3" t="s">
        <v>0</v>
      </c>
      <c r="B3" t="s">
        <v>1</v>
      </c>
      <c r="C3" t="s">
        <v>107</v>
      </c>
      <c r="D3" t="s">
        <v>108</v>
      </c>
      <c r="E3" t="s">
        <v>109</v>
      </c>
    </row>
    <row r="4" spans="1:5" x14ac:dyDescent="0.3">
      <c r="A4" t="s">
        <v>31</v>
      </c>
      <c r="B4" t="s">
        <v>3</v>
      </c>
      <c r="C4">
        <v>205</v>
      </c>
      <c r="D4">
        <v>11500</v>
      </c>
      <c r="E4">
        <f>C4*D4</f>
        <v>2357500</v>
      </c>
    </row>
    <row r="5" spans="1:5" hidden="1" x14ac:dyDescent="0.3">
      <c r="A5" t="s">
        <v>31</v>
      </c>
      <c r="B5" t="s">
        <v>30</v>
      </c>
      <c r="C5">
        <v>0</v>
      </c>
      <c r="E5">
        <f t="shared" ref="E5:E68" si="0">C5*D5</f>
        <v>0</v>
      </c>
    </row>
    <row r="6" spans="1:5" x14ac:dyDescent="0.3">
      <c r="A6" t="s">
        <v>32</v>
      </c>
      <c r="B6" t="s">
        <v>17</v>
      </c>
      <c r="C6">
        <v>9</v>
      </c>
      <c r="D6">
        <v>9500</v>
      </c>
      <c r="E6">
        <f t="shared" si="0"/>
        <v>85500</v>
      </c>
    </row>
    <row r="7" spans="1:5" hidden="1" x14ac:dyDescent="0.3">
      <c r="A7" t="s">
        <v>42</v>
      </c>
      <c r="B7" t="s">
        <v>25</v>
      </c>
      <c r="C7">
        <v>0</v>
      </c>
      <c r="E7">
        <f t="shared" si="0"/>
        <v>0</v>
      </c>
    </row>
    <row r="8" spans="1:5" hidden="1" x14ac:dyDescent="0.3">
      <c r="A8" t="s">
        <v>42</v>
      </c>
      <c r="B8" t="s">
        <v>3</v>
      </c>
      <c r="C8">
        <v>0</v>
      </c>
      <c r="E8">
        <f t="shared" si="0"/>
        <v>0</v>
      </c>
    </row>
    <row r="9" spans="1:5" x14ac:dyDescent="0.3">
      <c r="A9" t="s">
        <v>45</v>
      </c>
      <c r="B9" t="s">
        <v>3</v>
      </c>
      <c r="C9">
        <v>53</v>
      </c>
      <c r="D9">
        <v>10000</v>
      </c>
      <c r="E9">
        <f t="shared" si="0"/>
        <v>530000</v>
      </c>
    </row>
    <row r="10" spans="1:5" hidden="1" x14ac:dyDescent="0.3">
      <c r="A10" t="s">
        <v>45</v>
      </c>
      <c r="B10" t="s">
        <v>30</v>
      </c>
      <c r="C10">
        <v>0</v>
      </c>
      <c r="E10">
        <f t="shared" si="0"/>
        <v>0</v>
      </c>
    </row>
    <row r="11" spans="1:5" x14ac:dyDescent="0.3">
      <c r="A11" t="s">
        <v>47</v>
      </c>
      <c r="B11" t="s">
        <v>3</v>
      </c>
      <c r="C11">
        <v>348</v>
      </c>
      <c r="D11">
        <v>12500</v>
      </c>
      <c r="E11">
        <f t="shared" si="0"/>
        <v>4350000</v>
      </c>
    </row>
    <row r="12" spans="1:5" hidden="1" x14ac:dyDescent="0.3">
      <c r="A12" t="s">
        <v>47</v>
      </c>
      <c r="B12" t="s">
        <v>48</v>
      </c>
      <c r="C12">
        <v>0</v>
      </c>
      <c r="E12">
        <f t="shared" si="0"/>
        <v>0</v>
      </c>
    </row>
    <row r="13" spans="1:5" x14ac:dyDescent="0.3">
      <c r="A13" t="s">
        <v>50</v>
      </c>
      <c r="B13" t="s">
        <v>30</v>
      </c>
      <c r="C13">
        <v>133</v>
      </c>
      <c r="D13">
        <v>3000</v>
      </c>
      <c r="E13">
        <f t="shared" si="0"/>
        <v>399000</v>
      </c>
    </row>
    <row r="14" spans="1:5" x14ac:dyDescent="0.3">
      <c r="A14" t="s">
        <v>52</v>
      </c>
      <c r="B14" t="s">
        <v>3</v>
      </c>
      <c r="C14">
        <v>1085</v>
      </c>
      <c r="D14">
        <v>28000</v>
      </c>
      <c r="E14">
        <f t="shared" si="0"/>
        <v>30380000</v>
      </c>
    </row>
    <row r="15" spans="1:5" hidden="1" x14ac:dyDescent="0.3">
      <c r="A15" t="s">
        <v>52</v>
      </c>
      <c r="B15" t="s">
        <v>30</v>
      </c>
      <c r="C15">
        <v>0</v>
      </c>
      <c r="E15">
        <f t="shared" si="0"/>
        <v>0</v>
      </c>
    </row>
    <row r="16" spans="1:5" x14ac:dyDescent="0.3">
      <c r="A16" t="s">
        <v>54</v>
      </c>
      <c r="B16" t="s">
        <v>3</v>
      </c>
      <c r="C16">
        <v>216</v>
      </c>
      <c r="D16">
        <v>16000</v>
      </c>
      <c r="E16">
        <f t="shared" si="0"/>
        <v>3456000</v>
      </c>
    </row>
    <row r="17" spans="1:5" x14ac:dyDescent="0.3">
      <c r="A17" t="s">
        <v>59</v>
      </c>
      <c r="B17" t="s">
        <v>3</v>
      </c>
      <c r="C17">
        <v>217</v>
      </c>
      <c r="D17">
        <v>17000</v>
      </c>
      <c r="E17">
        <f t="shared" si="0"/>
        <v>3689000</v>
      </c>
    </row>
    <row r="18" spans="1:5" hidden="1" x14ac:dyDescent="0.3">
      <c r="A18" t="s">
        <v>59</v>
      </c>
      <c r="B18" t="s">
        <v>30</v>
      </c>
      <c r="C18">
        <v>0</v>
      </c>
      <c r="E18">
        <f t="shared" si="0"/>
        <v>0</v>
      </c>
    </row>
    <row r="19" spans="1:5" x14ac:dyDescent="0.3">
      <c r="A19" t="s">
        <v>16</v>
      </c>
      <c r="B19" t="s">
        <v>17</v>
      </c>
      <c r="C19">
        <v>7</v>
      </c>
      <c r="D19">
        <v>8000</v>
      </c>
      <c r="E19">
        <f t="shared" si="0"/>
        <v>56000</v>
      </c>
    </row>
    <row r="20" spans="1:5" x14ac:dyDescent="0.3">
      <c r="A20" t="s">
        <v>5</v>
      </c>
      <c r="B20" t="s">
        <v>3</v>
      </c>
      <c r="C20">
        <v>79</v>
      </c>
      <c r="D20">
        <v>5500</v>
      </c>
      <c r="E20">
        <f t="shared" si="0"/>
        <v>434500</v>
      </c>
    </row>
    <row r="21" spans="1:5" x14ac:dyDescent="0.3">
      <c r="A21" t="s">
        <v>35</v>
      </c>
      <c r="B21" t="s">
        <v>3</v>
      </c>
      <c r="C21">
        <v>8</v>
      </c>
      <c r="D21">
        <v>28000</v>
      </c>
      <c r="E21">
        <f t="shared" si="0"/>
        <v>224000</v>
      </c>
    </row>
    <row r="22" spans="1:5" x14ac:dyDescent="0.3">
      <c r="A22" t="s">
        <v>35</v>
      </c>
      <c r="B22" t="s">
        <v>30</v>
      </c>
      <c r="C22">
        <v>13</v>
      </c>
      <c r="D22">
        <v>9000</v>
      </c>
      <c r="E22">
        <f t="shared" si="0"/>
        <v>117000</v>
      </c>
    </row>
    <row r="23" spans="1:5" x14ac:dyDescent="0.3">
      <c r="A23" t="s">
        <v>37</v>
      </c>
      <c r="B23" t="s">
        <v>30</v>
      </c>
      <c r="C23">
        <v>21</v>
      </c>
      <c r="D23">
        <v>4300</v>
      </c>
      <c r="E23">
        <f t="shared" si="0"/>
        <v>90300</v>
      </c>
    </row>
    <row r="24" spans="1:5" x14ac:dyDescent="0.3">
      <c r="A24" t="s">
        <v>38</v>
      </c>
      <c r="B24" t="s">
        <v>3</v>
      </c>
      <c r="C24">
        <v>1523</v>
      </c>
      <c r="D24">
        <v>6500</v>
      </c>
      <c r="E24">
        <f t="shared" si="0"/>
        <v>9899500</v>
      </c>
    </row>
    <row r="25" spans="1:5" hidden="1" x14ac:dyDescent="0.3">
      <c r="A25" t="s">
        <v>39</v>
      </c>
      <c r="B25" t="s">
        <v>40</v>
      </c>
      <c r="C25">
        <v>0</v>
      </c>
      <c r="E25">
        <f t="shared" si="0"/>
        <v>0</v>
      </c>
    </row>
    <row r="26" spans="1:5" x14ac:dyDescent="0.3">
      <c r="A26" t="s">
        <v>39</v>
      </c>
      <c r="B26" t="s">
        <v>3</v>
      </c>
      <c r="C26">
        <v>30</v>
      </c>
      <c r="D26">
        <v>9000</v>
      </c>
      <c r="E26">
        <f t="shared" si="0"/>
        <v>270000</v>
      </c>
    </row>
    <row r="27" spans="1:5" hidden="1" x14ac:dyDescent="0.3">
      <c r="A27" t="s">
        <v>94</v>
      </c>
      <c r="B27" t="s">
        <v>3</v>
      </c>
      <c r="C27">
        <v>0</v>
      </c>
      <c r="E27">
        <f t="shared" si="0"/>
        <v>0</v>
      </c>
    </row>
    <row r="28" spans="1:5" hidden="1" x14ac:dyDescent="0.3">
      <c r="A28" t="s">
        <v>7</v>
      </c>
      <c r="B28" t="s">
        <v>3</v>
      </c>
      <c r="C28">
        <v>0</v>
      </c>
      <c r="E28">
        <f t="shared" si="0"/>
        <v>0</v>
      </c>
    </row>
    <row r="29" spans="1:5" x14ac:dyDescent="0.3">
      <c r="A29" t="s">
        <v>8</v>
      </c>
      <c r="B29" t="s">
        <v>3</v>
      </c>
      <c r="C29">
        <v>69</v>
      </c>
      <c r="D29">
        <v>8000</v>
      </c>
      <c r="E29">
        <f t="shared" si="0"/>
        <v>552000</v>
      </c>
    </row>
    <row r="30" spans="1:5" hidden="1" x14ac:dyDescent="0.3">
      <c r="A30" t="s">
        <v>8</v>
      </c>
      <c r="B30" t="s">
        <v>9</v>
      </c>
      <c r="C30">
        <v>0</v>
      </c>
      <c r="E30">
        <f t="shared" si="0"/>
        <v>0</v>
      </c>
    </row>
    <row r="31" spans="1:5" x14ac:dyDescent="0.3">
      <c r="A31" t="s">
        <v>10</v>
      </c>
      <c r="B31" t="s">
        <v>3</v>
      </c>
      <c r="C31">
        <v>100</v>
      </c>
      <c r="D31">
        <v>19000</v>
      </c>
      <c r="E31">
        <f t="shared" si="0"/>
        <v>1900000</v>
      </c>
    </row>
    <row r="32" spans="1:5" hidden="1" x14ac:dyDescent="0.3">
      <c r="A32" t="s">
        <v>10</v>
      </c>
      <c r="B32" t="s">
        <v>9</v>
      </c>
      <c r="C32">
        <v>0</v>
      </c>
      <c r="E32">
        <f t="shared" si="0"/>
        <v>0</v>
      </c>
    </row>
    <row r="33" spans="1:5" x14ac:dyDescent="0.3">
      <c r="A33" t="s">
        <v>18</v>
      </c>
      <c r="B33" t="s">
        <v>3</v>
      </c>
      <c r="C33">
        <v>59</v>
      </c>
      <c r="D33">
        <v>17000</v>
      </c>
      <c r="E33">
        <f t="shared" si="0"/>
        <v>1003000</v>
      </c>
    </row>
    <row r="34" spans="1:5" hidden="1" x14ac:dyDescent="0.3">
      <c r="A34" t="s">
        <v>18</v>
      </c>
      <c r="B34" t="s">
        <v>17</v>
      </c>
      <c r="C34">
        <v>0</v>
      </c>
      <c r="E34">
        <f t="shared" si="0"/>
        <v>0</v>
      </c>
    </row>
    <row r="35" spans="1:5" hidden="1" x14ac:dyDescent="0.3">
      <c r="A35" t="s">
        <v>18</v>
      </c>
      <c r="B35" t="s">
        <v>19</v>
      </c>
      <c r="C35">
        <v>0</v>
      </c>
      <c r="E35">
        <f t="shared" si="0"/>
        <v>0</v>
      </c>
    </row>
    <row r="36" spans="1:5" x14ac:dyDescent="0.3">
      <c r="A36" t="s">
        <v>28</v>
      </c>
      <c r="B36" t="s">
        <v>3</v>
      </c>
      <c r="C36">
        <v>446</v>
      </c>
      <c r="D36">
        <v>16000</v>
      </c>
      <c r="E36">
        <f t="shared" si="0"/>
        <v>7136000</v>
      </c>
    </row>
    <row r="37" spans="1:5" hidden="1" x14ac:dyDescent="0.3">
      <c r="A37" t="s">
        <v>28</v>
      </c>
      <c r="B37" t="s">
        <v>17</v>
      </c>
      <c r="C37">
        <v>0</v>
      </c>
      <c r="E37">
        <f t="shared" si="0"/>
        <v>0</v>
      </c>
    </row>
    <row r="38" spans="1:5" x14ac:dyDescent="0.3">
      <c r="A38" t="s">
        <v>29</v>
      </c>
      <c r="B38" t="s">
        <v>30</v>
      </c>
      <c r="C38">
        <v>80</v>
      </c>
      <c r="D38">
        <v>11000</v>
      </c>
      <c r="E38">
        <f t="shared" si="0"/>
        <v>880000</v>
      </c>
    </row>
    <row r="39" spans="1:5" hidden="1" x14ac:dyDescent="0.3">
      <c r="A39" t="s">
        <v>68</v>
      </c>
      <c r="B39" t="s">
        <v>3</v>
      </c>
      <c r="C39">
        <v>0</v>
      </c>
      <c r="E39">
        <f t="shared" si="0"/>
        <v>0</v>
      </c>
    </row>
    <row r="40" spans="1:5" x14ac:dyDescent="0.3">
      <c r="A40" t="s">
        <v>68</v>
      </c>
      <c r="B40" t="s">
        <v>17</v>
      </c>
      <c r="C40">
        <v>165</v>
      </c>
      <c r="D40">
        <v>6000</v>
      </c>
      <c r="E40">
        <f t="shared" si="0"/>
        <v>990000</v>
      </c>
    </row>
    <row r="41" spans="1:5" x14ac:dyDescent="0.3">
      <c r="A41" t="s">
        <v>70</v>
      </c>
      <c r="B41" t="s">
        <v>3</v>
      </c>
      <c r="C41">
        <v>20</v>
      </c>
      <c r="D41">
        <v>12000</v>
      </c>
      <c r="E41">
        <f t="shared" si="0"/>
        <v>240000</v>
      </c>
    </row>
    <row r="42" spans="1:5" hidden="1" x14ac:dyDescent="0.3">
      <c r="A42" t="s">
        <v>78</v>
      </c>
      <c r="B42" t="s">
        <v>3</v>
      </c>
      <c r="C42">
        <v>0</v>
      </c>
      <c r="E42">
        <f t="shared" si="0"/>
        <v>0</v>
      </c>
    </row>
    <row r="43" spans="1:5" hidden="1" x14ac:dyDescent="0.3">
      <c r="A43" t="s">
        <v>78</v>
      </c>
      <c r="B43" t="s">
        <v>9</v>
      </c>
      <c r="C43">
        <v>0</v>
      </c>
      <c r="E43">
        <f t="shared" si="0"/>
        <v>0</v>
      </c>
    </row>
    <row r="44" spans="1:5" x14ac:dyDescent="0.3">
      <c r="A44" t="s">
        <v>80</v>
      </c>
      <c r="B44" t="s">
        <v>3</v>
      </c>
      <c r="C44">
        <v>35</v>
      </c>
      <c r="D44">
        <v>26000</v>
      </c>
      <c r="E44">
        <f t="shared" si="0"/>
        <v>910000</v>
      </c>
    </row>
    <row r="45" spans="1:5" hidden="1" x14ac:dyDescent="0.3">
      <c r="A45" t="s">
        <v>80</v>
      </c>
      <c r="B45" t="s">
        <v>9</v>
      </c>
      <c r="C45">
        <v>0</v>
      </c>
      <c r="E45">
        <f t="shared" si="0"/>
        <v>0</v>
      </c>
    </row>
    <row r="46" spans="1:5" hidden="1" x14ac:dyDescent="0.3">
      <c r="A46" t="s">
        <v>82</v>
      </c>
      <c r="B46" t="s">
        <v>3</v>
      </c>
      <c r="C46">
        <v>0</v>
      </c>
      <c r="E46">
        <f t="shared" si="0"/>
        <v>0</v>
      </c>
    </row>
    <row r="47" spans="1:5" hidden="1" x14ac:dyDescent="0.3">
      <c r="A47" t="s">
        <v>82</v>
      </c>
      <c r="B47" t="s">
        <v>9</v>
      </c>
      <c r="C47">
        <v>0</v>
      </c>
      <c r="E47">
        <f t="shared" si="0"/>
        <v>0</v>
      </c>
    </row>
    <row r="48" spans="1:5" hidden="1" x14ac:dyDescent="0.3">
      <c r="A48" t="s">
        <v>11</v>
      </c>
      <c r="B48" t="s">
        <v>3</v>
      </c>
      <c r="C48">
        <v>0</v>
      </c>
      <c r="E48">
        <f t="shared" si="0"/>
        <v>0</v>
      </c>
    </row>
    <row r="49" spans="1:5" hidden="1" x14ac:dyDescent="0.3">
      <c r="A49" t="s">
        <v>76</v>
      </c>
      <c r="B49" t="s">
        <v>17</v>
      </c>
      <c r="C49">
        <v>0</v>
      </c>
      <c r="E49">
        <f t="shared" si="0"/>
        <v>0</v>
      </c>
    </row>
    <row r="50" spans="1:5" x14ac:dyDescent="0.3">
      <c r="A50" t="s">
        <v>51</v>
      </c>
      <c r="B50" t="s">
        <v>3</v>
      </c>
      <c r="C50">
        <v>855</v>
      </c>
      <c r="D50">
        <v>28000</v>
      </c>
      <c r="E50">
        <f t="shared" si="0"/>
        <v>23940000</v>
      </c>
    </row>
    <row r="51" spans="1:5" x14ac:dyDescent="0.3">
      <c r="A51" t="s">
        <v>22</v>
      </c>
      <c r="B51" t="s">
        <v>3</v>
      </c>
      <c r="C51">
        <v>22</v>
      </c>
      <c r="D51">
        <v>24000</v>
      </c>
      <c r="E51">
        <f t="shared" si="0"/>
        <v>528000</v>
      </c>
    </row>
    <row r="52" spans="1:5" x14ac:dyDescent="0.3">
      <c r="A52" t="s">
        <v>22</v>
      </c>
      <c r="B52" t="s">
        <v>23</v>
      </c>
      <c r="C52">
        <v>120</v>
      </c>
      <c r="D52">
        <v>7200</v>
      </c>
      <c r="E52">
        <f t="shared" si="0"/>
        <v>864000</v>
      </c>
    </row>
    <row r="53" spans="1:5" hidden="1" x14ac:dyDescent="0.3">
      <c r="A53" t="s">
        <v>56</v>
      </c>
      <c r="B53" t="s">
        <v>3</v>
      </c>
      <c r="C53">
        <v>0</v>
      </c>
      <c r="E53">
        <f t="shared" si="0"/>
        <v>0</v>
      </c>
    </row>
    <row r="54" spans="1:5" x14ac:dyDescent="0.3">
      <c r="A54" t="s">
        <v>72</v>
      </c>
      <c r="B54" t="s">
        <v>3</v>
      </c>
      <c r="C54">
        <v>1750</v>
      </c>
      <c r="D54">
        <v>27600</v>
      </c>
      <c r="E54">
        <f t="shared" si="0"/>
        <v>48300000</v>
      </c>
    </row>
    <row r="55" spans="1:5" x14ac:dyDescent="0.3">
      <c r="A55" t="s">
        <v>2</v>
      </c>
      <c r="B55" t="s">
        <v>3</v>
      </c>
      <c r="C55">
        <v>18</v>
      </c>
      <c r="D55">
        <v>15000</v>
      </c>
      <c r="E55">
        <f t="shared" si="0"/>
        <v>270000</v>
      </c>
    </row>
    <row r="56" spans="1:5" hidden="1" x14ac:dyDescent="0.3">
      <c r="A56" t="s">
        <v>4</v>
      </c>
      <c r="B56" t="s">
        <v>3</v>
      </c>
      <c r="C56">
        <v>0</v>
      </c>
      <c r="E56">
        <f t="shared" si="0"/>
        <v>0</v>
      </c>
    </row>
    <row r="57" spans="1:5" x14ac:dyDescent="0.3">
      <c r="A57" t="s">
        <v>12</v>
      </c>
      <c r="B57" t="s">
        <v>3</v>
      </c>
      <c r="C57">
        <v>8</v>
      </c>
      <c r="D57">
        <v>14000</v>
      </c>
      <c r="E57">
        <f t="shared" si="0"/>
        <v>112000</v>
      </c>
    </row>
    <row r="58" spans="1:5" hidden="1" x14ac:dyDescent="0.3">
      <c r="A58" t="s">
        <v>13</v>
      </c>
      <c r="B58" t="s">
        <v>3</v>
      </c>
      <c r="C58">
        <v>0</v>
      </c>
      <c r="E58">
        <f t="shared" si="0"/>
        <v>0</v>
      </c>
    </row>
    <row r="59" spans="1:5" x14ac:dyDescent="0.3">
      <c r="A59" t="s">
        <v>20</v>
      </c>
      <c r="B59" t="s">
        <v>3</v>
      </c>
      <c r="C59">
        <v>30</v>
      </c>
      <c r="D59">
        <v>16000</v>
      </c>
      <c r="E59">
        <f t="shared" si="0"/>
        <v>480000</v>
      </c>
    </row>
    <row r="60" spans="1:5" hidden="1" x14ac:dyDescent="0.3">
      <c r="A60" t="s">
        <v>20</v>
      </c>
      <c r="B60" t="s">
        <v>21</v>
      </c>
      <c r="C60">
        <v>0</v>
      </c>
      <c r="E60">
        <f t="shared" si="0"/>
        <v>0</v>
      </c>
    </row>
    <row r="61" spans="1:5" x14ac:dyDescent="0.3">
      <c r="A61" t="s">
        <v>24</v>
      </c>
      <c r="B61" t="s">
        <v>25</v>
      </c>
      <c r="C61">
        <v>5</v>
      </c>
      <c r="D61">
        <v>12000</v>
      </c>
      <c r="E61">
        <f t="shared" si="0"/>
        <v>60000</v>
      </c>
    </row>
    <row r="62" spans="1:5" hidden="1" x14ac:dyDescent="0.3">
      <c r="A62" t="s">
        <v>26</v>
      </c>
      <c r="B62" t="s">
        <v>3</v>
      </c>
      <c r="C62">
        <v>0</v>
      </c>
      <c r="E62">
        <f t="shared" si="0"/>
        <v>0</v>
      </c>
    </row>
    <row r="63" spans="1:5" x14ac:dyDescent="0.3">
      <c r="A63" t="s">
        <v>26</v>
      </c>
      <c r="B63" t="s">
        <v>27</v>
      </c>
      <c r="C63">
        <v>67</v>
      </c>
      <c r="D63">
        <v>10000</v>
      </c>
      <c r="E63">
        <f t="shared" si="0"/>
        <v>670000</v>
      </c>
    </row>
    <row r="64" spans="1:5" x14ac:dyDescent="0.3">
      <c r="A64" t="s">
        <v>33</v>
      </c>
      <c r="B64" t="s">
        <v>3</v>
      </c>
      <c r="C64">
        <v>37</v>
      </c>
      <c r="D64">
        <v>8000</v>
      </c>
      <c r="E64">
        <f t="shared" si="0"/>
        <v>296000</v>
      </c>
    </row>
    <row r="65" spans="1:5" hidden="1" x14ac:dyDescent="0.3">
      <c r="A65" t="s">
        <v>33</v>
      </c>
      <c r="B65" t="s">
        <v>34</v>
      </c>
      <c r="C65">
        <v>0</v>
      </c>
      <c r="E65">
        <f t="shared" si="0"/>
        <v>0</v>
      </c>
    </row>
    <row r="66" spans="1:5" x14ac:dyDescent="0.3">
      <c r="A66" t="s">
        <v>36</v>
      </c>
      <c r="B66" t="s">
        <v>30</v>
      </c>
      <c r="C66">
        <v>5</v>
      </c>
      <c r="D66">
        <v>6000</v>
      </c>
      <c r="E66">
        <f t="shared" si="0"/>
        <v>30000</v>
      </c>
    </row>
    <row r="67" spans="1:5" x14ac:dyDescent="0.3">
      <c r="A67" t="s">
        <v>41</v>
      </c>
      <c r="B67" t="s">
        <v>3</v>
      </c>
      <c r="C67">
        <v>10</v>
      </c>
      <c r="D67">
        <v>14000</v>
      </c>
      <c r="E67">
        <f t="shared" si="0"/>
        <v>140000</v>
      </c>
    </row>
    <row r="68" spans="1:5" x14ac:dyDescent="0.3">
      <c r="A68" t="s">
        <v>44</v>
      </c>
      <c r="B68" t="s">
        <v>3</v>
      </c>
      <c r="C68">
        <v>30</v>
      </c>
      <c r="D68">
        <v>6500</v>
      </c>
      <c r="E68">
        <f t="shared" si="0"/>
        <v>195000</v>
      </c>
    </row>
    <row r="69" spans="1:5" x14ac:dyDescent="0.3">
      <c r="A69" t="s">
        <v>46</v>
      </c>
      <c r="B69" t="s">
        <v>3</v>
      </c>
      <c r="C69">
        <v>9</v>
      </c>
      <c r="D69">
        <v>17000</v>
      </c>
      <c r="E69">
        <f t="shared" ref="E69:E134" si="1">C69*D69</f>
        <v>153000</v>
      </c>
    </row>
    <row r="70" spans="1:5" x14ac:dyDescent="0.3">
      <c r="A70" t="s">
        <v>61</v>
      </c>
      <c r="B70" t="s">
        <v>3</v>
      </c>
      <c r="C70">
        <v>10</v>
      </c>
      <c r="D70">
        <v>13000</v>
      </c>
      <c r="E70">
        <f t="shared" si="1"/>
        <v>130000</v>
      </c>
    </row>
    <row r="71" spans="1:5" x14ac:dyDescent="0.3">
      <c r="A71" t="s">
        <v>62</v>
      </c>
      <c r="B71" t="s">
        <v>30</v>
      </c>
      <c r="C71">
        <v>29</v>
      </c>
      <c r="D71">
        <v>6000</v>
      </c>
      <c r="E71">
        <f t="shared" si="1"/>
        <v>174000</v>
      </c>
    </row>
    <row r="72" spans="1:5" hidden="1" x14ac:dyDescent="0.3">
      <c r="A72" t="s">
        <v>63</v>
      </c>
      <c r="B72" t="s">
        <v>3</v>
      </c>
      <c r="C72">
        <v>0</v>
      </c>
      <c r="E72">
        <f t="shared" si="1"/>
        <v>0</v>
      </c>
    </row>
    <row r="73" spans="1:5" x14ac:dyDescent="0.3">
      <c r="A73" t="s">
        <v>63</v>
      </c>
      <c r="B73" t="s">
        <v>64</v>
      </c>
      <c r="C73">
        <v>29</v>
      </c>
      <c r="D73">
        <v>7000</v>
      </c>
      <c r="E73">
        <f t="shared" si="1"/>
        <v>203000</v>
      </c>
    </row>
    <row r="74" spans="1:5" hidden="1" x14ac:dyDescent="0.3">
      <c r="A74" t="s">
        <v>65</v>
      </c>
      <c r="B74" t="s">
        <v>3</v>
      </c>
      <c r="C74">
        <v>0</v>
      </c>
      <c r="E74">
        <f t="shared" si="1"/>
        <v>0</v>
      </c>
    </row>
    <row r="75" spans="1:5" hidden="1" x14ac:dyDescent="0.3">
      <c r="A75" t="s">
        <v>66</v>
      </c>
      <c r="B75" t="s">
        <v>3</v>
      </c>
      <c r="C75">
        <v>0</v>
      </c>
      <c r="E75">
        <f t="shared" si="1"/>
        <v>0</v>
      </c>
    </row>
    <row r="76" spans="1:5" hidden="1" x14ac:dyDescent="0.3">
      <c r="A76" t="s">
        <v>67</v>
      </c>
      <c r="B76" t="s">
        <v>3</v>
      </c>
      <c r="C76">
        <v>0</v>
      </c>
      <c r="E76">
        <f t="shared" si="1"/>
        <v>0</v>
      </c>
    </row>
    <row r="77" spans="1:5" hidden="1" x14ac:dyDescent="0.3">
      <c r="A77" t="s">
        <v>71</v>
      </c>
      <c r="B77" t="s">
        <v>40</v>
      </c>
      <c r="C77">
        <v>0</v>
      </c>
      <c r="E77">
        <f t="shared" si="1"/>
        <v>0</v>
      </c>
    </row>
    <row r="78" spans="1:5" x14ac:dyDescent="0.3">
      <c r="A78" t="s">
        <v>71</v>
      </c>
      <c r="B78" t="s">
        <v>3</v>
      </c>
      <c r="C78">
        <v>35</v>
      </c>
      <c r="D78">
        <v>17000</v>
      </c>
      <c r="E78">
        <f t="shared" si="1"/>
        <v>595000</v>
      </c>
    </row>
    <row r="79" spans="1:5" hidden="1" x14ac:dyDescent="0.3">
      <c r="A79" t="s">
        <v>73</v>
      </c>
      <c r="B79" t="s">
        <v>3</v>
      </c>
      <c r="C79">
        <v>0</v>
      </c>
      <c r="E79">
        <f t="shared" si="1"/>
        <v>0</v>
      </c>
    </row>
    <row r="80" spans="1:5" hidden="1" x14ac:dyDescent="0.3">
      <c r="A80" t="s">
        <v>74</v>
      </c>
      <c r="B80" t="s">
        <v>30</v>
      </c>
      <c r="C80">
        <v>0</v>
      </c>
      <c r="E80">
        <f t="shared" si="1"/>
        <v>0</v>
      </c>
    </row>
    <row r="81" spans="1:5" x14ac:dyDescent="0.3">
      <c r="A81" t="s">
        <v>75</v>
      </c>
      <c r="B81" t="s">
        <v>3</v>
      </c>
      <c r="C81">
        <v>27</v>
      </c>
      <c r="D81">
        <v>14000</v>
      </c>
      <c r="E81">
        <f t="shared" si="1"/>
        <v>378000</v>
      </c>
    </row>
    <row r="82" spans="1:5" hidden="1" x14ac:dyDescent="0.3">
      <c r="A82" t="s">
        <v>77</v>
      </c>
      <c r="B82" t="s">
        <v>25</v>
      </c>
      <c r="C82">
        <v>0</v>
      </c>
      <c r="E82">
        <f t="shared" si="1"/>
        <v>0</v>
      </c>
    </row>
    <row r="83" spans="1:5" x14ac:dyDescent="0.3">
      <c r="A83" t="s">
        <v>77</v>
      </c>
      <c r="B83" t="s">
        <v>3</v>
      </c>
      <c r="C83">
        <v>6</v>
      </c>
      <c r="D83">
        <v>45000</v>
      </c>
      <c r="E83">
        <f t="shared" si="1"/>
        <v>270000</v>
      </c>
    </row>
    <row r="84" spans="1:5" x14ac:dyDescent="0.3">
      <c r="A84" t="s">
        <v>84</v>
      </c>
      <c r="B84" t="s">
        <v>3</v>
      </c>
      <c r="C84">
        <v>10</v>
      </c>
      <c r="D84">
        <v>50000</v>
      </c>
      <c r="E84">
        <f t="shared" si="1"/>
        <v>500000</v>
      </c>
    </row>
    <row r="85" spans="1:5" hidden="1" x14ac:dyDescent="0.3">
      <c r="A85" t="s">
        <v>84</v>
      </c>
      <c r="B85" t="s">
        <v>30</v>
      </c>
      <c r="C85">
        <v>0</v>
      </c>
      <c r="E85">
        <f t="shared" si="1"/>
        <v>0</v>
      </c>
    </row>
    <row r="86" spans="1:5" x14ac:dyDescent="0.3">
      <c r="A86" t="s">
        <v>92</v>
      </c>
      <c r="B86" t="s">
        <v>3</v>
      </c>
      <c r="C86">
        <v>125</v>
      </c>
      <c r="D86">
        <v>16000</v>
      </c>
      <c r="E86">
        <f t="shared" si="1"/>
        <v>2000000</v>
      </c>
    </row>
    <row r="87" spans="1:5" x14ac:dyDescent="0.3">
      <c r="A87" t="s">
        <v>113</v>
      </c>
      <c r="B87" t="s">
        <v>9</v>
      </c>
      <c r="C87">
        <v>895</v>
      </c>
      <c r="D87">
        <v>10000</v>
      </c>
      <c r="E87">
        <f t="shared" si="1"/>
        <v>8950000</v>
      </c>
    </row>
    <row r="88" spans="1:5" hidden="1" x14ac:dyDescent="0.3">
      <c r="A88" t="s">
        <v>96</v>
      </c>
      <c r="B88" t="s">
        <v>3</v>
      </c>
      <c r="C88">
        <v>0</v>
      </c>
      <c r="E88">
        <f t="shared" si="1"/>
        <v>0</v>
      </c>
    </row>
    <row r="89" spans="1:5" hidden="1" x14ac:dyDescent="0.3">
      <c r="A89" t="s">
        <v>98</v>
      </c>
      <c r="B89" t="s">
        <v>3</v>
      </c>
      <c r="C89">
        <v>0</v>
      </c>
      <c r="E89">
        <f t="shared" si="1"/>
        <v>0</v>
      </c>
    </row>
    <row r="90" spans="1:5" hidden="1" x14ac:dyDescent="0.3">
      <c r="A90" t="s">
        <v>99</v>
      </c>
      <c r="B90" t="s">
        <v>3</v>
      </c>
      <c r="C90">
        <v>0</v>
      </c>
      <c r="E90">
        <f t="shared" si="1"/>
        <v>0</v>
      </c>
    </row>
    <row r="91" spans="1:5" hidden="1" x14ac:dyDescent="0.3">
      <c r="A91" t="s">
        <v>15</v>
      </c>
      <c r="B91" t="s">
        <v>3</v>
      </c>
      <c r="C91">
        <v>0</v>
      </c>
      <c r="E91">
        <f t="shared" si="1"/>
        <v>0</v>
      </c>
    </row>
    <row r="92" spans="1:5" hidden="1" x14ac:dyDescent="0.3">
      <c r="A92" t="s">
        <v>100</v>
      </c>
      <c r="B92" t="s">
        <v>40</v>
      </c>
      <c r="C92">
        <v>0</v>
      </c>
      <c r="E92">
        <f t="shared" si="1"/>
        <v>0</v>
      </c>
    </row>
    <row r="93" spans="1:5" hidden="1" x14ac:dyDescent="0.3">
      <c r="A93" t="s">
        <v>95</v>
      </c>
      <c r="B93" t="s">
        <v>40</v>
      </c>
      <c r="C93">
        <v>0</v>
      </c>
      <c r="E93">
        <f t="shared" si="1"/>
        <v>0</v>
      </c>
    </row>
    <row r="94" spans="1:5" hidden="1" x14ac:dyDescent="0.3">
      <c r="A94" t="s">
        <v>6</v>
      </c>
      <c r="B94" t="s">
        <v>3</v>
      </c>
      <c r="C94">
        <v>0</v>
      </c>
      <c r="E94">
        <f t="shared" si="1"/>
        <v>0</v>
      </c>
    </row>
    <row r="95" spans="1:5" x14ac:dyDescent="0.3">
      <c r="A95" t="s">
        <v>85</v>
      </c>
      <c r="B95" t="s">
        <v>30</v>
      </c>
      <c r="C95">
        <v>19</v>
      </c>
      <c r="D95">
        <v>7000</v>
      </c>
      <c r="E95">
        <f t="shared" si="1"/>
        <v>133000</v>
      </c>
    </row>
    <row r="96" spans="1:5" x14ac:dyDescent="0.3">
      <c r="A96" t="s">
        <v>60</v>
      </c>
      <c r="B96" t="s">
        <v>30</v>
      </c>
      <c r="C96">
        <v>120</v>
      </c>
      <c r="D96">
        <v>7500</v>
      </c>
      <c r="E96">
        <f t="shared" si="1"/>
        <v>900000</v>
      </c>
    </row>
    <row r="97" spans="1:5" hidden="1" x14ac:dyDescent="0.3">
      <c r="A97" t="s">
        <v>97</v>
      </c>
      <c r="B97" t="s">
        <v>40</v>
      </c>
      <c r="C97">
        <v>0</v>
      </c>
      <c r="E97">
        <f t="shared" si="1"/>
        <v>0</v>
      </c>
    </row>
    <row r="98" spans="1:5" hidden="1" x14ac:dyDescent="0.3">
      <c r="A98" t="s">
        <v>120</v>
      </c>
      <c r="B98" t="s">
        <v>3</v>
      </c>
      <c r="C98">
        <v>0</v>
      </c>
      <c r="E98">
        <f t="shared" si="1"/>
        <v>0</v>
      </c>
    </row>
    <row r="99" spans="1:5" hidden="1" x14ac:dyDescent="0.3">
      <c r="A99" t="s">
        <v>121</v>
      </c>
      <c r="B99" t="s">
        <v>3</v>
      </c>
      <c r="C99">
        <v>0</v>
      </c>
      <c r="E99">
        <f t="shared" si="1"/>
        <v>0</v>
      </c>
    </row>
    <row r="100" spans="1:5" x14ac:dyDescent="0.3">
      <c r="A100" t="s">
        <v>89</v>
      </c>
      <c r="B100" t="s">
        <v>3</v>
      </c>
      <c r="C100">
        <v>10</v>
      </c>
      <c r="D100">
        <v>28000</v>
      </c>
      <c r="E100">
        <f t="shared" si="1"/>
        <v>280000</v>
      </c>
    </row>
    <row r="101" spans="1:5" hidden="1" x14ac:dyDescent="0.3">
      <c r="A101" t="s">
        <v>57</v>
      </c>
      <c r="B101" t="s">
        <v>30</v>
      </c>
      <c r="C101">
        <v>0</v>
      </c>
      <c r="E101">
        <f t="shared" si="1"/>
        <v>0</v>
      </c>
    </row>
    <row r="102" spans="1:5" hidden="1" x14ac:dyDescent="0.3">
      <c r="A102" t="s">
        <v>90</v>
      </c>
      <c r="B102" t="s">
        <v>3</v>
      </c>
      <c r="C102">
        <v>0</v>
      </c>
      <c r="E102">
        <f t="shared" si="1"/>
        <v>0</v>
      </c>
    </row>
    <row r="103" spans="1:5" hidden="1" x14ac:dyDescent="0.3">
      <c r="A103" t="s">
        <v>14</v>
      </c>
      <c r="B103" t="s">
        <v>3</v>
      </c>
      <c r="C103">
        <v>0</v>
      </c>
      <c r="E103">
        <f t="shared" si="1"/>
        <v>0</v>
      </c>
    </row>
    <row r="104" spans="1:5" hidden="1" x14ac:dyDescent="0.3">
      <c r="A104" t="s">
        <v>93</v>
      </c>
      <c r="B104" t="s">
        <v>3</v>
      </c>
      <c r="C104">
        <v>0</v>
      </c>
      <c r="E104">
        <f t="shared" si="1"/>
        <v>0</v>
      </c>
    </row>
    <row r="105" spans="1:5" x14ac:dyDescent="0.3">
      <c r="A105" t="s">
        <v>69</v>
      </c>
      <c r="B105" t="s">
        <v>3</v>
      </c>
      <c r="C105">
        <v>10</v>
      </c>
      <c r="D105">
        <v>12000</v>
      </c>
      <c r="E105">
        <f t="shared" si="1"/>
        <v>120000</v>
      </c>
    </row>
    <row r="106" spans="1:5" hidden="1" x14ac:dyDescent="0.3">
      <c r="A106" t="s">
        <v>55</v>
      </c>
      <c r="B106" t="s">
        <v>3</v>
      </c>
      <c r="C106">
        <v>0</v>
      </c>
      <c r="E106">
        <f t="shared" si="1"/>
        <v>0</v>
      </c>
    </row>
    <row r="107" spans="1:5" x14ac:dyDescent="0.3">
      <c r="A107" t="s">
        <v>119</v>
      </c>
      <c r="B107" t="s">
        <v>3</v>
      </c>
      <c r="C107">
        <v>10</v>
      </c>
      <c r="D107">
        <v>10000</v>
      </c>
      <c r="E107">
        <f t="shared" si="1"/>
        <v>100000</v>
      </c>
    </row>
    <row r="108" spans="1:5" x14ac:dyDescent="0.3">
      <c r="A108" t="s">
        <v>103</v>
      </c>
      <c r="B108" t="s">
        <v>3</v>
      </c>
      <c r="C108">
        <v>10</v>
      </c>
      <c r="D108">
        <v>14000</v>
      </c>
      <c r="E108">
        <f t="shared" si="1"/>
        <v>140000</v>
      </c>
    </row>
    <row r="109" spans="1:5" x14ac:dyDescent="0.3">
      <c r="A109" t="s">
        <v>105</v>
      </c>
      <c r="B109" t="s">
        <v>3</v>
      </c>
      <c r="C109">
        <v>12</v>
      </c>
      <c r="D109">
        <v>27000</v>
      </c>
      <c r="E109">
        <f t="shared" si="1"/>
        <v>324000</v>
      </c>
    </row>
    <row r="110" spans="1:5" x14ac:dyDescent="0.3">
      <c r="A110" t="s">
        <v>53</v>
      </c>
      <c r="B110" t="s">
        <v>3</v>
      </c>
      <c r="C110">
        <v>560</v>
      </c>
      <c r="D110">
        <v>23000</v>
      </c>
      <c r="E110">
        <f t="shared" si="1"/>
        <v>12880000</v>
      </c>
    </row>
    <row r="111" spans="1:5" x14ac:dyDescent="0.3">
      <c r="A111" t="s">
        <v>58</v>
      </c>
      <c r="B111" t="s">
        <v>3</v>
      </c>
      <c r="C111">
        <v>60</v>
      </c>
      <c r="D111">
        <v>30000</v>
      </c>
      <c r="E111">
        <f t="shared" si="1"/>
        <v>1800000</v>
      </c>
    </row>
    <row r="112" spans="1:5" x14ac:dyDescent="0.3">
      <c r="A112" t="s">
        <v>88</v>
      </c>
      <c r="B112" t="s">
        <v>9</v>
      </c>
      <c r="C112">
        <v>1021</v>
      </c>
      <c r="D112">
        <v>17000</v>
      </c>
      <c r="E112">
        <f t="shared" si="1"/>
        <v>17357000</v>
      </c>
    </row>
    <row r="113" spans="1:5" x14ac:dyDescent="0.3">
      <c r="E113">
        <f>SUM(E4:E112)</f>
        <v>193221300</v>
      </c>
    </row>
    <row r="114" spans="1:5" x14ac:dyDescent="0.3">
      <c r="A114" t="s">
        <v>110</v>
      </c>
    </row>
    <row r="115" spans="1:5" x14ac:dyDescent="0.3">
      <c r="A115" t="s">
        <v>0</v>
      </c>
      <c r="B115" t="s">
        <v>1</v>
      </c>
      <c r="C115" t="s">
        <v>107</v>
      </c>
      <c r="D115" t="s">
        <v>108</v>
      </c>
      <c r="E115" t="s">
        <v>109</v>
      </c>
    </row>
    <row r="116" spans="1:5" x14ac:dyDescent="0.3">
      <c r="A116" t="s">
        <v>31</v>
      </c>
      <c r="B116" t="s">
        <v>3</v>
      </c>
      <c r="C116">
        <v>100</v>
      </c>
      <c r="D116">
        <v>11500</v>
      </c>
      <c r="E116">
        <f t="shared" si="1"/>
        <v>1150000</v>
      </c>
    </row>
    <row r="117" spans="1:5" x14ac:dyDescent="0.3">
      <c r="A117" t="s">
        <v>43</v>
      </c>
      <c r="B117" t="s">
        <v>17</v>
      </c>
      <c r="C117">
        <v>36</v>
      </c>
      <c r="D117">
        <v>4000</v>
      </c>
      <c r="E117">
        <f t="shared" si="1"/>
        <v>144000</v>
      </c>
    </row>
    <row r="118" spans="1:5" x14ac:dyDescent="0.3">
      <c r="A118" t="s">
        <v>44</v>
      </c>
      <c r="B118" t="s">
        <v>3</v>
      </c>
      <c r="C118">
        <v>30</v>
      </c>
      <c r="D118">
        <v>6500</v>
      </c>
      <c r="E118">
        <f t="shared" si="1"/>
        <v>195000</v>
      </c>
    </row>
    <row r="119" spans="1:5" x14ac:dyDescent="0.3">
      <c r="A119" t="s">
        <v>45</v>
      </c>
      <c r="B119" t="s">
        <v>3</v>
      </c>
      <c r="C119">
        <v>5</v>
      </c>
      <c r="D119">
        <v>10000</v>
      </c>
      <c r="E119">
        <f t="shared" si="1"/>
        <v>50000</v>
      </c>
    </row>
    <row r="120" spans="1:5" x14ac:dyDescent="0.3">
      <c r="A120" t="s">
        <v>47</v>
      </c>
      <c r="B120" t="s">
        <v>3</v>
      </c>
      <c r="C120">
        <v>22</v>
      </c>
      <c r="D120">
        <v>12500</v>
      </c>
      <c r="E120">
        <f t="shared" si="1"/>
        <v>275000</v>
      </c>
    </row>
    <row r="121" spans="1:5" x14ac:dyDescent="0.3">
      <c r="A121" t="s">
        <v>54</v>
      </c>
      <c r="B121" t="s">
        <v>3</v>
      </c>
      <c r="C121">
        <v>44</v>
      </c>
      <c r="D121">
        <v>16000</v>
      </c>
      <c r="E121">
        <f t="shared" si="1"/>
        <v>704000</v>
      </c>
    </row>
    <row r="122" spans="1:5" hidden="1" x14ac:dyDescent="0.3">
      <c r="A122" t="s">
        <v>57</v>
      </c>
      <c r="B122" t="s">
        <v>30</v>
      </c>
      <c r="C122">
        <v>0</v>
      </c>
      <c r="E122">
        <f t="shared" si="1"/>
        <v>0</v>
      </c>
    </row>
    <row r="123" spans="1:5" x14ac:dyDescent="0.3">
      <c r="A123" t="s">
        <v>59</v>
      </c>
      <c r="B123" t="s">
        <v>3</v>
      </c>
      <c r="C123">
        <v>33</v>
      </c>
      <c r="D123">
        <v>17000</v>
      </c>
      <c r="E123">
        <f t="shared" si="1"/>
        <v>561000</v>
      </c>
    </row>
    <row r="124" spans="1:5" x14ac:dyDescent="0.3">
      <c r="A124" t="s">
        <v>61</v>
      </c>
      <c r="B124" t="s">
        <v>3</v>
      </c>
      <c r="C124">
        <v>5</v>
      </c>
      <c r="D124">
        <v>13000</v>
      </c>
      <c r="E124">
        <f t="shared" si="1"/>
        <v>65000</v>
      </c>
    </row>
    <row r="125" spans="1:5" x14ac:dyDescent="0.3">
      <c r="A125" t="s">
        <v>12</v>
      </c>
      <c r="B125" t="s">
        <v>3</v>
      </c>
      <c r="C125">
        <v>3</v>
      </c>
      <c r="D125">
        <v>14000</v>
      </c>
      <c r="E125">
        <f t="shared" si="1"/>
        <v>42000</v>
      </c>
    </row>
    <row r="126" spans="1:5" hidden="1" x14ac:dyDescent="0.3">
      <c r="A126" t="s">
        <v>102</v>
      </c>
      <c r="B126" t="s">
        <v>3</v>
      </c>
      <c r="C126">
        <v>0</v>
      </c>
      <c r="E126">
        <f t="shared" si="1"/>
        <v>0</v>
      </c>
    </row>
    <row r="127" spans="1:5" hidden="1" x14ac:dyDescent="0.3">
      <c r="A127" t="s">
        <v>2</v>
      </c>
      <c r="B127" t="s">
        <v>3</v>
      </c>
      <c r="C127">
        <v>0</v>
      </c>
      <c r="E127">
        <f t="shared" si="1"/>
        <v>0</v>
      </c>
    </row>
    <row r="128" spans="1:5" hidden="1" x14ac:dyDescent="0.3">
      <c r="A128" t="s">
        <v>4</v>
      </c>
      <c r="B128" t="s">
        <v>3</v>
      </c>
      <c r="C128">
        <v>0</v>
      </c>
      <c r="E128">
        <f t="shared" si="1"/>
        <v>0</v>
      </c>
    </row>
    <row r="129" spans="1:5" x14ac:dyDescent="0.3">
      <c r="A129" t="s">
        <v>5</v>
      </c>
      <c r="B129" t="s">
        <v>3</v>
      </c>
      <c r="C129">
        <v>121.00000000000001</v>
      </c>
      <c r="D129">
        <v>6500</v>
      </c>
      <c r="E129">
        <f t="shared" si="1"/>
        <v>786500.00000000012</v>
      </c>
    </row>
    <row r="130" spans="1:5" x14ac:dyDescent="0.3">
      <c r="A130" t="s">
        <v>38</v>
      </c>
      <c r="B130" t="s">
        <v>3</v>
      </c>
      <c r="C130">
        <v>77</v>
      </c>
      <c r="D130">
        <v>6500</v>
      </c>
      <c r="E130">
        <f t="shared" si="1"/>
        <v>500500</v>
      </c>
    </row>
    <row r="131" spans="1:5" x14ac:dyDescent="0.3">
      <c r="A131" t="s">
        <v>39</v>
      </c>
      <c r="B131" t="s">
        <v>3</v>
      </c>
      <c r="C131">
        <v>30</v>
      </c>
      <c r="D131">
        <v>10000</v>
      </c>
      <c r="E131">
        <f t="shared" si="1"/>
        <v>300000</v>
      </c>
    </row>
    <row r="132" spans="1:5" x14ac:dyDescent="0.3">
      <c r="A132" t="s">
        <v>71</v>
      </c>
      <c r="B132" t="s">
        <v>3</v>
      </c>
      <c r="C132">
        <v>15</v>
      </c>
      <c r="D132">
        <v>17000</v>
      </c>
      <c r="E132">
        <f t="shared" si="1"/>
        <v>255000</v>
      </c>
    </row>
    <row r="133" spans="1:5" hidden="1" x14ac:dyDescent="0.3">
      <c r="A133" t="s">
        <v>95</v>
      </c>
      <c r="B133" t="s">
        <v>40</v>
      </c>
      <c r="C133">
        <v>0</v>
      </c>
      <c r="E133">
        <f t="shared" si="1"/>
        <v>0</v>
      </c>
    </row>
    <row r="134" spans="1:5" hidden="1" x14ac:dyDescent="0.3">
      <c r="A134" t="s">
        <v>97</v>
      </c>
      <c r="B134" t="s">
        <v>40</v>
      </c>
      <c r="C134">
        <v>0</v>
      </c>
      <c r="E134">
        <f t="shared" si="1"/>
        <v>0</v>
      </c>
    </row>
    <row r="135" spans="1:5" hidden="1" x14ac:dyDescent="0.3">
      <c r="A135" t="s">
        <v>100</v>
      </c>
      <c r="B135" t="s">
        <v>40</v>
      </c>
      <c r="C135">
        <v>0</v>
      </c>
      <c r="E135">
        <f t="shared" ref="E135:E156" si="2">C135*D135</f>
        <v>0</v>
      </c>
    </row>
    <row r="136" spans="1:5" x14ac:dyDescent="0.3">
      <c r="A136" t="s">
        <v>119</v>
      </c>
      <c r="B136" t="s">
        <v>3</v>
      </c>
      <c r="C136">
        <v>10</v>
      </c>
      <c r="D136">
        <v>10000</v>
      </c>
      <c r="E136">
        <f t="shared" si="2"/>
        <v>100000</v>
      </c>
    </row>
    <row r="137" spans="1:5" x14ac:dyDescent="0.3">
      <c r="A137" t="s">
        <v>7</v>
      </c>
      <c r="B137" t="s">
        <v>3</v>
      </c>
      <c r="C137">
        <v>80</v>
      </c>
      <c r="D137">
        <v>10000</v>
      </c>
      <c r="E137">
        <f t="shared" si="2"/>
        <v>800000</v>
      </c>
    </row>
    <row r="138" spans="1:5" x14ac:dyDescent="0.3">
      <c r="A138" t="s">
        <v>8</v>
      </c>
      <c r="B138" t="s">
        <v>3</v>
      </c>
      <c r="C138">
        <v>11</v>
      </c>
      <c r="D138">
        <v>8000</v>
      </c>
      <c r="E138">
        <f t="shared" si="2"/>
        <v>88000</v>
      </c>
    </row>
    <row r="139" spans="1:5" x14ac:dyDescent="0.3">
      <c r="A139" t="s">
        <v>18</v>
      </c>
      <c r="B139" t="s">
        <v>3</v>
      </c>
      <c r="C139">
        <v>11</v>
      </c>
      <c r="D139">
        <v>17000</v>
      </c>
      <c r="E139">
        <f t="shared" si="2"/>
        <v>187000</v>
      </c>
    </row>
    <row r="140" spans="1:5" x14ac:dyDescent="0.3">
      <c r="A140" t="s">
        <v>28</v>
      </c>
      <c r="B140" t="s">
        <v>3</v>
      </c>
      <c r="C140">
        <v>154</v>
      </c>
      <c r="D140">
        <v>16000</v>
      </c>
      <c r="E140">
        <f t="shared" si="2"/>
        <v>2464000</v>
      </c>
    </row>
    <row r="141" spans="1:5" x14ac:dyDescent="0.3">
      <c r="A141" t="s">
        <v>33</v>
      </c>
      <c r="B141" t="s">
        <v>3</v>
      </c>
      <c r="C141">
        <v>5</v>
      </c>
      <c r="D141">
        <v>8000</v>
      </c>
      <c r="E141">
        <f t="shared" si="2"/>
        <v>40000</v>
      </c>
    </row>
    <row r="142" spans="1:5" hidden="1" x14ac:dyDescent="0.3">
      <c r="A142" t="s">
        <v>78</v>
      </c>
      <c r="B142" t="s">
        <v>3</v>
      </c>
      <c r="C142">
        <v>0</v>
      </c>
      <c r="E142">
        <f t="shared" si="2"/>
        <v>0</v>
      </c>
    </row>
    <row r="143" spans="1:5" x14ac:dyDescent="0.3">
      <c r="A143" t="s">
        <v>80</v>
      </c>
      <c r="B143" t="s">
        <v>3</v>
      </c>
      <c r="C143">
        <v>5</v>
      </c>
      <c r="D143">
        <v>26000</v>
      </c>
      <c r="E143">
        <f t="shared" si="2"/>
        <v>130000</v>
      </c>
    </row>
    <row r="144" spans="1:5" hidden="1" x14ac:dyDescent="0.3">
      <c r="A144" t="s">
        <v>82</v>
      </c>
      <c r="B144" t="s">
        <v>3</v>
      </c>
      <c r="C144">
        <v>0</v>
      </c>
      <c r="E144">
        <f t="shared" si="2"/>
        <v>0</v>
      </c>
    </row>
    <row r="145" spans="1:5" x14ac:dyDescent="0.3">
      <c r="A145" t="s">
        <v>92</v>
      </c>
      <c r="B145" t="s">
        <v>3</v>
      </c>
      <c r="C145">
        <v>20</v>
      </c>
      <c r="D145">
        <v>16000</v>
      </c>
      <c r="E145">
        <f t="shared" si="2"/>
        <v>320000</v>
      </c>
    </row>
    <row r="146" spans="1:5" hidden="1" x14ac:dyDescent="0.3">
      <c r="A146" t="s">
        <v>41</v>
      </c>
      <c r="B146" t="s">
        <v>3</v>
      </c>
      <c r="C146">
        <v>0</v>
      </c>
      <c r="E146">
        <f t="shared" si="2"/>
        <v>0</v>
      </c>
    </row>
    <row r="147" spans="1:5" hidden="1" x14ac:dyDescent="0.3">
      <c r="A147" t="s">
        <v>105</v>
      </c>
      <c r="B147" t="s">
        <v>3</v>
      </c>
      <c r="C147">
        <v>0</v>
      </c>
      <c r="E147">
        <f t="shared" si="2"/>
        <v>0</v>
      </c>
    </row>
    <row r="148" spans="1:5" x14ac:dyDescent="0.3">
      <c r="A148" t="s">
        <v>103</v>
      </c>
      <c r="B148" t="s">
        <v>3</v>
      </c>
      <c r="C148">
        <v>6</v>
      </c>
      <c r="D148">
        <v>14000</v>
      </c>
      <c r="E148">
        <f t="shared" si="2"/>
        <v>84000</v>
      </c>
    </row>
    <row r="149" spans="1:5" hidden="1" x14ac:dyDescent="0.3">
      <c r="A149" t="s">
        <v>68</v>
      </c>
      <c r="B149" t="s">
        <v>3</v>
      </c>
      <c r="C149">
        <v>0</v>
      </c>
      <c r="E149">
        <f t="shared" si="2"/>
        <v>0</v>
      </c>
    </row>
    <row r="150" spans="1:5" x14ac:dyDescent="0.3">
      <c r="A150" t="s">
        <v>68</v>
      </c>
      <c r="B150" t="s">
        <v>17</v>
      </c>
      <c r="C150">
        <v>55</v>
      </c>
      <c r="D150">
        <v>6000</v>
      </c>
      <c r="E150">
        <f t="shared" si="2"/>
        <v>330000</v>
      </c>
    </row>
    <row r="151" spans="1:5" hidden="1" x14ac:dyDescent="0.3">
      <c r="A151" t="s">
        <v>72</v>
      </c>
      <c r="B151" t="s">
        <v>3</v>
      </c>
      <c r="C151">
        <v>0</v>
      </c>
      <c r="E151">
        <f t="shared" si="2"/>
        <v>0</v>
      </c>
    </row>
    <row r="152" spans="1:5" hidden="1" x14ac:dyDescent="0.3">
      <c r="A152" t="s">
        <v>62</v>
      </c>
      <c r="B152" t="s">
        <v>30</v>
      </c>
      <c r="C152">
        <v>0</v>
      </c>
      <c r="E152">
        <f t="shared" si="2"/>
        <v>0</v>
      </c>
    </row>
    <row r="153" spans="1:5" x14ac:dyDescent="0.3">
      <c r="A153" t="s">
        <v>63</v>
      </c>
      <c r="B153" t="s">
        <v>30</v>
      </c>
      <c r="C153">
        <v>15</v>
      </c>
      <c r="D153">
        <v>8000</v>
      </c>
      <c r="E153">
        <f t="shared" si="2"/>
        <v>120000</v>
      </c>
    </row>
    <row r="154" spans="1:5" hidden="1" x14ac:dyDescent="0.3">
      <c r="A154" t="s">
        <v>73</v>
      </c>
      <c r="B154" t="s">
        <v>3</v>
      </c>
      <c r="C154">
        <v>0</v>
      </c>
      <c r="E154">
        <f t="shared" si="2"/>
        <v>0</v>
      </c>
    </row>
    <row r="155" spans="1:5" hidden="1" x14ac:dyDescent="0.3">
      <c r="A155" t="s">
        <v>94</v>
      </c>
      <c r="B155" t="s">
        <v>40</v>
      </c>
      <c r="C155">
        <v>0</v>
      </c>
      <c r="E155">
        <f t="shared" si="2"/>
        <v>0</v>
      </c>
    </row>
    <row r="156" spans="1:5" x14ac:dyDescent="0.3">
      <c r="A156" t="s">
        <v>104</v>
      </c>
      <c r="B156" t="s">
        <v>3</v>
      </c>
      <c r="C156">
        <v>1920</v>
      </c>
      <c r="D156">
        <v>5000</v>
      </c>
      <c r="E156">
        <f t="shared" si="2"/>
        <v>9600000</v>
      </c>
    </row>
    <row r="157" spans="1:5" x14ac:dyDescent="0.3">
      <c r="E157">
        <f>SUM(E116:E156)</f>
        <v>19291000</v>
      </c>
    </row>
    <row r="158" spans="1:5" x14ac:dyDescent="0.3">
      <c r="E158">
        <f>E157+E113</f>
        <v>212512300</v>
      </c>
    </row>
  </sheetData>
  <autoFilter ref="A3:F156" xr:uid="{00000000-0009-0000-0000-000003000000}">
    <filterColumn colId="2">
      <filters>
        <filter val="10"/>
        <filter val="100"/>
        <filter val="1021"/>
        <filter val="1085"/>
        <filter val="11"/>
        <filter val="12"/>
        <filter val="120"/>
        <filter val="121"/>
        <filter val="125"/>
        <filter val="13"/>
        <filter val="133"/>
        <filter val="15"/>
        <filter val="1523"/>
        <filter val="154"/>
        <filter val="165"/>
        <filter val="1750"/>
        <filter val="18"/>
        <filter val="19"/>
        <filter val="1920"/>
        <filter val="20"/>
        <filter val="205"/>
        <filter val="21"/>
        <filter val="216"/>
        <filter val="217"/>
        <filter val="22"/>
        <filter val="27"/>
        <filter val="29"/>
        <filter val="3"/>
        <filter val="30"/>
        <filter val="33"/>
        <filter val="348"/>
        <filter val="35"/>
        <filter val="36"/>
        <filter val="37"/>
        <filter val="44"/>
        <filter val="446"/>
        <filter val="5"/>
        <filter val="53"/>
        <filter val="55"/>
        <filter val="560"/>
        <filter val="59"/>
        <filter val="6"/>
        <filter val="60"/>
        <filter val="67"/>
        <filter val="69"/>
        <filter val="7"/>
        <filter val="77"/>
        <filter val="79"/>
        <filter val="8"/>
        <filter val="80"/>
        <filter val="855"/>
        <filter val="895"/>
        <filter val="9"/>
        <filter val="Tồn_x000a_ĐL_x000a__x000a_現在庫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E152"/>
  <sheetViews>
    <sheetView topLeftCell="A122" workbookViewId="0">
      <selection activeCell="E152" sqref="E152"/>
    </sheetView>
  </sheetViews>
  <sheetFormatPr defaultRowHeight="14.4" x14ac:dyDescent="0.3"/>
  <cols>
    <col min="1" max="1" width="25.33203125" customWidth="1"/>
    <col min="3" max="3" width="9.33203125" customWidth="1"/>
    <col min="4" max="4" width="13.33203125" customWidth="1"/>
    <col min="5" max="5" width="17.33203125" customWidth="1"/>
  </cols>
  <sheetData>
    <row r="1" spans="1:5" x14ac:dyDescent="0.3">
      <c r="A1" t="s">
        <v>126</v>
      </c>
    </row>
    <row r="2" spans="1:5" x14ac:dyDescent="0.3">
      <c r="A2" t="s">
        <v>0</v>
      </c>
      <c r="B2" t="s">
        <v>1</v>
      </c>
      <c r="C2" t="s">
        <v>107</v>
      </c>
      <c r="D2" t="s">
        <v>108</v>
      </c>
      <c r="E2" t="s">
        <v>109</v>
      </c>
    </row>
    <row r="3" spans="1:5" x14ac:dyDescent="0.3">
      <c r="A3" t="s">
        <v>31</v>
      </c>
      <c r="B3" t="s">
        <v>3</v>
      </c>
      <c r="C3">
        <v>159</v>
      </c>
      <c r="D3">
        <v>11500</v>
      </c>
      <c r="E3">
        <f>C3*D3</f>
        <v>1828500</v>
      </c>
    </row>
    <row r="4" spans="1:5" hidden="1" x14ac:dyDescent="0.3">
      <c r="A4" t="s">
        <v>31</v>
      </c>
      <c r="B4" t="s">
        <v>30</v>
      </c>
      <c r="C4">
        <v>0</v>
      </c>
      <c r="E4">
        <f t="shared" ref="E4:E67" si="0">C4*D4</f>
        <v>0</v>
      </c>
    </row>
    <row r="5" spans="1:5" hidden="1" x14ac:dyDescent="0.3">
      <c r="A5" t="s">
        <v>32</v>
      </c>
      <c r="B5" t="s">
        <v>3</v>
      </c>
      <c r="C5">
        <v>0</v>
      </c>
      <c r="E5">
        <f t="shared" si="0"/>
        <v>0</v>
      </c>
    </row>
    <row r="6" spans="1:5" hidden="1" x14ac:dyDescent="0.3">
      <c r="A6" t="s">
        <v>32</v>
      </c>
      <c r="B6" t="s">
        <v>17</v>
      </c>
      <c r="C6">
        <v>0</v>
      </c>
      <c r="E6">
        <f t="shared" si="0"/>
        <v>0</v>
      </c>
    </row>
    <row r="7" spans="1:5" hidden="1" x14ac:dyDescent="0.3">
      <c r="A7" t="s">
        <v>42</v>
      </c>
      <c r="B7" t="s">
        <v>25</v>
      </c>
      <c r="C7">
        <v>0</v>
      </c>
      <c r="E7">
        <f t="shared" si="0"/>
        <v>0</v>
      </c>
    </row>
    <row r="8" spans="1:5" hidden="1" x14ac:dyDescent="0.3">
      <c r="A8" t="s">
        <v>42</v>
      </c>
      <c r="B8" t="s">
        <v>3</v>
      </c>
      <c r="C8">
        <v>0</v>
      </c>
      <c r="E8">
        <f t="shared" si="0"/>
        <v>0</v>
      </c>
    </row>
    <row r="9" spans="1:5" x14ac:dyDescent="0.3">
      <c r="A9" t="s">
        <v>45</v>
      </c>
      <c r="B9" t="s">
        <v>3</v>
      </c>
      <c r="C9">
        <v>10</v>
      </c>
      <c r="D9">
        <v>10000</v>
      </c>
      <c r="E9">
        <f t="shared" si="0"/>
        <v>100000</v>
      </c>
    </row>
    <row r="10" spans="1:5" hidden="1" x14ac:dyDescent="0.3">
      <c r="A10" t="s">
        <v>45</v>
      </c>
      <c r="B10" t="s">
        <v>30</v>
      </c>
      <c r="C10">
        <v>0</v>
      </c>
      <c r="E10">
        <f t="shared" si="0"/>
        <v>0</v>
      </c>
    </row>
    <row r="11" spans="1:5" x14ac:dyDescent="0.3">
      <c r="A11" t="s">
        <v>47</v>
      </c>
      <c r="B11" t="s">
        <v>3</v>
      </c>
      <c r="C11">
        <v>240</v>
      </c>
      <c r="D11">
        <v>12500</v>
      </c>
      <c r="E11">
        <f t="shared" si="0"/>
        <v>3000000</v>
      </c>
    </row>
    <row r="12" spans="1:5" hidden="1" x14ac:dyDescent="0.3">
      <c r="A12" t="s">
        <v>47</v>
      </c>
      <c r="B12" t="s">
        <v>48</v>
      </c>
      <c r="C12">
        <v>0</v>
      </c>
      <c r="E12">
        <f t="shared" si="0"/>
        <v>0</v>
      </c>
    </row>
    <row r="13" spans="1:5" x14ac:dyDescent="0.3">
      <c r="A13" t="s">
        <v>50</v>
      </c>
      <c r="B13" t="s">
        <v>30</v>
      </c>
      <c r="C13">
        <v>123</v>
      </c>
      <c r="D13">
        <v>3000</v>
      </c>
      <c r="E13">
        <f t="shared" si="0"/>
        <v>369000</v>
      </c>
    </row>
    <row r="14" spans="1:5" x14ac:dyDescent="0.3">
      <c r="A14" t="s">
        <v>52</v>
      </c>
      <c r="B14" t="s">
        <v>3</v>
      </c>
      <c r="C14">
        <v>965</v>
      </c>
      <c r="D14">
        <v>28000</v>
      </c>
      <c r="E14">
        <f t="shared" si="0"/>
        <v>27020000</v>
      </c>
    </row>
    <row r="15" spans="1:5" hidden="1" x14ac:dyDescent="0.3">
      <c r="A15" t="s">
        <v>52</v>
      </c>
      <c r="B15" t="s">
        <v>30</v>
      </c>
      <c r="C15">
        <v>0</v>
      </c>
      <c r="E15">
        <f t="shared" si="0"/>
        <v>0</v>
      </c>
    </row>
    <row r="16" spans="1:5" x14ac:dyDescent="0.3">
      <c r="A16" t="s">
        <v>54</v>
      </c>
      <c r="B16" t="s">
        <v>3</v>
      </c>
      <c r="C16">
        <v>191</v>
      </c>
      <c r="D16">
        <v>16000</v>
      </c>
      <c r="E16">
        <f t="shared" si="0"/>
        <v>3056000</v>
      </c>
    </row>
    <row r="17" spans="1:5" x14ac:dyDescent="0.3">
      <c r="A17" t="s">
        <v>59</v>
      </c>
      <c r="B17" t="s">
        <v>3</v>
      </c>
      <c r="C17">
        <v>350</v>
      </c>
      <c r="D17">
        <v>17000</v>
      </c>
      <c r="E17">
        <f t="shared" si="0"/>
        <v>5950000</v>
      </c>
    </row>
    <row r="18" spans="1:5" hidden="1" x14ac:dyDescent="0.3">
      <c r="A18" t="s">
        <v>59</v>
      </c>
      <c r="B18" t="s">
        <v>30</v>
      </c>
      <c r="C18">
        <v>0</v>
      </c>
      <c r="E18">
        <f t="shared" si="0"/>
        <v>0</v>
      </c>
    </row>
    <row r="19" spans="1:5" hidden="1" x14ac:dyDescent="0.3">
      <c r="A19" t="s">
        <v>16</v>
      </c>
      <c r="B19" t="s">
        <v>17</v>
      </c>
      <c r="C19">
        <v>0</v>
      </c>
      <c r="E19">
        <f t="shared" si="0"/>
        <v>0</v>
      </c>
    </row>
    <row r="20" spans="1:5" x14ac:dyDescent="0.3">
      <c r="A20" t="s">
        <v>5</v>
      </c>
      <c r="B20" t="s">
        <v>3</v>
      </c>
      <c r="C20">
        <v>40</v>
      </c>
      <c r="D20">
        <v>5500</v>
      </c>
      <c r="E20">
        <f t="shared" si="0"/>
        <v>220000</v>
      </c>
    </row>
    <row r="21" spans="1:5" x14ac:dyDescent="0.3">
      <c r="A21" t="s">
        <v>35</v>
      </c>
      <c r="B21" t="s">
        <v>3</v>
      </c>
      <c r="C21">
        <v>3</v>
      </c>
      <c r="D21">
        <v>28000</v>
      </c>
      <c r="E21">
        <f t="shared" si="0"/>
        <v>84000</v>
      </c>
    </row>
    <row r="22" spans="1:5" x14ac:dyDescent="0.3">
      <c r="A22" t="s">
        <v>35</v>
      </c>
      <c r="B22" t="s">
        <v>30</v>
      </c>
      <c r="C22">
        <v>10</v>
      </c>
      <c r="D22">
        <v>9000</v>
      </c>
      <c r="E22">
        <f t="shared" si="0"/>
        <v>90000</v>
      </c>
    </row>
    <row r="23" spans="1:5" x14ac:dyDescent="0.3">
      <c r="A23" t="s">
        <v>37</v>
      </c>
      <c r="B23" t="s">
        <v>30</v>
      </c>
      <c r="C23">
        <v>12</v>
      </c>
      <c r="D23">
        <v>4300</v>
      </c>
      <c r="E23">
        <f t="shared" si="0"/>
        <v>51600</v>
      </c>
    </row>
    <row r="24" spans="1:5" x14ac:dyDescent="0.3">
      <c r="A24" t="s">
        <v>38</v>
      </c>
      <c r="B24" t="s">
        <v>3</v>
      </c>
      <c r="C24">
        <v>960</v>
      </c>
      <c r="D24">
        <v>6000</v>
      </c>
      <c r="E24">
        <f t="shared" si="0"/>
        <v>5760000</v>
      </c>
    </row>
    <row r="25" spans="1:5" hidden="1" x14ac:dyDescent="0.3">
      <c r="A25" t="s">
        <v>39</v>
      </c>
      <c r="B25" t="s">
        <v>40</v>
      </c>
      <c r="C25">
        <v>0</v>
      </c>
      <c r="E25">
        <f t="shared" si="0"/>
        <v>0</v>
      </c>
    </row>
    <row r="26" spans="1:5" x14ac:dyDescent="0.3">
      <c r="A26" t="s">
        <v>39</v>
      </c>
      <c r="B26" t="s">
        <v>3</v>
      </c>
      <c r="C26">
        <v>40</v>
      </c>
      <c r="D26">
        <v>9000</v>
      </c>
      <c r="E26">
        <f t="shared" si="0"/>
        <v>360000</v>
      </c>
    </row>
    <row r="27" spans="1:5" hidden="1" x14ac:dyDescent="0.3">
      <c r="A27" t="s">
        <v>94</v>
      </c>
      <c r="B27" t="s">
        <v>3</v>
      </c>
      <c r="C27">
        <v>0</v>
      </c>
      <c r="E27">
        <f t="shared" si="0"/>
        <v>0</v>
      </c>
    </row>
    <row r="28" spans="1:5" x14ac:dyDescent="0.3">
      <c r="A28" t="s">
        <v>7</v>
      </c>
      <c r="B28" t="s">
        <v>3</v>
      </c>
      <c r="C28">
        <v>120</v>
      </c>
      <c r="D28">
        <v>10000</v>
      </c>
      <c r="E28">
        <f t="shared" si="0"/>
        <v>1200000</v>
      </c>
    </row>
    <row r="29" spans="1:5" x14ac:dyDescent="0.3">
      <c r="A29" t="s">
        <v>8</v>
      </c>
      <c r="B29" t="s">
        <v>3</v>
      </c>
      <c r="C29">
        <v>83</v>
      </c>
      <c r="D29">
        <v>8000</v>
      </c>
      <c r="E29">
        <f t="shared" si="0"/>
        <v>664000</v>
      </c>
    </row>
    <row r="30" spans="1:5" hidden="1" x14ac:dyDescent="0.3">
      <c r="A30" t="s">
        <v>8</v>
      </c>
      <c r="B30" t="s">
        <v>9</v>
      </c>
      <c r="C30">
        <v>0</v>
      </c>
      <c r="E30">
        <f t="shared" si="0"/>
        <v>0</v>
      </c>
    </row>
    <row r="31" spans="1:5" x14ac:dyDescent="0.3">
      <c r="A31" t="s">
        <v>10</v>
      </c>
      <c r="B31" t="s">
        <v>3</v>
      </c>
      <c r="C31">
        <v>70</v>
      </c>
      <c r="D31">
        <v>19000</v>
      </c>
      <c r="E31">
        <f t="shared" si="0"/>
        <v>1330000</v>
      </c>
    </row>
    <row r="32" spans="1:5" hidden="1" x14ac:dyDescent="0.3">
      <c r="A32" t="s">
        <v>10</v>
      </c>
      <c r="B32" t="s">
        <v>9</v>
      </c>
      <c r="C32">
        <v>0</v>
      </c>
      <c r="E32">
        <f t="shared" si="0"/>
        <v>0</v>
      </c>
    </row>
    <row r="33" spans="1:5" x14ac:dyDescent="0.3">
      <c r="A33" t="s">
        <v>18</v>
      </c>
      <c r="B33" t="s">
        <v>3</v>
      </c>
      <c r="C33">
        <v>195</v>
      </c>
      <c r="D33">
        <v>17000</v>
      </c>
      <c r="E33">
        <f t="shared" si="0"/>
        <v>3315000</v>
      </c>
    </row>
    <row r="34" spans="1:5" hidden="1" x14ac:dyDescent="0.3">
      <c r="A34" t="s">
        <v>18</v>
      </c>
      <c r="B34" t="s">
        <v>19</v>
      </c>
      <c r="C34">
        <v>0</v>
      </c>
      <c r="E34">
        <f t="shared" si="0"/>
        <v>0</v>
      </c>
    </row>
    <row r="35" spans="1:5" x14ac:dyDescent="0.3">
      <c r="A35" t="s">
        <v>28</v>
      </c>
      <c r="B35" t="s">
        <v>3</v>
      </c>
      <c r="C35">
        <v>199</v>
      </c>
      <c r="D35">
        <v>12000</v>
      </c>
      <c r="E35">
        <f t="shared" si="0"/>
        <v>2388000</v>
      </c>
    </row>
    <row r="36" spans="1:5" hidden="1" x14ac:dyDescent="0.3">
      <c r="A36" t="s">
        <v>28</v>
      </c>
      <c r="B36" t="s">
        <v>17</v>
      </c>
      <c r="C36">
        <v>0</v>
      </c>
      <c r="E36">
        <f t="shared" si="0"/>
        <v>0</v>
      </c>
    </row>
    <row r="37" spans="1:5" x14ac:dyDescent="0.3">
      <c r="A37" t="s">
        <v>29</v>
      </c>
      <c r="B37" t="s">
        <v>30</v>
      </c>
      <c r="C37">
        <v>130</v>
      </c>
      <c r="D37">
        <v>9000</v>
      </c>
      <c r="E37">
        <f t="shared" si="0"/>
        <v>1170000</v>
      </c>
    </row>
    <row r="38" spans="1:5" hidden="1" x14ac:dyDescent="0.3">
      <c r="A38" t="s">
        <v>68</v>
      </c>
      <c r="B38" t="s">
        <v>3</v>
      </c>
      <c r="C38">
        <v>0</v>
      </c>
      <c r="E38">
        <f t="shared" si="0"/>
        <v>0</v>
      </c>
    </row>
    <row r="39" spans="1:5" hidden="1" x14ac:dyDescent="0.3">
      <c r="A39" t="s">
        <v>68</v>
      </c>
      <c r="B39" t="s">
        <v>17</v>
      </c>
      <c r="C39">
        <v>0</v>
      </c>
      <c r="E39">
        <f t="shared" si="0"/>
        <v>0</v>
      </c>
    </row>
    <row r="40" spans="1:5" x14ac:dyDescent="0.3">
      <c r="A40" t="s">
        <v>70</v>
      </c>
      <c r="B40" t="s">
        <v>3</v>
      </c>
      <c r="C40">
        <v>10</v>
      </c>
      <c r="D40">
        <v>10000</v>
      </c>
      <c r="E40">
        <f t="shared" si="0"/>
        <v>100000</v>
      </c>
    </row>
    <row r="41" spans="1:5" x14ac:dyDescent="0.3">
      <c r="A41" t="s">
        <v>78</v>
      </c>
      <c r="B41" t="s">
        <v>3</v>
      </c>
      <c r="C41">
        <v>111</v>
      </c>
      <c r="D41">
        <v>26000</v>
      </c>
      <c r="E41">
        <f t="shared" si="0"/>
        <v>2886000</v>
      </c>
    </row>
    <row r="42" spans="1:5" hidden="1" x14ac:dyDescent="0.3">
      <c r="A42" t="s">
        <v>78</v>
      </c>
      <c r="B42" t="s">
        <v>9</v>
      </c>
      <c r="C42">
        <v>0</v>
      </c>
      <c r="E42">
        <f t="shared" si="0"/>
        <v>0</v>
      </c>
    </row>
    <row r="43" spans="1:5" x14ac:dyDescent="0.3">
      <c r="A43" t="s">
        <v>80</v>
      </c>
      <c r="B43" t="s">
        <v>3</v>
      </c>
      <c r="C43">
        <v>77</v>
      </c>
      <c r="D43">
        <v>26000</v>
      </c>
      <c r="E43">
        <f t="shared" si="0"/>
        <v>2002000</v>
      </c>
    </row>
    <row r="44" spans="1:5" hidden="1" x14ac:dyDescent="0.3">
      <c r="A44" t="s">
        <v>80</v>
      </c>
      <c r="B44" t="s">
        <v>9</v>
      </c>
      <c r="C44">
        <v>0</v>
      </c>
      <c r="E44">
        <f t="shared" si="0"/>
        <v>0</v>
      </c>
    </row>
    <row r="45" spans="1:5" x14ac:dyDescent="0.3">
      <c r="A45" t="s">
        <v>82</v>
      </c>
      <c r="B45" t="s">
        <v>3</v>
      </c>
      <c r="C45">
        <v>34</v>
      </c>
      <c r="D45">
        <v>31000</v>
      </c>
      <c r="E45">
        <f t="shared" si="0"/>
        <v>1054000</v>
      </c>
    </row>
    <row r="46" spans="1:5" hidden="1" x14ac:dyDescent="0.3">
      <c r="A46" t="s">
        <v>82</v>
      </c>
      <c r="B46" t="s">
        <v>9</v>
      </c>
      <c r="C46">
        <v>0</v>
      </c>
      <c r="E46">
        <f t="shared" si="0"/>
        <v>0</v>
      </c>
    </row>
    <row r="47" spans="1:5" hidden="1" x14ac:dyDescent="0.3">
      <c r="A47" t="s">
        <v>76</v>
      </c>
      <c r="B47" t="s">
        <v>17</v>
      </c>
      <c r="C47">
        <v>0</v>
      </c>
      <c r="E47">
        <f t="shared" si="0"/>
        <v>0</v>
      </c>
    </row>
    <row r="48" spans="1:5" x14ac:dyDescent="0.3">
      <c r="A48" t="s">
        <v>51</v>
      </c>
      <c r="B48" t="s">
        <v>3</v>
      </c>
      <c r="C48">
        <v>625</v>
      </c>
      <c r="D48">
        <v>28000</v>
      </c>
      <c r="E48">
        <f t="shared" si="0"/>
        <v>17500000</v>
      </c>
    </row>
    <row r="49" spans="1:5" x14ac:dyDescent="0.3">
      <c r="A49" t="s">
        <v>22</v>
      </c>
      <c r="B49" t="s">
        <v>3</v>
      </c>
      <c r="C49">
        <v>8</v>
      </c>
      <c r="D49">
        <v>24000</v>
      </c>
      <c r="E49">
        <f t="shared" si="0"/>
        <v>192000</v>
      </c>
    </row>
    <row r="50" spans="1:5" x14ac:dyDescent="0.3">
      <c r="A50" t="s">
        <v>22</v>
      </c>
      <c r="B50" t="s">
        <v>23</v>
      </c>
      <c r="C50">
        <v>40</v>
      </c>
      <c r="D50">
        <v>7200</v>
      </c>
      <c r="E50">
        <f t="shared" si="0"/>
        <v>288000</v>
      </c>
    </row>
    <row r="51" spans="1:5" x14ac:dyDescent="0.3">
      <c r="A51" t="s">
        <v>72</v>
      </c>
      <c r="B51" t="s">
        <v>3</v>
      </c>
      <c r="C51">
        <v>1460</v>
      </c>
      <c r="D51">
        <v>27600</v>
      </c>
      <c r="E51">
        <f t="shared" si="0"/>
        <v>40296000</v>
      </c>
    </row>
    <row r="52" spans="1:5" x14ac:dyDescent="0.3">
      <c r="A52" t="s">
        <v>2</v>
      </c>
      <c r="B52" t="s">
        <v>3</v>
      </c>
      <c r="C52">
        <v>11</v>
      </c>
      <c r="D52">
        <v>15000</v>
      </c>
      <c r="E52">
        <f t="shared" si="0"/>
        <v>165000</v>
      </c>
    </row>
    <row r="53" spans="1:5" x14ac:dyDescent="0.3">
      <c r="A53" t="s">
        <v>4</v>
      </c>
      <c r="B53" t="s">
        <v>3</v>
      </c>
      <c r="C53">
        <v>388</v>
      </c>
      <c r="D53">
        <v>7000</v>
      </c>
      <c r="E53">
        <f t="shared" si="0"/>
        <v>2716000</v>
      </c>
    </row>
    <row r="54" spans="1:5" hidden="1" x14ac:dyDescent="0.3">
      <c r="A54" t="s">
        <v>12</v>
      </c>
      <c r="B54" t="s">
        <v>3</v>
      </c>
      <c r="C54">
        <v>0</v>
      </c>
      <c r="E54">
        <f t="shared" si="0"/>
        <v>0</v>
      </c>
    </row>
    <row r="55" spans="1:5" x14ac:dyDescent="0.3">
      <c r="A55" t="s">
        <v>13</v>
      </c>
      <c r="B55" t="s">
        <v>3</v>
      </c>
      <c r="C55">
        <v>69</v>
      </c>
      <c r="D55">
        <v>20000</v>
      </c>
      <c r="E55">
        <f t="shared" si="0"/>
        <v>1380000</v>
      </c>
    </row>
    <row r="56" spans="1:5" hidden="1" x14ac:dyDescent="0.3">
      <c r="A56" t="s">
        <v>20</v>
      </c>
      <c r="B56" t="s">
        <v>21</v>
      </c>
      <c r="C56">
        <v>0</v>
      </c>
      <c r="E56">
        <f t="shared" si="0"/>
        <v>0</v>
      </c>
    </row>
    <row r="57" spans="1:5" hidden="1" x14ac:dyDescent="0.3">
      <c r="A57" t="s">
        <v>26</v>
      </c>
      <c r="B57" t="s">
        <v>3</v>
      </c>
      <c r="C57">
        <v>0</v>
      </c>
      <c r="E57">
        <f t="shared" si="0"/>
        <v>0</v>
      </c>
    </row>
    <row r="58" spans="1:5" x14ac:dyDescent="0.3">
      <c r="A58" t="s">
        <v>26</v>
      </c>
      <c r="B58" t="s">
        <v>27</v>
      </c>
      <c r="C58">
        <v>68</v>
      </c>
      <c r="D58">
        <v>10000</v>
      </c>
      <c r="E58">
        <f t="shared" si="0"/>
        <v>680000</v>
      </c>
    </row>
    <row r="59" spans="1:5" x14ac:dyDescent="0.3">
      <c r="A59" t="s">
        <v>33</v>
      </c>
      <c r="B59" t="s">
        <v>3</v>
      </c>
      <c r="C59">
        <v>25</v>
      </c>
      <c r="D59">
        <v>8000</v>
      </c>
      <c r="E59">
        <f t="shared" si="0"/>
        <v>200000</v>
      </c>
    </row>
    <row r="60" spans="1:5" hidden="1" x14ac:dyDescent="0.3">
      <c r="A60" t="s">
        <v>33</v>
      </c>
      <c r="B60" t="s">
        <v>34</v>
      </c>
      <c r="C60">
        <v>0</v>
      </c>
      <c r="E60">
        <f t="shared" si="0"/>
        <v>0</v>
      </c>
    </row>
    <row r="61" spans="1:5" hidden="1" x14ac:dyDescent="0.3">
      <c r="A61" t="s">
        <v>36</v>
      </c>
      <c r="B61" t="s">
        <v>3</v>
      </c>
      <c r="C61">
        <v>0</v>
      </c>
      <c r="E61">
        <f t="shared" si="0"/>
        <v>0</v>
      </c>
    </row>
    <row r="62" spans="1:5" x14ac:dyDescent="0.3">
      <c r="A62" t="s">
        <v>36</v>
      </c>
      <c r="B62" t="s">
        <v>30</v>
      </c>
      <c r="C62">
        <v>10</v>
      </c>
      <c r="D62">
        <v>6000</v>
      </c>
      <c r="E62">
        <f t="shared" si="0"/>
        <v>60000</v>
      </c>
    </row>
    <row r="63" spans="1:5" x14ac:dyDescent="0.3">
      <c r="A63" t="s">
        <v>41</v>
      </c>
      <c r="B63" t="s">
        <v>3</v>
      </c>
      <c r="C63">
        <v>14</v>
      </c>
      <c r="D63">
        <v>14000</v>
      </c>
      <c r="E63">
        <f t="shared" si="0"/>
        <v>196000</v>
      </c>
    </row>
    <row r="64" spans="1:5" x14ac:dyDescent="0.3">
      <c r="A64" t="s">
        <v>44</v>
      </c>
      <c r="B64" t="s">
        <v>3</v>
      </c>
      <c r="C64">
        <v>25</v>
      </c>
      <c r="D64">
        <v>7000</v>
      </c>
      <c r="E64">
        <f t="shared" si="0"/>
        <v>175000</v>
      </c>
    </row>
    <row r="65" spans="1:5" x14ac:dyDescent="0.3">
      <c r="A65" t="s">
        <v>46</v>
      </c>
      <c r="B65" t="s">
        <v>3</v>
      </c>
      <c r="C65">
        <v>8</v>
      </c>
      <c r="D65">
        <v>17000</v>
      </c>
      <c r="E65">
        <f t="shared" si="0"/>
        <v>136000</v>
      </c>
    </row>
    <row r="66" spans="1:5" hidden="1" x14ac:dyDescent="0.3">
      <c r="A66" t="s">
        <v>61</v>
      </c>
      <c r="B66" t="s">
        <v>3</v>
      </c>
      <c r="C66">
        <v>0</v>
      </c>
      <c r="E66">
        <f t="shared" si="0"/>
        <v>0</v>
      </c>
    </row>
    <row r="67" spans="1:5" x14ac:dyDescent="0.3">
      <c r="A67" t="s">
        <v>62</v>
      </c>
      <c r="B67" t="s">
        <v>30</v>
      </c>
      <c r="C67">
        <v>18</v>
      </c>
      <c r="D67">
        <v>6000</v>
      </c>
      <c r="E67">
        <f t="shared" si="0"/>
        <v>108000</v>
      </c>
    </row>
    <row r="68" spans="1:5" hidden="1" x14ac:dyDescent="0.3">
      <c r="A68" t="s">
        <v>63</v>
      </c>
      <c r="B68" t="s">
        <v>3</v>
      </c>
      <c r="C68">
        <v>0</v>
      </c>
      <c r="E68">
        <f t="shared" ref="E68:E133" si="1">C68*D68</f>
        <v>0</v>
      </c>
    </row>
    <row r="69" spans="1:5" x14ac:dyDescent="0.3">
      <c r="A69" t="s">
        <v>63</v>
      </c>
      <c r="B69" t="s">
        <v>64</v>
      </c>
      <c r="C69">
        <v>31</v>
      </c>
      <c r="D69">
        <v>7000</v>
      </c>
      <c r="E69">
        <f t="shared" si="1"/>
        <v>217000</v>
      </c>
    </row>
    <row r="70" spans="1:5" hidden="1" x14ac:dyDescent="0.3">
      <c r="A70" t="s">
        <v>65</v>
      </c>
      <c r="B70" t="s">
        <v>3</v>
      </c>
      <c r="C70">
        <v>0</v>
      </c>
      <c r="E70">
        <f t="shared" si="1"/>
        <v>0</v>
      </c>
    </row>
    <row r="71" spans="1:5" hidden="1" x14ac:dyDescent="0.3">
      <c r="A71" t="s">
        <v>66</v>
      </c>
      <c r="B71" t="s">
        <v>3</v>
      </c>
      <c r="C71">
        <v>0</v>
      </c>
      <c r="E71">
        <f t="shared" si="1"/>
        <v>0</v>
      </c>
    </row>
    <row r="72" spans="1:5" hidden="1" x14ac:dyDescent="0.3">
      <c r="A72" t="s">
        <v>67</v>
      </c>
      <c r="B72" t="s">
        <v>3</v>
      </c>
      <c r="C72">
        <v>0</v>
      </c>
      <c r="E72">
        <f t="shared" si="1"/>
        <v>0</v>
      </c>
    </row>
    <row r="73" spans="1:5" hidden="1" x14ac:dyDescent="0.3">
      <c r="A73" t="s">
        <v>71</v>
      </c>
      <c r="B73" t="s">
        <v>40</v>
      </c>
      <c r="C73">
        <v>0</v>
      </c>
      <c r="E73">
        <f t="shared" si="1"/>
        <v>0</v>
      </c>
    </row>
    <row r="74" spans="1:5" hidden="1" x14ac:dyDescent="0.3">
      <c r="A74" t="s">
        <v>71</v>
      </c>
      <c r="B74" t="s">
        <v>3</v>
      </c>
      <c r="C74">
        <v>0</v>
      </c>
      <c r="E74">
        <f t="shared" si="1"/>
        <v>0</v>
      </c>
    </row>
    <row r="75" spans="1:5" hidden="1" x14ac:dyDescent="0.3">
      <c r="A75" t="s">
        <v>74</v>
      </c>
      <c r="B75" t="s">
        <v>30</v>
      </c>
      <c r="C75">
        <v>0</v>
      </c>
      <c r="E75">
        <f t="shared" si="1"/>
        <v>0</v>
      </c>
    </row>
    <row r="76" spans="1:5" x14ac:dyDescent="0.3">
      <c r="A76" t="s">
        <v>75</v>
      </c>
      <c r="B76" t="s">
        <v>3</v>
      </c>
      <c r="C76">
        <v>10</v>
      </c>
      <c r="D76">
        <v>14000</v>
      </c>
      <c r="E76">
        <f t="shared" si="1"/>
        <v>140000</v>
      </c>
    </row>
    <row r="77" spans="1:5" hidden="1" x14ac:dyDescent="0.3">
      <c r="A77" t="s">
        <v>77</v>
      </c>
      <c r="B77" t="s">
        <v>25</v>
      </c>
      <c r="C77">
        <v>0</v>
      </c>
      <c r="E77">
        <f t="shared" si="1"/>
        <v>0</v>
      </c>
    </row>
    <row r="78" spans="1:5" x14ac:dyDescent="0.3">
      <c r="A78" t="s">
        <v>77</v>
      </c>
      <c r="B78" t="s">
        <v>3</v>
      </c>
      <c r="C78">
        <v>16</v>
      </c>
      <c r="D78">
        <v>48000</v>
      </c>
      <c r="E78">
        <f t="shared" si="1"/>
        <v>768000</v>
      </c>
    </row>
    <row r="79" spans="1:5" x14ac:dyDescent="0.3">
      <c r="A79" t="s">
        <v>84</v>
      </c>
      <c r="B79" t="s">
        <v>3</v>
      </c>
      <c r="C79">
        <v>10</v>
      </c>
      <c r="D79">
        <v>50000</v>
      </c>
      <c r="E79">
        <f t="shared" si="1"/>
        <v>500000</v>
      </c>
    </row>
    <row r="80" spans="1:5" x14ac:dyDescent="0.3">
      <c r="A80" t="s">
        <v>84</v>
      </c>
      <c r="B80" t="s">
        <v>30</v>
      </c>
      <c r="C80">
        <v>85</v>
      </c>
      <c r="D80">
        <v>21000</v>
      </c>
      <c r="E80">
        <f t="shared" si="1"/>
        <v>1785000</v>
      </c>
    </row>
    <row r="81" spans="1:5" x14ac:dyDescent="0.3">
      <c r="A81" t="s">
        <v>92</v>
      </c>
      <c r="B81" t="s">
        <v>3</v>
      </c>
      <c r="C81">
        <v>52</v>
      </c>
      <c r="D81">
        <v>18000</v>
      </c>
      <c r="E81">
        <f t="shared" si="1"/>
        <v>936000</v>
      </c>
    </row>
    <row r="82" spans="1:5" x14ac:dyDescent="0.3">
      <c r="A82" t="s">
        <v>106</v>
      </c>
      <c r="B82" t="s">
        <v>9</v>
      </c>
      <c r="C82">
        <v>870</v>
      </c>
      <c r="D82">
        <v>10000</v>
      </c>
      <c r="E82">
        <f t="shared" si="1"/>
        <v>8700000</v>
      </c>
    </row>
    <row r="83" spans="1:5" hidden="1" x14ac:dyDescent="0.3">
      <c r="A83" t="s">
        <v>96</v>
      </c>
      <c r="B83" t="s">
        <v>3</v>
      </c>
      <c r="C83">
        <v>0</v>
      </c>
      <c r="E83">
        <f t="shared" si="1"/>
        <v>0</v>
      </c>
    </row>
    <row r="84" spans="1:5" hidden="1" x14ac:dyDescent="0.3">
      <c r="A84" t="s">
        <v>98</v>
      </c>
      <c r="B84" t="s">
        <v>3</v>
      </c>
      <c r="C84">
        <v>0</v>
      </c>
      <c r="E84">
        <f t="shared" si="1"/>
        <v>0</v>
      </c>
    </row>
    <row r="85" spans="1:5" hidden="1" x14ac:dyDescent="0.3">
      <c r="A85" t="s">
        <v>99</v>
      </c>
      <c r="B85" t="s">
        <v>3</v>
      </c>
      <c r="C85">
        <v>0</v>
      </c>
      <c r="E85">
        <f t="shared" si="1"/>
        <v>0</v>
      </c>
    </row>
    <row r="86" spans="1:5" x14ac:dyDescent="0.3">
      <c r="A86" t="s">
        <v>15</v>
      </c>
      <c r="B86" t="s">
        <v>3</v>
      </c>
      <c r="C86">
        <v>10</v>
      </c>
      <c r="D86">
        <v>31000</v>
      </c>
      <c r="E86">
        <f t="shared" si="1"/>
        <v>310000</v>
      </c>
    </row>
    <row r="87" spans="1:5" x14ac:dyDescent="0.3">
      <c r="A87" t="s">
        <v>93</v>
      </c>
      <c r="B87" t="s">
        <v>3</v>
      </c>
      <c r="C87">
        <v>15</v>
      </c>
      <c r="D87">
        <v>33000</v>
      </c>
      <c r="E87">
        <f t="shared" si="1"/>
        <v>495000</v>
      </c>
    </row>
    <row r="88" spans="1:5" hidden="1" x14ac:dyDescent="0.3">
      <c r="A88" t="s">
        <v>119</v>
      </c>
      <c r="B88" t="s">
        <v>3</v>
      </c>
      <c r="C88">
        <v>0</v>
      </c>
      <c r="E88">
        <f t="shared" si="1"/>
        <v>0</v>
      </c>
    </row>
    <row r="89" spans="1:5" hidden="1" x14ac:dyDescent="0.3">
      <c r="A89" t="s">
        <v>111</v>
      </c>
      <c r="B89" t="s">
        <v>3</v>
      </c>
      <c r="C89">
        <v>0</v>
      </c>
      <c r="E89">
        <f t="shared" si="1"/>
        <v>0</v>
      </c>
    </row>
    <row r="90" spans="1:5" hidden="1" x14ac:dyDescent="0.3">
      <c r="A90" t="s">
        <v>112</v>
      </c>
      <c r="B90" t="s">
        <v>3</v>
      </c>
      <c r="C90">
        <v>0</v>
      </c>
      <c r="E90">
        <f t="shared" si="1"/>
        <v>0</v>
      </c>
    </row>
    <row r="91" spans="1:5" hidden="1" x14ac:dyDescent="0.3">
      <c r="A91" t="s">
        <v>69</v>
      </c>
      <c r="B91" t="s">
        <v>3</v>
      </c>
      <c r="C91">
        <v>0</v>
      </c>
      <c r="E91">
        <f t="shared" si="1"/>
        <v>0</v>
      </c>
    </row>
    <row r="92" spans="1:5" hidden="1" x14ac:dyDescent="0.3">
      <c r="A92" t="s">
        <v>49</v>
      </c>
      <c r="B92" t="s">
        <v>3</v>
      </c>
      <c r="C92">
        <v>0</v>
      </c>
      <c r="E92">
        <f t="shared" si="1"/>
        <v>0</v>
      </c>
    </row>
    <row r="93" spans="1:5" hidden="1" x14ac:dyDescent="0.3">
      <c r="A93" t="s">
        <v>57</v>
      </c>
      <c r="B93" t="s">
        <v>3</v>
      </c>
      <c r="C93">
        <v>0</v>
      </c>
      <c r="E93">
        <f t="shared" si="1"/>
        <v>0</v>
      </c>
    </row>
    <row r="94" spans="1:5" hidden="1" x14ac:dyDescent="0.3">
      <c r="A94" t="s">
        <v>57</v>
      </c>
      <c r="B94" t="s">
        <v>30</v>
      </c>
      <c r="C94">
        <v>0</v>
      </c>
      <c r="E94">
        <f t="shared" si="1"/>
        <v>0</v>
      </c>
    </row>
    <row r="95" spans="1:5" hidden="1" x14ac:dyDescent="0.3">
      <c r="A95" t="s">
        <v>123</v>
      </c>
      <c r="B95" t="s">
        <v>3</v>
      </c>
      <c r="C95">
        <v>0</v>
      </c>
      <c r="E95">
        <f t="shared" si="1"/>
        <v>0</v>
      </c>
    </row>
    <row r="96" spans="1:5" hidden="1" x14ac:dyDescent="0.3">
      <c r="A96" t="s">
        <v>114</v>
      </c>
      <c r="B96" t="s">
        <v>3</v>
      </c>
      <c r="C96">
        <v>0</v>
      </c>
      <c r="E96">
        <f t="shared" si="1"/>
        <v>0</v>
      </c>
    </row>
    <row r="97" spans="1:5" hidden="1" x14ac:dyDescent="0.3">
      <c r="A97" t="s">
        <v>6</v>
      </c>
      <c r="B97" t="s">
        <v>3</v>
      </c>
      <c r="C97">
        <v>0</v>
      </c>
      <c r="E97">
        <f t="shared" si="1"/>
        <v>0</v>
      </c>
    </row>
    <row r="98" spans="1:5" hidden="1" x14ac:dyDescent="0.3">
      <c r="A98" t="s">
        <v>85</v>
      </c>
      <c r="B98" t="s">
        <v>30</v>
      </c>
      <c r="C98">
        <v>0</v>
      </c>
      <c r="E98">
        <f t="shared" si="1"/>
        <v>0</v>
      </c>
    </row>
    <row r="99" spans="1:5" x14ac:dyDescent="0.3">
      <c r="A99" t="s">
        <v>60</v>
      </c>
      <c r="B99" t="s">
        <v>30</v>
      </c>
      <c r="C99">
        <v>200</v>
      </c>
      <c r="D99">
        <v>7500</v>
      </c>
      <c r="E99">
        <f t="shared" si="1"/>
        <v>1500000</v>
      </c>
    </row>
    <row r="100" spans="1:5" hidden="1" x14ac:dyDescent="0.3">
      <c r="A100" t="s">
        <v>100</v>
      </c>
      <c r="B100" t="s">
        <v>40</v>
      </c>
      <c r="C100">
        <v>0</v>
      </c>
      <c r="E100">
        <f t="shared" si="1"/>
        <v>0</v>
      </c>
    </row>
    <row r="101" spans="1:5" hidden="1" x14ac:dyDescent="0.3">
      <c r="A101" t="s">
        <v>91</v>
      </c>
      <c r="B101" t="s">
        <v>25</v>
      </c>
      <c r="C101">
        <v>0</v>
      </c>
      <c r="E101">
        <f t="shared" si="1"/>
        <v>0</v>
      </c>
    </row>
    <row r="102" spans="1:5" hidden="1" x14ac:dyDescent="0.3">
      <c r="A102" t="s">
        <v>97</v>
      </c>
      <c r="B102" t="s">
        <v>40</v>
      </c>
      <c r="C102">
        <v>0</v>
      </c>
      <c r="E102">
        <f t="shared" si="1"/>
        <v>0</v>
      </c>
    </row>
    <row r="103" spans="1:5" hidden="1" x14ac:dyDescent="0.3">
      <c r="A103" t="s">
        <v>95</v>
      </c>
      <c r="B103" t="s">
        <v>40</v>
      </c>
      <c r="C103">
        <v>0</v>
      </c>
      <c r="E103">
        <f t="shared" si="1"/>
        <v>0</v>
      </c>
    </row>
    <row r="104" spans="1:5" x14ac:dyDescent="0.3">
      <c r="A104" t="s">
        <v>89</v>
      </c>
      <c r="B104" t="s">
        <v>3</v>
      </c>
      <c r="C104">
        <v>520</v>
      </c>
      <c r="D104">
        <v>28000</v>
      </c>
      <c r="E104">
        <f t="shared" si="1"/>
        <v>14560000</v>
      </c>
    </row>
    <row r="105" spans="1:5" hidden="1" x14ac:dyDescent="0.3">
      <c r="A105" t="s">
        <v>124</v>
      </c>
      <c r="B105" t="s">
        <v>3</v>
      </c>
      <c r="C105">
        <v>0</v>
      </c>
      <c r="E105">
        <f t="shared" si="1"/>
        <v>0</v>
      </c>
    </row>
    <row r="106" spans="1:5" hidden="1" x14ac:dyDescent="0.3">
      <c r="A106" t="s">
        <v>90</v>
      </c>
      <c r="B106" t="s">
        <v>3</v>
      </c>
      <c r="C106">
        <v>0</v>
      </c>
      <c r="E106">
        <f t="shared" si="1"/>
        <v>0</v>
      </c>
    </row>
    <row r="107" spans="1:5" hidden="1" x14ac:dyDescent="0.3">
      <c r="A107" t="s">
        <v>14</v>
      </c>
      <c r="B107" t="s">
        <v>3</v>
      </c>
      <c r="C107">
        <v>0</v>
      </c>
      <c r="E107">
        <f t="shared" si="1"/>
        <v>0</v>
      </c>
    </row>
    <row r="108" spans="1:5" x14ac:dyDescent="0.3">
      <c r="A108" t="s">
        <v>55</v>
      </c>
      <c r="B108" t="s">
        <v>3</v>
      </c>
      <c r="C108">
        <v>32</v>
      </c>
      <c r="D108">
        <v>25000</v>
      </c>
      <c r="E108">
        <f t="shared" si="1"/>
        <v>800000</v>
      </c>
    </row>
    <row r="109" spans="1:5" hidden="1" x14ac:dyDescent="0.3">
      <c r="A109" t="s">
        <v>125</v>
      </c>
      <c r="B109" t="s">
        <v>25</v>
      </c>
      <c r="C109">
        <v>0</v>
      </c>
      <c r="E109">
        <f t="shared" si="1"/>
        <v>0</v>
      </c>
    </row>
    <row r="110" spans="1:5" x14ac:dyDescent="0.3">
      <c r="A110" t="s">
        <v>43</v>
      </c>
      <c r="B110" t="s">
        <v>3</v>
      </c>
      <c r="C110">
        <v>2.7</v>
      </c>
      <c r="D110">
        <v>16000</v>
      </c>
      <c r="E110">
        <f t="shared" si="1"/>
        <v>43200</v>
      </c>
    </row>
    <row r="111" spans="1:5" x14ac:dyDescent="0.3">
      <c r="A111" t="s">
        <v>53</v>
      </c>
      <c r="B111" t="s">
        <v>3</v>
      </c>
      <c r="C111">
        <v>560</v>
      </c>
      <c r="D111">
        <v>23000</v>
      </c>
      <c r="E111">
        <f t="shared" si="1"/>
        <v>12880000</v>
      </c>
    </row>
    <row r="112" spans="1:5" x14ac:dyDescent="0.3">
      <c r="A112" t="s">
        <v>88</v>
      </c>
      <c r="B112" t="s">
        <v>9</v>
      </c>
      <c r="C112">
        <v>1011</v>
      </c>
      <c r="D112">
        <v>17000</v>
      </c>
      <c r="E112">
        <f t="shared" si="1"/>
        <v>17187000</v>
      </c>
    </row>
    <row r="113" spans="1:5" x14ac:dyDescent="0.3">
      <c r="E113">
        <f>SUM(E3:E112)</f>
        <v>188911300</v>
      </c>
    </row>
    <row r="114" spans="1:5" x14ac:dyDescent="0.3">
      <c r="A114" t="s">
        <v>110</v>
      </c>
    </row>
    <row r="115" spans="1:5" x14ac:dyDescent="0.3">
      <c r="A115" t="s">
        <v>0</v>
      </c>
      <c r="B115" t="s">
        <v>1</v>
      </c>
      <c r="C115" t="s">
        <v>107</v>
      </c>
      <c r="D115" t="s">
        <v>108</v>
      </c>
      <c r="E115" t="s">
        <v>109</v>
      </c>
    </row>
    <row r="116" spans="1:5" x14ac:dyDescent="0.3">
      <c r="A116" t="s">
        <v>31</v>
      </c>
      <c r="B116" t="s">
        <v>3</v>
      </c>
      <c r="C116">
        <v>121.00000000000001</v>
      </c>
      <c r="D116">
        <v>11500</v>
      </c>
      <c r="E116">
        <f t="shared" si="1"/>
        <v>1391500.0000000002</v>
      </c>
    </row>
    <row r="117" spans="1:5" x14ac:dyDescent="0.3">
      <c r="A117" t="s">
        <v>44</v>
      </c>
      <c r="B117" t="s">
        <v>3</v>
      </c>
      <c r="C117">
        <v>30</v>
      </c>
      <c r="D117">
        <v>7000</v>
      </c>
      <c r="E117">
        <f t="shared" si="1"/>
        <v>210000</v>
      </c>
    </row>
    <row r="118" spans="1:5" x14ac:dyDescent="0.3">
      <c r="A118" t="s">
        <v>45</v>
      </c>
      <c r="B118" t="s">
        <v>3</v>
      </c>
      <c r="C118">
        <v>5</v>
      </c>
      <c r="D118">
        <v>10000</v>
      </c>
      <c r="E118">
        <f t="shared" si="1"/>
        <v>50000</v>
      </c>
    </row>
    <row r="119" spans="1:5" x14ac:dyDescent="0.3">
      <c r="A119" t="s">
        <v>47</v>
      </c>
      <c r="B119" t="s">
        <v>3</v>
      </c>
      <c r="C119">
        <v>20</v>
      </c>
      <c r="D119">
        <v>12500</v>
      </c>
      <c r="E119">
        <f t="shared" si="1"/>
        <v>250000</v>
      </c>
    </row>
    <row r="120" spans="1:5" x14ac:dyDescent="0.3">
      <c r="A120" t="s">
        <v>54</v>
      </c>
      <c r="B120" t="s">
        <v>3</v>
      </c>
      <c r="C120">
        <v>44</v>
      </c>
      <c r="D120">
        <v>16000</v>
      </c>
      <c r="E120">
        <f t="shared" si="1"/>
        <v>704000</v>
      </c>
    </row>
    <row r="121" spans="1:5" hidden="1" x14ac:dyDescent="0.3">
      <c r="A121" t="s">
        <v>57</v>
      </c>
      <c r="B121" t="s">
        <v>30</v>
      </c>
      <c r="C121">
        <v>0</v>
      </c>
      <c r="E121">
        <f t="shared" si="1"/>
        <v>0</v>
      </c>
    </row>
    <row r="122" spans="1:5" x14ac:dyDescent="0.3">
      <c r="A122" t="s">
        <v>59</v>
      </c>
      <c r="B122" t="s">
        <v>3</v>
      </c>
      <c r="C122">
        <v>30</v>
      </c>
      <c r="D122">
        <v>17000</v>
      </c>
      <c r="E122">
        <f t="shared" si="1"/>
        <v>510000</v>
      </c>
    </row>
    <row r="123" spans="1:5" x14ac:dyDescent="0.3">
      <c r="A123" t="s">
        <v>61</v>
      </c>
      <c r="B123" t="s">
        <v>3</v>
      </c>
      <c r="C123">
        <v>7</v>
      </c>
      <c r="D123">
        <v>13000</v>
      </c>
      <c r="E123">
        <f t="shared" si="1"/>
        <v>91000</v>
      </c>
    </row>
    <row r="124" spans="1:5" x14ac:dyDescent="0.3">
      <c r="A124" t="s">
        <v>12</v>
      </c>
      <c r="B124" t="s">
        <v>3</v>
      </c>
      <c r="C124">
        <v>6</v>
      </c>
      <c r="D124">
        <v>16000</v>
      </c>
      <c r="E124">
        <f t="shared" si="1"/>
        <v>96000</v>
      </c>
    </row>
    <row r="125" spans="1:5" hidden="1" x14ac:dyDescent="0.3">
      <c r="A125" t="s">
        <v>102</v>
      </c>
      <c r="B125" t="s">
        <v>3</v>
      </c>
      <c r="C125">
        <v>0</v>
      </c>
      <c r="E125">
        <f t="shared" si="1"/>
        <v>0</v>
      </c>
    </row>
    <row r="126" spans="1:5" x14ac:dyDescent="0.3">
      <c r="A126" t="s">
        <v>2</v>
      </c>
      <c r="B126" t="s">
        <v>3</v>
      </c>
      <c r="C126">
        <v>6</v>
      </c>
      <c r="D126">
        <v>15000</v>
      </c>
      <c r="E126">
        <f t="shared" si="1"/>
        <v>90000</v>
      </c>
    </row>
    <row r="127" spans="1:5" x14ac:dyDescent="0.3">
      <c r="A127" t="s">
        <v>4</v>
      </c>
      <c r="B127" t="s">
        <v>3</v>
      </c>
      <c r="C127">
        <v>22</v>
      </c>
      <c r="D127">
        <v>7000</v>
      </c>
      <c r="E127">
        <f t="shared" si="1"/>
        <v>154000</v>
      </c>
    </row>
    <row r="128" spans="1:5" x14ac:dyDescent="0.3">
      <c r="A128" t="s">
        <v>5</v>
      </c>
      <c r="B128" t="s">
        <v>3</v>
      </c>
      <c r="C128">
        <v>424</v>
      </c>
      <c r="D128">
        <v>6500</v>
      </c>
      <c r="E128">
        <f t="shared" si="1"/>
        <v>2756000</v>
      </c>
    </row>
    <row r="129" spans="1:5" x14ac:dyDescent="0.3">
      <c r="A129" t="s">
        <v>38</v>
      </c>
      <c r="B129" t="s">
        <v>3</v>
      </c>
      <c r="C129">
        <v>100</v>
      </c>
      <c r="D129">
        <v>6000</v>
      </c>
      <c r="E129">
        <f t="shared" si="1"/>
        <v>600000</v>
      </c>
    </row>
    <row r="130" spans="1:5" x14ac:dyDescent="0.3">
      <c r="A130" t="s">
        <v>39</v>
      </c>
      <c r="B130" t="s">
        <v>3</v>
      </c>
      <c r="C130">
        <v>30</v>
      </c>
      <c r="D130">
        <v>9000</v>
      </c>
      <c r="E130">
        <f t="shared" si="1"/>
        <v>270000</v>
      </c>
    </row>
    <row r="131" spans="1:5" hidden="1" x14ac:dyDescent="0.3">
      <c r="A131" t="s">
        <v>71</v>
      </c>
      <c r="B131" t="s">
        <v>3</v>
      </c>
      <c r="C131">
        <v>0</v>
      </c>
      <c r="E131">
        <f t="shared" si="1"/>
        <v>0</v>
      </c>
    </row>
    <row r="132" spans="1:5" hidden="1" x14ac:dyDescent="0.3">
      <c r="A132" t="s">
        <v>95</v>
      </c>
      <c r="B132" t="s">
        <v>40</v>
      </c>
      <c r="C132">
        <v>0</v>
      </c>
      <c r="E132">
        <f t="shared" si="1"/>
        <v>0</v>
      </c>
    </row>
    <row r="133" spans="1:5" hidden="1" x14ac:dyDescent="0.3">
      <c r="A133" t="s">
        <v>97</v>
      </c>
      <c r="B133" t="s">
        <v>40</v>
      </c>
      <c r="C133">
        <v>0</v>
      </c>
      <c r="E133">
        <f t="shared" si="1"/>
        <v>0</v>
      </c>
    </row>
    <row r="134" spans="1:5" hidden="1" x14ac:dyDescent="0.3">
      <c r="A134" t="s">
        <v>100</v>
      </c>
      <c r="B134" t="s">
        <v>40</v>
      </c>
      <c r="C134">
        <v>0</v>
      </c>
      <c r="E134">
        <f t="shared" ref="E134:E150" si="2">C134*D134</f>
        <v>0</v>
      </c>
    </row>
    <row r="135" spans="1:5" x14ac:dyDescent="0.3">
      <c r="A135" t="s">
        <v>119</v>
      </c>
      <c r="B135" t="s">
        <v>3</v>
      </c>
      <c r="C135">
        <v>10</v>
      </c>
      <c r="D135">
        <v>10000</v>
      </c>
      <c r="E135">
        <f t="shared" si="2"/>
        <v>100000</v>
      </c>
    </row>
    <row r="136" spans="1:5" x14ac:dyDescent="0.3">
      <c r="A136" t="s">
        <v>7</v>
      </c>
      <c r="B136" t="s">
        <v>3</v>
      </c>
      <c r="C136">
        <v>25</v>
      </c>
      <c r="D136">
        <v>12000</v>
      </c>
      <c r="E136">
        <f t="shared" si="2"/>
        <v>300000</v>
      </c>
    </row>
    <row r="137" spans="1:5" x14ac:dyDescent="0.3">
      <c r="A137" t="s">
        <v>8</v>
      </c>
      <c r="B137" t="s">
        <v>3</v>
      </c>
      <c r="C137">
        <v>11</v>
      </c>
      <c r="D137">
        <v>8000</v>
      </c>
      <c r="E137">
        <f t="shared" si="2"/>
        <v>88000</v>
      </c>
    </row>
    <row r="138" spans="1:5" x14ac:dyDescent="0.3">
      <c r="A138" t="s">
        <v>18</v>
      </c>
      <c r="B138" t="s">
        <v>3</v>
      </c>
      <c r="C138">
        <v>20</v>
      </c>
      <c r="D138">
        <v>17000</v>
      </c>
      <c r="E138">
        <f t="shared" si="2"/>
        <v>340000</v>
      </c>
    </row>
    <row r="139" spans="1:5" x14ac:dyDescent="0.3">
      <c r="A139" t="s">
        <v>28</v>
      </c>
      <c r="B139" t="s">
        <v>3</v>
      </c>
      <c r="C139">
        <v>286</v>
      </c>
      <c r="D139">
        <v>12000</v>
      </c>
      <c r="E139">
        <f t="shared" si="2"/>
        <v>3432000</v>
      </c>
    </row>
    <row r="140" spans="1:5" x14ac:dyDescent="0.3">
      <c r="A140" t="s">
        <v>33</v>
      </c>
      <c r="B140" t="s">
        <v>3</v>
      </c>
      <c r="C140">
        <v>5</v>
      </c>
      <c r="D140">
        <v>8000</v>
      </c>
      <c r="E140">
        <f t="shared" si="2"/>
        <v>40000</v>
      </c>
    </row>
    <row r="141" spans="1:5" x14ac:dyDescent="0.3">
      <c r="A141" t="s">
        <v>78</v>
      </c>
      <c r="B141" t="s">
        <v>3</v>
      </c>
      <c r="C141">
        <v>5</v>
      </c>
      <c r="D141">
        <v>26000</v>
      </c>
      <c r="E141">
        <f t="shared" si="2"/>
        <v>130000</v>
      </c>
    </row>
    <row r="142" spans="1:5" x14ac:dyDescent="0.3">
      <c r="A142" t="s">
        <v>80</v>
      </c>
      <c r="B142" t="s">
        <v>3</v>
      </c>
      <c r="C142">
        <v>5</v>
      </c>
      <c r="D142">
        <v>26000</v>
      </c>
      <c r="E142">
        <f t="shared" si="2"/>
        <v>130000</v>
      </c>
    </row>
    <row r="143" spans="1:5" x14ac:dyDescent="0.3">
      <c r="A143" t="s">
        <v>82</v>
      </c>
      <c r="B143" t="s">
        <v>3</v>
      </c>
      <c r="C143">
        <v>5</v>
      </c>
      <c r="D143">
        <v>31000</v>
      </c>
      <c r="E143">
        <f t="shared" si="2"/>
        <v>155000</v>
      </c>
    </row>
    <row r="144" spans="1:5" x14ac:dyDescent="0.3">
      <c r="A144" t="s">
        <v>92</v>
      </c>
      <c r="B144" t="s">
        <v>3</v>
      </c>
      <c r="C144">
        <v>143</v>
      </c>
      <c r="D144">
        <v>18000</v>
      </c>
      <c r="E144">
        <f t="shared" si="2"/>
        <v>2574000</v>
      </c>
    </row>
    <row r="145" spans="1:5" x14ac:dyDescent="0.3">
      <c r="A145" t="s">
        <v>105</v>
      </c>
      <c r="B145" t="s">
        <v>3</v>
      </c>
      <c r="C145">
        <v>10</v>
      </c>
      <c r="D145">
        <v>27000</v>
      </c>
      <c r="E145">
        <f t="shared" si="2"/>
        <v>270000</v>
      </c>
    </row>
    <row r="146" spans="1:5" x14ac:dyDescent="0.3">
      <c r="A146" t="s">
        <v>103</v>
      </c>
      <c r="B146" t="s">
        <v>3</v>
      </c>
      <c r="C146">
        <v>10</v>
      </c>
      <c r="D146">
        <v>14000</v>
      </c>
      <c r="E146">
        <f t="shared" si="2"/>
        <v>140000</v>
      </c>
    </row>
    <row r="147" spans="1:5" hidden="1" x14ac:dyDescent="0.3">
      <c r="A147" t="s">
        <v>68</v>
      </c>
      <c r="B147" t="s">
        <v>3</v>
      </c>
      <c r="C147">
        <v>0</v>
      </c>
      <c r="E147">
        <f t="shared" si="2"/>
        <v>0</v>
      </c>
    </row>
    <row r="148" spans="1:5" hidden="1" x14ac:dyDescent="0.3">
      <c r="A148" t="s">
        <v>68</v>
      </c>
      <c r="B148" t="s">
        <v>17</v>
      </c>
      <c r="C148">
        <v>0</v>
      </c>
      <c r="E148">
        <f t="shared" si="2"/>
        <v>0</v>
      </c>
    </row>
    <row r="149" spans="1:5" x14ac:dyDescent="0.3">
      <c r="A149" t="s">
        <v>63</v>
      </c>
      <c r="B149" t="s">
        <v>30</v>
      </c>
      <c r="C149">
        <v>24</v>
      </c>
      <c r="D149">
        <v>7000</v>
      </c>
      <c r="E149">
        <f t="shared" si="2"/>
        <v>168000</v>
      </c>
    </row>
    <row r="150" spans="1:5" x14ac:dyDescent="0.3">
      <c r="A150" t="s">
        <v>104</v>
      </c>
      <c r="B150" t="s">
        <v>3</v>
      </c>
      <c r="C150">
        <v>3220</v>
      </c>
      <c r="D150">
        <v>6000</v>
      </c>
      <c r="E150">
        <f t="shared" si="2"/>
        <v>19320000</v>
      </c>
    </row>
    <row r="151" spans="1:5" x14ac:dyDescent="0.3">
      <c r="E151">
        <f>SUM(E116:E150)</f>
        <v>34359500</v>
      </c>
    </row>
    <row r="152" spans="1:5" x14ac:dyDescent="0.3">
      <c r="E152">
        <f>E151+E113</f>
        <v>223270800</v>
      </c>
    </row>
  </sheetData>
  <autoFilter ref="A2:E150" xr:uid="{00000000-0009-0000-0000-000004000000}">
    <filterColumn colId="2">
      <filters>
        <filter val="10"/>
        <filter val="100"/>
        <filter val="1011"/>
        <filter val="11"/>
        <filter val="111"/>
        <filter val="12"/>
        <filter val="120"/>
        <filter val="121"/>
        <filter val="123"/>
        <filter val="130"/>
        <filter val="14"/>
        <filter val="143"/>
        <filter val="1460"/>
        <filter val="15"/>
        <filter val="159"/>
        <filter val="16"/>
        <filter val="18"/>
        <filter val="191"/>
        <filter val="195"/>
        <filter val="199"/>
        <filter val="2.7"/>
        <filter val="20"/>
        <filter val="200"/>
        <filter val="22"/>
        <filter val="24"/>
        <filter val="240"/>
        <filter val="25"/>
        <filter val="286"/>
        <filter val="3"/>
        <filter val="30"/>
        <filter val="31"/>
        <filter val="32"/>
        <filter val="3220"/>
        <filter val="34"/>
        <filter val="350"/>
        <filter val="388"/>
        <filter val="40"/>
        <filter val="424"/>
        <filter val="44"/>
        <filter val="5"/>
        <filter val="52"/>
        <filter val="520"/>
        <filter val="560"/>
        <filter val="6"/>
        <filter val="625"/>
        <filter val="68"/>
        <filter val="69"/>
        <filter val="7"/>
        <filter val="70"/>
        <filter val="77"/>
        <filter val="8"/>
        <filter val="83"/>
        <filter val="85"/>
        <filter val="870"/>
        <filter val="960"/>
        <filter val="965"/>
        <filter val="Tồn_x000a_ĐL_x000a__x000a_現在庫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E133"/>
  <sheetViews>
    <sheetView topLeftCell="A93" workbookViewId="0">
      <selection activeCell="E133" sqref="E133"/>
    </sheetView>
  </sheetViews>
  <sheetFormatPr defaultRowHeight="14.4" x14ac:dyDescent="0.3"/>
  <cols>
    <col min="1" max="1" width="29.77734375" customWidth="1"/>
    <col min="3" max="3" width="10.21875" customWidth="1"/>
    <col min="4" max="4" width="10.33203125" customWidth="1"/>
    <col min="5" max="5" width="16.21875" customWidth="1"/>
  </cols>
  <sheetData>
    <row r="1" spans="1:5" x14ac:dyDescent="0.3">
      <c r="A1" t="s">
        <v>129</v>
      </c>
    </row>
    <row r="2" spans="1:5" x14ac:dyDescent="0.3">
      <c r="A2" t="s">
        <v>127</v>
      </c>
      <c r="B2" t="s">
        <v>1</v>
      </c>
      <c r="C2" t="s">
        <v>107</v>
      </c>
      <c r="D2" t="s">
        <v>108</v>
      </c>
      <c r="E2" t="s">
        <v>109</v>
      </c>
    </row>
    <row r="3" spans="1:5" x14ac:dyDescent="0.3">
      <c r="A3" t="s">
        <v>4</v>
      </c>
      <c r="B3" t="s">
        <v>3</v>
      </c>
      <c r="C3">
        <v>271</v>
      </c>
      <c r="D3">
        <v>7000</v>
      </c>
      <c r="E3">
        <f>C3*D3</f>
        <v>1897000</v>
      </c>
    </row>
    <row r="4" spans="1:5" x14ac:dyDescent="0.3">
      <c r="A4" t="s">
        <v>5</v>
      </c>
      <c r="B4" t="s">
        <v>3</v>
      </c>
      <c r="C4">
        <v>380</v>
      </c>
      <c r="D4">
        <v>5500</v>
      </c>
      <c r="E4">
        <f t="shared" ref="E4:E67" si="0">C4*D4</f>
        <v>2090000</v>
      </c>
    </row>
    <row r="5" spans="1:5" hidden="1" x14ac:dyDescent="0.3">
      <c r="A5" t="s">
        <v>6</v>
      </c>
      <c r="B5" t="s">
        <v>3</v>
      </c>
      <c r="C5">
        <v>0</v>
      </c>
      <c r="E5">
        <f t="shared" si="0"/>
        <v>0</v>
      </c>
    </row>
    <row r="6" spans="1:5" x14ac:dyDescent="0.3">
      <c r="A6" t="s">
        <v>7</v>
      </c>
      <c r="B6" t="s">
        <v>3</v>
      </c>
      <c r="C6">
        <v>25</v>
      </c>
      <c r="D6">
        <v>10000</v>
      </c>
      <c r="E6">
        <f t="shared" si="0"/>
        <v>250000</v>
      </c>
    </row>
    <row r="7" spans="1:5" x14ac:dyDescent="0.3">
      <c r="A7" t="s">
        <v>8</v>
      </c>
      <c r="B7" t="s">
        <v>3</v>
      </c>
      <c r="C7">
        <v>354</v>
      </c>
      <c r="D7">
        <v>8000</v>
      </c>
      <c r="E7">
        <f t="shared" si="0"/>
        <v>2832000</v>
      </c>
    </row>
    <row r="8" spans="1:5" hidden="1" x14ac:dyDescent="0.3">
      <c r="A8" t="s">
        <v>8</v>
      </c>
      <c r="B8" t="s">
        <v>9</v>
      </c>
      <c r="C8">
        <v>0</v>
      </c>
      <c r="E8">
        <f t="shared" si="0"/>
        <v>0</v>
      </c>
    </row>
    <row r="9" spans="1:5" x14ac:dyDescent="0.3">
      <c r="A9" t="s">
        <v>10</v>
      </c>
      <c r="B9" t="s">
        <v>3</v>
      </c>
      <c r="C9">
        <v>55</v>
      </c>
      <c r="D9">
        <v>15000</v>
      </c>
      <c r="E9">
        <f t="shared" si="0"/>
        <v>825000</v>
      </c>
    </row>
    <row r="10" spans="1:5" hidden="1" x14ac:dyDescent="0.3">
      <c r="A10" t="s">
        <v>10</v>
      </c>
      <c r="B10" t="s">
        <v>9</v>
      </c>
      <c r="C10">
        <v>0</v>
      </c>
      <c r="E10">
        <f t="shared" si="0"/>
        <v>0</v>
      </c>
    </row>
    <row r="11" spans="1:5" hidden="1" x14ac:dyDescent="0.3">
      <c r="A11" t="s">
        <v>12</v>
      </c>
      <c r="B11" t="s">
        <v>3</v>
      </c>
      <c r="C11">
        <v>0</v>
      </c>
      <c r="E11">
        <f t="shared" si="0"/>
        <v>0</v>
      </c>
    </row>
    <row r="12" spans="1:5" x14ac:dyDescent="0.3">
      <c r="A12" t="s">
        <v>14</v>
      </c>
      <c r="B12" t="s">
        <v>3</v>
      </c>
      <c r="C12">
        <v>40</v>
      </c>
      <c r="D12">
        <v>20000</v>
      </c>
      <c r="E12">
        <f t="shared" si="0"/>
        <v>800000</v>
      </c>
    </row>
    <row r="13" spans="1:5" x14ac:dyDescent="0.3">
      <c r="A13" t="s">
        <v>15</v>
      </c>
      <c r="B13" t="s">
        <v>3</v>
      </c>
      <c r="C13">
        <v>15</v>
      </c>
      <c r="D13">
        <v>31000</v>
      </c>
      <c r="E13">
        <f t="shared" si="0"/>
        <v>465000</v>
      </c>
    </row>
    <row r="14" spans="1:5" hidden="1" x14ac:dyDescent="0.3">
      <c r="A14" t="s">
        <v>16</v>
      </c>
      <c r="B14" t="s">
        <v>17</v>
      </c>
      <c r="C14">
        <v>0</v>
      </c>
      <c r="E14">
        <f t="shared" si="0"/>
        <v>0</v>
      </c>
    </row>
    <row r="15" spans="1:5" x14ac:dyDescent="0.3">
      <c r="A15" t="s">
        <v>128</v>
      </c>
      <c r="B15" t="s">
        <v>3</v>
      </c>
      <c r="C15">
        <v>20</v>
      </c>
      <c r="D15">
        <v>20000</v>
      </c>
      <c r="E15">
        <f t="shared" si="0"/>
        <v>400000</v>
      </c>
    </row>
    <row r="16" spans="1:5" x14ac:dyDescent="0.3">
      <c r="A16" t="s">
        <v>18</v>
      </c>
      <c r="B16" t="s">
        <v>3</v>
      </c>
      <c r="C16">
        <v>358</v>
      </c>
      <c r="D16">
        <v>17000</v>
      </c>
      <c r="E16">
        <f t="shared" si="0"/>
        <v>6086000</v>
      </c>
    </row>
    <row r="17" spans="1:5" hidden="1" x14ac:dyDescent="0.3">
      <c r="A17" t="s">
        <v>18</v>
      </c>
      <c r="B17" t="s">
        <v>19</v>
      </c>
      <c r="C17">
        <v>0</v>
      </c>
      <c r="E17">
        <f t="shared" si="0"/>
        <v>0</v>
      </c>
    </row>
    <row r="18" spans="1:5" x14ac:dyDescent="0.3">
      <c r="A18" t="s">
        <v>20</v>
      </c>
      <c r="B18" t="s">
        <v>3</v>
      </c>
      <c r="C18">
        <v>25</v>
      </c>
      <c r="D18">
        <v>8000</v>
      </c>
      <c r="E18">
        <f t="shared" si="0"/>
        <v>200000</v>
      </c>
    </row>
    <row r="19" spans="1:5" hidden="1" x14ac:dyDescent="0.3">
      <c r="A19" t="s">
        <v>20</v>
      </c>
      <c r="B19" t="s">
        <v>21</v>
      </c>
      <c r="C19">
        <v>0</v>
      </c>
      <c r="E19">
        <f t="shared" si="0"/>
        <v>0</v>
      </c>
    </row>
    <row r="20" spans="1:5" x14ac:dyDescent="0.3">
      <c r="A20" t="s">
        <v>22</v>
      </c>
      <c r="B20" t="s">
        <v>3</v>
      </c>
      <c r="C20">
        <v>2</v>
      </c>
      <c r="D20">
        <v>24000</v>
      </c>
      <c r="E20">
        <f t="shared" si="0"/>
        <v>48000</v>
      </c>
    </row>
    <row r="21" spans="1:5" x14ac:dyDescent="0.3">
      <c r="A21" t="s">
        <v>22</v>
      </c>
      <c r="B21" t="s">
        <v>23</v>
      </c>
      <c r="C21">
        <v>118</v>
      </c>
      <c r="D21">
        <v>7200</v>
      </c>
      <c r="E21">
        <f t="shared" si="0"/>
        <v>849600</v>
      </c>
    </row>
    <row r="22" spans="1:5" hidden="1" x14ac:dyDescent="0.3">
      <c r="A22" t="s">
        <v>26</v>
      </c>
      <c r="B22" t="s">
        <v>3</v>
      </c>
      <c r="C22">
        <v>0</v>
      </c>
      <c r="E22">
        <f t="shared" si="0"/>
        <v>0</v>
      </c>
    </row>
    <row r="23" spans="1:5" x14ac:dyDescent="0.3">
      <c r="A23" t="s">
        <v>26</v>
      </c>
      <c r="B23" t="s">
        <v>27</v>
      </c>
      <c r="C23">
        <v>322</v>
      </c>
      <c r="D23">
        <v>11000</v>
      </c>
      <c r="E23">
        <f t="shared" si="0"/>
        <v>3542000</v>
      </c>
    </row>
    <row r="24" spans="1:5" x14ac:dyDescent="0.3">
      <c r="A24" t="s">
        <v>28</v>
      </c>
      <c r="B24" t="s">
        <v>3</v>
      </c>
      <c r="C24">
        <v>312</v>
      </c>
      <c r="D24">
        <v>11000</v>
      </c>
      <c r="E24">
        <f t="shared" si="0"/>
        <v>3432000</v>
      </c>
    </row>
    <row r="25" spans="1:5" hidden="1" x14ac:dyDescent="0.3">
      <c r="A25" t="s">
        <v>28</v>
      </c>
      <c r="B25" t="s">
        <v>17</v>
      </c>
      <c r="C25">
        <v>0</v>
      </c>
      <c r="E25">
        <f t="shared" si="0"/>
        <v>0</v>
      </c>
    </row>
    <row r="26" spans="1:5" x14ac:dyDescent="0.3">
      <c r="A26" t="s">
        <v>29</v>
      </c>
      <c r="B26" t="s">
        <v>30</v>
      </c>
      <c r="C26">
        <v>141</v>
      </c>
      <c r="D26">
        <v>9000</v>
      </c>
      <c r="E26">
        <f t="shared" si="0"/>
        <v>1269000</v>
      </c>
    </row>
    <row r="27" spans="1:5" x14ac:dyDescent="0.3">
      <c r="A27" t="s">
        <v>31</v>
      </c>
      <c r="B27" t="s">
        <v>3</v>
      </c>
      <c r="C27">
        <v>154</v>
      </c>
      <c r="D27">
        <v>11000</v>
      </c>
      <c r="E27">
        <f t="shared" si="0"/>
        <v>1694000</v>
      </c>
    </row>
    <row r="28" spans="1:5" hidden="1" x14ac:dyDescent="0.3">
      <c r="A28" t="s">
        <v>31</v>
      </c>
      <c r="B28" t="s">
        <v>30</v>
      </c>
      <c r="C28">
        <v>0</v>
      </c>
      <c r="E28">
        <f t="shared" si="0"/>
        <v>0</v>
      </c>
    </row>
    <row r="29" spans="1:5" x14ac:dyDescent="0.3">
      <c r="A29" t="s">
        <v>32</v>
      </c>
      <c r="B29" t="s">
        <v>17</v>
      </c>
      <c r="C29">
        <v>7</v>
      </c>
      <c r="D29">
        <v>9500</v>
      </c>
      <c r="E29">
        <f t="shared" si="0"/>
        <v>66500</v>
      </c>
    </row>
    <row r="30" spans="1:5" x14ac:dyDescent="0.3">
      <c r="A30" t="s">
        <v>33</v>
      </c>
      <c r="B30" t="s">
        <v>3</v>
      </c>
      <c r="C30">
        <v>69</v>
      </c>
      <c r="D30">
        <v>8000</v>
      </c>
      <c r="E30">
        <f t="shared" si="0"/>
        <v>552000</v>
      </c>
    </row>
    <row r="31" spans="1:5" hidden="1" x14ac:dyDescent="0.3">
      <c r="A31" t="s">
        <v>33</v>
      </c>
      <c r="B31" t="s">
        <v>34</v>
      </c>
      <c r="C31">
        <v>0</v>
      </c>
      <c r="E31">
        <f t="shared" si="0"/>
        <v>0</v>
      </c>
    </row>
    <row r="32" spans="1:5" x14ac:dyDescent="0.3">
      <c r="A32" t="s">
        <v>35</v>
      </c>
      <c r="B32" t="s">
        <v>3</v>
      </c>
      <c r="C32">
        <v>7</v>
      </c>
      <c r="D32">
        <v>28000</v>
      </c>
      <c r="E32">
        <f t="shared" si="0"/>
        <v>196000</v>
      </c>
    </row>
    <row r="33" spans="1:5" x14ac:dyDescent="0.3">
      <c r="A33" t="s">
        <v>35</v>
      </c>
      <c r="B33" t="s">
        <v>30</v>
      </c>
      <c r="C33">
        <v>6</v>
      </c>
      <c r="D33">
        <v>9000</v>
      </c>
      <c r="E33">
        <f t="shared" si="0"/>
        <v>54000</v>
      </c>
    </row>
    <row r="34" spans="1:5" x14ac:dyDescent="0.3">
      <c r="A34" t="s">
        <v>36</v>
      </c>
      <c r="B34" t="s">
        <v>30</v>
      </c>
      <c r="C34">
        <v>2</v>
      </c>
      <c r="D34">
        <v>6000</v>
      </c>
      <c r="E34">
        <f t="shared" si="0"/>
        <v>12000</v>
      </c>
    </row>
    <row r="35" spans="1:5" hidden="1" x14ac:dyDescent="0.3">
      <c r="A35" t="s">
        <v>37</v>
      </c>
      <c r="B35" t="s">
        <v>30</v>
      </c>
      <c r="C35">
        <v>0</v>
      </c>
      <c r="E35">
        <f t="shared" si="0"/>
        <v>0</v>
      </c>
    </row>
    <row r="36" spans="1:5" x14ac:dyDescent="0.3">
      <c r="A36" t="s">
        <v>38</v>
      </c>
      <c r="B36" t="s">
        <v>3</v>
      </c>
      <c r="C36">
        <v>1541</v>
      </c>
      <c r="D36">
        <v>6000</v>
      </c>
      <c r="E36">
        <f t="shared" si="0"/>
        <v>9246000</v>
      </c>
    </row>
    <row r="37" spans="1:5" x14ac:dyDescent="0.3">
      <c r="A37" t="s">
        <v>103</v>
      </c>
      <c r="B37" t="s">
        <v>3</v>
      </c>
      <c r="C37">
        <v>4</v>
      </c>
      <c r="D37">
        <v>14000</v>
      </c>
      <c r="E37">
        <f t="shared" si="0"/>
        <v>56000</v>
      </c>
    </row>
    <row r="38" spans="1:5" hidden="1" x14ac:dyDescent="0.3">
      <c r="A38" t="s">
        <v>39</v>
      </c>
      <c r="B38" t="s">
        <v>40</v>
      </c>
      <c r="C38">
        <v>0</v>
      </c>
      <c r="E38">
        <f t="shared" si="0"/>
        <v>0</v>
      </c>
    </row>
    <row r="39" spans="1:5" x14ac:dyDescent="0.3">
      <c r="A39" t="s">
        <v>39</v>
      </c>
      <c r="B39" t="s">
        <v>3</v>
      </c>
      <c r="C39">
        <v>73</v>
      </c>
      <c r="D39">
        <v>9000</v>
      </c>
      <c r="E39">
        <f t="shared" si="0"/>
        <v>657000</v>
      </c>
    </row>
    <row r="40" spans="1:5" x14ac:dyDescent="0.3">
      <c r="A40" t="s">
        <v>105</v>
      </c>
      <c r="B40" t="s">
        <v>3</v>
      </c>
      <c r="C40">
        <v>20</v>
      </c>
      <c r="D40">
        <v>27000</v>
      </c>
      <c r="E40">
        <f t="shared" si="0"/>
        <v>540000</v>
      </c>
    </row>
    <row r="41" spans="1:5" x14ac:dyDescent="0.3">
      <c r="A41" t="s">
        <v>41</v>
      </c>
      <c r="B41" t="s">
        <v>3</v>
      </c>
      <c r="C41">
        <v>24</v>
      </c>
      <c r="D41">
        <v>14000</v>
      </c>
      <c r="E41">
        <f t="shared" si="0"/>
        <v>336000</v>
      </c>
    </row>
    <row r="42" spans="1:5" hidden="1" x14ac:dyDescent="0.3">
      <c r="A42" t="s">
        <v>42</v>
      </c>
      <c r="B42" t="s">
        <v>25</v>
      </c>
      <c r="C42">
        <v>0</v>
      </c>
      <c r="E42">
        <f t="shared" si="0"/>
        <v>0</v>
      </c>
    </row>
    <row r="43" spans="1:5" x14ac:dyDescent="0.3">
      <c r="A43" t="s">
        <v>43</v>
      </c>
      <c r="B43" t="s">
        <v>3</v>
      </c>
      <c r="C43">
        <v>2.5</v>
      </c>
      <c r="D43">
        <v>16000</v>
      </c>
      <c r="E43">
        <f t="shared" si="0"/>
        <v>40000</v>
      </c>
    </row>
    <row r="44" spans="1:5" x14ac:dyDescent="0.3">
      <c r="A44" t="s">
        <v>44</v>
      </c>
      <c r="B44" t="s">
        <v>3</v>
      </c>
      <c r="C44">
        <v>33</v>
      </c>
      <c r="D44">
        <v>6000</v>
      </c>
      <c r="E44">
        <f t="shared" si="0"/>
        <v>198000</v>
      </c>
    </row>
    <row r="45" spans="1:5" x14ac:dyDescent="0.3">
      <c r="A45" t="s">
        <v>45</v>
      </c>
      <c r="B45" t="s">
        <v>3</v>
      </c>
      <c r="C45">
        <v>43</v>
      </c>
      <c r="D45">
        <v>10000</v>
      </c>
      <c r="E45">
        <f t="shared" si="0"/>
        <v>430000</v>
      </c>
    </row>
    <row r="46" spans="1:5" hidden="1" x14ac:dyDescent="0.3">
      <c r="A46" t="s">
        <v>45</v>
      </c>
      <c r="B46" t="s">
        <v>30</v>
      </c>
      <c r="C46">
        <v>0</v>
      </c>
      <c r="E46">
        <f t="shared" si="0"/>
        <v>0</v>
      </c>
    </row>
    <row r="47" spans="1:5" x14ac:dyDescent="0.3">
      <c r="A47" t="s">
        <v>46</v>
      </c>
      <c r="B47" t="s">
        <v>3</v>
      </c>
      <c r="C47">
        <v>14</v>
      </c>
      <c r="D47">
        <v>17000</v>
      </c>
      <c r="E47">
        <f t="shared" si="0"/>
        <v>238000</v>
      </c>
    </row>
    <row r="48" spans="1:5" x14ac:dyDescent="0.3">
      <c r="A48" t="s">
        <v>47</v>
      </c>
      <c r="B48" t="s">
        <v>3</v>
      </c>
      <c r="C48">
        <v>368</v>
      </c>
      <c r="D48">
        <v>12500</v>
      </c>
      <c r="E48">
        <f t="shared" si="0"/>
        <v>4600000</v>
      </c>
    </row>
    <row r="49" spans="1:5" hidden="1" x14ac:dyDescent="0.3">
      <c r="A49" t="s">
        <v>47</v>
      </c>
      <c r="B49" t="s">
        <v>48</v>
      </c>
      <c r="C49">
        <v>0</v>
      </c>
      <c r="E49">
        <f t="shared" si="0"/>
        <v>0</v>
      </c>
    </row>
    <row r="50" spans="1:5" hidden="1" x14ac:dyDescent="0.3">
      <c r="A50" t="s">
        <v>50</v>
      </c>
      <c r="B50" t="s">
        <v>30</v>
      </c>
      <c r="C50">
        <v>0</v>
      </c>
      <c r="E50">
        <f t="shared" si="0"/>
        <v>0</v>
      </c>
    </row>
    <row r="51" spans="1:5" x14ac:dyDescent="0.3">
      <c r="A51" t="s">
        <v>51</v>
      </c>
      <c r="B51" t="s">
        <v>3</v>
      </c>
      <c r="C51">
        <v>955</v>
      </c>
      <c r="D51">
        <v>28000</v>
      </c>
      <c r="E51">
        <f t="shared" si="0"/>
        <v>26740000</v>
      </c>
    </row>
    <row r="52" spans="1:5" x14ac:dyDescent="0.3">
      <c r="A52" t="s">
        <v>52</v>
      </c>
      <c r="B52" t="s">
        <v>3</v>
      </c>
      <c r="C52">
        <v>1135</v>
      </c>
      <c r="D52">
        <v>28000</v>
      </c>
      <c r="E52">
        <f t="shared" si="0"/>
        <v>31780000</v>
      </c>
    </row>
    <row r="53" spans="1:5" hidden="1" x14ac:dyDescent="0.3">
      <c r="A53" t="s">
        <v>52</v>
      </c>
      <c r="B53" t="s">
        <v>30</v>
      </c>
      <c r="C53">
        <v>0</v>
      </c>
      <c r="E53">
        <f t="shared" si="0"/>
        <v>0</v>
      </c>
    </row>
    <row r="54" spans="1:5" x14ac:dyDescent="0.3">
      <c r="A54" t="s">
        <v>53</v>
      </c>
      <c r="B54" t="s">
        <v>3</v>
      </c>
      <c r="C54">
        <v>570</v>
      </c>
      <c r="D54">
        <v>23000</v>
      </c>
      <c r="E54">
        <f t="shared" si="0"/>
        <v>13110000</v>
      </c>
    </row>
    <row r="55" spans="1:5" x14ac:dyDescent="0.3">
      <c r="A55" t="s">
        <v>54</v>
      </c>
      <c r="B55" t="s">
        <v>3</v>
      </c>
      <c r="C55">
        <v>216</v>
      </c>
      <c r="D55">
        <v>16000</v>
      </c>
      <c r="E55">
        <f t="shared" si="0"/>
        <v>3456000</v>
      </c>
    </row>
    <row r="56" spans="1:5" x14ac:dyDescent="0.3">
      <c r="A56" t="s">
        <v>55</v>
      </c>
      <c r="B56" t="s">
        <v>3</v>
      </c>
      <c r="C56">
        <v>20</v>
      </c>
      <c r="D56">
        <v>25000</v>
      </c>
      <c r="E56">
        <f t="shared" si="0"/>
        <v>500000</v>
      </c>
    </row>
    <row r="57" spans="1:5" hidden="1" x14ac:dyDescent="0.3">
      <c r="A57" t="s">
        <v>57</v>
      </c>
      <c r="B57" t="s">
        <v>30</v>
      </c>
      <c r="C57">
        <v>0</v>
      </c>
      <c r="E57">
        <f t="shared" si="0"/>
        <v>0</v>
      </c>
    </row>
    <row r="58" spans="1:5" x14ac:dyDescent="0.3">
      <c r="A58" t="s">
        <v>57</v>
      </c>
      <c r="B58" t="s">
        <v>64</v>
      </c>
      <c r="C58">
        <v>20</v>
      </c>
      <c r="D58">
        <v>6000</v>
      </c>
      <c r="E58">
        <f t="shared" si="0"/>
        <v>120000</v>
      </c>
    </row>
    <row r="59" spans="1:5" x14ac:dyDescent="0.3">
      <c r="A59" t="s">
        <v>58</v>
      </c>
      <c r="B59" t="s">
        <v>3</v>
      </c>
      <c r="C59">
        <v>60</v>
      </c>
      <c r="D59">
        <v>30000</v>
      </c>
      <c r="E59">
        <f t="shared" si="0"/>
        <v>1800000</v>
      </c>
    </row>
    <row r="60" spans="1:5" x14ac:dyDescent="0.3">
      <c r="A60" t="s">
        <v>59</v>
      </c>
      <c r="B60" t="s">
        <v>3</v>
      </c>
      <c r="C60">
        <v>306</v>
      </c>
      <c r="D60">
        <v>17000</v>
      </c>
      <c r="E60">
        <f t="shared" si="0"/>
        <v>5202000</v>
      </c>
    </row>
    <row r="61" spans="1:5" hidden="1" x14ac:dyDescent="0.3">
      <c r="A61" t="s">
        <v>59</v>
      </c>
      <c r="B61" t="s">
        <v>30</v>
      </c>
      <c r="C61">
        <v>0</v>
      </c>
      <c r="E61">
        <f t="shared" si="0"/>
        <v>0</v>
      </c>
    </row>
    <row r="62" spans="1:5" x14ac:dyDescent="0.3">
      <c r="A62" t="s">
        <v>60</v>
      </c>
      <c r="B62" t="s">
        <v>30</v>
      </c>
      <c r="C62">
        <v>150</v>
      </c>
      <c r="D62">
        <v>7500</v>
      </c>
      <c r="E62">
        <f t="shared" si="0"/>
        <v>1125000</v>
      </c>
    </row>
    <row r="63" spans="1:5" x14ac:dyDescent="0.3">
      <c r="A63" t="s">
        <v>61</v>
      </c>
      <c r="B63" t="s">
        <v>3</v>
      </c>
      <c r="C63">
        <v>27</v>
      </c>
      <c r="D63">
        <v>13000</v>
      </c>
      <c r="E63">
        <f t="shared" si="0"/>
        <v>351000</v>
      </c>
    </row>
    <row r="64" spans="1:5" x14ac:dyDescent="0.3">
      <c r="A64" t="s">
        <v>62</v>
      </c>
      <c r="B64" t="s">
        <v>30</v>
      </c>
      <c r="C64">
        <v>13</v>
      </c>
      <c r="D64">
        <v>6000</v>
      </c>
      <c r="E64">
        <f t="shared" si="0"/>
        <v>78000</v>
      </c>
    </row>
    <row r="65" spans="1:5" hidden="1" x14ac:dyDescent="0.3">
      <c r="A65" t="s">
        <v>63</v>
      </c>
      <c r="B65" t="s">
        <v>3</v>
      </c>
      <c r="C65">
        <v>0</v>
      </c>
      <c r="E65">
        <f t="shared" si="0"/>
        <v>0</v>
      </c>
    </row>
    <row r="66" spans="1:5" hidden="1" x14ac:dyDescent="0.3">
      <c r="A66" t="s">
        <v>63</v>
      </c>
      <c r="B66" t="s">
        <v>64</v>
      </c>
      <c r="C66">
        <v>0</v>
      </c>
      <c r="E66">
        <f t="shared" si="0"/>
        <v>0</v>
      </c>
    </row>
    <row r="67" spans="1:5" hidden="1" x14ac:dyDescent="0.3">
      <c r="A67" t="s">
        <v>65</v>
      </c>
      <c r="B67" t="s">
        <v>3</v>
      </c>
      <c r="C67">
        <v>0</v>
      </c>
      <c r="E67">
        <f t="shared" si="0"/>
        <v>0</v>
      </c>
    </row>
    <row r="68" spans="1:5" hidden="1" x14ac:dyDescent="0.3">
      <c r="A68" t="s">
        <v>66</v>
      </c>
      <c r="B68" t="s">
        <v>3</v>
      </c>
      <c r="C68">
        <v>0</v>
      </c>
      <c r="E68">
        <f t="shared" ref="E68:E131" si="1">C68*D68</f>
        <v>0</v>
      </c>
    </row>
    <row r="69" spans="1:5" hidden="1" x14ac:dyDescent="0.3">
      <c r="A69" t="s">
        <v>67</v>
      </c>
      <c r="B69" t="s">
        <v>3</v>
      </c>
      <c r="C69">
        <v>0</v>
      </c>
      <c r="E69">
        <f t="shared" si="1"/>
        <v>0</v>
      </c>
    </row>
    <row r="70" spans="1:5" hidden="1" x14ac:dyDescent="0.3">
      <c r="A70" t="s">
        <v>68</v>
      </c>
      <c r="B70" t="s">
        <v>3</v>
      </c>
      <c r="C70">
        <v>0</v>
      </c>
      <c r="E70">
        <f t="shared" si="1"/>
        <v>0</v>
      </c>
    </row>
    <row r="71" spans="1:5" hidden="1" x14ac:dyDescent="0.3">
      <c r="A71" t="s">
        <v>68</v>
      </c>
      <c r="B71" t="s">
        <v>17</v>
      </c>
      <c r="C71">
        <v>0</v>
      </c>
      <c r="E71">
        <f t="shared" si="1"/>
        <v>0</v>
      </c>
    </row>
    <row r="72" spans="1:5" hidden="1" x14ac:dyDescent="0.3">
      <c r="A72" t="s">
        <v>69</v>
      </c>
      <c r="B72" t="s">
        <v>3</v>
      </c>
      <c r="C72">
        <v>0</v>
      </c>
      <c r="E72">
        <f t="shared" si="1"/>
        <v>0</v>
      </c>
    </row>
    <row r="73" spans="1:5" x14ac:dyDescent="0.3">
      <c r="A73" t="s">
        <v>70</v>
      </c>
      <c r="B73" t="s">
        <v>3</v>
      </c>
      <c r="C73">
        <v>50</v>
      </c>
      <c r="D73">
        <v>13000</v>
      </c>
      <c r="E73">
        <f t="shared" si="1"/>
        <v>650000</v>
      </c>
    </row>
    <row r="74" spans="1:5" hidden="1" x14ac:dyDescent="0.3">
      <c r="A74" t="s">
        <v>71</v>
      </c>
      <c r="B74" t="s">
        <v>40</v>
      </c>
      <c r="C74">
        <v>0</v>
      </c>
      <c r="E74">
        <f t="shared" si="1"/>
        <v>0</v>
      </c>
    </row>
    <row r="75" spans="1:5" hidden="1" x14ac:dyDescent="0.3">
      <c r="A75" t="s">
        <v>71</v>
      </c>
      <c r="B75" t="s">
        <v>3</v>
      </c>
      <c r="C75">
        <v>0</v>
      </c>
      <c r="E75">
        <f t="shared" si="1"/>
        <v>0</v>
      </c>
    </row>
    <row r="76" spans="1:5" x14ac:dyDescent="0.3">
      <c r="A76" t="s">
        <v>72</v>
      </c>
      <c r="B76" t="s">
        <v>3</v>
      </c>
      <c r="C76">
        <v>1310</v>
      </c>
      <c r="D76">
        <v>27600</v>
      </c>
      <c r="E76">
        <f t="shared" si="1"/>
        <v>36156000</v>
      </c>
    </row>
    <row r="77" spans="1:5" x14ac:dyDescent="0.3">
      <c r="A77" t="s">
        <v>125</v>
      </c>
      <c r="B77" t="s">
        <v>25</v>
      </c>
      <c r="C77">
        <v>23</v>
      </c>
      <c r="D77">
        <v>100000</v>
      </c>
      <c r="E77">
        <f t="shared" si="1"/>
        <v>2300000</v>
      </c>
    </row>
    <row r="78" spans="1:5" hidden="1" x14ac:dyDescent="0.3">
      <c r="A78" t="s">
        <v>74</v>
      </c>
      <c r="B78" t="s">
        <v>30</v>
      </c>
      <c r="C78">
        <v>0</v>
      </c>
      <c r="E78">
        <f t="shared" si="1"/>
        <v>0</v>
      </c>
    </row>
    <row r="79" spans="1:5" x14ac:dyDescent="0.3">
      <c r="A79" t="s">
        <v>75</v>
      </c>
      <c r="B79" t="s">
        <v>3</v>
      </c>
      <c r="C79">
        <v>1</v>
      </c>
      <c r="D79">
        <v>14000</v>
      </c>
      <c r="E79">
        <f t="shared" si="1"/>
        <v>14000</v>
      </c>
    </row>
    <row r="80" spans="1:5" hidden="1" x14ac:dyDescent="0.3">
      <c r="A80" t="s">
        <v>76</v>
      </c>
      <c r="B80" t="s">
        <v>17</v>
      </c>
      <c r="C80">
        <v>0</v>
      </c>
      <c r="E80">
        <f t="shared" si="1"/>
        <v>0</v>
      </c>
    </row>
    <row r="81" spans="1:5" hidden="1" x14ac:dyDescent="0.3">
      <c r="A81" t="s">
        <v>77</v>
      </c>
      <c r="B81" t="s">
        <v>25</v>
      </c>
      <c r="C81">
        <v>0</v>
      </c>
      <c r="E81">
        <f t="shared" si="1"/>
        <v>0</v>
      </c>
    </row>
    <row r="82" spans="1:5" x14ac:dyDescent="0.3">
      <c r="A82" t="s">
        <v>77</v>
      </c>
      <c r="B82" t="s">
        <v>3</v>
      </c>
      <c r="C82">
        <v>4</v>
      </c>
      <c r="D82">
        <v>48000</v>
      </c>
      <c r="E82">
        <f t="shared" si="1"/>
        <v>192000</v>
      </c>
    </row>
    <row r="83" spans="1:5" x14ac:dyDescent="0.3">
      <c r="A83" t="s">
        <v>78</v>
      </c>
      <c r="B83" t="s">
        <v>3</v>
      </c>
      <c r="C83">
        <v>68</v>
      </c>
      <c r="D83">
        <v>26000</v>
      </c>
      <c r="E83">
        <f t="shared" si="1"/>
        <v>1768000</v>
      </c>
    </row>
    <row r="84" spans="1:5" hidden="1" x14ac:dyDescent="0.3">
      <c r="A84" t="s">
        <v>78</v>
      </c>
      <c r="B84" t="s">
        <v>9</v>
      </c>
      <c r="C84">
        <v>0</v>
      </c>
      <c r="E84">
        <f t="shared" si="1"/>
        <v>0</v>
      </c>
    </row>
    <row r="85" spans="1:5" x14ac:dyDescent="0.3">
      <c r="A85" t="s">
        <v>80</v>
      </c>
      <c r="B85" t="s">
        <v>3</v>
      </c>
      <c r="C85">
        <v>23</v>
      </c>
      <c r="D85">
        <v>26000</v>
      </c>
      <c r="E85">
        <f t="shared" si="1"/>
        <v>598000</v>
      </c>
    </row>
    <row r="86" spans="1:5" hidden="1" x14ac:dyDescent="0.3">
      <c r="A86" t="s">
        <v>80</v>
      </c>
      <c r="B86" t="s">
        <v>9</v>
      </c>
      <c r="C86">
        <v>0</v>
      </c>
      <c r="E86">
        <f t="shared" si="1"/>
        <v>0</v>
      </c>
    </row>
    <row r="87" spans="1:5" x14ac:dyDescent="0.3">
      <c r="A87" t="s">
        <v>82</v>
      </c>
      <c r="B87" t="s">
        <v>3</v>
      </c>
      <c r="C87">
        <v>41</v>
      </c>
      <c r="D87">
        <v>31000</v>
      </c>
      <c r="E87">
        <f t="shared" si="1"/>
        <v>1271000</v>
      </c>
    </row>
    <row r="88" spans="1:5" hidden="1" x14ac:dyDescent="0.3">
      <c r="A88" t="s">
        <v>82</v>
      </c>
      <c r="B88" t="s">
        <v>9</v>
      </c>
      <c r="C88">
        <v>0</v>
      </c>
      <c r="E88">
        <f t="shared" si="1"/>
        <v>0</v>
      </c>
    </row>
    <row r="89" spans="1:5" x14ac:dyDescent="0.3">
      <c r="A89" t="s">
        <v>84</v>
      </c>
      <c r="B89" t="s">
        <v>30</v>
      </c>
      <c r="C89">
        <v>75</v>
      </c>
      <c r="D89">
        <v>22000</v>
      </c>
      <c r="E89">
        <f t="shared" si="1"/>
        <v>1650000</v>
      </c>
    </row>
    <row r="90" spans="1:5" hidden="1" x14ac:dyDescent="0.3">
      <c r="A90" t="s">
        <v>85</v>
      </c>
      <c r="B90" t="s">
        <v>30</v>
      </c>
      <c r="C90">
        <v>0</v>
      </c>
      <c r="E90">
        <f t="shared" si="1"/>
        <v>0</v>
      </c>
    </row>
    <row r="91" spans="1:5" x14ac:dyDescent="0.3">
      <c r="A91" t="s">
        <v>106</v>
      </c>
      <c r="B91" t="s">
        <v>9</v>
      </c>
      <c r="C91">
        <v>870</v>
      </c>
      <c r="D91">
        <v>10000</v>
      </c>
      <c r="E91">
        <f t="shared" si="1"/>
        <v>8700000</v>
      </c>
    </row>
    <row r="92" spans="1:5" x14ac:dyDescent="0.3">
      <c r="A92" t="s">
        <v>88</v>
      </c>
      <c r="B92" t="s">
        <v>9</v>
      </c>
      <c r="C92">
        <v>1011</v>
      </c>
      <c r="D92">
        <v>11361</v>
      </c>
      <c r="E92">
        <f t="shared" si="1"/>
        <v>11485971</v>
      </c>
    </row>
    <row r="93" spans="1:5" x14ac:dyDescent="0.3">
      <c r="A93" t="s">
        <v>89</v>
      </c>
      <c r="B93" t="s">
        <v>3</v>
      </c>
      <c r="C93">
        <v>340</v>
      </c>
      <c r="D93">
        <v>28000</v>
      </c>
      <c r="E93">
        <f t="shared" si="1"/>
        <v>9520000</v>
      </c>
    </row>
    <row r="94" spans="1:5" hidden="1" x14ac:dyDescent="0.3">
      <c r="A94" t="s">
        <v>90</v>
      </c>
      <c r="B94" t="s">
        <v>3</v>
      </c>
      <c r="C94">
        <v>0</v>
      </c>
      <c r="E94">
        <f t="shared" si="1"/>
        <v>0</v>
      </c>
    </row>
    <row r="95" spans="1:5" hidden="1" x14ac:dyDescent="0.3">
      <c r="A95" t="s">
        <v>91</v>
      </c>
      <c r="B95" t="s">
        <v>25</v>
      </c>
      <c r="C95">
        <v>0</v>
      </c>
      <c r="E95">
        <f t="shared" si="1"/>
        <v>0</v>
      </c>
    </row>
    <row r="96" spans="1:5" hidden="1" x14ac:dyDescent="0.3">
      <c r="A96" t="s">
        <v>92</v>
      </c>
      <c r="B96" t="s">
        <v>3</v>
      </c>
      <c r="C96">
        <v>0</v>
      </c>
      <c r="E96">
        <f t="shared" si="1"/>
        <v>0</v>
      </c>
    </row>
    <row r="97" spans="1:5" x14ac:dyDescent="0.3">
      <c r="A97" t="s">
        <v>93</v>
      </c>
      <c r="B97" t="s">
        <v>3</v>
      </c>
      <c r="C97">
        <v>26</v>
      </c>
      <c r="D97">
        <v>38000</v>
      </c>
      <c r="E97">
        <f t="shared" si="1"/>
        <v>988000</v>
      </c>
    </row>
    <row r="98" spans="1:5" x14ac:dyDescent="0.3">
      <c r="A98" t="s">
        <v>94</v>
      </c>
      <c r="B98" t="s">
        <v>3</v>
      </c>
      <c r="C98">
        <v>2</v>
      </c>
      <c r="D98">
        <v>28000</v>
      </c>
      <c r="E98">
        <f t="shared" si="1"/>
        <v>56000</v>
      </c>
    </row>
    <row r="99" spans="1:5" hidden="1" x14ac:dyDescent="0.3">
      <c r="A99" t="s">
        <v>95</v>
      </c>
      <c r="B99" t="s">
        <v>40</v>
      </c>
      <c r="C99">
        <v>0</v>
      </c>
      <c r="E99">
        <f t="shared" si="1"/>
        <v>0</v>
      </c>
    </row>
    <row r="100" spans="1:5" hidden="1" x14ac:dyDescent="0.3">
      <c r="A100" t="s">
        <v>96</v>
      </c>
      <c r="B100" t="s">
        <v>3</v>
      </c>
      <c r="C100">
        <v>0</v>
      </c>
      <c r="E100">
        <f t="shared" si="1"/>
        <v>0</v>
      </c>
    </row>
    <row r="101" spans="1:5" hidden="1" x14ac:dyDescent="0.3">
      <c r="A101" t="s">
        <v>97</v>
      </c>
      <c r="B101" t="s">
        <v>40</v>
      </c>
      <c r="C101">
        <v>0</v>
      </c>
      <c r="E101">
        <f t="shared" si="1"/>
        <v>0</v>
      </c>
    </row>
    <row r="102" spans="1:5" hidden="1" x14ac:dyDescent="0.3">
      <c r="A102" t="s">
        <v>99</v>
      </c>
      <c r="B102" t="s">
        <v>3</v>
      </c>
      <c r="C102">
        <v>0</v>
      </c>
      <c r="E102">
        <f t="shared" si="1"/>
        <v>0</v>
      </c>
    </row>
    <row r="103" spans="1:5" hidden="1" x14ac:dyDescent="0.3">
      <c r="A103" t="s">
        <v>100</v>
      </c>
      <c r="B103" t="s">
        <v>40</v>
      </c>
      <c r="C103">
        <v>0</v>
      </c>
      <c r="E103">
        <f t="shared" si="1"/>
        <v>0</v>
      </c>
    </row>
    <row r="104" spans="1:5" x14ac:dyDescent="0.3">
      <c r="E104">
        <f>SUM(E3:E98)</f>
        <v>203512071</v>
      </c>
    </row>
    <row r="105" spans="1:5" x14ac:dyDescent="0.3">
      <c r="A105" t="s">
        <v>110</v>
      </c>
    </row>
    <row r="106" spans="1:5" x14ac:dyDescent="0.3">
      <c r="A106" t="s">
        <v>130</v>
      </c>
      <c r="B106" t="s">
        <v>1</v>
      </c>
      <c r="C106" t="s">
        <v>107</v>
      </c>
      <c r="D106" t="s">
        <v>108</v>
      </c>
      <c r="E106" t="s">
        <v>109</v>
      </c>
    </row>
    <row r="107" spans="1:5" x14ac:dyDescent="0.3">
      <c r="A107" t="s">
        <v>4</v>
      </c>
      <c r="B107" t="s">
        <v>3</v>
      </c>
      <c r="C107">
        <v>8.8000000000000007</v>
      </c>
      <c r="D107">
        <v>7000</v>
      </c>
      <c r="E107">
        <f t="shared" si="1"/>
        <v>61600.000000000007</v>
      </c>
    </row>
    <row r="108" spans="1:5" x14ac:dyDescent="0.3">
      <c r="A108" t="s">
        <v>5</v>
      </c>
      <c r="B108" t="s">
        <v>3</v>
      </c>
      <c r="C108">
        <v>110</v>
      </c>
      <c r="D108">
        <v>6500</v>
      </c>
      <c r="E108">
        <f t="shared" si="1"/>
        <v>715000</v>
      </c>
    </row>
    <row r="109" spans="1:5" hidden="1" x14ac:dyDescent="0.3">
      <c r="A109" t="s">
        <v>119</v>
      </c>
      <c r="B109" t="s">
        <v>3</v>
      </c>
      <c r="C109">
        <v>0</v>
      </c>
      <c r="E109">
        <f t="shared" si="1"/>
        <v>0</v>
      </c>
    </row>
    <row r="110" spans="1:5" hidden="1" x14ac:dyDescent="0.3">
      <c r="A110" t="s">
        <v>8</v>
      </c>
      <c r="B110" t="s">
        <v>3</v>
      </c>
      <c r="C110">
        <v>0</v>
      </c>
      <c r="E110">
        <f t="shared" si="1"/>
        <v>0</v>
      </c>
    </row>
    <row r="111" spans="1:5" hidden="1" x14ac:dyDescent="0.3">
      <c r="A111" t="s">
        <v>12</v>
      </c>
      <c r="B111" t="s">
        <v>3</v>
      </c>
      <c r="C111">
        <v>0</v>
      </c>
      <c r="E111">
        <f t="shared" si="1"/>
        <v>0</v>
      </c>
    </row>
    <row r="112" spans="1:5" x14ac:dyDescent="0.3">
      <c r="A112" t="s">
        <v>102</v>
      </c>
      <c r="B112" t="s">
        <v>3</v>
      </c>
      <c r="C112">
        <v>27</v>
      </c>
      <c r="D112">
        <v>21000</v>
      </c>
      <c r="E112">
        <f t="shared" si="1"/>
        <v>567000</v>
      </c>
    </row>
    <row r="113" spans="1:5" x14ac:dyDescent="0.3">
      <c r="A113" t="s">
        <v>18</v>
      </c>
      <c r="B113" t="s">
        <v>3</v>
      </c>
      <c r="C113">
        <v>22</v>
      </c>
      <c r="D113">
        <v>17000</v>
      </c>
      <c r="E113">
        <f t="shared" si="1"/>
        <v>374000</v>
      </c>
    </row>
    <row r="114" spans="1:5" x14ac:dyDescent="0.3">
      <c r="A114" t="s">
        <v>28</v>
      </c>
      <c r="B114" t="s">
        <v>3</v>
      </c>
      <c r="C114">
        <v>88</v>
      </c>
      <c r="D114">
        <v>11000</v>
      </c>
      <c r="E114">
        <f t="shared" si="1"/>
        <v>968000</v>
      </c>
    </row>
    <row r="115" spans="1:5" x14ac:dyDescent="0.3">
      <c r="A115" t="s">
        <v>31</v>
      </c>
      <c r="B115" t="s">
        <v>3</v>
      </c>
      <c r="C115">
        <v>143</v>
      </c>
      <c r="D115">
        <v>11000</v>
      </c>
      <c r="E115">
        <f t="shared" si="1"/>
        <v>1573000</v>
      </c>
    </row>
    <row r="116" spans="1:5" x14ac:dyDescent="0.3">
      <c r="A116" t="s">
        <v>33</v>
      </c>
      <c r="B116" t="s">
        <v>3</v>
      </c>
      <c r="C116">
        <v>5.5</v>
      </c>
      <c r="D116">
        <v>8000</v>
      </c>
      <c r="E116">
        <f t="shared" si="1"/>
        <v>44000</v>
      </c>
    </row>
    <row r="117" spans="1:5" x14ac:dyDescent="0.3">
      <c r="A117" t="s">
        <v>38</v>
      </c>
      <c r="B117" t="s">
        <v>3</v>
      </c>
      <c r="C117">
        <v>99</v>
      </c>
      <c r="D117">
        <v>6000</v>
      </c>
      <c r="E117">
        <f t="shared" si="1"/>
        <v>594000</v>
      </c>
    </row>
    <row r="118" spans="1:5" x14ac:dyDescent="0.3">
      <c r="A118" t="s">
        <v>104</v>
      </c>
      <c r="B118" t="s">
        <v>3</v>
      </c>
      <c r="C118">
        <v>620</v>
      </c>
      <c r="D118">
        <v>6000</v>
      </c>
      <c r="E118">
        <f t="shared" si="1"/>
        <v>3720000</v>
      </c>
    </row>
    <row r="119" spans="1:5" x14ac:dyDescent="0.3">
      <c r="A119" t="s">
        <v>39</v>
      </c>
      <c r="B119" t="s">
        <v>3</v>
      </c>
      <c r="C119">
        <v>16.5</v>
      </c>
      <c r="D119">
        <v>9000</v>
      </c>
      <c r="E119">
        <f t="shared" si="1"/>
        <v>148500</v>
      </c>
    </row>
    <row r="120" spans="1:5" x14ac:dyDescent="0.3">
      <c r="A120" t="s">
        <v>44</v>
      </c>
      <c r="B120" t="s">
        <v>3</v>
      </c>
      <c r="C120">
        <v>22</v>
      </c>
      <c r="D120">
        <v>6000</v>
      </c>
      <c r="E120">
        <f t="shared" si="1"/>
        <v>132000</v>
      </c>
    </row>
    <row r="121" spans="1:5" x14ac:dyDescent="0.3">
      <c r="A121" t="s">
        <v>47</v>
      </c>
      <c r="B121" t="s">
        <v>3</v>
      </c>
      <c r="C121">
        <v>16.5</v>
      </c>
      <c r="D121">
        <v>12500</v>
      </c>
      <c r="E121">
        <f t="shared" si="1"/>
        <v>206250</v>
      </c>
    </row>
    <row r="122" spans="1:5" x14ac:dyDescent="0.3">
      <c r="A122" t="s">
        <v>54</v>
      </c>
      <c r="B122" t="s">
        <v>3</v>
      </c>
      <c r="C122">
        <v>44</v>
      </c>
      <c r="D122">
        <v>16000</v>
      </c>
      <c r="E122">
        <f t="shared" si="1"/>
        <v>704000</v>
      </c>
    </row>
    <row r="123" spans="1:5" x14ac:dyDescent="0.3">
      <c r="A123" t="s">
        <v>59</v>
      </c>
      <c r="B123" t="s">
        <v>3</v>
      </c>
      <c r="C123">
        <v>38.5</v>
      </c>
      <c r="D123">
        <v>17000</v>
      </c>
      <c r="E123">
        <f t="shared" si="1"/>
        <v>654500</v>
      </c>
    </row>
    <row r="124" spans="1:5" hidden="1" x14ac:dyDescent="0.3">
      <c r="A124" t="s">
        <v>63</v>
      </c>
      <c r="B124" t="s">
        <v>30</v>
      </c>
      <c r="C124">
        <v>0</v>
      </c>
      <c r="E124">
        <f t="shared" si="1"/>
        <v>0</v>
      </c>
    </row>
    <row r="125" spans="1:5" hidden="1" x14ac:dyDescent="0.3">
      <c r="A125" t="s">
        <v>68</v>
      </c>
      <c r="B125" t="s">
        <v>3</v>
      </c>
      <c r="C125">
        <v>0</v>
      </c>
      <c r="E125">
        <f t="shared" si="1"/>
        <v>0</v>
      </c>
    </row>
    <row r="126" spans="1:5" hidden="1" x14ac:dyDescent="0.3">
      <c r="A126" t="s">
        <v>68</v>
      </c>
      <c r="B126" t="s">
        <v>17</v>
      </c>
      <c r="C126">
        <v>0</v>
      </c>
      <c r="E126">
        <f t="shared" si="1"/>
        <v>0</v>
      </c>
    </row>
    <row r="127" spans="1:5" x14ac:dyDescent="0.3">
      <c r="A127" t="s">
        <v>71</v>
      </c>
      <c r="B127" t="s">
        <v>3</v>
      </c>
      <c r="C127">
        <v>1</v>
      </c>
      <c r="D127">
        <v>17000</v>
      </c>
      <c r="E127">
        <f t="shared" si="1"/>
        <v>17000</v>
      </c>
    </row>
    <row r="128" spans="1:5" x14ac:dyDescent="0.3">
      <c r="A128" t="s">
        <v>92</v>
      </c>
      <c r="B128" t="s">
        <v>3</v>
      </c>
      <c r="C128">
        <v>158</v>
      </c>
      <c r="D128">
        <v>18000</v>
      </c>
      <c r="E128">
        <f t="shared" si="1"/>
        <v>2844000</v>
      </c>
    </row>
    <row r="129" spans="1:5" hidden="1" x14ac:dyDescent="0.3">
      <c r="A129" t="s">
        <v>95</v>
      </c>
      <c r="B129" t="s">
        <v>40</v>
      </c>
      <c r="C129">
        <v>0</v>
      </c>
      <c r="E129">
        <f t="shared" si="1"/>
        <v>0</v>
      </c>
    </row>
    <row r="130" spans="1:5" hidden="1" x14ac:dyDescent="0.3">
      <c r="A130" t="s">
        <v>97</v>
      </c>
      <c r="B130" t="s">
        <v>40</v>
      </c>
      <c r="C130">
        <v>0</v>
      </c>
      <c r="E130">
        <f t="shared" si="1"/>
        <v>0</v>
      </c>
    </row>
    <row r="131" spans="1:5" hidden="1" x14ac:dyDescent="0.3">
      <c r="A131" t="s">
        <v>100</v>
      </c>
      <c r="B131" t="s">
        <v>40</v>
      </c>
      <c r="C131">
        <v>0</v>
      </c>
      <c r="E131">
        <f t="shared" si="1"/>
        <v>0</v>
      </c>
    </row>
    <row r="132" spans="1:5" x14ac:dyDescent="0.3">
      <c r="E132">
        <f>SUM(E107:E128)</f>
        <v>13322850</v>
      </c>
    </row>
    <row r="133" spans="1:5" x14ac:dyDescent="0.3">
      <c r="E133" s="2">
        <f>E132+E104</f>
        <v>216834921</v>
      </c>
    </row>
  </sheetData>
  <autoFilter ref="A2:E131" xr:uid="{00000000-0009-0000-0000-000005000000}">
    <filterColumn colId="2">
      <filters>
        <filter val="1"/>
        <filter val="1011"/>
        <filter val="110"/>
        <filter val="1135"/>
        <filter val="118"/>
        <filter val="13"/>
        <filter val="1310"/>
        <filter val="14"/>
        <filter val="141"/>
        <filter val="143"/>
        <filter val="15"/>
        <filter val="150"/>
        <filter val="154"/>
        <filter val="1541"/>
        <filter val="158"/>
        <filter val="16.5"/>
        <filter val="2"/>
        <filter val="2.5"/>
        <filter val="20"/>
        <filter val="216"/>
        <filter val="22"/>
        <filter val="23"/>
        <filter val="24"/>
        <filter val="25"/>
        <filter val="26"/>
        <filter val="27"/>
        <filter val="271"/>
        <filter val="306"/>
        <filter val="312"/>
        <filter val="322"/>
        <filter val="33"/>
        <filter val="340"/>
        <filter val="354"/>
        <filter val="358"/>
        <filter val="368"/>
        <filter val="38.5"/>
        <filter val="380"/>
        <filter val="4"/>
        <filter val="40"/>
        <filter val="41"/>
        <filter val="43"/>
        <filter val="44"/>
        <filter val="5.5"/>
        <filter val="50"/>
        <filter val="55"/>
        <filter val="570"/>
        <filter val="6"/>
        <filter val="60"/>
        <filter val="620"/>
        <filter val="68"/>
        <filter val="69"/>
        <filter val="7"/>
        <filter val="73"/>
        <filter val="75"/>
        <filter val="8.8"/>
        <filter val="870"/>
        <filter val="88"/>
        <filter val="955"/>
        <filter val="99"/>
        <filter val="Tồn_x000a_ĐL_x000a__x000a_現在庫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E166"/>
  <sheetViews>
    <sheetView topLeftCell="A128" workbookViewId="0">
      <selection activeCell="E166" sqref="E166"/>
    </sheetView>
  </sheetViews>
  <sheetFormatPr defaultRowHeight="14.4" x14ac:dyDescent="0.3"/>
  <cols>
    <col min="1" max="1" width="26.6640625" customWidth="1"/>
    <col min="4" max="4" width="12.6640625" customWidth="1"/>
    <col min="5" max="5" width="17.33203125" customWidth="1"/>
  </cols>
  <sheetData>
    <row r="1" spans="1:5" x14ac:dyDescent="0.3">
      <c r="A1" t="s">
        <v>132</v>
      </c>
    </row>
    <row r="2" spans="1:5" x14ac:dyDescent="0.3">
      <c r="A2" t="s">
        <v>0</v>
      </c>
      <c r="B2" t="s">
        <v>1</v>
      </c>
      <c r="C2" s="1" t="s">
        <v>107</v>
      </c>
      <c r="D2" t="s">
        <v>108</v>
      </c>
      <c r="E2" t="s">
        <v>109</v>
      </c>
    </row>
    <row r="3" spans="1:5" x14ac:dyDescent="0.3">
      <c r="A3" t="s">
        <v>31</v>
      </c>
      <c r="B3" t="s">
        <v>3</v>
      </c>
      <c r="C3">
        <v>296</v>
      </c>
      <c r="D3">
        <v>11000</v>
      </c>
      <c r="E3">
        <f>C3*D3</f>
        <v>3256000</v>
      </c>
    </row>
    <row r="4" spans="1:5" hidden="1" x14ac:dyDescent="0.3">
      <c r="A4" t="s">
        <v>31</v>
      </c>
      <c r="B4" t="s">
        <v>30</v>
      </c>
      <c r="C4">
        <v>0</v>
      </c>
      <c r="E4">
        <f t="shared" ref="E4:E67" si="0">C4*D4</f>
        <v>0</v>
      </c>
    </row>
    <row r="5" spans="1:5" hidden="1" x14ac:dyDescent="0.3">
      <c r="A5" t="s">
        <v>32</v>
      </c>
      <c r="B5" t="s">
        <v>17</v>
      </c>
      <c r="C5">
        <v>0</v>
      </c>
      <c r="E5">
        <f t="shared" si="0"/>
        <v>0</v>
      </c>
    </row>
    <row r="6" spans="1:5" hidden="1" x14ac:dyDescent="0.3">
      <c r="A6" t="s">
        <v>42</v>
      </c>
      <c r="B6" t="s">
        <v>25</v>
      </c>
      <c r="C6">
        <v>0</v>
      </c>
      <c r="E6">
        <f t="shared" si="0"/>
        <v>0</v>
      </c>
    </row>
    <row r="7" spans="1:5" hidden="1" x14ac:dyDescent="0.3">
      <c r="A7" t="s">
        <v>42</v>
      </c>
      <c r="B7" t="s">
        <v>3</v>
      </c>
      <c r="C7">
        <v>0</v>
      </c>
      <c r="E7">
        <f t="shared" si="0"/>
        <v>0</v>
      </c>
    </row>
    <row r="8" spans="1:5" x14ac:dyDescent="0.3">
      <c r="A8" t="s">
        <v>45</v>
      </c>
      <c r="B8" t="s">
        <v>3</v>
      </c>
      <c r="C8">
        <v>45</v>
      </c>
      <c r="D8">
        <v>10000</v>
      </c>
      <c r="E8">
        <f t="shared" si="0"/>
        <v>450000</v>
      </c>
    </row>
    <row r="9" spans="1:5" hidden="1" x14ac:dyDescent="0.3">
      <c r="A9" t="s">
        <v>45</v>
      </c>
      <c r="B9" t="s">
        <v>30</v>
      </c>
      <c r="C9">
        <v>0</v>
      </c>
      <c r="E9">
        <f t="shared" si="0"/>
        <v>0</v>
      </c>
    </row>
    <row r="10" spans="1:5" x14ac:dyDescent="0.3">
      <c r="A10" t="s">
        <v>47</v>
      </c>
      <c r="B10" t="s">
        <v>3</v>
      </c>
      <c r="C10">
        <v>345</v>
      </c>
      <c r="D10">
        <v>12500</v>
      </c>
      <c r="E10">
        <f t="shared" si="0"/>
        <v>4312500</v>
      </c>
    </row>
    <row r="11" spans="1:5" hidden="1" x14ac:dyDescent="0.3">
      <c r="A11" t="s">
        <v>47</v>
      </c>
      <c r="B11" t="s">
        <v>48</v>
      </c>
      <c r="C11">
        <v>0</v>
      </c>
      <c r="E11">
        <f t="shared" si="0"/>
        <v>0</v>
      </c>
    </row>
    <row r="12" spans="1:5" hidden="1" x14ac:dyDescent="0.3">
      <c r="A12" t="s">
        <v>50</v>
      </c>
      <c r="B12" t="s">
        <v>30</v>
      </c>
      <c r="C12">
        <v>0</v>
      </c>
      <c r="E12">
        <f t="shared" si="0"/>
        <v>0</v>
      </c>
    </row>
    <row r="13" spans="1:5" x14ac:dyDescent="0.3">
      <c r="A13" t="s">
        <v>52</v>
      </c>
      <c r="B13" t="s">
        <v>3</v>
      </c>
      <c r="C13">
        <v>860</v>
      </c>
      <c r="D13">
        <v>28000</v>
      </c>
      <c r="E13">
        <f t="shared" si="0"/>
        <v>24080000</v>
      </c>
    </row>
    <row r="14" spans="1:5" hidden="1" x14ac:dyDescent="0.3">
      <c r="A14" t="s">
        <v>52</v>
      </c>
      <c r="B14" t="s">
        <v>30</v>
      </c>
      <c r="C14">
        <v>0</v>
      </c>
      <c r="E14">
        <f t="shared" si="0"/>
        <v>0</v>
      </c>
    </row>
    <row r="15" spans="1:5" x14ac:dyDescent="0.3">
      <c r="A15" t="s">
        <v>54</v>
      </c>
      <c r="B15" t="s">
        <v>3</v>
      </c>
      <c r="C15">
        <v>275</v>
      </c>
      <c r="D15">
        <v>29000</v>
      </c>
      <c r="E15">
        <f t="shared" si="0"/>
        <v>7975000</v>
      </c>
    </row>
    <row r="16" spans="1:5" x14ac:dyDescent="0.3">
      <c r="A16" t="s">
        <v>59</v>
      </c>
      <c r="B16" t="s">
        <v>3</v>
      </c>
      <c r="C16">
        <v>425</v>
      </c>
      <c r="D16">
        <v>17000</v>
      </c>
      <c r="E16">
        <f t="shared" si="0"/>
        <v>7225000</v>
      </c>
    </row>
    <row r="17" spans="1:5" hidden="1" x14ac:dyDescent="0.3">
      <c r="A17" t="s">
        <v>59</v>
      </c>
      <c r="B17" t="s">
        <v>30</v>
      </c>
      <c r="C17">
        <v>0</v>
      </c>
      <c r="E17">
        <f t="shared" si="0"/>
        <v>0</v>
      </c>
    </row>
    <row r="18" spans="1:5" hidden="1" x14ac:dyDescent="0.3">
      <c r="A18" t="s">
        <v>16</v>
      </c>
      <c r="B18" t="s">
        <v>17</v>
      </c>
      <c r="C18">
        <v>0</v>
      </c>
      <c r="E18">
        <f t="shared" si="0"/>
        <v>0</v>
      </c>
    </row>
    <row r="19" spans="1:5" x14ac:dyDescent="0.3">
      <c r="A19" t="s">
        <v>5</v>
      </c>
      <c r="B19" t="s">
        <v>3</v>
      </c>
      <c r="C19">
        <v>632</v>
      </c>
      <c r="D19">
        <v>5000</v>
      </c>
      <c r="E19">
        <f t="shared" si="0"/>
        <v>3160000</v>
      </c>
    </row>
    <row r="20" spans="1:5" x14ac:dyDescent="0.3">
      <c r="A20" t="s">
        <v>35</v>
      </c>
      <c r="B20" t="s">
        <v>3</v>
      </c>
      <c r="C20">
        <v>15</v>
      </c>
      <c r="D20">
        <v>28000</v>
      </c>
      <c r="E20">
        <f t="shared" si="0"/>
        <v>420000</v>
      </c>
    </row>
    <row r="21" spans="1:5" hidden="1" x14ac:dyDescent="0.3">
      <c r="A21" t="s">
        <v>35</v>
      </c>
      <c r="B21" t="s">
        <v>30</v>
      </c>
      <c r="C21">
        <v>0</v>
      </c>
      <c r="E21">
        <f t="shared" si="0"/>
        <v>0</v>
      </c>
    </row>
    <row r="22" spans="1:5" hidden="1" x14ac:dyDescent="0.3">
      <c r="A22" t="s">
        <v>37</v>
      </c>
      <c r="B22" t="s">
        <v>30</v>
      </c>
      <c r="C22">
        <v>0</v>
      </c>
      <c r="E22">
        <f t="shared" si="0"/>
        <v>0</v>
      </c>
    </row>
    <row r="23" spans="1:5" x14ac:dyDescent="0.3">
      <c r="A23" t="s">
        <v>38</v>
      </c>
      <c r="B23" t="s">
        <v>3</v>
      </c>
      <c r="C23">
        <v>910</v>
      </c>
      <c r="D23">
        <v>6000</v>
      </c>
      <c r="E23">
        <f t="shared" si="0"/>
        <v>5460000</v>
      </c>
    </row>
    <row r="24" spans="1:5" hidden="1" x14ac:dyDescent="0.3">
      <c r="A24" t="s">
        <v>39</v>
      </c>
      <c r="B24" t="s">
        <v>40</v>
      </c>
      <c r="C24">
        <v>0</v>
      </c>
      <c r="E24">
        <f t="shared" si="0"/>
        <v>0</v>
      </c>
    </row>
    <row r="25" spans="1:5" x14ac:dyDescent="0.3">
      <c r="A25" t="s">
        <v>39</v>
      </c>
      <c r="B25" t="s">
        <v>3</v>
      </c>
      <c r="C25">
        <v>65</v>
      </c>
      <c r="D25">
        <v>9000</v>
      </c>
      <c r="E25">
        <f t="shared" si="0"/>
        <v>585000</v>
      </c>
    </row>
    <row r="26" spans="1:5" hidden="1" x14ac:dyDescent="0.3">
      <c r="A26" t="s">
        <v>94</v>
      </c>
      <c r="B26" t="s">
        <v>3</v>
      </c>
      <c r="C26">
        <v>0</v>
      </c>
      <c r="E26">
        <f t="shared" si="0"/>
        <v>0</v>
      </c>
    </row>
    <row r="27" spans="1:5" x14ac:dyDescent="0.3">
      <c r="A27" t="s">
        <v>7</v>
      </c>
      <c r="B27" t="s">
        <v>3</v>
      </c>
      <c r="C27">
        <v>85</v>
      </c>
      <c r="D27">
        <v>10000</v>
      </c>
      <c r="E27">
        <f t="shared" si="0"/>
        <v>850000</v>
      </c>
    </row>
    <row r="28" spans="1:5" x14ac:dyDescent="0.3">
      <c r="A28" t="s">
        <v>8</v>
      </c>
      <c r="B28" t="s">
        <v>3</v>
      </c>
      <c r="C28">
        <v>180</v>
      </c>
      <c r="D28">
        <v>8000</v>
      </c>
      <c r="E28">
        <f t="shared" si="0"/>
        <v>1440000</v>
      </c>
    </row>
    <row r="29" spans="1:5" hidden="1" x14ac:dyDescent="0.3">
      <c r="A29" t="s">
        <v>8</v>
      </c>
      <c r="B29" t="s">
        <v>9</v>
      </c>
      <c r="C29">
        <v>0</v>
      </c>
      <c r="E29">
        <f t="shared" si="0"/>
        <v>0</v>
      </c>
    </row>
    <row r="30" spans="1:5" hidden="1" x14ac:dyDescent="0.3">
      <c r="A30" t="s">
        <v>10</v>
      </c>
      <c r="B30" t="s">
        <v>3</v>
      </c>
      <c r="C30">
        <v>0</v>
      </c>
      <c r="E30">
        <f t="shared" si="0"/>
        <v>0</v>
      </c>
    </row>
    <row r="31" spans="1:5" hidden="1" x14ac:dyDescent="0.3">
      <c r="A31" t="s">
        <v>10</v>
      </c>
      <c r="B31" t="s">
        <v>9</v>
      </c>
      <c r="C31">
        <v>0</v>
      </c>
      <c r="E31">
        <f t="shared" si="0"/>
        <v>0</v>
      </c>
    </row>
    <row r="32" spans="1:5" x14ac:dyDescent="0.3">
      <c r="A32" t="s">
        <v>18</v>
      </c>
      <c r="B32" t="s">
        <v>3</v>
      </c>
      <c r="C32">
        <v>560</v>
      </c>
      <c r="D32">
        <v>17000</v>
      </c>
      <c r="E32">
        <f t="shared" si="0"/>
        <v>9520000</v>
      </c>
    </row>
    <row r="33" spans="1:5" hidden="1" x14ac:dyDescent="0.3">
      <c r="A33" t="s">
        <v>18</v>
      </c>
      <c r="B33" t="s">
        <v>17</v>
      </c>
      <c r="C33">
        <v>0</v>
      </c>
      <c r="E33">
        <f t="shared" si="0"/>
        <v>0</v>
      </c>
    </row>
    <row r="34" spans="1:5" hidden="1" x14ac:dyDescent="0.3">
      <c r="A34" t="s">
        <v>18</v>
      </c>
      <c r="B34" t="s">
        <v>19</v>
      </c>
      <c r="C34">
        <v>0</v>
      </c>
      <c r="E34">
        <f t="shared" si="0"/>
        <v>0</v>
      </c>
    </row>
    <row r="35" spans="1:5" x14ac:dyDescent="0.3">
      <c r="A35" t="s">
        <v>28</v>
      </c>
      <c r="B35" t="s">
        <v>3</v>
      </c>
      <c r="C35">
        <v>450</v>
      </c>
      <c r="D35">
        <v>11000</v>
      </c>
      <c r="E35">
        <f t="shared" si="0"/>
        <v>4950000</v>
      </c>
    </row>
    <row r="36" spans="1:5" hidden="1" x14ac:dyDescent="0.3">
      <c r="A36" t="s">
        <v>28</v>
      </c>
      <c r="B36" t="s">
        <v>17</v>
      </c>
      <c r="C36">
        <v>0</v>
      </c>
      <c r="E36">
        <f t="shared" si="0"/>
        <v>0</v>
      </c>
    </row>
    <row r="37" spans="1:5" x14ac:dyDescent="0.3">
      <c r="A37" t="s">
        <v>29</v>
      </c>
      <c r="B37" t="s">
        <v>30</v>
      </c>
      <c r="C37">
        <v>80</v>
      </c>
      <c r="D37">
        <v>9000</v>
      </c>
      <c r="E37">
        <f t="shared" si="0"/>
        <v>720000</v>
      </c>
    </row>
    <row r="38" spans="1:5" hidden="1" x14ac:dyDescent="0.3">
      <c r="A38" t="s">
        <v>68</v>
      </c>
      <c r="B38" t="s">
        <v>3</v>
      </c>
      <c r="C38">
        <v>0</v>
      </c>
      <c r="E38">
        <f t="shared" si="0"/>
        <v>0</v>
      </c>
    </row>
    <row r="39" spans="1:5" x14ac:dyDescent="0.3">
      <c r="A39" t="s">
        <v>68</v>
      </c>
      <c r="B39" t="s">
        <v>17</v>
      </c>
      <c r="C39">
        <v>650</v>
      </c>
      <c r="D39">
        <v>6000</v>
      </c>
      <c r="E39">
        <f t="shared" si="0"/>
        <v>3900000</v>
      </c>
    </row>
    <row r="40" spans="1:5" x14ac:dyDescent="0.3">
      <c r="A40" t="s">
        <v>70</v>
      </c>
      <c r="B40" t="s">
        <v>3</v>
      </c>
      <c r="C40">
        <v>30</v>
      </c>
      <c r="D40">
        <v>13000</v>
      </c>
      <c r="E40">
        <f t="shared" si="0"/>
        <v>390000</v>
      </c>
    </row>
    <row r="41" spans="1:5" x14ac:dyDescent="0.3">
      <c r="A41" t="s">
        <v>78</v>
      </c>
      <c r="B41" t="s">
        <v>3</v>
      </c>
      <c r="C41">
        <v>60</v>
      </c>
      <c r="D41">
        <v>28000</v>
      </c>
      <c r="E41">
        <f t="shared" si="0"/>
        <v>1680000</v>
      </c>
    </row>
    <row r="42" spans="1:5" hidden="1" x14ac:dyDescent="0.3">
      <c r="A42" t="s">
        <v>78</v>
      </c>
      <c r="B42" t="s">
        <v>9</v>
      </c>
      <c r="C42">
        <v>0</v>
      </c>
      <c r="E42">
        <f t="shared" si="0"/>
        <v>0</v>
      </c>
    </row>
    <row r="43" spans="1:5" x14ac:dyDescent="0.3">
      <c r="A43" t="s">
        <v>80</v>
      </c>
      <c r="B43" t="s">
        <v>3</v>
      </c>
      <c r="C43">
        <v>25</v>
      </c>
      <c r="D43">
        <v>25000</v>
      </c>
      <c r="E43">
        <f t="shared" si="0"/>
        <v>625000</v>
      </c>
    </row>
    <row r="44" spans="1:5" hidden="1" x14ac:dyDescent="0.3">
      <c r="A44" t="s">
        <v>80</v>
      </c>
      <c r="B44" t="s">
        <v>9</v>
      </c>
      <c r="C44">
        <v>0</v>
      </c>
      <c r="E44">
        <f t="shared" si="0"/>
        <v>0</v>
      </c>
    </row>
    <row r="45" spans="1:5" x14ac:dyDescent="0.3">
      <c r="A45" t="s">
        <v>82</v>
      </c>
      <c r="B45" t="s">
        <v>3</v>
      </c>
      <c r="C45">
        <v>55</v>
      </c>
      <c r="D45">
        <v>31000</v>
      </c>
      <c r="E45">
        <f t="shared" si="0"/>
        <v>1705000</v>
      </c>
    </row>
    <row r="46" spans="1:5" hidden="1" x14ac:dyDescent="0.3">
      <c r="A46" t="s">
        <v>82</v>
      </c>
      <c r="B46" t="s">
        <v>9</v>
      </c>
      <c r="C46">
        <v>0</v>
      </c>
      <c r="E46">
        <f t="shared" si="0"/>
        <v>0</v>
      </c>
    </row>
    <row r="47" spans="1:5" hidden="1" x14ac:dyDescent="0.3">
      <c r="A47" t="s">
        <v>11</v>
      </c>
      <c r="B47" t="s">
        <v>3</v>
      </c>
      <c r="C47">
        <v>0</v>
      </c>
      <c r="E47">
        <f t="shared" si="0"/>
        <v>0</v>
      </c>
    </row>
    <row r="48" spans="1:5" hidden="1" x14ac:dyDescent="0.3">
      <c r="A48" t="s">
        <v>76</v>
      </c>
      <c r="B48" t="s">
        <v>17</v>
      </c>
      <c r="C48">
        <v>0</v>
      </c>
      <c r="E48">
        <f t="shared" si="0"/>
        <v>0</v>
      </c>
    </row>
    <row r="49" spans="1:5" x14ac:dyDescent="0.3">
      <c r="A49" t="s">
        <v>51</v>
      </c>
      <c r="B49" t="s">
        <v>3</v>
      </c>
      <c r="C49">
        <v>740</v>
      </c>
      <c r="D49">
        <v>29000</v>
      </c>
      <c r="E49">
        <f t="shared" si="0"/>
        <v>21460000</v>
      </c>
    </row>
    <row r="50" spans="1:5" hidden="1" x14ac:dyDescent="0.3">
      <c r="A50" t="s">
        <v>22</v>
      </c>
      <c r="B50" t="s">
        <v>3</v>
      </c>
      <c r="C50">
        <v>0</v>
      </c>
      <c r="E50">
        <f t="shared" si="0"/>
        <v>0</v>
      </c>
    </row>
    <row r="51" spans="1:5" x14ac:dyDescent="0.3">
      <c r="A51" t="s">
        <v>22</v>
      </c>
      <c r="B51" t="s">
        <v>23</v>
      </c>
      <c r="C51">
        <v>83</v>
      </c>
      <c r="D51">
        <v>7200</v>
      </c>
      <c r="E51">
        <f t="shared" si="0"/>
        <v>597600</v>
      </c>
    </row>
    <row r="52" spans="1:5" hidden="1" x14ac:dyDescent="0.3">
      <c r="A52" t="s">
        <v>56</v>
      </c>
      <c r="B52" t="s">
        <v>3</v>
      </c>
      <c r="C52">
        <v>0</v>
      </c>
      <c r="E52">
        <f t="shared" si="0"/>
        <v>0</v>
      </c>
    </row>
    <row r="53" spans="1:5" x14ac:dyDescent="0.3">
      <c r="A53" t="s">
        <v>72</v>
      </c>
      <c r="B53" t="s">
        <v>3</v>
      </c>
      <c r="C53">
        <v>940</v>
      </c>
      <c r="D53">
        <v>27600</v>
      </c>
      <c r="E53">
        <f t="shared" si="0"/>
        <v>25944000</v>
      </c>
    </row>
    <row r="54" spans="1:5" hidden="1" x14ac:dyDescent="0.3">
      <c r="A54" t="s">
        <v>2</v>
      </c>
      <c r="B54" t="s">
        <v>3</v>
      </c>
      <c r="C54">
        <v>0</v>
      </c>
      <c r="E54">
        <f t="shared" si="0"/>
        <v>0</v>
      </c>
    </row>
    <row r="55" spans="1:5" x14ac:dyDescent="0.3">
      <c r="A55" t="s">
        <v>4</v>
      </c>
      <c r="B55" t="s">
        <v>3</v>
      </c>
      <c r="C55">
        <v>408</v>
      </c>
      <c r="D55">
        <v>7000</v>
      </c>
      <c r="E55">
        <f t="shared" si="0"/>
        <v>2856000</v>
      </c>
    </row>
    <row r="56" spans="1:5" x14ac:dyDescent="0.3">
      <c r="A56" t="s">
        <v>12</v>
      </c>
      <c r="B56" t="s">
        <v>3</v>
      </c>
      <c r="C56">
        <v>32</v>
      </c>
      <c r="D56">
        <v>13000</v>
      </c>
      <c r="E56">
        <f t="shared" si="0"/>
        <v>416000</v>
      </c>
    </row>
    <row r="57" spans="1:5" x14ac:dyDescent="0.3">
      <c r="A57" t="s">
        <v>13</v>
      </c>
      <c r="B57" t="s">
        <v>3</v>
      </c>
      <c r="C57">
        <v>50</v>
      </c>
      <c r="D57">
        <v>20000</v>
      </c>
      <c r="E57">
        <f t="shared" si="0"/>
        <v>1000000</v>
      </c>
    </row>
    <row r="58" spans="1:5" hidden="1" x14ac:dyDescent="0.3">
      <c r="A58" t="s">
        <v>20</v>
      </c>
      <c r="B58" t="s">
        <v>3</v>
      </c>
      <c r="C58">
        <v>0</v>
      </c>
      <c r="E58">
        <f t="shared" si="0"/>
        <v>0</v>
      </c>
    </row>
    <row r="59" spans="1:5" hidden="1" x14ac:dyDescent="0.3">
      <c r="A59" t="s">
        <v>20</v>
      </c>
      <c r="B59" t="s">
        <v>21</v>
      </c>
      <c r="C59">
        <v>0</v>
      </c>
      <c r="E59">
        <f t="shared" si="0"/>
        <v>0</v>
      </c>
    </row>
    <row r="60" spans="1:5" hidden="1" x14ac:dyDescent="0.3">
      <c r="A60" t="s">
        <v>24</v>
      </c>
      <c r="B60" t="s">
        <v>25</v>
      </c>
      <c r="C60">
        <v>0</v>
      </c>
      <c r="E60">
        <f t="shared" si="0"/>
        <v>0</v>
      </c>
    </row>
    <row r="61" spans="1:5" hidden="1" x14ac:dyDescent="0.3">
      <c r="A61" t="s">
        <v>26</v>
      </c>
      <c r="B61" t="s">
        <v>3</v>
      </c>
      <c r="C61">
        <v>0</v>
      </c>
      <c r="E61">
        <f t="shared" si="0"/>
        <v>0</v>
      </c>
    </row>
    <row r="62" spans="1:5" x14ac:dyDescent="0.3">
      <c r="A62" t="s">
        <v>26</v>
      </c>
      <c r="B62" t="s">
        <v>23</v>
      </c>
      <c r="C62">
        <v>65</v>
      </c>
      <c r="D62">
        <v>8400</v>
      </c>
      <c r="E62">
        <f t="shared" si="0"/>
        <v>546000</v>
      </c>
    </row>
    <row r="63" spans="1:5" hidden="1" x14ac:dyDescent="0.3">
      <c r="A63" t="s">
        <v>26</v>
      </c>
      <c r="B63" t="s">
        <v>27</v>
      </c>
      <c r="C63">
        <v>0</v>
      </c>
      <c r="E63">
        <f t="shared" si="0"/>
        <v>0</v>
      </c>
    </row>
    <row r="64" spans="1:5" x14ac:dyDescent="0.3">
      <c r="A64" t="s">
        <v>33</v>
      </c>
      <c r="B64" t="s">
        <v>3</v>
      </c>
      <c r="C64">
        <v>30</v>
      </c>
      <c r="D64">
        <v>8000</v>
      </c>
      <c r="E64">
        <f t="shared" si="0"/>
        <v>240000</v>
      </c>
    </row>
    <row r="65" spans="1:5" hidden="1" x14ac:dyDescent="0.3">
      <c r="A65" t="s">
        <v>33</v>
      </c>
      <c r="B65" t="s">
        <v>34</v>
      </c>
      <c r="C65">
        <v>0</v>
      </c>
      <c r="E65">
        <f t="shared" si="0"/>
        <v>0</v>
      </c>
    </row>
    <row r="66" spans="1:5" hidden="1" x14ac:dyDescent="0.3">
      <c r="A66" t="s">
        <v>36</v>
      </c>
      <c r="B66" t="s">
        <v>3</v>
      </c>
      <c r="C66">
        <v>0</v>
      </c>
      <c r="E66">
        <f t="shared" si="0"/>
        <v>0</v>
      </c>
    </row>
    <row r="67" spans="1:5" x14ac:dyDescent="0.3">
      <c r="A67" t="s">
        <v>36</v>
      </c>
      <c r="B67" t="s">
        <v>30</v>
      </c>
      <c r="C67">
        <v>6</v>
      </c>
      <c r="D67">
        <v>6000</v>
      </c>
      <c r="E67">
        <f t="shared" si="0"/>
        <v>36000</v>
      </c>
    </row>
    <row r="68" spans="1:5" x14ac:dyDescent="0.3">
      <c r="A68" t="s">
        <v>41</v>
      </c>
      <c r="B68" t="s">
        <v>3</v>
      </c>
      <c r="C68">
        <v>25</v>
      </c>
      <c r="D68">
        <v>14000</v>
      </c>
      <c r="E68">
        <f t="shared" ref="E68:E133" si="1">C68*D68</f>
        <v>350000</v>
      </c>
    </row>
    <row r="69" spans="1:5" x14ac:dyDescent="0.3">
      <c r="A69" t="s">
        <v>44</v>
      </c>
      <c r="B69" t="s">
        <v>3</v>
      </c>
      <c r="C69">
        <v>75</v>
      </c>
      <c r="D69">
        <v>6500</v>
      </c>
      <c r="E69">
        <f t="shared" si="1"/>
        <v>487500</v>
      </c>
    </row>
    <row r="70" spans="1:5" x14ac:dyDescent="0.3">
      <c r="A70" t="s">
        <v>46</v>
      </c>
      <c r="B70" t="s">
        <v>3</v>
      </c>
      <c r="C70">
        <v>9</v>
      </c>
      <c r="D70">
        <v>17000</v>
      </c>
      <c r="E70">
        <f t="shared" si="1"/>
        <v>153000</v>
      </c>
    </row>
    <row r="71" spans="1:5" x14ac:dyDescent="0.3">
      <c r="A71" t="s">
        <v>61</v>
      </c>
      <c r="B71" t="s">
        <v>3</v>
      </c>
      <c r="C71">
        <v>25</v>
      </c>
      <c r="D71">
        <v>13000</v>
      </c>
      <c r="E71">
        <f t="shared" si="1"/>
        <v>325000</v>
      </c>
    </row>
    <row r="72" spans="1:5" x14ac:dyDescent="0.3">
      <c r="A72" t="s">
        <v>62</v>
      </c>
      <c r="B72" t="s">
        <v>30</v>
      </c>
      <c r="C72">
        <v>9</v>
      </c>
      <c r="D72">
        <v>6000</v>
      </c>
      <c r="E72">
        <f t="shared" si="1"/>
        <v>54000</v>
      </c>
    </row>
    <row r="73" spans="1:5" hidden="1" x14ac:dyDescent="0.3">
      <c r="A73" t="s">
        <v>63</v>
      </c>
      <c r="B73" t="s">
        <v>3</v>
      </c>
      <c r="C73">
        <v>0</v>
      </c>
      <c r="E73">
        <f t="shared" si="1"/>
        <v>0</v>
      </c>
    </row>
    <row r="74" spans="1:5" x14ac:dyDescent="0.3">
      <c r="A74" t="s">
        <v>63</v>
      </c>
      <c r="B74" t="s">
        <v>64</v>
      </c>
      <c r="C74">
        <v>41</v>
      </c>
      <c r="D74">
        <v>7000</v>
      </c>
      <c r="E74">
        <f t="shared" si="1"/>
        <v>287000</v>
      </c>
    </row>
    <row r="75" spans="1:5" x14ac:dyDescent="0.3">
      <c r="A75" t="s">
        <v>65</v>
      </c>
      <c r="B75" t="s">
        <v>3</v>
      </c>
      <c r="C75">
        <v>1.5</v>
      </c>
      <c r="D75">
        <v>80000</v>
      </c>
      <c r="E75">
        <f t="shared" si="1"/>
        <v>120000</v>
      </c>
    </row>
    <row r="76" spans="1:5" x14ac:dyDescent="0.3">
      <c r="A76" t="s">
        <v>66</v>
      </c>
      <c r="B76" t="s">
        <v>3</v>
      </c>
      <c r="C76">
        <v>2</v>
      </c>
      <c r="D76">
        <v>70000</v>
      </c>
      <c r="E76">
        <f t="shared" si="1"/>
        <v>140000</v>
      </c>
    </row>
    <row r="77" spans="1:5" x14ac:dyDescent="0.3">
      <c r="A77" t="s">
        <v>67</v>
      </c>
      <c r="B77" t="s">
        <v>3</v>
      </c>
      <c r="C77">
        <v>1.5</v>
      </c>
      <c r="D77">
        <v>70000</v>
      </c>
      <c r="E77">
        <f t="shared" si="1"/>
        <v>105000</v>
      </c>
    </row>
    <row r="78" spans="1:5" hidden="1" x14ac:dyDescent="0.3">
      <c r="A78" t="s">
        <v>71</v>
      </c>
      <c r="B78" t="s">
        <v>40</v>
      </c>
      <c r="C78">
        <v>0</v>
      </c>
      <c r="E78">
        <f t="shared" si="1"/>
        <v>0</v>
      </c>
    </row>
    <row r="79" spans="1:5" hidden="1" x14ac:dyDescent="0.3">
      <c r="A79" t="s">
        <v>71</v>
      </c>
      <c r="B79" t="s">
        <v>3</v>
      </c>
      <c r="C79">
        <v>0</v>
      </c>
      <c r="E79">
        <f t="shared" si="1"/>
        <v>0</v>
      </c>
    </row>
    <row r="80" spans="1:5" hidden="1" x14ac:dyDescent="0.3">
      <c r="A80" t="s">
        <v>73</v>
      </c>
      <c r="B80" t="s">
        <v>3</v>
      </c>
      <c r="C80">
        <v>0</v>
      </c>
      <c r="E80">
        <f t="shared" si="1"/>
        <v>0</v>
      </c>
    </row>
    <row r="81" spans="1:5" hidden="1" x14ac:dyDescent="0.3">
      <c r="A81" t="s">
        <v>74</v>
      </c>
      <c r="B81" t="s">
        <v>30</v>
      </c>
      <c r="C81">
        <v>0</v>
      </c>
      <c r="E81">
        <f t="shared" si="1"/>
        <v>0</v>
      </c>
    </row>
    <row r="82" spans="1:5" x14ac:dyDescent="0.3">
      <c r="A82" t="s">
        <v>75</v>
      </c>
      <c r="B82" t="s">
        <v>3</v>
      </c>
      <c r="C82">
        <v>10</v>
      </c>
      <c r="D82">
        <v>14000</v>
      </c>
      <c r="E82">
        <f t="shared" si="1"/>
        <v>140000</v>
      </c>
    </row>
    <row r="83" spans="1:5" hidden="1" x14ac:dyDescent="0.3">
      <c r="A83" t="s">
        <v>77</v>
      </c>
      <c r="B83" t="s">
        <v>25</v>
      </c>
      <c r="C83">
        <v>0</v>
      </c>
      <c r="E83">
        <f t="shared" si="1"/>
        <v>0</v>
      </c>
    </row>
    <row r="84" spans="1:5" x14ac:dyDescent="0.3">
      <c r="A84" t="s">
        <v>77</v>
      </c>
      <c r="B84" t="s">
        <v>3</v>
      </c>
      <c r="C84">
        <v>15</v>
      </c>
      <c r="D84">
        <v>48000</v>
      </c>
      <c r="E84">
        <f t="shared" si="1"/>
        <v>720000</v>
      </c>
    </row>
    <row r="85" spans="1:5" x14ac:dyDescent="0.3">
      <c r="A85" t="s">
        <v>84</v>
      </c>
      <c r="B85" t="s">
        <v>30</v>
      </c>
      <c r="C85">
        <v>90</v>
      </c>
      <c r="D85">
        <v>20000</v>
      </c>
      <c r="E85">
        <f t="shared" si="1"/>
        <v>1800000</v>
      </c>
    </row>
    <row r="86" spans="1:5" x14ac:dyDescent="0.3">
      <c r="A86" t="s">
        <v>92</v>
      </c>
      <c r="B86" t="s">
        <v>3</v>
      </c>
      <c r="C86">
        <v>91</v>
      </c>
      <c r="D86">
        <v>18000</v>
      </c>
      <c r="E86">
        <f t="shared" si="1"/>
        <v>1638000</v>
      </c>
    </row>
    <row r="87" spans="1:5" x14ac:dyDescent="0.3">
      <c r="A87" t="s">
        <v>106</v>
      </c>
      <c r="B87" t="s">
        <v>9</v>
      </c>
      <c r="C87">
        <v>860</v>
      </c>
      <c r="D87">
        <v>10000</v>
      </c>
      <c r="E87">
        <f t="shared" si="1"/>
        <v>8600000</v>
      </c>
    </row>
    <row r="88" spans="1:5" hidden="1" x14ac:dyDescent="0.3">
      <c r="A88" t="s">
        <v>96</v>
      </c>
      <c r="B88" t="s">
        <v>3</v>
      </c>
      <c r="C88">
        <v>0</v>
      </c>
      <c r="E88">
        <f t="shared" si="1"/>
        <v>0</v>
      </c>
    </row>
    <row r="89" spans="1:5" hidden="1" x14ac:dyDescent="0.3">
      <c r="A89" t="s">
        <v>98</v>
      </c>
      <c r="B89" t="s">
        <v>3</v>
      </c>
      <c r="C89">
        <v>0</v>
      </c>
      <c r="E89">
        <f t="shared" si="1"/>
        <v>0</v>
      </c>
    </row>
    <row r="90" spans="1:5" hidden="1" x14ac:dyDescent="0.3">
      <c r="A90" t="s">
        <v>99</v>
      </c>
      <c r="B90" t="s">
        <v>3</v>
      </c>
      <c r="C90">
        <v>0</v>
      </c>
      <c r="E90">
        <f t="shared" si="1"/>
        <v>0</v>
      </c>
    </row>
    <row r="91" spans="1:5" hidden="1" x14ac:dyDescent="0.3">
      <c r="A91" t="s">
        <v>119</v>
      </c>
      <c r="B91" t="s">
        <v>3</v>
      </c>
      <c r="C91">
        <v>0</v>
      </c>
      <c r="E91">
        <f t="shared" si="1"/>
        <v>0</v>
      </c>
    </row>
    <row r="92" spans="1:5" hidden="1" x14ac:dyDescent="0.3">
      <c r="A92" t="s">
        <v>69</v>
      </c>
      <c r="B92" t="s">
        <v>3</v>
      </c>
      <c r="C92">
        <v>0</v>
      </c>
      <c r="E92">
        <f t="shared" si="1"/>
        <v>0</v>
      </c>
    </row>
    <row r="93" spans="1:5" hidden="1" x14ac:dyDescent="0.3">
      <c r="A93" t="s">
        <v>114</v>
      </c>
      <c r="B93" t="s">
        <v>3</v>
      </c>
      <c r="C93">
        <v>0</v>
      </c>
      <c r="E93">
        <f t="shared" si="1"/>
        <v>0</v>
      </c>
    </row>
    <row r="94" spans="1:5" hidden="1" x14ac:dyDescent="0.3">
      <c r="A94" t="s">
        <v>49</v>
      </c>
      <c r="B94" t="s">
        <v>3</v>
      </c>
      <c r="C94">
        <v>0</v>
      </c>
      <c r="E94">
        <f t="shared" si="1"/>
        <v>0</v>
      </c>
    </row>
    <row r="95" spans="1:5" hidden="1" x14ac:dyDescent="0.3">
      <c r="A95" t="s">
        <v>57</v>
      </c>
      <c r="B95" t="s">
        <v>3</v>
      </c>
      <c r="C95">
        <v>0</v>
      </c>
      <c r="E95">
        <f t="shared" si="1"/>
        <v>0</v>
      </c>
    </row>
    <row r="96" spans="1:5" hidden="1" x14ac:dyDescent="0.3">
      <c r="A96" t="s">
        <v>57</v>
      </c>
      <c r="B96" t="s">
        <v>30</v>
      </c>
      <c r="C96">
        <v>0</v>
      </c>
      <c r="E96">
        <f t="shared" si="1"/>
        <v>0</v>
      </c>
    </row>
    <row r="97" spans="1:5" x14ac:dyDescent="0.3">
      <c r="A97" t="s">
        <v>111</v>
      </c>
      <c r="B97" t="s">
        <v>3</v>
      </c>
      <c r="C97">
        <v>1</v>
      </c>
      <c r="D97">
        <v>25000</v>
      </c>
      <c r="E97">
        <f t="shared" si="1"/>
        <v>25000</v>
      </c>
    </row>
    <row r="98" spans="1:5" x14ac:dyDescent="0.3">
      <c r="A98" t="s">
        <v>93</v>
      </c>
      <c r="B98" t="s">
        <v>3</v>
      </c>
      <c r="C98">
        <v>17</v>
      </c>
      <c r="D98">
        <v>30000</v>
      </c>
      <c r="E98">
        <f t="shared" si="1"/>
        <v>510000</v>
      </c>
    </row>
    <row r="99" spans="1:5" hidden="1" x14ac:dyDescent="0.3">
      <c r="A99" t="s">
        <v>112</v>
      </c>
      <c r="B99" t="s">
        <v>3</v>
      </c>
      <c r="C99">
        <v>0</v>
      </c>
      <c r="E99">
        <f t="shared" si="1"/>
        <v>0</v>
      </c>
    </row>
    <row r="100" spans="1:5" hidden="1" x14ac:dyDescent="0.3">
      <c r="A100" t="s">
        <v>14</v>
      </c>
      <c r="B100" t="s">
        <v>3</v>
      </c>
      <c r="C100">
        <v>0</v>
      </c>
      <c r="E100">
        <f t="shared" si="1"/>
        <v>0</v>
      </c>
    </row>
    <row r="101" spans="1:5" hidden="1" x14ac:dyDescent="0.3">
      <c r="A101" t="s">
        <v>55</v>
      </c>
      <c r="B101" t="s">
        <v>3</v>
      </c>
      <c r="C101">
        <v>0</v>
      </c>
      <c r="E101">
        <f t="shared" si="1"/>
        <v>0</v>
      </c>
    </row>
    <row r="102" spans="1:5" x14ac:dyDescent="0.3">
      <c r="A102" t="s">
        <v>6</v>
      </c>
      <c r="B102" t="s">
        <v>3</v>
      </c>
      <c r="C102">
        <v>85</v>
      </c>
      <c r="D102">
        <v>11000</v>
      </c>
      <c r="E102">
        <f t="shared" si="1"/>
        <v>935000</v>
      </c>
    </row>
    <row r="103" spans="1:5" hidden="1" x14ac:dyDescent="0.3">
      <c r="A103" t="s">
        <v>85</v>
      </c>
      <c r="B103" t="s">
        <v>30</v>
      </c>
      <c r="C103">
        <v>0</v>
      </c>
      <c r="E103">
        <f t="shared" si="1"/>
        <v>0</v>
      </c>
    </row>
    <row r="104" spans="1:5" hidden="1" x14ac:dyDescent="0.3">
      <c r="A104" t="s">
        <v>100</v>
      </c>
      <c r="B104" t="s">
        <v>40</v>
      </c>
      <c r="C104">
        <v>0</v>
      </c>
      <c r="E104">
        <f t="shared" si="1"/>
        <v>0</v>
      </c>
    </row>
    <row r="105" spans="1:5" hidden="1" x14ac:dyDescent="0.3">
      <c r="A105" t="s">
        <v>91</v>
      </c>
      <c r="B105" t="s">
        <v>25</v>
      </c>
      <c r="C105">
        <v>0</v>
      </c>
      <c r="E105">
        <f t="shared" si="1"/>
        <v>0</v>
      </c>
    </row>
    <row r="106" spans="1:5" hidden="1" x14ac:dyDescent="0.3">
      <c r="A106" t="s">
        <v>97</v>
      </c>
      <c r="B106" t="s">
        <v>40</v>
      </c>
      <c r="C106">
        <v>0</v>
      </c>
      <c r="E106">
        <f t="shared" si="1"/>
        <v>0</v>
      </c>
    </row>
    <row r="107" spans="1:5" hidden="1" x14ac:dyDescent="0.3">
      <c r="A107" t="s">
        <v>95</v>
      </c>
      <c r="B107" t="s">
        <v>40</v>
      </c>
      <c r="C107">
        <v>0</v>
      </c>
      <c r="E107">
        <f t="shared" si="1"/>
        <v>0</v>
      </c>
    </row>
    <row r="108" spans="1:5" x14ac:dyDescent="0.3">
      <c r="A108" t="s">
        <v>60</v>
      </c>
      <c r="B108" t="s">
        <v>30</v>
      </c>
      <c r="C108">
        <v>170</v>
      </c>
      <c r="D108">
        <v>6000</v>
      </c>
      <c r="E108">
        <f t="shared" si="1"/>
        <v>1020000</v>
      </c>
    </row>
    <row r="109" spans="1:5" x14ac:dyDescent="0.3">
      <c r="A109" t="s">
        <v>15</v>
      </c>
      <c r="B109" t="s">
        <v>3</v>
      </c>
      <c r="C109">
        <v>108</v>
      </c>
      <c r="D109">
        <v>31000</v>
      </c>
      <c r="E109">
        <f t="shared" si="1"/>
        <v>3348000</v>
      </c>
    </row>
    <row r="110" spans="1:5" hidden="1" x14ac:dyDescent="0.3">
      <c r="A110" t="s">
        <v>120</v>
      </c>
      <c r="B110" t="s">
        <v>3</v>
      </c>
      <c r="C110">
        <v>0</v>
      </c>
      <c r="E110">
        <f t="shared" si="1"/>
        <v>0</v>
      </c>
    </row>
    <row r="111" spans="1:5" x14ac:dyDescent="0.3">
      <c r="A111" t="s">
        <v>89</v>
      </c>
      <c r="B111" t="s">
        <v>3</v>
      </c>
      <c r="C111">
        <v>135</v>
      </c>
      <c r="D111">
        <v>28000</v>
      </c>
      <c r="E111">
        <f t="shared" si="1"/>
        <v>3780000</v>
      </c>
    </row>
    <row r="112" spans="1:5" hidden="1" x14ac:dyDescent="0.3">
      <c r="A112" t="s">
        <v>124</v>
      </c>
      <c r="B112" t="s">
        <v>3</v>
      </c>
      <c r="C112">
        <v>0</v>
      </c>
      <c r="E112">
        <f t="shared" si="1"/>
        <v>0</v>
      </c>
    </row>
    <row r="113" spans="1:5" x14ac:dyDescent="0.3">
      <c r="A113" t="s">
        <v>90</v>
      </c>
      <c r="B113" t="s">
        <v>3</v>
      </c>
      <c r="C113">
        <v>30</v>
      </c>
      <c r="D113">
        <v>30000</v>
      </c>
      <c r="E113">
        <f t="shared" si="1"/>
        <v>900000</v>
      </c>
    </row>
    <row r="114" spans="1:5" x14ac:dyDescent="0.3">
      <c r="A114" t="s">
        <v>131</v>
      </c>
      <c r="B114" t="s">
        <v>19</v>
      </c>
      <c r="C114">
        <v>60</v>
      </c>
      <c r="D114">
        <v>13650</v>
      </c>
      <c r="E114">
        <f t="shared" si="1"/>
        <v>819000</v>
      </c>
    </row>
    <row r="115" spans="1:5" x14ac:dyDescent="0.3">
      <c r="A115" t="s">
        <v>53</v>
      </c>
      <c r="B115" t="s">
        <v>3</v>
      </c>
      <c r="C115">
        <v>400</v>
      </c>
      <c r="D115">
        <v>23000</v>
      </c>
      <c r="E115">
        <f t="shared" si="1"/>
        <v>9200000</v>
      </c>
    </row>
    <row r="116" spans="1:5" x14ac:dyDescent="0.3">
      <c r="A116" t="s">
        <v>58</v>
      </c>
      <c r="B116" t="s">
        <v>3</v>
      </c>
      <c r="C116">
        <v>60</v>
      </c>
      <c r="D116">
        <v>30000</v>
      </c>
      <c r="E116">
        <f t="shared" si="1"/>
        <v>1800000</v>
      </c>
    </row>
    <row r="117" spans="1:5" x14ac:dyDescent="0.3">
      <c r="A117" t="s">
        <v>79</v>
      </c>
      <c r="B117" t="s">
        <v>3</v>
      </c>
      <c r="C117">
        <v>12</v>
      </c>
      <c r="D117">
        <v>23000</v>
      </c>
      <c r="E117">
        <f t="shared" si="1"/>
        <v>276000</v>
      </c>
    </row>
    <row r="118" spans="1:5" x14ac:dyDescent="0.3">
      <c r="A118" t="s">
        <v>81</v>
      </c>
      <c r="B118" t="s">
        <v>3</v>
      </c>
      <c r="C118">
        <v>15</v>
      </c>
      <c r="D118">
        <v>20000</v>
      </c>
      <c r="E118">
        <f t="shared" si="1"/>
        <v>300000</v>
      </c>
    </row>
    <row r="119" spans="1:5" x14ac:dyDescent="0.3">
      <c r="A119" t="s">
        <v>83</v>
      </c>
      <c r="B119" t="s">
        <v>3</v>
      </c>
      <c r="C119">
        <v>15</v>
      </c>
      <c r="D119">
        <v>25000</v>
      </c>
      <c r="E119">
        <f t="shared" si="1"/>
        <v>375000</v>
      </c>
    </row>
    <row r="120" spans="1:5" x14ac:dyDescent="0.3">
      <c r="A120" t="s">
        <v>88</v>
      </c>
      <c r="B120" t="s">
        <v>9</v>
      </c>
      <c r="C120">
        <v>1011</v>
      </c>
      <c r="D120">
        <v>11361</v>
      </c>
      <c r="E120">
        <f t="shared" si="1"/>
        <v>11485971</v>
      </c>
    </row>
    <row r="121" spans="1:5" x14ac:dyDescent="0.3">
      <c r="E121">
        <f>SUM(E3:E120)</f>
        <v>185492571</v>
      </c>
    </row>
    <row r="122" spans="1:5" x14ac:dyDescent="0.3">
      <c r="A122" t="s">
        <v>110</v>
      </c>
    </row>
    <row r="123" spans="1:5" x14ac:dyDescent="0.3">
      <c r="A123" t="s">
        <v>0</v>
      </c>
      <c r="B123" t="s">
        <v>1</v>
      </c>
      <c r="C123" t="s">
        <v>107</v>
      </c>
      <c r="D123" t="s">
        <v>108</v>
      </c>
      <c r="E123" t="s">
        <v>109</v>
      </c>
    </row>
    <row r="124" spans="1:5" x14ac:dyDescent="0.3">
      <c r="A124" t="s">
        <v>31</v>
      </c>
      <c r="B124" t="s">
        <v>3</v>
      </c>
      <c r="C124">
        <v>120</v>
      </c>
      <c r="D124">
        <v>11000</v>
      </c>
      <c r="E124">
        <f t="shared" si="1"/>
        <v>1320000</v>
      </c>
    </row>
    <row r="125" spans="1:5" x14ac:dyDescent="0.3">
      <c r="A125" t="s">
        <v>44</v>
      </c>
      <c r="B125" t="s">
        <v>3</v>
      </c>
      <c r="C125">
        <v>30</v>
      </c>
      <c r="D125">
        <v>6500</v>
      </c>
      <c r="E125">
        <f t="shared" si="1"/>
        <v>195000</v>
      </c>
    </row>
    <row r="126" spans="1:5" x14ac:dyDescent="0.3">
      <c r="A126" t="s">
        <v>45</v>
      </c>
      <c r="B126" t="s">
        <v>3</v>
      </c>
      <c r="C126">
        <v>5</v>
      </c>
      <c r="D126">
        <v>10000</v>
      </c>
      <c r="E126">
        <f t="shared" si="1"/>
        <v>50000</v>
      </c>
    </row>
    <row r="127" spans="1:5" x14ac:dyDescent="0.3">
      <c r="A127" t="s">
        <v>47</v>
      </c>
      <c r="B127" t="s">
        <v>3</v>
      </c>
      <c r="C127">
        <v>55.000000000000007</v>
      </c>
      <c r="D127">
        <v>12500</v>
      </c>
      <c r="E127">
        <f t="shared" si="1"/>
        <v>687500.00000000012</v>
      </c>
    </row>
    <row r="128" spans="1:5" x14ac:dyDescent="0.3">
      <c r="A128" t="s">
        <v>54</v>
      </c>
      <c r="B128" t="s">
        <v>3</v>
      </c>
      <c r="C128">
        <v>100</v>
      </c>
      <c r="D128">
        <v>16000</v>
      </c>
      <c r="E128">
        <f t="shared" si="1"/>
        <v>1600000</v>
      </c>
    </row>
    <row r="129" spans="1:5" hidden="1" x14ac:dyDescent="0.3">
      <c r="A129" t="s">
        <v>57</v>
      </c>
      <c r="B129" t="s">
        <v>30</v>
      </c>
      <c r="C129">
        <v>0</v>
      </c>
      <c r="E129">
        <f t="shared" si="1"/>
        <v>0</v>
      </c>
    </row>
    <row r="130" spans="1:5" x14ac:dyDescent="0.3">
      <c r="A130" t="s">
        <v>59</v>
      </c>
      <c r="B130" t="s">
        <v>3</v>
      </c>
      <c r="C130">
        <v>50</v>
      </c>
      <c r="D130">
        <v>17000</v>
      </c>
      <c r="E130">
        <f t="shared" si="1"/>
        <v>850000</v>
      </c>
    </row>
    <row r="131" spans="1:5" x14ac:dyDescent="0.3">
      <c r="A131" t="s">
        <v>61</v>
      </c>
      <c r="B131" t="s">
        <v>3</v>
      </c>
      <c r="C131">
        <v>5</v>
      </c>
      <c r="D131">
        <v>13000</v>
      </c>
      <c r="E131">
        <f t="shared" si="1"/>
        <v>65000</v>
      </c>
    </row>
    <row r="132" spans="1:5" x14ac:dyDescent="0.3">
      <c r="A132" t="s">
        <v>12</v>
      </c>
      <c r="B132" t="s">
        <v>3</v>
      </c>
      <c r="C132">
        <v>3</v>
      </c>
      <c r="D132">
        <v>16000</v>
      </c>
      <c r="E132">
        <f t="shared" si="1"/>
        <v>48000</v>
      </c>
    </row>
    <row r="133" spans="1:5" x14ac:dyDescent="0.3">
      <c r="A133" t="s">
        <v>102</v>
      </c>
      <c r="B133" t="s">
        <v>3</v>
      </c>
      <c r="C133">
        <v>105</v>
      </c>
      <c r="D133">
        <v>21000</v>
      </c>
      <c r="E133">
        <f t="shared" si="1"/>
        <v>2205000</v>
      </c>
    </row>
    <row r="134" spans="1:5" hidden="1" x14ac:dyDescent="0.3">
      <c r="A134" t="s">
        <v>2</v>
      </c>
      <c r="B134" t="s">
        <v>3</v>
      </c>
      <c r="C134">
        <v>0</v>
      </c>
      <c r="E134">
        <f t="shared" ref="E134:E164" si="2">C134*D134</f>
        <v>0</v>
      </c>
    </row>
    <row r="135" spans="1:5" x14ac:dyDescent="0.3">
      <c r="A135" t="s">
        <v>4</v>
      </c>
      <c r="B135" t="s">
        <v>3</v>
      </c>
      <c r="C135">
        <v>22</v>
      </c>
      <c r="D135">
        <v>7000</v>
      </c>
      <c r="E135">
        <f t="shared" si="2"/>
        <v>154000</v>
      </c>
    </row>
    <row r="136" spans="1:5" x14ac:dyDescent="0.3">
      <c r="A136" t="s">
        <v>5</v>
      </c>
      <c r="B136" t="s">
        <v>3</v>
      </c>
      <c r="C136">
        <v>143</v>
      </c>
      <c r="D136">
        <v>5500</v>
      </c>
      <c r="E136">
        <f t="shared" si="2"/>
        <v>786500</v>
      </c>
    </row>
    <row r="137" spans="1:5" x14ac:dyDescent="0.3">
      <c r="A137" t="s">
        <v>38</v>
      </c>
      <c r="B137" t="s">
        <v>3</v>
      </c>
      <c r="C137">
        <v>60</v>
      </c>
      <c r="D137">
        <v>6000</v>
      </c>
      <c r="E137">
        <f t="shared" si="2"/>
        <v>360000</v>
      </c>
    </row>
    <row r="138" spans="1:5" hidden="1" x14ac:dyDescent="0.3">
      <c r="A138" t="s">
        <v>39</v>
      </c>
      <c r="B138" t="s">
        <v>3</v>
      </c>
      <c r="C138">
        <v>0</v>
      </c>
      <c r="E138">
        <f t="shared" si="2"/>
        <v>0</v>
      </c>
    </row>
    <row r="139" spans="1:5" x14ac:dyDescent="0.3">
      <c r="A139" t="s">
        <v>71</v>
      </c>
      <c r="B139" t="s">
        <v>3</v>
      </c>
      <c r="C139">
        <v>12</v>
      </c>
      <c r="D139">
        <v>17000</v>
      </c>
      <c r="E139">
        <f t="shared" si="2"/>
        <v>204000</v>
      </c>
    </row>
    <row r="140" spans="1:5" hidden="1" x14ac:dyDescent="0.3">
      <c r="A140" t="s">
        <v>95</v>
      </c>
      <c r="B140" t="s">
        <v>40</v>
      </c>
      <c r="C140">
        <v>0</v>
      </c>
      <c r="E140">
        <f t="shared" si="2"/>
        <v>0</v>
      </c>
    </row>
    <row r="141" spans="1:5" hidden="1" x14ac:dyDescent="0.3">
      <c r="A141" t="s">
        <v>97</v>
      </c>
      <c r="B141" t="s">
        <v>40</v>
      </c>
      <c r="C141">
        <v>0</v>
      </c>
      <c r="E141">
        <f t="shared" si="2"/>
        <v>0</v>
      </c>
    </row>
    <row r="142" spans="1:5" hidden="1" x14ac:dyDescent="0.3">
      <c r="A142" t="s">
        <v>100</v>
      </c>
      <c r="B142" t="s">
        <v>40</v>
      </c>
      <c r="C142">
        <v>0</v>
      </c>
      <c r="E142">
        <f t="shared" si="2"/>
        <v>0</v>
      </c>
    </row>
    <row r="143" spans="1:5" hidden="1" x14ac:dyDescent="0.3">
      <c r="A143" t="s">
        <v>119</v>
      </c>
      <c r="B143" t="s">
        <v>3</v>
      </c>
      <c r="C143">
        <v>0</v>
      </c>
      <c r="E143">
        <f t="shared" si="2"/>
        <v>0</v>
      </c>
    </row>
    <row r="144" spans="1:5" x14ac:dyDescent="0.3">
      <c r="A144" t="s">
        <v>7</v>
      </c>
      <c r="B144" t="s">
        <v>3</v>
      </c>
      <c r="C144">
        <v>20</v>
      </c>
      <c r="D144">
        <v>10000</v>
      </c>
      <c r="E144">
        <f t="shared" si="2"/>
        <v>200000</v>
      </c>
    </row>
    <row r="145" spans="1:5" x14ac:dyDescent="0.3">
      <c r="A145" t="s">
        <v>8</v>
      </c>
      <c r="B145" t="s">
        <v>3</v>
      </c>
      <c r="C145">
        <v>15</v>
      </c>
      <c r="D145">
        <v>8000</v>
      </c>
      <c r="E145">
        <f t="shared" si="2"/>
        <v>120000</v>
      </c>
    </row>
    <row r="146" spans="1:5" x14ac:dyDescent="0.3">
      <c r="A146" t="s">
        <v>18</v>
      </c>
      <c r="B146" t="s">
        <v>3</v>
      </c>
      <c r="C146">
        <v>30</v>
      </c>
      <c r="D146">
        <v>17000</v>
      </c>
      <c r="E146">
        <f t="shared" si="2"/>
        <v>510000</v>
      </c>
    </row>
    <row r="147" spans="1:5" x14ac:dyDescent="0.3">
      <c r="A147" t="s">
        <v>28</v>
      </c>
      <c r="B147" t="s">
        <v>3</v>
      </c>
      <c r="C147">
        <v>70</v>
      </c>
      <c r="D147">
        <v>11000</v>
      </c>
      <c r="E147">
        <f t="shared" si="2"/>
        <v>770000</v>
      </c>
    </row>
    <row r="148" spans="1:5" x14ac:dyDescent="0.3">
      <c r="A148" t="s">
        <v>33</v>
      </c>
      <c r="B148" t="s">
        <v>3</v>
      </c>
      <c r="C148">
        <v>10</v>
      </c>
      <c r="D148">
        <v>8000</v>
      </c>
      <c r="E148">
        <f t="shared" si="2"/>
        <v>80000</v>
      </c>
    </row>
    <row r="149" spans="1:5" x14ac:dyDescent="0.3">
      <c r="A149" t="s">
        <v>78</v>
      </c>
      <c r="B149" t="s">
        <v>3</v>
      </c>
      <c r="C149">
        <v>5</v>
      </c>
      <c r="D149">
        <v>28000</v>
      </c>
      <c r="E149">
        <f t="shared" si="2"/>
        <v>140000</v>
      </c>
    </row>
    <row r="150" spans="1:5" x14ac:dyDescent="0.3">
      <c r="A150" t="s">
        <v>80</v>
      </c>
      <c r="B150" t="s">
        <v>3</v>
      </c>
      <c r="C150">
        <v>5</v>
      </c>
      <c r="D150">
        <v>25000</v>
      </c>
      <c r="E150">
        <f t="shared" si="2"/>
        <v>125000</v>
      </c>
    </row>
    <row r="151" spans="1:5" x14ac:dyDescent="0.3">
      <c r="A151" t="s">
        <v>82</v>
      </c>
      <c r="B151" t="s">
        <v>3</v>
      </c>
      <c r="C151">
        <v>5</v>
      </c>
      <c r="D151">
        <v>31000</v>
      </c>
      <c r="E151">
        <f t="shared" si="2"/>
        <v>155000</v>
      </c>
    </row>
    <row r="152" spans="1:5" x14ac:dyDescent="0.3">
      <c r="A152" t="s">
        <v>92</v>
      </c>
      <c r="B152" t="s">
        <v>3</v>
      </c>
      <c r="C152">
        <v>22</v>
      </c>
      <c r="D152">
        <v>18000</v>
      </c>
      <c r="E152">
        <f t="shared" si="2"/>
        <v>396000</v>
      </c>
    </row>
    <row r="153" spans="1:5" hidden="1" x14ac:dyDescent="0.3">
      <c r="A153" t="s">
        <v>41</v>
      </c>
      <c r="B153" t="s">
        <v>3</v>
      </c>
      <c r="C153">
        <v>0</v>
      </c>
      <c r="E153">
        <f t="shared" si="2"/>
        <v>0</v>
      </c>
    </row>
    <row r="154" spans="1:5" hidden="1" x14ac:dyDescent="0.3">
      <c r="A154" t="s">
        <v>105</v>
      </c>
      <c r="B154" t="s">
        <v>3</v>
      </c>
      <c r="C154">
        <v>0</v>
      </c>
      <c r="E154">
        <f t="shared" si="2"/>
        <v>0</v>
      </c>
    </row>
    <row r="155" spans="1:5" x14ac:dyDescent="0.3">
      <c r="A155" t="s">
        <v>103</v>
      </c>
      <c r="B155" t="s">
        <v>3</v>
      </c>
      <c r="C155">
        <v>4</v>
      </c>
      <c r="D155">
        <v>14000</v>
      </c>
      <c r="E155">
        <f t="shared" si="2"/>
        <v>56000</v>
      </c>
    </row>
    <row r="156" spans="1:5" hidden="1" x14ac:dyDescent="0.3">
      <c r="A156" t="s">
        <v>68</v>
      </c>
      <c r="B156" t="s">
        <v>3</v>
      </c>
      <c r="C156">
        <v>0</v>
      </c>
      <c r="E156">
        <f t="shared" si="2"/>
        <v>0</v>
      </c>
    </row>
    <row r="157" spans="1:5" x14ac:dyDescent="0.3">
      <c r="A157" t="s">
        <v>68</v>
      </c>
      <c r="B157" t="s">
        <v>17</v>
      </c>
      <c r="C157">
        <v>90</v>
      </c>
      <c r="D157">
        <v>6000</v>
      </c>
      <c r="E157">
        <f t="shared" si="2"/>
        <v>540000</v>
      </c>
    </row>
    <row r="158" spans="1:5" hidden="1" x14ac:dyDescent="0.3">
      <c r="A158" t="s">
        <v>72</v>
      </c>
      <c r="B158" t="s">
        <v>3</v>
      </c>
      <c r="C158">
        <v>0</v>
      </c>
      <c r="E158">
        <f t="shared" si="2"/>
        <v>0</v>
      </c>
    </row>
    <row r="159" spans="1:5" hidden="1" x14ac:dyDescent="0.3">
      <c r="A159" t="s">
        <v>62</v>
      </c>
      <c r="B159" t="s">
        <v>30</v>
      </c>
      <c r="C159">
        <v>0</v>
      </c>
      <c r="E159">
        <f t="shared" si="2"/>
        <v>0</v>
      </c>
    </row>
    <row r="160" spans="1:5" x14ac:dyDescent="0.3">
      <c r="A160" t="s">
        <v>63</v>
      </c>
      <c r="B160" t="s">
        <v>30</v>
      </c>
      <c r="C160">
        <v>15</v>
      </c>
      <c r="D160">
        <v>7000</v>
      </c>
      <c r="E160">
        <f t="shared" si="2"/>
        <v>105000</v>
      </c>
    </row>
    <row r="161" spans="1:5" hidden="1" x14ac:dyDescent="0.3">
      <c r="A161" t="s">
        <v>73</v>
      </c>
      <c r="B161" t="s">
        <v>3</v>
      </c>
      <c r="C161">
        <v>0</v>
      </c>
      <c r="E161">
        <f t="shared" si="2"/>
        <v>0</v>
      </c>
    </row>
    <row r="162" spans="1:5" x14ac:dyDescent="0.3">
      <c r="A162" t="s">
        <v>104</v>
      </c>
      <c r="B162" t="s">
        <v>3</v>
      </c>
      <c r="C162">
        <v>1256</v>
      </c>
      <c r="D162">
        <v>6000</v>
      </c>
      <c r="E162">
        <f t="shared" si="2"/>
        <v>7536000</v>
      </c>
    </row>
    <row r="163" spans="1:5" hidden="1" x14ac:dyDescent="0.3">
      <c r="A163" t="s">
        <v>94</v>
      </c>
      <c r="B163" t="s">
        <v>40</v>
      </c>
      <c r="C163">
        <v>0</v>
      </c>
      <c r="E163">
        <f t="shared" si="2"/>
        <v>0</v>
      </c>
    </row>
    <row r="164" spans="1:5" hidden="1" x14ac:dyDescent="0.3">
      <c r="A164" t="s">
        <v>125</v>
      </c>
      <c r="B164" t="s">
        <v>25</v>
      </c>
      <c r="C164">
        <v>0</v>
      </c>
      <c r="E164">
        <f t="shared" si="2"/>
        <v>0</v>
      </c>
    </row>
    <row r="165" spans="1:5" x14ac:dyDescent="0.3">
      <c r="E165">
        <f>SUM(E124:E162)</f>
        <v>19258000</v>
      </c>
    </row>
    <row r="166" spans="1:5" x14ac:dyDescent="0.3">
      <c r="E166" s="2">
        <f>E165+E121</f>
        <v>204750571</v>
      </c>
    </row>
  </sheetData>
  <autoFilter ref="A2:E164" xr:uid="{00000000-0009-0000-0000-000006000000}">
    <filterColumn colId="2">
      <filters>
        <filter val="1"/>
        <filter val="1.5"/>
        <filter val="10"/>
        <filter val="100"/>
        <filter val="1011"/>
        <filter val="105"/>
        <filter val="108"/>
        <filter val="12"/>
        <filter val="120"/>
        <filter val="1256"/>
        <filter val="135"/>
        <filter val="143"/>
        <filter val="15"/>
        <filter val="17"/>
        <filter val="170"/>
        <filter val="180"/>
        <filter val="2"/>
        <filter val="20"/>
        <filter val="22"/>
        <filter val="25"/>
        <filter val="275"/>
        <filter val="296"/>
        <filter val="3"/>
        <filter val="30"/>
        <filter val="32"/>
        <filter val="345"/>
        <filter val="4"/>
        <filter val="400"/>
        <filter val="408"/>
        <filter val="41"/>
        <filter val="425"/>
        <filter val="45"/>
        <filter val="450"/>
        <filter val="5"/>
        <filter val="50"/>
        <filter val="55"/>
        <filter val="560"/>
        <filter val="6"/>
        <filter val="60"/>
        <filter val="632"/>
        <filter val="65"/>
        <filter val="650"/>
        <filter val="70"/>
        <filter val="740"/>
        <filter val="75"/>
        <filter val="80"/>
        <filter val="83"/>
        <filter val="85"/>
        <filter val="860"/>
        <filter val="9"/>
        <filter val="90"/>
        <filter val="91"/>
        <filter val="910"/>
        <filter val="940"/>
        <filter val="Tồn_x000a_ĐL_x000a__x000a_現在庫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E140"/>
  <sheetViews>
    <sheetView workbookViewId="0">
      <selection activeCell="B150" sqref="B150"/>
    </sheetView>
  </sheetViews>
  <sheetFormatPr defaultRowHeight="14.4" x14ac:dyDescent="0.3"/>
  <cols>
    <col min="1" max="1" width="26.44140625" customWidth="1"/>
    <col min="4" max="4" width="11" customWidth="1"/>
    <col min="5" max="5" width="13.6640625" customWidth="1"/>
  </cols>
  <sheetData>
    <row r="1" spans="1:5" x14ac:dyDescent="0.3">
      <c r="A1" t="s">
        <v>133</v>
      </c>
    </row>
    <row r="2" spans="1:5" x14ac:dyDescent="0.3">
      <c r="A2" t="s">
        <v>0</v>
      </c>
      <c r="B2" t="s">
        <v>1</v>
      </c>
      <c r="C2" s="1" t="s">
        <v>107</v>
      </c>
      <c r="D2" t="s">
        <v>108</v>
      </c>
      <c r="E2" t="s">
        <v>109</v>
      </c>
    </row>
    <row r="3" spans="1:5" hidden="1" x14ac:dyDescent="0.3">
      <c r="A3" t="s">
        <v>31</v>
      </c>
      <c r="B3" t="s">
        <v>3</v>
      </c>
      <c r="C3">
        <v>85</v>
      </c>
      <c r="D3">
        <v>10500</v>
      </c>
      <c r="E3">
        <f>C3*D3</f>
        <v>892500</v>
      </c>
    </row>
    <row r="4" spans="1:5" hidden="1" x14ac:dyDescent="0.3">
      <c r="A4" t="s">
        <v>31</v>
      </c>
      <c r="B4" t="s">
        <v>30</v>
      </c>
      <c r="C4">
        <v>0</v>
      </c>
      <c r="E4">
        <f t="shared" ref="E4:E67" si="0">C4*D4</f>
        <v>0</v>
      </c>
    </row>
    <row r="5" spans="1:5" hidden="1" x14ac:dyDescent="0.3">
      <c r="A5" t="s">
        <v>32</v>
      </c>
      <c r="B5" t="s">
        <v>17</v>
      </c>
      <c r="C5">
        <v>19</v>
      </c>
      <c r="D5">
        <v>8000</v>
      </c>
      <c r="E5">
        <f t="shared" si="0"/>
        <v>152000</v>
      </c>
    </row>
    <row r="6" spans="1:5" hidden="1" x14ac:dyDescent="0.3">
      <c r="A6" t="s">
        <v>45</v>
      </c>
      <c r="B6" t="s">
        <v>3</v>
      </c>
      <c r="C6">
        <v>0</v>
      </c>
      <c r="E6">
        <f t="shared" si="0"/>
        <v>0</v>
      </c>
    </row>
    <row r="7" spans="1:5" hidden="1" x14ac:dyDescent="0.3">
      <c r="A7" t="s">
        <v>45</v>
      </c>
      <c r="B7" t="s">
        <v>30</v>
      </c>
      <c r="C7">
        <v>0</v>
      </c>
      <c r="E7">
        <f t="shared" si="0"/>
        <v>0</v>
      </c>
    </row>
    <row r="8" spans="1:5" hidden="1" x14ac:dyDescent="0.3">
      <c r="A8" t="s">
        <v>47</v>
      </c>
      <c r="B8" t="s">
        <v>3</v>
      </c>
      <c r="C8">
        <v>235</v>
      </c>
      <c r="D8">
        <v>12500</v>
      </c>
      <c r="E8">
        <f t="shared" si="0"/>
        <v>2937500</v>
      </c>
    </row>
    <row r="9" spans="1:5" hidden="1" x14ac:dyDescent="0.3">
      <c r="A9" t="s">
        <v>47</v>
      </c>
      <c r="B9" t="s">
        <v>48</v>
      </c>
      <c r="C9">
        <v>0</v>
      </c>
      <c r="E9">
        <f t="shared" si="0"/>
        <v>0</v>
      </c>
    </row>
    <row r="10" spans="1:5" hidden="1" x14ac:dyDescent="0.3">
      <c r="A10" t="s">
        <v>50</v>
      </c>
      <c r="B10" t="s">
        <v>30</v>
      </c>
      <c r="C10">
        <v>183</v>
      </c>
      <c r="D10">
        <v>2400</v>
      </c>
      <c r="E10">
        <f t="shared" si="0"/>
        <v>439200</v>
      </c>
    </row>
    <row r="11" spans="1:5" hidden="1" x14ac:dyDescent="0.3">
      <c r="A11" t="s">
        <v>52</v>
      </c>
      <c r="B11" t="s">
        <v>3</v>
      </c>
      <c r="C11">
        <v>1180</v>
      </c>
      <c r="D11">
        <v>29000</v>
      </c>
      <c r="E11">
        <f t="shared" si="0"/>
        <v>34220000</v>
      </c>
    </row>
    <row r="12" spans="1:5" hidden="1" x14ac:dyDescent="0.3">
      <c r="A12" t="s">
        <v>52</v>
      </c>
      <c r="B12" t="s">
        <v>30</v>
      </c>
      <c r="C12">
        <v>0</v>
      </c>
      <c r="E12">
        <f t="shared" si="0"/>
        <v>0</v>
      </c>
    </row>
    <row r="13" spans="1:5" hidden="1" x14ac:dyDescent="0.3">
      <c r="A13" t="s">
        <v>54</v>
      </c>
      <c r="B13" t="s">
        <v>3</v>
      </c>
      <c r="C13">
        <v>240</v>
      </c>
      <c r="D13">
        <v>16000</v>
      </c>
      <c r="E13">
        <f t="shared" si="0"/>
        <v>3840000</v>
      </c>
    </row>
    <row r="14" spans="1:5" hidden="1" x14ac:dyDescent="0.3">
      <c r="A14" t="s">
        <v>59</v>
      </c>
      <c r="B14" t="s">
        <v>3</v>
      </c>
      <c r="C14">
        <v>380</v>
      </c>
      <c r="D14">
        <v>17000</v>
      </c>
      <c r="E14">
        <f t="shared" si="0"/>
        <v>6460000</v>
      </c>
    </row>
    <row r="15" spans="1:5" hidden="1" x14ac:dyDescent="0.3">
      <c r="A15" t="s">
        <v>59</v>
      </c>
      <c r="B15" t="s">
        <v>30</v>
      </c>
      <c r="C15">
        <v>0</v>
      </c>
      <c r="E15">
        <f t="shared" si="0"/>
        <v>0</v>
      </c>
    </row>
    <row r="16" spans="1:5" hidden="1" x14ac:dyDescent="0.3">
      <c r="A16" t="s">
        <v>16</v>
      </c>
      <c r="B16" t="s">
        <v>17</v>
      </c>
      <c r="C16">
        <v>26</v>
      </c>
      <c r="D16">
        <v>7000</v>
      </c>
      <c r="E16">
        <f t="shared" si="0"/>
        <v>182000</v>
      </c>
    </row>
    <row r="17" spans="1:5" hidden="1" x14ac:dyDescent="0.3">
      <c r="A17" t="s">
        <v>5</v>
      </c>
      <c r="B17" t="s">
        <v>3</v>
      </c>
      <c r="C17">
        <v>664</v>
      </c>
      <c r="D17">
        <v>5000</v>
      </c>
      <c r="E17">
        <f t="shared" si="0"/>
        <v>3320000</v>
      </c>
    </row>
    <row r="18" spans="1:5" hidden="1" x14ac:dyDescent="0.3">
      <c r="A18" t="s">
        <v>35</v>
      </c>
      <c r="B18" t="s">
        <v>3</v>
      </c>
      <c r="C18">
        <v>3</v>
      </c>
      <c r="D18">
        <v>15000</v>
      </c>
      <c r="E18">
        <f t="shared" si="0"/>
        <v>45000</v>
      </c>
    </row>
    <row r="19" spans="1:5" hidden="1" x14ac:dyDescent="0.3">
      <c r="A19" t="s">
        <v>35</v>
      </c>
      <c r="B19" t="s">
        <v>30</v>
      </c>
      <c r="C19">
        <v>0</v>
      </c>
      <c r="E19">
        <f t="shared" si="0"/>
        <v>0</v>
      </c>
    </row>
    <row r="20" spans="1:5" hidden="1" x14ac:dyDescent="0.3">
      <c r="A20" t="s">
        <v>37</v>
      </c>
      <c r="B20" t="s">
        <v>30</v>
      </c>
      <c r="C20">
        <v>13</v>
      </c>
      <c r="D20">
        <v>4300</v>
      </c>
      <c r="E20">
        <f t="shared" si="0"/>
        <v>55900</v>
      </c>
    </row>
    <row r="21" spans="1:5" hidden="1" x14ac:dyDescent="0.3">
      <c r="A21" t="s">
        <v>38</v>
      </c>
      <c r="B21" t="s">
        <v>3</v>
      </c>
      <c r="C21">
        <v>720</v>
      </c>
      <c r="D21">
        <v>6000</v>
      </c>
      <c r="E21">
        <f t="shared" si="0"/>
        <v>4320000</v>
      </c>
    </row>
    <row r="22" spans="1:5" hidden="1" x14ac:dyDescent="0.3">
      <c r="A22" t="s">
        <v>39</v>
      </c>
      <c r="B22" t="s">
        <v>40</v>
      </c>
      <c r="C22">
        <v>0</v>
      </c>
      <c r="E22">
        <f t="shared" si="0"/>
        <v>0</v>
      </c>
    </row>
    <row r="23" spans="1:5" hidden="1" x14ac:dyDescent="0.3">
      <c r="A23" t="s">
        <v>39</v>
      </c>
      <c r="B23" t="s">
        <v>3</v>
      </c>
      <c r="C23">
        <v>37</v>
      </c>
      <c r="D23">
        <v>9000</v>
      </c>
      <c r="E23">
        <f t="shared" si="0"/>
        <v>333000</v>
      </c>
    </row>
    <row r="24" spans="1:5" hidden="1" x14ac:dyDescent="0.3">
      <c r="A24" t="s">
        <v>94</v>
      </c>
      <c r="B24" t="s">
        <v>3</v>
      </c>
      <c r="C24">
        <v>0</v>
      </c>
      <c r="E24">
        <f t="shared" si="0"/>
        <v>0</v>
      </c>
    </row>
    <row r="25" spans="1:5" hidden="1" x14ac:dyDescent="0.3">
      <c r="A25" t="s">
        <v>7</v>
      </c>
      <c r="B25" t="s">
        <v>3</v>
      </c>
      <c r="C25">
        <v>167</v>
      </c>
      <c r="D25">
        <v>10500</v>
      </c>
      <c r="E25">
        <f t="shared" si="0"/>
        <v>1753500</v>
      </c>
    </row>
    <row r="26" spans="1:5" hidden="1" x14ac:dyDescent="0.3">
      <c r="A26" t="s">
        <v>8</v>
      </c>
      <c r="B26" t="s">
        <v>3</v>
      </c>
      <c r="C26">
        <v>169</v>
      </c>
      <c r="D26">
        <v>8000</v>
      </c>
      <c r="E26">
        <f t="shared" si="0"/>
        <v>1352000</v>
      </c>
    </row>
    <row r="27" spans="1:5" hidden="1" x14ac:dyDescent="0.3">
      <c r="A27" t="s">
        <v>8</v>
      </c>
      <c r="B27" t="s">
        <v>9</v>
      </c>
      <c r="C27">
        <v>0</v>
      </c>
      <c r="E27">
        <f t="shared" si="0"/>
        <v>0</v>
      </c>
    </row>
    <row r="28" spans="1:5" hidden="1" x14ac:dyDescent="0.3">
      <c r="A28" t="s">
        <v>10</v>
      </c>
      <c r="B28" t="s">
        <v>3</v>
      </c>
      <c r="C28">
        <v>50</v>
      </c>
      <c r="D28">
        <v>13000</v>
      </c>
      <c r="E28">
        <f t="shared" si="0"/>
        <v>650000</v>
      </c>
    </row>
    <row r="29" spans="1:5" hidden="1" x14ac:dyDescent="0.3">
      <c r="A29" t="s">
        <v>10</v>
      </c>
      <c r="B29" t="s">
        <v>9</v>
      </c>
      <c r="C29">
        <v>0</v>
      </c>
      <c r="E29">
        <f t="shared" si="0"/>
        <v>0</v>
      </c>
    </row>
    <row r="30" spans="1:5" hidden="1" x14ac:dyDescent="0.3">
      <c r="A30" t="s">
        <v>18</v>
      </c>
      <c r="B30" t="s">
        <v>3</v>
      </c>
      <c r="C30">
        <v>423</v>
      </c>
      <c r="D30">
        <v>17000</v>
      </c>
      <c r="E30">
        <f t="shared" si="0"/>
        <v>7191000</v>
      </c>
    </row>
    <row r="31" spans="1:5" hidden="1" x14ac:dyDescent="0.3">
      <c r="A31" t="s">
        <v>18</v>
      </c>
      <c r="B31" t="s">
        <v>19</v>
      </c>
      <c r="C31">
        <v>0</v>
      </c>
      <c r="E31">
        <f t="shared" si="0"/>
        <v>0</v>
      </c>
    </row>
    <row r="32" spans="1:5" hidden="1" x14ac:dyDescent="0.3">
      <c r="A32" t="s">
        <v>28</v>
      </c>
      <c r="B32" t="s">
        <v>3</v>
      </c>
      <c r="C32">
        <v>280</v>
      </c>
      <c r="D32">
        <v>11000</v>
      </c>
      <c r="E32">
        <f t="shared" si="0"/>
        <v>3080000</v>
      </c>
    </row>
    <row r="33" spans="1:5" hidden="1" x14ac:dyDescent="0.3">
      <c r="A33" t="s">
        <v>28</v>
      </c>
      <c r="B33" t="s">
        <v>17</v>
      </c>
      <c r="C33">
        <v>0</v>
      </c>
      <c r="E33">
        <f t="shared" si="0"/>
        <v>0</v>
      </c>
    </row>
    <row r="34" spans="1:5" hidden="1" x14ac:dyDescent="0.3">
      <c r="A34" t="s">
        <v>29</v>
      </c>
      <c r="B34" t="s">
        <v>30</v>
      </c>
      <c r="C34">
        <v>100</v>
      </c>
      <c r="D34">
        <v>9000</v>
      </c>
      <c r="E34">
        <f t="shared" si="0"/>
        <v>900000</v>
      </c>
    </row>
    <row r="35" spans="1:5" hidden="1" x14ac:dyDescent="0.3">
      <c r="A35" t="s">
        <v>68</v>
      </c>
      <c r="B35" t="s">
        <v>3</v>
      </c>
      <c r="C35">
        <v>0</v>
      </c>
      <c r="E35">
        <f t="shared" si="0"/>
        <v>0</v>
      </c>
    </row>
    <row r="36" spans="1:5" hidden="1" x14ac:dyDescent="0.3">
      <c r="A36" t="s">
        <v>68</v>
      </c>
      <c r="B36" t="s">
        <v>17</v>
      </c>
      <c r="C36">
        <v>1028</v>
      </c>
      <c r="D36">
        <v>6000</v>
      </c>
      <c r="E36">
        <f t="shared" si="0"/>
        <v>6168000</v>
      </c>
    </row>
    <row r="37" spans="1:5" hidden="1" x14ac:dyDescent="0.3">
      <c r="A37" t="s">
        <v>70</v>
      </c>
      <c r="B37" t="s">
        <v>3</v>
      </c>
      <c r="C37">
        <v>0</v>
      </c>
      <c r="E37">
        <f t="shared" si="0"/>
        <v>0</v>
      </c>
    </row>
    <row r="38" spans="1:5" hidden="1" x14ac:dyDescent="0.3">
      <c r="A38" t="s">
        <v>78</v>
      </c>
      <c r="B38" t="s">
        <v>3</v>
      </c>
      <c r="C38">
        <v>70</v>
      </c>
      <c r="D38">
        <v>25000</v>
      </c>
      <c r="E38">
        <f t="shared" si="0"/>
        <v>1750000</v>
      </c>
    </row>
    <row r="39" spans="1:5" hidden="1" x14ac:dyDescent="0.3">
      <c r="A39" t="s">
        <v>78</v>
      </c>
      <c r="B39" t="s">
        <v>9</v>
      </c>
      <c r="C39">
        <v>0</v>
      </c>
      <c r="E39">
        <f t="shared" si="0"/>
        <v>0</v>
      </c>
    </row>
    <row r="40" spans="1:5" hidden="1" x14ac:dyDescent="0.3">
      <c r="A40" t="s">
        <v>80</v>
      </c>
      <c r="B40" t="s">
        <v>3</v>
      </c>
      <c r="C40">
        <v>118</v>
      </c>
      <c r="D40">
        <v>22000</v>
      </c>
      <c r="E40">
        <f t="shared" si="0"/>
        <v>2596000</v>
      </c>
    </row>
    <row r="41" spans="1:5" hidden="1" x14ac:dyDescent="0.3">
      <c r="A41" t="s">
        <v>80</v>
      </c>
      <c r="B41" t="s">
        <v>9</v>
      </c>
      <c r="C41">
        <v>0</v>
      </c>
      <c r="E41">
        <f t="shared" si="0"/>
        <v>0</v>
      </c>
    </row>
    <row r="42" spans="1:5" hidden="1" x14ac:dyDescent="0.3">
      <c r="A42" t="s">
        <v>82</v>
      </c>
      <c r="B42" t="s">
        <v>3</v>
      </c>
      <c r="C42">
        <v>50</v>
      </c>
      <c r="D42">
        <v>30000</v>
      </c>
      <c r="E42">
        <f t="shared" si="0"/>
        <v>1500000</v>
      </c>
    </row>
    <row r="43" spans="1:5" hidden="1" x14ac:dyDescent="0.3">
      <c r="A43" t="s">
        <v>82</v>
      </c>
      <c r="B43" t="s">
        <v>9</v>
      </c>
      <c r="C43">
        <v>0</v>
      </c>
      <c r="E43">
        <f t="shared" si="0"/>
        <v>0</v>
      </c>
    </row>
    <row r="44" spans="1:5" hidden="1" x14ac:dyDescent="0.3">
      <c r="A44" t="s">
        <v>76</v>
      </c>
      <c r="B44" t="s">
        <v>17</v>
      </c>
      <c r="C44">
        <v>0</v>
      </c>
      <c r="E44">
        <f t="shared" si="0"/>
        <v>0</v>
      </c>
    </row>
    <row r="45" spans="1:5" hidden="1" x14ac:dyDescent="0.3">
      <c r="A45" t="s">
        <v>51</v>
      </c>
      <c r="B45" t="s">
        <v>3</v>
      </c>
      <c r="C45">
        <v>230</v>
      </c>
      <c r="D45">
        <v>29000</v>
      </c>
      <c r="E45">
        <f t="shared" si="0"/>
        <v>6670000</v>
      </c>
    </row>
    <row r="46" spans="1:5" hidden="1" x14ac:dyDescent="0.3">
      <c r="A46" t="s">
        <v>22</v>
      </c>
      <c r="B46" t="s">
        <v>3</v>
      </c>
      <c r="C46">
        <v>0</v>
      </c>
      <c r="E46">
        <f t="shared" si="0"/>
        <v>0</v>
      </c>
    </row>
    <row r="47" spans="1:5" hidden="1" x14ac:dyDescent="0.3">
      <c r="A47" t="s">
        <v>22</v>
      </c>
      <c r="B47" t="s">
        <v>23</v>
      </c>
      <c r="C47">
        <v>43</v>
      </c>
      <c r="D47">
        <v>7200</v>
      </c>
      <c r="E47">
        <f t="shared" si="0"/>
        <v>309600</v>
      </c>
    </row>
    <row r="48" spans="1:5" x14ac:dyDescent="0.3">
      <c r="A48" t="s">
        <v>72</v>
      </c>
      <c r="B48" t="s">
        <v>3</v>
      </c>
      <c r="C48">
        <v>815</v>
      </c>
      <c r="D48">
        <v>27600</v>
      </c>
      <c r="E48">
        <f t="shared" si="0"/>
        <v>22494000</v>
      </c>
    </row>
    <row r="49" spans="1:5" hidden="1" x14ac:dyDescent="0.3">
      <c r="A49" t="s">
        <v>2</v>
      </c>
      <c r="B49" t="s">
        <v>3</v>
      </c>
      <c r="C49">
        <v>10</v>
      </c>
      <c r="D49">
        <v>14000</v>
      </c>
      <c r="E49">
        <f t="shared" si="0"/>
        <v>140000</v>
      </c>
    </row>
    <row r="50" spans="1:5" hidden="1" x14ac:dyDescent="0.3">
      <c r="A50" t="s">
        <v>4</v>
      </c>
      <c r="B50" t="s">
        <v>3</v>
      </c>
      <c r="C50">
        <v>0</v>
      </c>
      <c r="E50">
        <f t="shared" si="0"/>
        <v>0</v>
      </c>
    </row>
    <row r="51" spans="1:5" hidden="1" x14ac:dyDescent="0.3">
      <c r="A51" t="s">
        <v>12</v>
      </c>
      <c r="B51" t="s">
        <v>3</v>
      </c>
      <c r="C51">
        <v>21</v>
      </c>
      <c r="D51">
        <v>16000</v>
      </c>
      <c r="E51">
        <f t="shared" si="0"/>
        <v>336000</v>
      </c>
    </row>
    <row r="52" spans="1:5" hidden="1" x14ac:dyDescent="0.3">
      <c r="A52" t="s">
        <v>20</v>
      </c>
      <c r="B52" t="s">
        <v>3</v>
      </c>
      <c r="C52">
        <v>36</v>
      </c>
      <c r="D52">
        <v>16000</v>
      </c>
      <c r="E52">
        <f t="shared" si="0"/>
        <v>576000</v>
      </c>
    </row>
    <row r="53" spans="1:5" hidden="1" x14ac:dyDescent="0.3">
      <c r="A53" t="s">
        <v>20</v>
      </c>
      <c r="B53" t="s">
        <v>21</v>
      </c>
      <c r="C53">
        <v>0</v>
      </c>
      <c r="E53">
        <f t="shared" si="0"/>
        <v>0</v>
      </c>
    </row>
    <row r="54" spans="1:5" hidden="1" x14ac:dyDescent="0.3">
      <c r="A54" t="s">
        <v>26</v>
      </c>
      <c r="B54" t="s">
        <v>3</v>
      </c>
      <c r="C54">
        <v>0</v>
      </c>
      <c r="E54">
        <f t="shared" si="0"/>
        <v>0</v>
      </c>
    </row>
    <row r="55" spans="1:5" hidden="1" x14ac:dyDescent="0.3">
      <c r="A55" t="s">
        <v>26</v>
      </c>
      <c r="B55" t="s">
        <v>23</v>
      </c>
      <c r="C55">
        <v>288</v>
      </c>
      <c r="D55">
        <v>8400</v>
      </c>
      <c r="E55">
        <f t="shared" si="0"/>
        <v>2419200</v>
      </c>
    </row>
    <row r="56" spans="1:5" hidden="1" x14ac:dyDescent="0.3">
      <c r="A56" t="s">
        <v>26</v>
      </c>
      <c r="B56" t="s">
        <v>27</v>
      </c>
      <c r="C56">
        <v>455</v>
      </c>
      <c r="D56">
        <v>7000</v>
      </c>
      <c r="E56">
        <f t="shared" si="0"/>
        <v>3185000</v>
      </c>
    </row>
    <row r="57" spans="1:5" hidden="1" x14ac:dyDescent="0.3">
      <c r="A57" t="s">
        <v>33</v>
      </c>
      <c r="B57" t="s">
        <v>3</v>
      </c>
      <c r="C57">
        <v>25</v>
      </c>
      <c r="D57">
        <v>8000</v>
      </c>
      <c r="E57">
        <f t="shared" si="0"/>
        <v>200000</v>
      </c>
    </row>
    <row r="58" spans="1:5" hidden="1" x14ac:dyDescent="0.3">
      <c r="A58" t="s">
        <v>33</v>
      </c>
      <c r="B58" t="s">
        <v>34</v>
      </c>
      <c r="C58">
        <v>0</v>
      </c>
      <c r="E58">
        <f t="shared" si="0"/>
        <v>0</v>
      </c>
    </row>
    <row r="59" spans="1:5" hidden="1" x14ac:dyDescent="0.3">
      <c r="A59" t="s">
        <v>36</v>
      </c>
      <c r="B59" t="s">
        <v>30</v>
      </c>
      <c r="C59">
        <v>5</v>
      </c>
      <c r="D59">
        <v>6000</v>
      </c>
      <c r="E59">
        <f t="shared" si="0"/>
        <v>30000</v>
      </c>
    </row>
    <row r="60" spans="1:5" hidden="1" x14ac:dyDescent="0.3">
      <c r="A60" t="s">
        <v>41</v>
      </c>
      <c r="B60" t="s">
        <v>3</v>
      </c>
      <c r="C60">
        <v>32</v>
      </c>
      <c r="D60">
        <v>14000</v>
      </c>
      <c r="E60">
        <f t="shared" si="0"/>
        <v>448000</v>
      </c>
    </row>
    <row r="61" spans="1:5" hidden="1" x14ac:dyDescent="0.3">
      <c r="A61" t="s">
        <v>44</v>
      </c>
      <c r="B61" t="s">
        <v>3</v>
      </c>
      <c r="C61">
        <v>25</v>
      </c>
      <c r="D61">
        <v>6500</v>
      </c>
      <c r="E61">
        <f t="shared" si="0"/>
        <v>162500</v>
      </c>
    </row>
    <row r="62" spans="1:5" hidden="1" x14ac:dyDescent="0.3">
      <c r="A62" t="s">
        <v>46</v>
      </c>
      <c r="B62" t="s">
        <v>3</v>
      </c>
      <c r="C62">
        <v>0</v>
      </c>
      <c r="E62">
        <f t="shared" si="0"/>
        <v>0</v>
      </c>
    </row>
    <row r="63" spans="1:5" hidden="1" x14ac:dyDescent="0.3">
      <c r="A63" t="s">
        <v>61</v>
      </c>
      <c r="B63" t="s">
        <v>3</v>
      </c>
      <c r="C63">
        <v>20</v>
      </c>
      <c r="D63">
        <v>11000</v>
      </c>
      <c r="E63">
        <f t="shared" si="0"/>
        <v>220000</v>
      </c>
    </row>
    <row r="64" spans="1:5" hidden="1" x14ac:dyDescent="0.3">
      <c r="A64" t="s">
        <v>62</v>
      </c>
      <c r="B64" t="s">
        <v>30</v>
      </c>
      <c r="C64">
        <v>21</v>
      </c>
      <c r="D64">
        <v>6000</v>
      </c>
      <c r="E64">
        <f t="shared" si="0"/>
        <v>126000</v>
      </c>
    </row>
    <row r="65" spans="1:5" hidden="1" x14ac:dyDescent="0.3">
      <c r="A65" t="s">
        <v>63</v>
      </c>
      <c r="B65" t="s">
        <v>3</v>
      </c>
      <c r="C65">
        <v>0</v>
      </c>
      <c r="E65">
        <f t="shared" si="0"/>
        <v>0</v>
      </c>
    </row>
    <row r="66" spans="1:5" hidden="1" x14ac:dyDescent="0.3">
      <c r="A66" t="s">
        <v>65</v>
      </c>
      <c r="B66" t="s">
        <v>3</v>
      </c>
      <c r="C66">
        <v>2</v>
      </c>
      <c r="D66">
        <v>80000</v>
      </c>
      <c r="E66">
        <f t="shared" si="0"/>
        <v>160000</v>
      </c>
    </row>
    <row r="67" spans="1:5" hidden="1" x14ac:dyDescent="0.3">
      <c r="A67" t="s">
        <v>66</v>
      </c>
      <c r="B67" t="s">
        <v>3</v>
      </c>
      <c r="C67">
        <v>2</v>
      </c>
      <c r="D67">
        <v>70000</v>
      </c>
      <c r="E67">
        <f t="shared" si="0"/>
        <v>140000</v>
      </c>
    </row>
    <row r="68" spans="1:5" hidden="1" x14ac:dyDescent="0.3">
      <c r="A68" t="s">
        <v>67</v>
      </c>
      <c r="B68" t="s">
        <v>3</v>
      </c>
      <c r="C68">
        <v>1.4</v>
      </c>
      <c r="D68">
        <v>70000</v>
      </c>
      <c r="E68">
        <f t="shared" ref="E68:E133" si="1">C68*D68</f>
        <v>98000</v>
      </c>
    </row>
    <row r="69" spans="1:5" hidden="1" x14ac:dyDescent="0.3">
      <c r="A69" t="s">
        <v>71</v>
      </c>
      <c r="B69" t="s">
        <v>40</v>
      </c>
      <c r="C69">
        <v>0</v>
      </c>
      <c r="E69">
        <f t="shared" si="1"/>
        <v>0</v>
      </c>
    </row>
    <row r="70" spans="1:5" hidden="1" x14ac:dyDescent="0.3">
      <c r="A70" t="s">
        <v>71</v>
      </c>
      <c r="B70" t="s">
        <v>3</v>
      </c>
      <c r="C70">
        <v>22</v>
      </c>
      <c r="D70">
        <v>17000</v>
      </c>
      <c r="E70">
        <f t="shared" si="1"/>
        <v>374000</v>
      </c>
    </row>
    <row r="71" spans="1:5" hidden="1" x14ac:dyDescent="0.3">
      <c r="A71" t="s">
        <v>74</v>
      </c>
      <c r="B71" t="s">
        <v>30</v>
      </c>
      <c r="C71">
        <v>0</v>
      </c>
      <c r="E71">
        <f t="shared" si="1"/>
        <v>0</v>
      </c>
    </row>
    <row r="72" spans="1:5" hidden="1" x14ac:dyDescent="0.3">
      <c r="A72" t="s">
        <v>75</v>
      </c>
      <c r="B72" t="s">
        <v>3</v>
      </c>
      <c r="C72">
        <v>0</v>
      </c>
      <c r="E72">
        <f t="shared" si="1"/>
        <v>0</v>
      </c>
    </row>
    <row r="73" spans="1:5" hidden="1" x14ac:dyDescent="0.3">
      <c r="A73" t="s">
        <v>77</v>
      </c>
      <c r="B73" t="s">
        <v>25</v>
      </c>
      <c r="C73">
        <v>0</v>
      </c>
      <c r="E73">
        <f t="shared" si="1"/>
        <v>0</v>
      </c>
    </row>
    <row r="74" spans="1:5" hidden="1" x14ac:dyDescent="0.3">
      <c r="A74" t="s">
        <v>77</v>
      </c>
      <c r="B74" t="s">
        <v>3</v>
      </c>
      <c r="C74">
        <v>11</v>
      </c>
      <c r="D74">
        <v>38000</v>
      </c>
      <c r="E74">
        <f t="shared" si="1"/>
        <v>418000</v>
      </c>
    </row>
    <row r="75" spans="1:5" hidden="1" x14ac:dyDescent="0.3">
      <c r="A75" t="s">
        <v>84</v>
      </c>
      <c r="B75" t="s">
        <v>30</v>
      </c>
      <c r="C75">
        <v>72</v>
      </c>
      <c r="D75">
        <v>20000</v>
      </c>
      <c r="E75">
        <f t="shared" si="1"/>
        <v>1440000</v>
      </c>
    </row>
    <row r="76" spans="1:5" hidden="1" x14ac:dyDescent="0.3">
      <c r="A76" t="s">
        <v>92</v>
      </c>
      <c r="B76" t="s">
        <v>3</v>
      </c>
      <c r="C76">
        <v>210</v>
      </c>
      <c r="D76">
        <v>16000</v>
      </c>
      <c r="E76">
        <f t="shared" si="1"/>
        <v>3360000</v>
      </c>
    </row>
    <row r="77" spans="1:5" hidden="1" x14ac:dyDescent="0.3">
      <c r="A77" t="s">
        <v>106</v>
      </c>
      <c r="B77" t="s">
        <v>9</v>
      </c>
      <c r="C77">
        <v>845</v>
      </c>
      <c r="D77">
        <v>10000</v>
      </c>
      <c r="E77">
        <f t="shared" si="1"/>
        <v>8450000</v>
      </c>
    </row>
    <row r="78" spans="1:5" hidden="1" x14ac:dyDescent="0.3">
      <c r="A78" t="s">
        <v>89</v>
      </c>
      <c r="B78" t="s">
        <v>3</v>
      </c>
      <c r="C78">
        <v>95</v>
      </c>
      <c r="D78">
        <v>28000</v>
      </c>
      <c r="E78">
        <f t="shared" si="1"/>
        <v>2660000</v>
      </c>
    </row>
    <row r="79" spans="1:5" hidden="1" x14ac:dyDescent="0.3">
      <c r="A79" t="s">
        <v>96</v>
      </c>
      <c r="B79" t="s">
        <v>3</v>
      </c>
      <c r="C79">
        <v>27</v>
      </c>
      <c r="D79">
        <v>28000</v>
      </c>
      <c r="E79">
        <f t="shared" si="1"/>
        <v>756000</v>
      </c>
    </row>
    <row r="80" spans="1:5" hidden="1" x14ac:dyDescent="0.3">
      <c r="A80" t="s">
        <v>99</v>
      </c>
      <c r="B80" t="s">
        <v>3</v>
      </c>
      <c r="C80">
        <v>0</v>
      </c>
      <c r="E80">
        <f t="shared" si="1"/>
        <v>0</v>
      </c>
    </row>
    <row r="81" spans="1:5" hidden="1" x14ac:dyDescent="0.3">
      <c r="A81" t="s">
        <v>15</v>
      </c>
      <c r="B81" t="s">
        <v>3</v>
      </c>
      <c r="C81">
        <v>0</v>
      </c>
      <c r="E81">
        <f t="shared" si="1"/>
        <v>0</v>
      </c>
    </row>
    <row r="82" spans="1:5" hidden="1" x14ac:dyDescent="0.3">
      <c r="A82" t="s">
        <v>6</v>
      </c>
      <c r="B82" t="s">
        <v>3</v>
      </c>
      <c r="C82">
        <v>5</v>
      </c>
      <c r="D82">
        <v>11000</v>
      </c>
      <c r="E82">
        <f t="shared" si="1"/>
        <v>55000</v>
      </c>
    </row>
    <row r="83" spans="1:5" hidden="1" x14ac:dyDescent="0.3">
      <c r="A83" t="s">
        <v>85</v>
      </c>
      <c r="B83" t="s">
        <v>30</v>
      </c>
      <c r="C83">
        <v>0</v>
      </c>
      <c r="E83">
        <f t="shared" si="1"/>
        <v>0</v>
      </c>
    </row>
    <row r="84" spans="1:5" hidden="1" x14ac:dyDescent="0.3">
      <c r="A84" t="s">
        <v>60</v>
      </c>
      <c r="B84" t="s">
        <v>30</v>
      </c>
      <c r="C84">
        <v>0</v>
      </c>
      <c r="E84">
        <f t="shared" si="1"/>
        <v>0</v>
      </c>
    </row>
    <row r="85" spans="1:5" hidden="1" x14ac:dyDescent="0.3">
      <c r="A85" t="s">
        <v>100</v>
      </c>
      <c r="B85" t="s">
        <v>40</v>
      </c>
      <c r="C85">
        <v>0</v>
      </c>
      <c r="E85">
        <f t="shared" si="1"/>
        <v>0</v>
      </c>
    </row>
    <row r="86" spans="1:5" hidden="1" x14ac:dyDescent="0.3">
      <c r="A86" t="s">
        <v>97</v>
      </c>
      <c r="B86" t="s">
        <v>40</v>
      </c>
      <c r="C86">
        <v>0</v>
      </c>
      <c r="E86">
        <f t="shared" si="1"/>
        <v>0</v>
      </c>
    </row>
    <row r="87" spans="1:5" hidden="1" x14ac:dyDescent="0.3">
      <c r="A87" t="s">
        <v>95</v>
      </c>
      <c r="B87" t="s">
        <v>40</v>
      </c>
      <c r="C87">
        <v>0</v>
      </c>
      <c r="E87">
        <f t="shared" si="1"/>
        <v>0</v>
      </c>
    </row>
    <row r="88" spans="1:5" hidden="1" x14ac:dyDescent="0.3">
      <c r="A88" t="s">
        <v>90</v>
      </c>
      <c r="B88" t="s">
        <v>3</v>
      </c>
      <c r="C88">
        <v>2</v>
      </c>
      <c r="D88">
        <v>30000</v>
      </c>
      <c r="E88">
        <f t="shared" si="1"/>
        <v>60000</v>
      </c>
    </row>
    <row r="89" spans="1:5" hidden="1" x14ac:dyDescent="0.3">
      <c r="A89" t="s">
        <v>57</v>
      </c>
      <c r="B89" t="s">
        <v>30</v>
      </c>
      <c r="C89">
        <v>0</v>
      </c>
      <c r="E89">
        <f t="shared" si="1"/>
        <v>0</v>
      </c>
    </row>
    <row r="90" spans="1:5" hidden="1" x14ac:dyDescent="0.3">
      <c r="A90" t="s">
        <v>14</v>
      </c>
      <c r="B90" t="s">
        <v>3</v>
      </c>
      <c r="C90">
        <v>0</v>
      </c>
      <c r="E90">
        <f t="shared" si="1"/>
        <v>0</v>
      </c>
    </row>
    <row r="91" spans="1:5" hidden="1" x14ac:dyDescent="0.3">
      <c r="A91" t="s">
        <v>93</v>
      </c>
      <c r="B91" t="s">
        <v>3</v>
      </c>
      <c r="C91">
        <v>4</v>
      </c>
      <c r="D91">
        <v>33000</v>
      </c>
      <c r="E91">
        <f t="shared" si="1"/>
        <v>132000</v>
      </c>
    </row>
    <row r="92" spans="1:5" hidden="1" x14ac:dyDescent="0.3">
      <c r="A92" t="s">
        <v>69</v>
      </c>
      <c r="B92" t="s">
        <v>3</v>
      </c>
      <c r="C92">
        <v>0</v>
      </c>
      <c r="E92">
        <f t="shared" si="1"/>
        <v>0</v>
      </c>
    </row>
    <row r="93" spans="1:5" hidden="1" x14ac:dyDescent="0.3">
      <c r="A93" t="s">
        <v>125</v>
      </c>
      <c r="B93" t="s">
        <v>25</v>
      </c>
      <c r="C93">
        <v>0</v>
      </c>
      <c r="E93">
        <f t="shared" si="1"/>
        <v>0</v>
      </c>
    </row>
    <row r="94" spans="1:5" hidden="1" x14ac:dyDescent="0.3">
      <c r="A94" t="s">
        <v>91</v>
      </c>
      <c r="B94" t="s">
        <v>25</v>
      </c>
      <c r="C94">
        <v>0</v>
      </c>
      <c r="E94">
        <f t="shared" si="1"/>
        <v>0</v>
      </c>
    </row>
    <row r="95" spans="1:5" hidden="1" x14ac:dyDescent="0.3">
      <c r="A95" t="s">
        <v>128</v>
      </c>
      <c r="B95" t="s">
        <v>3</v>
      </c>
      <c r="C95">
        <v>28</v>
      </c>
      <c r="D95">
        <v>20000</v>
      </c>
      <c r="E95">
        <f t="shared" si="1"/>
        <v>560000</v>
      </c>
    </row>
    <row r="96" spans="1:5" hidden="1" x14ac:dyDescent="0.3">
      <c r="A96" t="s">
        <v>53</v>
      </c>
      <c r="B96" t="s">
        <v>3</v>
      </c>
      <c r="C96">
        <v>335</v>
      </c>
      <c r="D96">
        <v>23000</v>
      </c>
      <c r="E96">
        <f t="shared" si="1"/>
        <v>7705000</v>
      </c>
    </row>
    <row r="97" spans="1:5" hidden="1" x14ac:dyDescent="0.3">
      <c r="A97" t="s">
        <v>58</v>
      </c>
      <c r="B97" t="s">
        <v>3</v>
      </c>
      <c r="C97">
        <v>60</v>
      </c>
      <c r="D97">
        <v>30000</v>
      </c>
      <c r="E97">
        <f t="shared" si="1"/>
        <v>1800000</v>
      </c>
    </row>
    <row r="98" spans="1:5" hidden="1" x14ac:dyDescent="0.3">
      <c r="A98" t="s">
        <v>112</v>
      </c>
      <c r="B98" t="s">
        <v>3</v>
      </c>
      <c r="C98">
        <v>0.5</v>
      </c>
      <c r="D98">
        <v>80000</v>
      </c>
      <c r="E98">
        <f t="shared" si="1"/>
        <v>40000</v>
      </c>
    </row>
    <row r="99" spans="1:5" hidden="1" x14ac:dyDescent="0.3">
      <c r="A99" t="s">
        <v>79</v>
      </c>
      <c r="B99" t="s">
        <v>3</v>
      </c>
      <c r="C99">
        <v>27</v>
      </c>
      <c r="D99">
        <v>20000</v>
      </c>
      <c r="E99">
        <f t="shared" si="1"/>
        <v>540000</v>
      </c>
    </row>
    <row r="100" spans="1:5" hidden="1" x14ac:dyDescent="0.3">
      <c r="A100" t="s">
        <v>81</v>
      </c>
      <c r="B100" t="s">
        <v>3</v>
      </c>
      <c r="C100">
        <v>8</v>
      </c>
      <c r="D100">
        <v>20000</v>
      </c>
      <c r="E100">
        <f t="shared" si="1"/>
        <v>160000</v>
      </c>
    </row>
    <row r="101" spans="1:5" hidden="1" x14ac:dyDescent="0.3">
      <c r="A101" t="s">
        <v>83</v>
      </c>
      <c r="B101" t="s">
        <v>3</v>
      </c>
      <c r="C101">
        <v>30</v>
      </c>
      <c r="D101">
        <v>25000</v>
      </c>
      <c r="E101">
        <f t="shared" si="1"/>
        <v>750000</v>
      </c>
    </row>
    <row r="102" spans="1:5" hidden="1" x14ac:dyDescent="0.3">
      <c r="A102" t="s">
        <v>88</v>
      </c>
      <c r="B102" t="s">
        <v>9</v>
      </c>
      <c r="C102">
        <v>1011</v>
      </c>
      <c r="D102">
        <v>11361</v>
      </c>
      <c r="E102">
        <f t="shared" si="1"/>
        <v>11485971</v>
      </c>
    </row>
    <row r="103" spans="1:5" hidden="1" x14ac:dyDescent="0.3">
      <c r="E103">
        <f>SUM(E3:E102)</f>
        <v>162597871</v>
      </c>
    </row>
    <row r="104" spans="1:5" hidden="1" x14ac:dyDescent="0.3">
      <c r="A104" t="s">
        <v>110</v>
      </c>
    </row>
    <row r="105" spans="1:5" hidden="1" x14ac:dyDescent="0.3">
      <c r="A105" t="s">
        <v>0</v>
      </c>
      <c r="B105" t="s">
        <v>1</v>
      </c>
      <c r="C105" t="s">
        <v>107</v>
      </c>
      <c r="D105" t="s">
        <v>108</v>
      </c>
      <c r="E105" t="s">
        <v>109</v>
      </c>
    </row>
    <row r="106" spans="1:5" hidden="1" x14ac:dyDescent="0.3">
      <c r="A106" t="s">
        <v>31</v>
      </c>
      <c r="B106" t="s">
        <v>3</v>
      </c>
      <c r="C106">
        <v>100</v>
      </c>
      <c r="D106">
        <v>10500</v>
      </c>
      <c r="E106">
        <f t="shared" si="1"/>
        <v>1050000</v>
      </c>
    </row>
    <row r="107" spans="1:5" hidden="1" x14ac:dyDescent="0.3">
      <c r="A107" t="s">
        <v>44</v>
      </c>
      <c r="B107" t="s">
        <v>3</v>
      </c>
      <c r="C107">
        <v>30</v>
      </c>
      <c r="D107">
        <v>6500</v>
      </c>
      <c r="E107">
        <f t="shared" si="1"/>
        <v>195000</v>
      </c>
    </row>
    <row r="108" spans="1:5" hidden="1" x14ac:dyDescent="0.3">
      <c r="A108" t="s">
        <v>45</v>
      </c>
      <c r="B108" t="s">
        <v>3</v>
      </c>
      <c r="C108">
        <v>0</v>
      </c>
      <c r="E108">
        <f t="shared" si="1"/>
        <v>0</v>
      </c>
    </row>
    <row r="109" spans="1:5" hidden="1" x14ac:dyDescent="0.3">
      <c r="A109" t="s">
        <v>47</v>
      </c>
      <c r="B109" t="s">
        <v>3</v>
      </c>
      <c r="C109">
        <v>40</v>
      </c>
      <c r="D109">
        <v>12000</v>
      </c>
      <c r="E109">
        <f t="shared" si="1"/>
        <v>480000</v>
      </c>
    </row>
    <row r="110" spans="1:5" hidden="1" x14ac:dyDescent="0.3">
      <c r="A110" t="s">
        <v>52</v>
      </c>
      <c r="B110" t="s">
        <v>30</v>
      </c>
      <c r="C110">
        <v>0</v>
      </c>
      <c r="E110">
        <f t="shared" si="1"/>
        <v>0</v>
      </c>
    </row>
    <row r="111" spans="1:5" hidden="1" x14ac:dyDescent="0.3">
      <c r="A111" t="s">
        <v>54</v>
      </c>
      <c r="B111" t="s">
        <v>3</v>
      </c>
      <c r="C111">
        <v>100</v>
      </c>
      <c r="D111">
        <v>16000</v>
      </c>
      <c r="E111">
        <f t="shared" si="1"/>
        <v>1600000</v>
      </c>
    </row>
    <row r="112" spans="1:5" hidden="1" x14ac:dyDescent="0.3">
      <c r="A112" t="s">
        <v>59</v>
      </c>
      <c r="B112" t="s">
        <v>3</v>
      </c>
      <c r="C112">
        <v>50</v>
      </c>
      <c r="D112">
        <v>17000</v>
      </c>
      <c r="E112">
        <f t="shared" si="1"/>
        <v>850000</v>
      </c>
    </row>
    <row r="113" spans="1:5" hidden="1" x14ac:dyDescent="0.3">
      <c r="A113" t="s">
        <v>61</v>
      </c>
      <c r="B113" t="s">
        <v>3</v>
      </c>
      <c r="C113">
        <v>5</v>
      </c>
      <c r="D113">
        <v>11000</v>
      </c>
      <c r="E113">
        <f t="shared" si="1"/>
        <v>55000</v>
      </c>
    </row>
    <row r="114" spans="1:5" hidden="1" x14ac:dyDescent="0.3">
      <c r="A114" t="s">
        <v>12</v>
      </c>
      <c r="B114" t="s">
        <v>3</v>
      </c>
      <c r="C114">
        <v>6</v>
      </c>
      <c r="D114">
        <v>16000</v>
      </c>
      <c r="E114">
        <f t="shared" si="1"/>
        <v>96000</v>
      </c>
    </row>
    <row r="115" spans="1:5" hidden="1" x14ac:dyDescent="0.3">
      <c r="A115" t="s">
        <v>102</v>
      </c>
      <c r="B115" t="s">
        <v>3</v>
      </c>
      <c r="C115">
        <v>20</v>
      </c>
      <c r="D115">
        <v>20000</v>
      </c>
      <c r="E115">
        <f t="shared" si="1"/>
        <v>400000</v>
      </c>
    </row>
    <row r="116" spans="1:5" hidden="1" x14ac:dyDescent="0.3">
      <c r="A116" t="s">
        <v>2</v>
      </c>
      <c r="B116" t="s">
        <v>3</v>
      </c>
      <c r="C116">
        <v>5</v>
      </c>
      <c r="D116">
        <v>14000</v>
      </c>
      <c r="E116">
        <f t="shared" si="1"/>
        <v>70000</v>
      </c>
    </row>
    <row r="117" spans="1:5" hidden="1" x14ac:dyDescent="0.3">
      <c r="A117" t="s">
        <v>4</v>
      </c>
      <c r="B117" t="s">
        <v>3</v>
      </c>
      <c r="C117">
        <v>160</v>
      </c>
      <c r="D117">
        <v>7000</v>
      </c>
      <c r="E117">
        <f t="shared" si="1"/>
        <v>1120000</v>
      </c>
    </row>
    <row r="118" spans="1:5" hidden="1" x14ac:dyDescent="0.3">
      <c r="A118" t="s">
        <v>5</v>
      </c>
      <c r="B118" t="s">
        <v>3</v>
      </c>
      <c r="C118">
        <v>154</v>
      </c>
      <c r="D118">
        <v>5500</v>
      </c>
      <c r="E118">
        <f t="shared" si="1"/>
        <v>847000</v>
      </c>
    </row>
    <row r="119" spans="1:5" hidden="1" x14ac:dyDescent="0.3">
      <c r="A119" t="s">
        <v>38</v>
      </c>
      <c r="B119" t="s">
        <v>3</v>
      </c>
      <c r="C119">
        <v>100</v>
      </c>
      <c r="D119">
        <v>6000</v>
      </c>
      <c r="E119">
        <f t="shared" si="1"/>
        <v>600000</v>
      </c>
    </row>
    <row r="120" spans="1:5" hidden="1" x14ac:dyDescent="0.3">
      <c r="A120" t="s">
        <v>39</v>
      </c>
      <c r="B120" t="s">
        <v>3</v>
      </c>
      <c r="C120">
        <v>30</v>
      </c>
      <c r="D120">
        <v>9000</v>
      </c>
      <c r="E120">
        <f t="shared" si="1"/>
        <v>270000</v>
      </c>
    </row>
    <row r="121" spans="1:5" hidden="1" x14ac:dyDescent="0.3">
      <c r="A121" t="s">
        <v>71</v>
      </c>
      <c r="B121" t="s">
        <v>3</v>
      </c>
      <c r="C121">
        <v>13.200000000000001</v>
      </c>
      <c r="D121">
        <v>17000</v>
      </c>
      <c r="E121">
        <f t="shared" si="1"/>
        <v>224400.00000000003</v>
      </c>
    </row>
    <row r="122" spans="1:5" hidden="1" x14ac:dyDescent="0.3">
      <c r="A122" t="s">
        <v>95</v>
      </c>
      <c r="B122" t="s">
        <v>40</v>
      </c>
      <c r="C122">
        <v>0</v>
      </c>
      <c r="E122">
        <f t="shared" si="1"/>
        <v>0</v>
      </c>
    </row>
    <row r="123" spans="1:5" hidden="1" x14ac:dyDescent="0.3">
      <c r="A123" t="s">
        <v>97</v>
      </c>
      <c r="B123" t="s">
        <v>40</v>
      </c>
      <c r="C123">
        <v>0</v>
      </c>
      <c r="E123">
        <f t="shared" si="1"/>
        <v>0</v>
      </c>
    </row>
    <row r="124" spans="1:5" hidden="1" x14ac:dyDescent="0.3">
      <c r="A124" t="s">
        <v>100</v>
      </c>
      <c r="B124" t="s">
        <v>40</v>
      </c>
      <c r="C124">
        <v>0</v>
      </c>
      <c r="E124">
        <f t="shared" si="1"/>
        <v>0</v>
      </c>
    </row>
    <row r="125" spans="1:5" hidden="1" x14ac:dyDescent="0.3">
      <c r="A125" t="s">
        <v>119</v>
      </c>
      <c r="B125" t="s">
        <v>3</v>
      </c>
      <c r="C125">
        <v>0</v>
      </c>
      <c r="E125">
        <f t="shared" si="1"/>
        <v>0</v>
      </c>
    </row>
    <row r="126" spans="1:5" hidden="1" x14ac:dyDescent="0.3">
      <c r="A126" t="s">
        <v>8</v>
      </c>
      <c r="B126" t="s">
        <v>3</v>
      </c>
      <c r="C126">
        <v>11</v>
      </c>
      <c r="D126">
        <v>8000</v>
      </c>
      <c r="E126">
        <f t="shared" si="1"/>
        <v>88000</v>
      </c>
    </row>
    <row r="127" spans="1:5" hidden="1" x14ac:dyDescent="0.3">
      <c r="A127" t="s">
        <v>28</v>
      </c>
      <c r="B127" t="s">
        <v>3</v>
      </c>
      <c r="C127">
        <v>100</v>
      </c>
      <c r="D127">
        <v>11000</v>
      </c>
      <c r="E127">
        <f t="shared" si="1"/>
        <v>1100000</v>
      </c>
    </row>
    <row r="128" spans="1:5" hidden="1" x14ac:dyDescent="0.3">
      <c r="A128" t="s">
        <v>33</v>
      </c>
      <c r="B128" t="s">
        <v>3</v>
      </c>
      <c r="C128">
        <v>10</v>
      </c>
      <c r="D128">
        <v>8000</v>
      </c>
      <c r="E128">
        <f t="shared" si="1"/>
        <v>80000</v>
      </c>
    </row>
    <row r="129" spans="1:5" hidden="1" x14ac:dyDescent="0.3">
      <c r="A129" t="s">
        <v>78</v>
      </c>
      <c r="B129" t="s">
        <v>3</v>
      </c>
      <c r="C129">
        <v>5</v>
      </c>
      <c r="D129">
        <v>25000</v>
      </c>
      <c r="E129">
        <f t="shared" si="1"/>
        <v>125000</v>
      </c>
    </row>
    <row r="130" spans="1:5" hidden="1" x14ac:dyDescent="0.3">
      <c r="A130" t="s">
        <v>80</v>
      </c>
      <c r="B130" t="s">
        <v>3</v>
      </c>
      <c r="C130">
        <v>5</v>
      </c>
      <c r="D130">
        <v>22000</v>
      </c>
      <c r="E130">
        <f t="shared" si="1"/>
        <v>110000</v>
      </c>
    </row>
    <row r="131" spans="1:5" hidden="1" x14ac:dyDescent="0.3">
      <c r="A131" t="s">
        <v>82</v>
      </c>
      <c r="B131" t="s">
        <v>3</v>
      </c>
      <c r="C131">
        <v>5</v>
      </c>
      <c r="D131">
        <v>30000</v>
      </c>
      <c r="E131">
        <f t="shared" si="1"/>
        <v>150000</v>
      </c>
    </row>
    <row r="132" spans="1:5" hidden="1" x14ac:dyDescent="0.3">
      <c r="A132" t="s">
        <v>92</v>
      </c>
      <c r="B132" t="s">
        <v>3</v>
      </c>
      <c r="C132">
        <v>20</v>
      </c>
      <c r="D132">
        <v>16000</v>
      </c>
      <c r="E132">
        <f t="shared" si="1"/>
        <v>320000</v>
      </c>
    </row>
    <row r="133" spans="1:5" hidden="1" x14ac:dyDescent="0.3">
      <c r="A133" t="s">
        <v>105</v>
      </c>
      <c r="B133" t="s">
        <v>3</v>
      </c>
      <c r="C133">
        <v>9</v>
      </c>
      <c r="D133">
        <v>27000</v>
      </c>
      <c r="E133">
        <f t="shared" si="1"/>
        <v>243000</v>
      </c>
    </row>
    <row r="134" spans="1:5" hidden="1" x14ac:dyDescent="0.3">
      <c r="A134" t="s">
        <v>103</v>
      </c>
      <c r="B134" t="s">
        <v>3</v>
      </c>
      <c r="C134">
        <v>7</v>
      </c>
      <c r="D134">
        <v>14000</v>
      </c>
      <c r="E134">
        <f t="shared" ref="E134:E138" si="2">C134*D134</f>
        <v>98000</v>
      </c>
    </row>
    <row r="135" spans="1:5" hidden="1" x14ac:dyDescent="0.3">
      <c r="A135" t="s">
        <v>68</v>
      </c>
      <c r="B135" t="s">
        <v>3</v>
      </c>
      <c r="C135">
        <v>0</v>
      </c>
      <c r="E135">
        <f t="shared" si="2"/>
        <v>0</v>
      </c>
    </row>
    <row r="136" spans="1:5" hidden="1" x14ac:dyDescent="0.3">
      <c r="A136" t="s">
        <v>68</v>
      </c>
      <c r="B136" t="s">
        <v>17</v>
      </c>
      <c r="C136">
        <v>38</v>
      </c>
      <c r="D136">
        <v>6000</v>
      </c>
      <c r="E136">
        <f t="shared" si="2"/>
        <v>228000</v>
      </c>
    </row>
    <row r="137" spans="1:5" hidden="1" x14ac:dyDescent="0.3">
      <c r="A137" t="s">
        <v>63</v>
      </c>
      <c r="B137" t="s">
        <v>30</v>
      </c>
      <c r="C137">
        <v>15</v>
      </c>
      <c r="D137">
        <v>8000</v>
      </c>
      <c r="E137">
        <f t="shared" si="2"/>
        <v>120000</v>
      </c>
    </row>
    <row r="138" spans="1:5" hidden="1" x14ac:dyDescent="0.3">
      <c r="A138" t="s">
        <v>104</v>
      </c>
      <c r="B138" t="s">
        <v>3</v>
      </c>
      <c r="C138">
        <v>300</v>
      </c>
      <c r="D138">
        <v>6000</v>
      </c>
      <c r="E138">
        <f t="shared" si="2"/>
        <v>1800000</v>
      </c>
    </row>
    <row r="139" spans="1:5" hidden="1" x14ac:dyDescent="0.3">
      <c r="E139">
        <f>SUM(E106:E138)</f>
        <v>12319400</v>
      </c>
    </row>
    <row r="140" spans="1:5" hidden="1" x14ac:dyDescent="0.3">
      <c r="E140" s="2">
        <f>E139+E103</f>
        <v>174917271</v>
      </c>
    </row>
  </sheetData>
  <autoFilter ref="A2:E140" xr:uid="{00000000-0009-0000-0000-000007000000}">
    <filterColumn colId="0">
      <filters>
        <filter val="Hạt Dẻ Ngố"/>
      </filters>
    </filterColumn>
    <filterColumn colId="4">
      <filters>
        <filter val="1050000"/>
        <filter val="110000"/>
        <filter val="1100000"/>
        <filter val="1120000"/>
        <filter val="11485971"/>
        <filter val="120000"/>
        <filter val="12319400"/>
        <filter val="125000"/>
        <filter val="126000"/>
        <filter val="132000"/>
        <filter val="1352000"/>
        <filter val="140000"/>
        <filter val="1440000"/>
        <filter val="150000"/>
        <filter val="1500000"/>
        <filter val="152000"/>
        <filter val="160000"/>
        <filter val="1600000"/>
        <filter val="162500"/>
        <filter val="162597871"/>
        <filter val="174,917,271"/>
        <filter val="1750000"/>
        <filter val="1753500"/>
        <filter val="1800000"/>
        <filter val="182000"/>
        <filter val="195000"/>
        <filter val="200000"/>
        <filter val="220000"/>
        <filter val="224400"/>
        <filter val="22494000"/>
        <filter val="228000"/>
        <filter val="2419200"/>
        <filter val="243000"/>
        <filter val="2596000"/>
        <filter val="2660000"/>
        <filter val="270000"/>
        <filter val="2937500"/>
        <filter val="30000"/>
        <filter val="3080000"/>
        <filter val="309600"/>
        <filter val="3185000"/>
        <filter val="320000"/>
        <filter val="3320000"/>
        <filter val="333000"/>
        <filter val="336000"/>
        <filter val="3360000"/>
        <filter val="34220000"/>
        <filter val="374000"/>
        <filter val="3840000"/>
        <filter val="40000"/>
        <filter val="400000"/>
        <filter val="418000"/>
        <filter val="4320000"/>
        <filter val="439200"/>
        <filter val="448000"/>
        <filter val="45000"/>
        <filter val="480000"/>
        <filter val="540000"/>
        <filter val="55000"/>
        <filter val="55900"/>
        <filter val="560000"/>
        <filter val="576000"/>
        <filter val="60000"/>
        <filter val="600000"/>
        <filter val="6168000"/>
        <filter val="6460000"/>
        <filter val="650000"/>
        <filter val="6670000"/>
        <filter val="70000"/>
        <filter val="7191000"/>
        <filter val="750000"/>
        <filter val="756000"/>
        <filter val="7705000"/>
        <filter val="80000"/>
        <filter val="8450000"/>
        <filter val="847000"/>
        <filter val="850000"/>
        <filter val="88000"/>
        <filter val="892500"/>
        <filter val="900000"/>
        <filter val="96000"/>
        <filter val="98000"/>
        <filter val="thành tiền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2:E96"/>
  <sheetViews>
    <sheetView workbookViewId="0">
      <selection activeCell="B106" sqref="B106"/>
    </sheetView>
  </sheetViews>
  <sheetFormatPr defaultRowHeight="14.4" x14ac:dyDescent="0.3"/>
  <cols>
    <col min="1" max="1" width="33.77734375" customWidth="1"/>
    <col min="4" max="4" width="12.6640625" customWidth="1"/>
    <col min="5" max="5" width="15.21875" customWidth="1"/>
  </cols>
  <sheetData>
    <row r="2" spans="1:5" x14ac:dyDescent="0.3">
      <c r="A2" t="s">
        <v>134</v>
      </c>
    </row>
    <row r="3" spans="1:5" x14ac:dyDescent="0.3">
      <c r="A3" t="s">
        <v>0</v>
      </c>
      <c r="B3" t="s">
        <v>1</v>
      </c>
      <c r="C3" t="s">
        <v>107</v>
      </c>
      <c r="D3" t="s">
        <v>108</v>
      </c>
      <c r="E3" t="s">
        <v>109</v>
      </c>
    </row>
    <row r="4" spans="1:5" hidden="1" x14ac:dyDescent="0.3">
      <c r="A4" t="s">
        <v>31</v>
      </c>
      <c r="B4" t="s">
        <v>3</v>
      </c>
      <c r="C4">
        <v>129</v>
      </c>
      <c r="D4">
        <v>10000</v>
      </c>
      <c r="E4">
        <f>C4*D4</f>
        <v>1290000</v>
      </c>
    </row>
    <row r="5" spans="1:5" hidden="1" x14ac:dyDescent="0.3">
      <c r="A5" t="s">
        <v>32</v>
      </c>
      <c r="B5" t="s">
        <v>17</v>
      </c>
      <c r="C5">
        <v>18</v>
      </c>
      <c r="D5">
        <v>9000</v>
      </c>
      <c r="E5">
        <f t="shared" ref="E5:E65" si="0">C5*D5</f>
        <v>162000</v>
      </c>
    </row>
    <row r="6" spans="1:5" hidden="1" x14ac:dyDescent="0.3">
      <c r="A6" t="s">
        <v>45</v>
      </c>
      <c r="B6" t="s">
        <v>3</v>
      </c>
      <c r="C6">
        <v>60</v>
      </c>
      <c r="D6">
        <v>11000</v>
      </c>
      <c r="E6">
        <f t="shared" si="0"/>
        <v>660000</v>
      </c>
    </row>
    <row r="7" spans="1:5" hidden="1" x14ac:dyDescent="0.3">
      <c r="A7" t="s">
        <v>47</v>
      </c>
      <c r="B7" t="s">
        <v>3</v>
      </c>
      <c r="C7">
        <v>337</v>
      </c>
      <c r="D7">
        <v>12000</v>
      </c>
      <c r="E7">
        <f t="shared" si="0"/>
        <v>4044000</v>
      </c>
    </row>
    <row r="8" spans="1:5" hidden="1" x14ac:dyDescent="0.3">
      <c r="A8" t="s">
        <v>50</v>
      </c>
      <c r="B8" t="s">
        <v>30</v>
      </c>
      <c r="C8">
        <v>15</v>
      </c>
      <c r="D8">
        <v>2400</v>
      </c>
      <c r="E8">
        <f t="shared" si="0"/>
        <v>36000</v>
      </c>
    </row>
    <row r="9" spans="1:5" hidden="1" x14ac:dyDescent="0.3">
      <c r="A9" t="s">
        <v>52</v>
      </c>
      <c r="B9" t="s">
        <v>3</v>
      </c>
      <c r="C9">
        <v>1240</v>
      </c>
      <c r="D9">
        <v>28000</v>
      </c>
      <c r="E9">
        <f t="shared" si="0"/>
        <v>34720000</v>
      </c>
    </row>
    <row r="10" spans="1:5" hidden="1" x14ac:dyDescent="0.3">
      <c r="A10" t="s">
        <v>54</v>
      </c>
      <c r="B10" t="s">
        <v>3</v>
      </c>
      <c r="C10">
        <v>190</v>
      </c>
      <c r="D10">
        <v>16000</v>
      </c>
      <c r="E10">
        <f t="shared" si="0"/>
        <v>3040000</v>
      </c>
    </row>
    <row r="11" spans="1:5" hidden="1" x14ac:dyDescent="0.3">
      <c r="A11" t="s">
        <v>59</v>
      </c>
      <c r="B11" t="s">
        <v>3</v>
      </c>
      <c r="C11">
        <v>300</v>
      </c>
      <c r="D11">
        <v>17000</v>
      </c>
      <c r="E11">
        <f t="shared" si="0"/>
        <v>5100000</v>
      </c>
    </row>
    <row r="12" spans="1:5" hidden="1" x14ac:dyDescent="0.3">
      <c r="A12" t="s">
        <v>5</v>
      </c>
      <c r="B12" t="s">
        <v>3</v>
      </c>
      <c r="C12">
        <v>630</v>
      </c>
      <c r="D12">
        <v>5000</v>
      </c>
      <c r="E12">
        <f t="shared" si="0"/>
        <v>3150000</v>
      </c>
    </row>
    <row r="13" spans="1:5" hidden="1" x14ac:dyDescent="0.3">
      <c r="A13" t="s">
        <v>35</v>
      </c>
      <c r="B13" t="s">
        <v>3</v>
      </c>
      <c r="C13">
        <v>20</v>
      </c>
      <c r="D13">
        <v>15000</v>
      </c>
      <c r="E13">
        <f t="shared" si="0"/>
        <v>300000</v>
      </c>
    </row>
    <row r="14" spans="1:5" hidden="1" x14ac:dyDescent="0.3">
      <c r="A14" t="s">
        <v>37</v>
      </c>
      <c r="B14" t="s">
        <v>30</v>
      </c>
      <c r="C14">
        <v>2</v>
      </c>
      <c r="D14">
        <v>4300</v>
      </c>
      <c r="E14">
        <f t="shared" si="0"/>
        <v>8600</v>
      </c>
    </row>
    <row r="15" spans="1:5" hidden="1" x14ac:dyDescent="0.3">
      <c r="A15" t="s">
        <v>38</v>
      </c>
      <c r="B15" t="s">
        <v>3</v>
      </c>
      <c r="C15">
        <v>1185</v>
      </c>
      <c r="D15">
        <v>6000</v>
      </c>
      <c r="E15">
        <f t="shared" si="0"/>
        <v>7110000</v>
      </c>
    </row>
    <row r="16" spans="1:5" hidden="1" x14ac:dyDescent="0.3">
      <c r="A16" t="s">
        <v>39</v>
      </c>
      <c r="B16" t="s">
        <v>3</v>
      </c>
      <c r="C16">
        <v>18</v>
      </c>
      <c r="D16">
        <v>9000</v>
      </c>
      <c r="E16">
        <f t="shared" si="0"/>
        <v>162000</v>
      </c>
    </row>
    <row r="17" spans="1:5" hidden="1" x14ac:dyDescent="0.3">
      <c r="A17" t="s">
        <v>94</v>
      </c>
      <c r="B17" t="s">
        <v>3</v>
      </c>
      <c r="C17">
        <v>20</v>
      </c>
      <c r="D17">
        <v>28000</v>
      </c>
      <c r="E17">
        <f t="shared" si="0"/>
        <v>560000</v>
      </c>
    </row>
    <row r="18" spans="1:5" hidden="1" x14ac:dyDescent="0.3">
      <c r="A18" t="s">
        <v>7</v>
      </c>
      <c r="B18" t="s">
        <v>3</v>
      </c>
      <c r="C18">
        <v>90</v>
      </c>
      <c r="D18">
        <v>10500</v>
      </c>
      <c r="E18">
        <f t="shared" si="0"/>
        <v>945000</v>
      </c>
    </row>
    <row r="19" spans="1:5" hidden="1" x14ac:dyDescent="0.3">
      <c r="A19" t="s">
        <v>8</v>
      </c>
      <c r="B19" t="s">
        <v>3</v>
      </c>
      <c r="C19">
        <v>105</v>
      </c>
      <c r="D19">
        <v>8000</v>
      </c>
      <c r="E19">
        <f t="shared" si="0"/>
        <v>840000</v>
      </c>
    </row>
    <row r="20" spans="1:5" hidden="1" x14ac:dyDescent="0.3">
      <c r="A20" t="s">
        <v>10</v>
      </c>
      <c r="B20" t="s">
        <v>3</v>
      </c>
      <c r="C20">
        <v>17</v>
      </c>
      <c r="D20">
        <v>13000</v>
      </c>
      <c r="E20">
        <f t="shared" si="0"/>
        <v>221000</v>
      </c>
    </row>
    <row r="21" spans="1:5" hidden="1" x14ac:dyDescent="0.3">
      <c r="A21" t="s">
        <v>18</v>
      </c>
      <c r="B21" t="s">
        <v>3</v>
      </c>
      <c r="C21">
        <v>224</v>
      </c>
      <c r="D21">
        <v>20000</v>
      </c>
      <c r="E21">
        <f t="shared" si="0"/>
        <v>4480000</v>
      </c>
    </row>
    <row r="22" spans="1:5" hidden="1" x14ac:dyDescent="0.3">
      <c r="A22" t="s">
        <v>28</v>
      </c>
      <c r="B22" t="s">
        <v>3</v>
      </c>
      <c r="C22">
        <v>416</v>
      </c>
      <c r="D22">
        <v>14000</v>
      </c>
      <c r="E22">
        <f t="shared" si="0"/>
        <v>5824000</v>
      </c>
    </row>
    <row r="23" spans="1:5" hidden="1" x14ac:dyDescent="0.3">
      <c r="A23" t="s">
        <v>29</v>
      </c>
      <c r="B23" t="s">
        <v>30</v>
      </c>
      <c r="C23">
        <v>90</v>
      </c>
      <c r="D23">
        <v>10000</v>
      </c>
      <c r="E23">
        <f t="shared" si="0"/>
        <v>900000</v>
      </c>
    </row>
    <row r="24" spans="1:5" hidden="1" x14ac:dyDescent="0.3">
      <c r="A24" t="s">
        <v>68</v>
      </c>
      <c r="B24" t="s">
        <v>17</v>
      </c>
      <c r="C24">
        <v>1624</v>
      </c>
      <c r="D24">
        <v>6000</v>
      </c>
      <c r="E24">
        <f t="shared" si="0"/>
        <v>9744000</v>
      </c>
    </row>
    <row r="25" spans="1:5" hidden="1" x14ac:dyDescent="0.3">
      <c r="A25" t="s">
        <v>78</v>
      </c>
      <c r="B25" t="s">
        <v>3</v>
      </c>
      <c r="C25">
        <v>75</v>
      </c>
      <c r="D25">
        <v>25000</v>
      </c>
      <c r="E25">
        <f t="shared" si="0"/>
        <v>1875000</v>
      </c>
    </row>
    <row r="26" spans="1:5" hidden="1" x14ac:dyDescent="0.3">
      <c r="A26" t="s">
        <v>80</v>
      </c>
      <c r="B26" t="s">
        <v>3</v>
      </c>
      <c r="C26">
        <v>75</v>
      </c>
      <c r="D26">
        <v>21000</v>
      </c>
      <c r="E26">
        <f t="shared" si="0"/>
        <v>1575000</v>
      </c>
    </row>
    <row r="27" spans="1:5" hidden="1" x14ac:dyDescent="0.3">
      <c r="A27" t="s">
        <v>82</v>
      </c>
      <c r="B27" t="s">
        <v>3</v>
      </c>
      <c r="C27">
        <v>82</v>
      </c>
      <c r="D27">
        <v>30000</v>
      </c>
      <c r="E27">
        <f t="shared" si="0"/>
        <v>2460000</v>
      </c>
    </row>
    <row r="28" spans="1:5" hidden="1" x14ac:dyDescent="0.3">
      <c r="A28" t="s">
        <v>51</v>
      </c>
      <c r="B28" t="s">
        <v>3</v>
      </c>
      <c r="C28">
        <v>260</v>
      </c>
      <c r="D28">
        <v>28000</v>
      </c>
      <c r="E28">
        <f t="shared" si="0"/>
        <v>7280000</v>
      </c>
    </row>
    <row r="29" spans="1:5" hidden="1" x14ac:dyDescent="0.3">
      <c r="A29" t="s">
        <v>22</v>
      </c>
      <c r="B29" t="s">
        <v>3</v>
      </c>
      <c r="C29">
        <v>13</v>
      </c>
      <c r="D29">
        <v>24000</v>
      </c>
      <c r="E29">
        <f t="shared" si="0"/>
        <v>312000</v>
      </c>
    </row>
    <row r="30" spans="1:5" hidden="1" x14ac:dyDescent="0.3">
      <c r="A30" t="s">
        <v>22</v>
      </c>
      <c r="B30" t="s">
        <v>23</v>
      </c>
      <c r="C30">
        <v>78</v>
      </c>
      <c r="D30">
        <v>7200</v>
      </c>
      <c r="E30">
        <f t="shared" si="0"/>
        <v>561600</v>
      </c>
    </row>
    <row r="31" spans="1:5" x14ac:dyDescent="0.3">
      <c r="A31" t="s">
        <v>72</v>
      </c>
      <c r="B31" t="s">
        <v>3</v>
      </c>
      <c r="C31">
        <v>550</v>
      </c>
      <c r="D31">
        <v>27600</v>
      </c>
      <c r="E31">
        <f t="shared" si="0"/>
        <v>15180000</v>
      </c>
    </row>
    <row r="32" spans="1:5" hidden="1" x14ac:dyDescent="0.3">
      <c r="A32" t="s">
        <v>2</v>
      </c>
      <c r="B32" t="s">
        <v>3</v>
      </c>
      <c r="C32">
        <v>25</v>
      </c>
      <c r="D32">
        <v>12000</v>
      </c>
      <c r="E32">
        <f t="shared" si="0"/>
        <v>300000</v>
      </c>
    </row>
    <row r="33" spans="1:5" hidden="1" x14ac:dyDescent="0.3">
      <c r="A33" t="s">
        <v>13</v>
      </c>
      <c r="B33" t="s">
        <v>3</v>
      </c>
      <c r="C33">
        <v>35</v>
      </c>
      <c r="D33">
        <v>14000</v>
      </c>
      <c r="E33">
        <f t="shared" si="0"/>
        <v>490000</v>
      </c>
    </row>
    <row r="34" spans="1:5" hidden="1" x14ac:dyDescent="0.3">
      <c r="A34" t="s">
        <v>20</v>
      </c>
      <c r="B34" t="s">
        <v>3</v>
      </c>
      <c r="C34">
        <v>61</v>
      </c>
      <c r="D34">
        <v>16000</v>
      </c>
      <c r="E34">
        <f t="shared" si="0"/>
        <v>976000</v>
      </c>
    </row>
    <row r="35" spans="1:5" hidden="1" x14ac:dyDescent="0.3">
      <c r="A35" t="s">
        <v>24</v>
      </c>
      <c r="B35" t="s">
        <v>25</v>
      </c>
      <c r="C35">
        <v>11</v>
      </c>
      <c r="D35">
        <v>12000</v>
      </c>
      <c r="E35">
        <f t="shared" si="0"/>
        <v>132000</v>
      </c>
    </row>
    <row r="36" spans="1:5" hidden="1" x14ac:dyDescent="0.3">
      <c r="A36" t="s">
        <v>26</v>
      </c>
      <c r="B36" t="s">
        <v>23</v>
      </c>
      <c r="C36">
        <v>120</v>
      </c>
      <c r="D36">
        <v>8400</v>
      </c>
      <c r="E36">
        <f t="shared" si="0"/>
        <v>1008000</v>
      </c>
    </row>
    <row r="37" spans="1:5" hidden="1" x14ac:dyDescent="0.3">
      <c r="A37" t="s">
        <v>26</v>
      </c>
      <c r="B37" t="s">
        <v>27</v>
      </c>
      <c r="C37">
        <v>635</v>
      </c>
      <c r="D37">
        <v>7000</v>
      </c>
      <c r="E37">
        <f t="shared" si="0"/>
        <v>4445000</v>
      </c>
    </row>
    <row r="38" spans="1:5" hidden="1" x14ac:dyDescent="0.3">
      <c r="A38" t="s">
        <v>33</v>
      </c>
      <c r="B38" t="s">
        <v>3</v>
      </c>
      <c r="C38">
        <v>30</v>
      </c>
      <c r="D38">
        <v>8000</v>
      </c>
      <c r="E38">
        <f t="shared" si="0"/>
        <v>240000</v>
      </c>
    </row>
    <row r="39" spans="1:5" hidden="1" x14ac:dyDescent="0.3">
      <c r="A39" t="s">
        <v>36</v>
      </c>
      <c r="B39" t="s">
        <v>30</v>
      </c>
      <c r="C39">
        <v>2</v>
      </c>
      <c r="D39">
        <v>6000</v>
      </c>
      <c r="E39">
        <f t="shared" si="0"/>
        <v>12000</v>
      </c>
    </row>
    <row r="40" spans="1:5" hidden="1" x14ac:dyDescent="0.3">
      <c r="A40" t="s">
        <v>41</v>
      </c>
      <c r="B40" t="s">
        <v>3</v>
      </c>
      <c r="C40">
        <v>20</v>
      </c>
      <c r="D40">
        <v>14000</v>
      </c>
      <c r="E40">
        <f t="shared" si="0"/>
        <v>280000</v>
      </c>
    </row>
    <row r="41" spans="1:5" hidden="1" x14ac:dyDescent="0.3">
      <c r="A41" t="s">
        <v>44</v>
      </c>
      <c r="B41" t="s">
        <v>3</v>
      </c>
      <c r="C41">
        <v>40</v>
      </c>
      <c r="D41">
        <v>6500</v>
      </c>
      <c r="E41">
        <f t="shared" si="0"/>
        <v>260000</v>
      </c>
    </row>
    <row r="42" spans="1:5" hidden="1" x14ac:dyDescent="0.3">
      <c r="A42" t="s">
        <v>46</v>
      </c>
      <c r="B42" t="s">
        <v>3</v>
      </c>
      <c r="C42">
        <v>12</v>
      </c>
      <c r="D42">
        <v>17000</v>
      </c>
      <c r="E42">
        <f t="shared" si="0"/>
        <v>204000</v>
      </c>
    </row>
    <row r="43" spans="1:5" hidden="1" x14ac:dyDescent="0.3">
      <c r="A43" t="s">
        <v>61</v>
      </c>
      <c r="B43" t="s">
        <v>3</v>
      </c>
      <c r="C43">
        <v>25</v>
      </c>
      <c r="D43">
        <v>11000</v>
      </c>
      <c r="E43">
        <f t="shared" si="0"/>
        <v>275000</v>
      </c>
    </row>
    <row r="44" spans="1:5" hidden="1" x14ac:dyDescent="0.3">
      <c r="A44" t="s">
        <v>62</v>
      </c>
      <c r="B44" t="s">
        <v>30</v>
      </c>
      <c r="C44">
        <v>8</v>
      </c>
      <c r="D44">
        <v>6000</v>
      </c>
      <c r="E44">
        <f t="shared" si="0"/>
        <v>48000</v>
      </c>
    </row>
    <row r="45" spans="1:5" hidden="1" x14ac:dyDescent="0.3">
      <c r="A45" t="s">
        <v>63</v>
      </c>
      <c r="B45" t="s">
        <v>64</v>
      </c>
      <c r="C45">
        <v>23</v>
      </c>
      <c r="D45">
        <v>8000</v>
      </c>
      <c r="E45">
        <f t="shared" si="0"/>
        <v>184000</v>
      </c>
    </row>
    <row r="46" spans="1:5" hidden="1" x14ac:dyDescent="0.3">
      <c r="A46" t="s">
        <v>65</v>
      </c>
      <c r="B46" t="s">
        <v>3</v>
      </c>
      <c r="C46">
        <v>0.5</v>
      </c>
      <c r="D46">
        <v>80000</v>
      </c>
      <c r="E46">
        <f t="shared" si="0"/>
        <v>40000</v>
      </c>
    </row>
    <row r="47" spans="1:5" hidden="1" x14ac:dyDescent="0.3">
      <c r="A47" t="s">
        <v>66</v>
      </c>
      <c r="B47" t="s">
        <v>3</v>
      </c>
      <c r="C47">
        <v>1</v>
      </c>
      <c r="D47">
        <v>70000</v>
      </c>
      <c r="E47">
        <f t="shared" si="0"/>
        <v>70000</v>
      </c>
    </row>
    <row r="48" spans="1:5" hidden="1" x14ac:dyDescent="0.3">
      <c r="A48" t="s">
        <v>77</v>
      </c>
      <c r="B48" t="s">
        <v>3</v>
      </c>
      <c r="C48">
        <v>7</v>
      </c>
      <c r="D48">
        <v>38000</v>
      </c>
      <c r="E48">
        <f t="shared" si="0"/>
        <v>266000</v>
      </c>
    </row>
    <row r="49" spans="1:5" hidden="1" x14ac:dyDescent="0.3">
      <c r="A49" t="s">
        <v>84</v>
      </c>
      <c r="B49" t="s">
        <v>30</v>
      </c>
      <c r="C49">
        <v>50</v>
      </c>
      <c r="D49">
        <v>20000</v>
      </c>
      <c r="E49">
        <f t="shared" si="0"/>
        <v>1000000</v>
      </c>
    </row>
    <row r="50" spans="1:5" hidden="1" x14ac:dyDescent="0.3">
      <c r="A50" t="s">
        <v>92</v>
      </c>
      <c r="B50" t="s">
        <v>3</v>
      </c>
      <c r="C50">
        <v>135</v>
      </c>
      <c r="D50">
        <v>15000</v>
      </c>
      <c r="E50">
        <f t="shared" si="0"/>
        <v>2025000</v>
      </c>
    </row>
    <row r="51" spans="1:5" hidden="1" x14ac:dyDescent="0.3">
      <c r="A51" t="s">
        <v>89</v>
      </c>
      <c r="B51" t="s">
        <v>3</v>
      </c>
      <c r="C51">
        <v>430</v>
      </c>
      <c r="D51">
        <v>28000</v>
      </c>
      <c r="E51">
        <f t="shared" si="0"/>
        <v>12040000</v>
      </c>
    </row>
    <row r="52" spans="1:5" hidden="1" x14ac:dyDescent="0.3">
      <c r="A52" t="s">
        <v>96</v>
      </c>
      <c r="B52" t="s">
        <v>3</v>
      </c>
      <c r="C52">
        <v>16</v>
      </c>
      <c r="D52">
        <v>28000</v>
      </c>
      <c r="E52">
        <f t="shared" si="0"/>
        <v>448000</v>
      </c>
    </row>
    <row r="53" spans="1:5" hidden="1" x14ac:dyDescent="0.3">
      <c r="A53" t="s">
        <v>99</v>
      </c>
      <c r="B53" t="s">
        <v>3</v>
      </c>
      <c r="C53">
        <v>2</v>
      </c>
      <c r="D53">
        <v>30000</v>
      </c>
      <c r="E53">
        <f t="shared" si="0"/>
        <v>60000</v>
      </c>
    </row>
    <row r="54" spans="1:5" hidden="1" x14ac:dyDescent="0.3">
      <c r="A54" t="s">
        <v>15</v>
      </c>
      <c r="B54" t="s">
        <v>3</v>
      </c>
      <c r="C54">
        <v>20</v>
      </c>
      <c r="D54">
        <v>28000</v>
      </c>
      <c r="E54">
        <f t="shared" si="0"/>
        <v>560000</v>
      </c>
    </row>
    <row r="55" spans="1:5" hidden="1" x14ac:dyDescent="0.3">
      <c r="A55" t="s">
        <v>112</v>
      </c>
      <c r="B55" t="s">
        <v>3</v>
      </c>
      <c r="C55">
        <v>0.3</v>
      </c>
      <c r="D55">
        <v>80000</v>
      </c>
      <c r="E55">
        <f t="shared" si="0"/>
        <v>24000</v>
      </c>
    </row>
    <row r="56" spans="1:5" hidden="1" x14ac:dyDescent="0.3">
      <c r="A56" t="s">
        <v>93</v>
      </c>
      <c r="B56" t="s">
        <v>3</v>
      </c>
      <c r="C56">
        <v>12</v>
      </c>
      <c r="D56">
        <v>33000</v>
      </c>
      <c r="E56">
        <f t="shared" si="0"/>
        <v>396000</v>
      </c>
    </row>
    <row r="57" spans="1:5" hidden="1" x14ac:dyDescent="0.3">
      <c r="A57" t="s">
        <v>6</v>
      </c>
      <c r="B57" t="s">
        <v>3</v>
      </c>
      <c r="C57">
        <v>1</v>
      </c>
      <c r="D57">
        <v>11000</v>
      </c>
      <c r="E57">
        <f t="shared" si="0"/>
        <v>11000</v>
      </c>
    </row>
    <row r="58" spans="1:5" hidden="1" x14ac:dyDescent="0.3">
      <c r="A58" t="s">
        <v>60</v>
      </c>
      <c r="B58" t="s">
        <v>30</v>
      </c>
      <c r="C58">
        <v>40</v>
      </c>
      <c r="D58">
        <v>6000</v>
      </c>
      <c r="E58">
        <f t="shared" si="0"/>
        <v>240000</v>
      </c>
    </row>
    <row r="59" spans="1:5" hidden="1" x14ac:dyDescent="0.3">
      <c r="A59" t="s">
        <v>43</v>
      </c>
      <c r="B59" t="s">
        <v>3</v>
      </c>
      <c r="C59">
        <v>1.5</v>
      </c>
      <c r="D59">
        <v>16000</v>
      </c>
      <c r="E59">
        <f t="shared" si="0"/>
        <v>24000</v>
      </c>
    </row>
    <row r="60" spans="1:5" hidden="1" x14ac:dyDescent="0.3">
      <c r="A60" t="s">
        <v>53</v>
      </c>
      <c r="B60" t="s">
        <v>3</v>
      </c>
      <c r="C60">
        <v>270</v>
      </c>
      <c r="D60">
        <v>23000</v>
      </c>
      <c r="E60">
        <f t="shared" si="0"/>
        <v>6210000</v>
      </c>
    </row>
    <row r="61" spans="1:5" hidden="1" x14ac:dyDescent="0.3">
      <c r="A61" t="s">
        <v>58</v>
      </c>
      <c r="B61" t="s">
        <v>3</v>
      </c>
      <c r="C61">
        <v>60</v>
      </c>
      <c r="D61">
        <v>30000</v>
      </c>
      <c r="E61">
        <f t="shared" si="0"/>
        <v>1800000</v>
      </c>
    </row>
    <row r="62" spans="1:5" hidden="1" x14ac:dyDescent="0.3">
      <c r="A62" t="s">
        <v>79</v>
      </c>
      <c r="B62" t="s">
        <v>3</v>
      </c>
      <c r="C62">
        <v>12</v>
      </c>
      <c r="D62">
        <v>23000</v>
      </c>
      <c r="E62">
        <f t="shared" si="0"/>
        <v>276000</v>
      </c>
    </row>
    <row r="63" spans="1:5" hidden="1" x14ac:dyDescent="0.3">
      <c r="A63" t="s">
        <v>81</v>
      </c>
      <c r="B63" t="s">
        <v>3</v>
      </c>
      <c r="C63">
        <v>25</v>
      </c>
      <c r="D63">
        <v>20000</v>
      </c>
      <c r="E63">
        <f t="shared" si="0"/>
        <v>500000</v>
      </c>
    </row>
    <row r="64" spans="1:5" hidden="1" x14ac:dyDescent="0.3">
      <c r="A64" t="s">
        <v>83</v>
      </c>
      <c r="B64" t="s">
        <v>3</v>
      </c>
      <c r="C64">
        <v>10</v>
      </c>
      <c r="D64">
        <v>25000</v>
      </c>
      <c r="E64">
        <f t="shared" si="0"/>
        <v>250000</v>
      </c>
    </row>
    <row r="65" spans="1:5" hidden="1" x14ac:dyDescent="0.3">
      <c r="A65" t="s">
        <v>88</v>
      </c>
      <c r="B65" t="s">
        <v>9</v>
      </c>
      <c r="C65">
        <v>996</v>
      </c>
      <c r="D65">
        <v>11361</v>
      </c>
      <c r="E65">
        <f t="shared" si="0"/>
        <v>11315556</v>
      </c>
    </row>
    <row r="66" spans="1:5" hidden="1" x14ac:dyDescent="0.3">
      <c r="E66">
        <f>SUM(E4:E65)</f>
        <v>158949756</v>
      </c>
    </row>
    <row r="67" spans="1:5" hidden="1" x14ac:dyDescent="0.3">
      <c r="A67" t="s">
        <v>110</v>
      </c>
    </row>
    <row r="68" spans="1:5" hidden="1" x14ac:dyDescent="0.3">
      <c r="A68" t="s">
        <v>0</v>
      </c>
      <c r="B68" t="s">
        <v>1</v>
      </c>
      <c r="C68" t="s">
        <v>107</v>
      </c>
      <c r="D68" t="s">
        <v>108</v>
      </c>
      <c r="E68" t="s">
        <v>109</v>
      </c>
    </row>
    <row r="69" spans="1:5" hidden="1" x14ac:dyDescent="0.3">
      <c r="A69" t="s">
        <v>31</v>
      </c>
      <c r="B69" t="s">
        <v>3</v>
      </c>
      <c r="C69">
        <v>121</v>
      </c>
      <c r="D69">
        <v>10000</v>
      </c>
      <c r="E69">
        <f t="shared" ref="E69:E94" si="1">C69*D69</f>
        <v>1210000</v>
      </c>
    </row>
    <row r="70" spans="1:5" hidden="1" x14ac:dyDescent="0.3">
      <c r="A70" t="s">
        <v>44</v>
      </c>
      <c r="B70" t="s">
        <v>3</v>
      </c>
      <c r="C70">
        <v>20</v>
      </c>
      <c r="D70">
        <v>6500</v>
      </c>
      <c r="E70">
        <f t="shared" si="1"/>
        <v>130000</v>
      </c>
    </row>
    <row r="71" spans="1:5" hidden="1" x14ac:dyDescent="0.3">
      <c r="A71" t="s">
        <v>45</v>
      </c>
      <c r="B71" t="s">
        <v>3</v>
      </c>
      <c r="C71">
        <v>5</v>
      </c>
      <c r="D71">
        <v>11000</v>
      </c>
      <c r="E71">
        <f t="shared" si="1"/>
        <v>55000</v>
      </c>
    </row>
    <row r="72" spans="1:5" hidden="1" x14ac:dyDescent="0.3">
      <c r="A72" t="s">
        <v>47</v>
      </c>
      <c r="B72" t="s">
        <v>3</v>
      </c>
      <c r="C72">
        <v>33</v>
      </c>
      <c r="D72">
        <v>12000</v>
      </c>
      <c r="E72">
        <f t="shared" si="1"/>
        <v>396000</v>
      </c>
    </row>
    <row r="73" spans="1:5" hidden="1" x14ac:dyDescent="0.3">
      <c r="A73" t="s">
        <v>54</v>
      </c>
      <c r="B73" t="s">
        <v>3</v>
      </c>
      <c r="C73">
        <v>30</v>
      </c>
      <c r="D73">
        <v>16000</v>
      </c>
      <c r="E73">
        <f t="shared" si="1"/>
        <v>480000</v>
      </c>
    </row>
    <row r="74" spans="1:5" hidden="1" x14ac:dyDescent="0.3">
      <c r="A74" t="s">
        <v>59</v>
      </c>
      <c r="B74" t="s">
        <v>3</v>
      </c>
      <c r="C74">
        <v>30</v>
      </c>
      <c r="D74">
        <v>18000</v>
      </c>
      <c r="E74">
        <f t="shared" si="1"/>
        <v>540000</v>
      </c>
    </row>
    <row r="75" spans="1:5" hidden="1" x14ac:dyDescent="0.3">
      <c r="A75" t="s">
        <v>61</v>
      </c>
      <c r="B75" t="s">
        <v>3</v>
      </c>
      <c r="C75">
        <v>5</v>
      </c>
      <c r="D75">
        <v>11000</v>
      </c>
      <c r="E75">
        <f t="shared" si="1"/>
        <v>55000</v>
      </c>
    </row>
    <row r="76" spans="1:5" hidden="1" x14ac:dyDescent="0.3">
      <c r="A76" t="s">
        <v>12</v>
      </c>
      <c r="B76" t="s">
        <v>3</v>
      </c>
      <c r="C76">
        <v>4</v>
      </c>
      <c r="D76">
        <v>16000</v>
      </c>
      <c r="E76">
        <f t="shared" si="1"/>
        <v>64000</v>
      </c>
    </row>
    <row r="77" spans="1:5" hidden="1" x14ac:dyDescent="0.3">
      <c r="A77" t="s">
        <v>4</v>
      </c>
      <c r="B77" t="s">
        <v>3</v>
      </c>
      <c r="C77">
        <v>290</v>
      </c>
      <c r="D77">
        <v>7000</v>
      </c>
      <c r="E77">
        <f t="shared" si="1"/>
        <v>2030000</v>
      </c>
    </row>
    <row r="78" spans="1:5" hidden="1" x14ac:dyDescent="0.3">
      <c r="A78" t="s">
        <v>5</v>
      </c>
      <c r="B78" t="s">
        <v>3</v>
      </c>
      <c r="C78">
        <v>110</v>
      </c>
      <c r="D78">
        <v>5500</v>
      </c>
      <c r="E78">
        <f t="shared" si="1"/>
        <v>605000</v>
      </c>
    </row>
    <row r="79" spans="1:5" hidden="1" x14ac:dyDescent="0.3">
      <c r="A79" t="s">
        <v>38</v>
      </c>
      <c r="B79" t="s">
        <v>3</v>
      </c>
      <c r="C79">
        <v>55</v>
      </c>
      <c r="D79">
        <v>6000</v>
      </c>
      <c r="E79">
        <f t="shared" si="1"/>
        <v>330000</v>
      </c>
    </row>
    <row r="80" spans="1:5" hidden="1" x14ac:dyDescent="0.3">
      <c r="A80" t="s">
        <v>39</v>
      </c>
      <c r="B80" t="s">
        <v>3</v>
      </c>
      <c r="C80">
        <v>17</v>
      </c>
      <c r="D80">
        <v>9000</v>
      </c>
      <c r="E80">
        <f t="shared" si="1"/>
        <v>153000</v>
      </c>
    </row>
    <row r="81" spans="1:5" hidden="1" x14ac:dyDescent="0.3">
      <c r="A81" t="s">
        <v>71</v>
      </c>
      <c r="B81" t="s">
        <v>3</v>
      </c>
      <c r="C81">
        <v>13</v>
      </c>
      <c r="D81">
        <v>17000</v>
      </c>
      <c r="E81">
        <f t="shared" si="1"/>
        <v>221000</v>
      </c>
    </row>
    <row r="82" spans="1:5" hidden="1" x14ac:dyDescent="0.3">
      <c r="A82" t="s">
        <v>8</v>
      </c>
      <c r="B82" t="s">
        <v>3</v>
      </c>
      <c r="C82">
        <v>10</v>
      </c>
      <c r="D82">
        <v>8000</v>
      </c>
      <c r="E82">
        <f t="shared" si="1"/>
        <v>80000</v>
      </c>
    </row>
    <row r="83" spans="1:5" hidden="1" x14ac:dyDescent="0.3">
      <c r="A83" t="s">
        <v>18</v>
      </c>
      <c r="B83" t="s">
        <v>3</v>
      </c>
      <c r="C83">
        <v>66</v>
      </c>
      <c r="D83">
        <v>17000</v>
      </c>
      <c r="E83">
        <f t="shared" si="1"/>
        <v>1122000</v>
      </c>
    </row>
    <row r="84" spans="1:5" hidden="1" x14ac:dyDescent="0.3">
      <c r="A84" t="s">
        <v>28</v>
      </c>
      <c r="B84" t="s">
        <v>3</v>
      </c>
      <c r="C84">
        <v>44</v>
      </c>
      <c r="D84">
        <v>14000</v>
      </c>
      <c r="E84">
        <f t="shared" si="1"/>
        <v>616000</v>
      </c>
    </row>
    <row r="85" spans="1:5" hidden="1" x14ac:dyDescent="0.3">
      <c r="A85" t="s">
        <v>33</v>
      </c>
      <c r="B85" t="s">
        <v>3</v>
      </c>
      <c r="C85">
        <v>5</v>
      </c>
      <c r="D85">
        <v>8000</v>
      </c>
      <c r="E85">
        <f t="shared" si="1"/>
        <v>40000</v>
      </c>
    </row>
    <row r="86" spans="1:5" hidden="1" x14ac:dyDescent="0.3">
      <c r="A86" t="s">
        <v>78</v>
      </c>
      <c r="B86" t="s">
        <v>3</v>
      </c>
      <c r="C86">
        <v>5</v>
      </c>
      <c r="D86">
        <v>25000</v>
      </c>
      <c r="E86">
        <f t="shared" si="1"/>
        <v>125000</v>
      </c>
    </row>
    <row r="87" spans="1:5" hidden="1" x14ac:dyDescent="0.3">
      <c r="A87" t="s">
        <v>80</v>
      </c>
      <c r="B87" t="s">
        <v>3</v>
      </c>
      <c r="C87">
        <v>5</v>
      </c>
      <c r="D87">
        <v>21000</v>
      </c>
      <c r="E87">
        <f t="shared" si="1"/>
        <v>105000</v>
      </c>
    </row>
    <row r="88" spans="1:5" hidden="1" x14ac:dyDescent="0.3">
      <c r="A88" t="s">
        <v>82</v>
      </c>
      <c r="B88" t="s">
        <v>3</v>
      </c>
      <c r="C88">
        <v>5</v>
      </c>
      <c r="D88">
        <v>30000</v>
      </c>
      <c r="E88">
        <f t="shared" si="1"/>
        <v>150000</v>
      </c>
    </row>
    <row r="89" spans="1:5" hidden="1" x14ac:dyDescent="0.3">
      <c r="A89" t="s">
        <v>105</v>
      </c>
      <c r="B89" t="s">
        <v>3</v>
      </c>
      <c r="C89">
        <v>9</v>
      </c>
      <c r="D89">
        <v>27000</v>
      </c>
      <c r="E89">
        <f t="shared" si="1"/>
        <v>243000</v>
      </c>
    </row>
    <row r="90" spans="1:5" hidden="1" x14ac:dyDescent="0.3">
      <c r="A90" t="s">
        <v>103</v>
      </c>
      <c r="B90" t="s">
        <v>3</v>
      </c>
      <c r="C90">
        <v>7</v>
      </c>
      <c r="D90">
        <v>14000</v>
      </c>
      <c r="E90">
        <f t="shared" si="1"/>
        <v>98000</v>
      </c>
    </row>
    <row r="91" spans="1:5" hidden="1" x14ac:dyDescent="0.3">
      <c r="A91" t="s">
        <v>68</v>
      </c>
      <c r="B91" t="s">
        <v>17</v>
      </c>
      <c r="C91">
        <v>35</v>
      </c>
      <c r="D91">
        <v>6000</v>
      </c>
      <c r="E91">
        <f t="shared" si="1"/>
        <v>210000</v>
      </c>
    </row>
    <row r="92" spans="1:5" hidden="1" x14ac:dyDescent="0.3">
      <c r="A92" t="s">
        <v>63</v>
      </c>
      <c r="B92" t="s">
        <v>30</v>
      </c>
      <c r="C92">
        <v>12</v>
      </c>
      <c r="D92">
        <v>8000</v>
      </c>
      <c r="E92">
        <f t="shared" si="1"/>
        <v>96000</v>
      </c>
    </row>
    <row r="93" spans="1:5" hidden="1" x14ac:dyDescent="0.3">
      <c r="A93" t="s">
        <v>106</v>
      </c>
      <c r="B93" t="s">
        <v>9</v>
      </c>
      <c r="C93">
        <v>470</v>
      </c>
      <c r="D93">
        <v>10000</v>
      </c>
      <c r="E93">
        <f t="shared" si="1"/>
        <v>4700000</v>
      </c>
    </row>
    <row r="94" spans="1:5" hidden="1" x14ac:dyDescent="0.3">
      <c r="A94" t="s">
        <v>104</v>
      </c>
      <c r="B94" t="s">
        <v>3</v>
      </c>
      <c r="C94">
        <v>650</v>
      </c>
      <c r="D94">
        <v>6000</v>
      </c>
      <c r="E94">
        <f t="shared" si="1"/>
        <v>3900000</v>
      </c>
    </row>
    <row r="95" spans="1:5" hidden="1" x14ac:dyDescent="0.3">
      <c r="E95">
        <f>SUM(E69:E94)</f>
        <v>17754000</v>
      </c>
    </row>
    <row r="96" spans="1:5" hidden="1" x14ac:dyDescent="0.3">
      <c r="E96">
        <f>E95+E66</f>
        <v>176703756</v>
      </c>
    </row>
  </sheetData>
  <autoFilter ref="A3:E96" xr:uid="{00000000-0009-0000-0000-000008000000}">
    <filterColumn colId="0">
      <filters>
        <filter val="Hạt Dẻ Ngố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E153"/>
  <sheetViews>
    <sheetView workbookViewId="0">
      <selection activeCell="D168" sqref="D168"/>
    </sheetView>
  </sheetViews>
  <sheetFormatPr defaultRowHeight="14.4" x14ac:dyDescent="0.3"/>
  <cols>
    <col min="1" max="1" width="26.21875" customWidth="1"/>
    <col min="5" max="5" width="15.44140625" customWidth="1"/>
  </cols>
  <sheetData>
    <row r="1" spans="1:5" x14ac:dyDescent="0.3">
      <c r="A1" t="s">
        <v>136</v>
      </c>
    </row>
    <row r="2" spans="1:5" x14ac:dyDescent="0.3">
      <c r="A2" t="s">
        <v>0</v>
      </c>
      <c r="B2" t="s">
        <v>1</v>
      </c>
      <c r="C2" t="s">
        <v>107</v>
      </c>
      <c r="D2" t="s">
        <v>108</v>
      </c>
      <c r="E2" t="s">
        <v>109</v>
      </c>
    </row>
    <row r="3" spans="1:5" hidden="1" x14ac:dyDescent="0.3">
      <c r="A3" t="s">
        <v>2</v>
      </c>
      <c r="B3" t="s">
        <v>3</v>
      </c>
      <c r="C3">
        <v>0</v>
      </c>
      <c r="E3">
        <f>C3*D3</f>
        <v>0</v>
      </c>
    </row>
    <row r="4" spans="1:5" hidden="1" x14ac:dyDescent="0.3">
      <c r="A4" t="s">
        <v>4</v>
      </c>
      <c r="B4" t="s">
        <v>3</v>
      </c>
      <c r="C4">
        <v>0</v>
      </c>
      <c r="E4">
        <f t="shared" ref="E4:E67" si="0">C4*D4</f>
        <v>0</v>
      </c>
    </row>
    <row r="5" spans="1:5" hidden="1" x14ac:dyDescent="0.3">
      <c r="A5" t="s">
        <v>5</v>
      </c>
      <c r="B5" t="s">
        <v>3</v>
      </c>
      <c r="C5">
        <v>369</v>
      </c>
      <c r="D5">
        <v>5000</v>
      </c>
      <c r="E5">
        <f t="shared" si="0"/>
        <v>1845000</v>
      </c>
    </row>
    <row r="6" spans="1:5" hidden="1" x14ac:dyDescent="0.3">
      <c r="A6" t="s">
        <v>6</v>
      </c>
      <c r="B6" t="s">
        <v>3</v>
      </c>
      <c r="C6">
        <v>0</v>
      </c>
      <c r="E6">
        <f t="shared" si="0"/>
        <v>0</v>
      </c>
    </row>
    <row r="7" spans="1:5" hidden="1" x14ac:dyDescent="0.3">
      <c r="A7" t="s">
        <v>7</v>
      </c>
      <c r="B7" t="s">
        <v>3</v>
      </c>
      <c r="C7">
        <v>0</v>
      </c>
      <c r="E7">
        <f t="shared" si="0"/>
        <v>0</v>
      </c>
    </row>
    <row r="8" spans="1:5" hidden="1" x14ac:dyDescent="0.3">
      <c r="A8" t="s">
        <v>8</v>
      </c>
      <c r="B8" t="s">
        <v>3</v>
      </c>
      <c r="C8">
        <v>208</v>
      </c>
      <c r="D8">
        <v>8000</v>
      </c>
      <c r="E8">
        <f t="shared" si="0"/>
        <v>1664000</v>
      </c>
    </row>
    <row r="9" spans="1:5" hidden="1" x14ac:dyDescent="0.3">
      <c r="A9" t="s">
        <v>8</v>
      </c>
      <c r="B9" t="s">
        <v>9</v>
      </c>
      <c r="C9">
        <v>0</v>
      </c>
      <c r="E9">
        <f t="shared" si="0"/>
        <v>0</v>
      </c>
    </row>
    <row r="10" spans="1:5" hidden="1" x14ac:dyDescent="0.3">
      <c r="A10" t="s">
        <v>10</v>
      </c>
      <c r="B10" t="s">
        <v>3</v>
      </c>
      <c r="C10">
        <v>50</v>
      </c>
      <c r="D10">
        <v>13000</v>
      </c>
      <c r="E10">
        <f t="shared" si="0"/>
        <v>650000</v>
      </c>
    </row>
    <row r="11" spans="1:5" hidden="1" x14ac:dyDescent="0.3">
      <c r="A11" t="s">
        <v>10</v>
      </c>
      <c r="B11" t="s">
        <v>9</v>
      </c>
      <c r="C11">
        <v>0</v>
      </c>
      <c r="E11">
        <f t="shared" si="0"/>
        <v>0</v>
      </c>
    </row>
    <row r="12" spans="1:5" hidden="1" x14ac:dyDescent="0.3">
      <c r="A12" t="s">
        <v>11</v>
      </c>
      <c r="B12" t="s">
        <v>3</v>
      </c>
      <c r="C12">
        <v>0</v>
      </c>
      <c r="E12">
        <f t="shared" si="0"/>
        <v>0</v>
      </c>
    </row>
    <row r="13" spans="1:5" hidden="1" x14ac:dyDescent="0.3">
      <c r="A13" t="s">
        <v>12</v>
      </c>
      <c r="B13" t="s">
        <v>3</v>
      </c>
      <c r="C13">
        <v>26</v>
      </c>
      <c r="D13">
        <v>13000</v>
      </c>
      <c r="E13">
        <f t="shared" si="0"/>
        <v>338000</v>
      </c>
    </row>
    <row r="14" spans="1:5" hidden="1" x14ac:dyDescent="0.3">
      <c r="A14" t="s">
        <v>13</v>
      </c>
      <c r="B14" t="s">
        <v>3</v>
      </c>
      <c r="C14">
        <v>5</v>
      </c>
      <c r="D14">
        <v>14000</v>
      </c>
      <c r="E14">
        <f t="shared" si="0"/>
        <v>70000</v>
      </c>
    </row>
    <row r="15" spans="1:5" hidden="1" x14ac:dyDescent="0.3">
      <c r="A15" t="s">
        <v>14</v>
      </c>
      <c r="B15" t="s">
        <v>3</v>
      </c>
      <c r="C15">
        <v>0</v>
      </c>
      <c r="E15">
        <f t="shared" si="0"/>
        <v>0</v>
      </c>
    </row>
    <row r="16" spans="1:5" hidden="1" x14ac:dyDescent="0.3">
      <c r="A16" t="s">
        <v>15</v>
      </c>
      <c r="B16" t="s">
        <v>3</v>
      </c>
      <c r="C16">
        <v>0</v>
      </c>
      <c r="E16">
        <f t="shared" si="0"/>
        <v>0</v>
      </c>
    </row>
    <row r="17" spans="1:5" hidden="1" x14ac:dyDescent="0.3">
      <c r="A17" t="s">
        <v>16</v>
      </c>
      <c r="B17" t="s">
        <v>17</v>
      </c>
      <c r="C17">
        <v>20</v>
      </c>
      <c r="D17">
        <v>7000</v>
      </c>
      <c r="E17">
        <f t="shared" si="0"/>
        <v>140000</v>
      </c>
    </row>
    <row r="18" spans="1:5" hidden="1" x14ac:dyDescent="0.3">
      <c r="A18" t="s">
        <v>18</v>
      </c>
      <c r="B18" t="s">
        <v>3</v>
      </c>
      <c r="C18">
        <v>270</v>
      </c>
      <c r="D18">
        <v>19500</v>
      </c>
      <c r="E18">
        <f t="shared" si="0"/>
        <v>5265000</v>
      </c>
    </row>
    <row r="19" spans="1:5" hidden="1" x14ac:dyDescent="0.3">
      <c r="A19" t="s">
        <v>18</v>
      </c>
      <c r="B19" t="s">
        <v>17</v>
      </c>
      <c r="C19">
        <v>0</v>
      </c>
      <c r="E19">
        <f t="shared" si="0"/>
        <v>0</v>
      </c>
    </row>
    <row r="20" spans="1:5" hidden="1" x14ac:dyDescent="0.3">
      <c r="A20" t="s">
        <v>18</v>
      </c>
      <c r="B20" t="s">
        <v>19</v>
      </c>
      <c r="C20">
        <v>0</v>
      </c>
      <c r="E20">
        <f t="shared" si="0"/>
        <v>0</v>
      </c>
    </row>
    <row r="21" spans="1:5" hidden="1" x14ac:dyDescent="0.3">
      <c r="A21" t="s">
        <v>20</v>
      </c>
      <c r="B21" t="s">
        <v>3</v>
      </c>
      <c r="C21">
        <v>40</v>
      </c>
      <c r="D21">
        <v>16000</v>
      </c>
      <c r="E21">
        <f t="shared" si="0"/>
        <v>640000</v>
      </c>
    </row>
    <row r="22" spans="1:5" hidden="1" x14ac:dyDescent="0.3">
      <c r="A22" t="s">
        <v>20</v>
      </c>
      <c r="B22" t="s">
        <v>21</v>
      </c>
      <c r="C22">
        <v>0</v>
      </c>
      <c r="E22">
        <f t="shared" si="0"/>
        <v>0</v>
      </c>
    </row>
    <row r="23" spans="1:5" hidden="1" x14ac:dyDescent="0.3">
      <c r="A23" t="s">
        <v>22</v>
      </c>
      <c r="B23" t="s">
        <v>3</v>
      </c>
      <c r="C23">
        <v>17</v>
      </c>
      <c r="D23">
        <v>24000</v>
      </c>
      <c r="E23">
        <f t="shared" si="0"/>
        <v>408000</v>
      </c>
    </row>
    <row r="24" spans="1:5" hidden="1" x14ac:dyDescent="0.3">
      <c r="A24" t="s">
        <v>22</v>
      </c>
      <c r="B24" t="s">
        <v>23</v>
      </c>
      <c r="C24">
        <v>70</v>
      </c>
      <c r="D24">
        <v>7200</v>
      </c>
      <c r="E24">
        <f t="shared" si="0"/>
        <v>504000</v>
      </c>
    </row>
    <row r="25" spans="1:5" hidden="1" x14ac:dyDescent="0.3">
      <c r="A25" t="s">
        <v>24</v>
      </c>
      <c r="B25" t="s">
        <v>25</v>
      </c>
      <c r="C25">
        <v>5</v>
      </c>
      <c r="D25">
        <v>12000</v>
      </c>
      <c r="E25">
        <f t="shared" si="0"/>
        <v>60000</v>
      </c>
    </row>
    <row r="26" spans="1:5" hidden="1" x14ac:dyDescent="0.3">
      <c r="A26" t="s">
        <v>26</v>
      </c>
      <c r="B26" t="s">
        <v>3</v>
      </c>
      <c r="C26">
        <v>0</v>
      </c>
      <c r="E26">
        <f t="shared" si="0"/>
        <v>0</v>
      </c>
    </row>
    <row r="27" spans="1:5" hidden="1" x14ac:dyDescent="0.3">
      <c r="A27" t="s">
        <v>26</v>
      </c>
      <c r="B27" t="s">
        <v>23</v>
      </c>
      <c r="C27">
        <v>230</v>
      </c>
      <c r="D27">
        <v>8400</v>
      </c>
      <c r="E27">
        <f t="shared" si="0"/>
        <v>1932000</v>
      </c>
    </row>
    <row r="28" spans="1:5" hidden="1" x14ac:dyDescent="0.3">
      <c r="A28" t="s">
        <v>26</v>
      </c>
      <c r="B28" t="s">
        <v>27</v>
      </c>
      <c r="C28">
        <v>270</v>
      </c>
      <c r="D28">
        <v>7000</v>
      </c>
      <c r="E28">
        <f t="shared" si="0"/>
        <v>1890000</v>
      </c>
    </row>
    <row r="29" spans="1:5" hidden="1" x14ac:dyDescent="0.3">
      <c r="A29" t="s">
        <v>28</v>
      </c>
      <c r="B29" t="s">
        <v>3</v>
      </c>
      <c r="C29">
        <v>190</v>
      </c>
      <c r="D29">
        <v>14000</v>
      </c>
      <c r="E29">
        <f t="shared" si="0"/>
        <v>2660000</v>
      </c>
    </row>
    <row r="30" spans="1:5" hidden="1" x14ac:dyDescent="0.3">
      <c r="A30" t="s">
        <v>28</v>
      </c>
      <c r="B30" t="s">
        <v>17</v>
      </c>
      <c r="C30">
        <v>0</v>
      </c>
      <c r="E30">
        <f t="shared" si="0"/>
        <v>0</v>
      </c>
    </row>
    <row r="31" spans="1:5" hidden="1" x14ac:dyDescent="0.3">
      <c r="A31" t="s">
        <v>29</v>
      </c>
      <c r="B31" t="s">
        <v>30</v>
      </c>
      <c r="C31">
        <v>0</v>
      </c>
      <c r="E31">
        <f t="shared" si="0"/>
        <v>0</v>
      </c>
    </row>
    <row r="32" spans="1:5" hidden="1" x14ac:dyDescent="0.3">
      <c r="A32" t="s">
        <v>31</v>
      </c>
      <c r="B32" t="s">
        <v>3</v>
      </c>
      <c r="C32">
        <v>220</v>
      </c>
      <c r="D32">
        <v>10000</v>
      </c>
      <c r="E32">
        <f t="shared" si="0"/>
        <v>2200000</v>
      </c>
    </row>
    <row r="33" spans="1:5" hidden="1" x14ac:dyDescent="0.3">
      <c r="A33" t="s">
        <v>31</v>
      </c>
      <c r="B33" t="s">
        <v>30</v>
      </c>
      <c r="C33">
        <v>0</v>
      </c>
      <c r="E33">
        <f t="shared" si="0"/>
        <v>0</v>
      </c>
    </row>
    <row r="34" spans="1:5" hidden="1" x14ac:dyDescent="0.3">
      <c r="A34" t="s">
        <v>32</v>
      </c>
      <c r="B34" t="s">
        <v>17</v>
      </c>
      <c r="C34">
        <v>0</v>
      </c>
      <c r="E34">
        <f t="shared" si="0"/>
        <v>0</v>
      </c>
    </row>
    <row r="35" spans="1:5" hidden="1" x14ac:dyDescent="0.3">
      <c r="A35" t="s">
        <v>33</v>
      </c>
      <c r="B35" t="s">
        <v>3</v>
      </c>
      <c r="C35">
        <v>45</v>
      </c>
      <c r="D35">
        <v>8000</v>
      </c>
      <c r="E35">
        <f t="shared" si="0"/>
        <v>360000</v>
      </c>
    </row>
    <row r="36" spans="1:5" hidden="1" x14ac:dyDescent="0.3">
      <c r="A36" t="s">
        <v>33</v>
      </c>
      <c r="B36" t="s">
        <v>34</v>
      </c>
      <c r="C36">
        <v>0</v>
      </c>
      <c r="E36">
        <f t="shared" si="0"/>
        <v>0</v>
      </c>
    </row>
    <row r="37" spans="1:5" hidden="1" x14ac:dyDescent="0.3">
      <c r="A37" t="s">
        <v>35</v>
      </c>
      <c r="B37" t="s">
        <v>3</v>
      </c>
      <c r="C37">
        <v>0</v>
      </c>
      <c r="E37">
        <f t="shared" si="0"/>
        <v>0</v>
      </c>
    </row>
    <row r="38" spans="1:5" hidden="1" x14ac:dyDescent="0.3">
      <c r="A38" t="s">
        <v>35</v>
      </c>
      <c r="B38" t="s">
        <v>30</v>
      </c>
      <c r="C38">
        <v>0</v>
      </c>
      <c r="E38">
        <f t="shared" si="0"/>
        <v>0</v>
      </c>
    </row>
    <row r="39" spans="1:5" hidden="1" x14ac:dyDescent="0.3">
      <c r="A39" t="s">
        <v>36</v>
      </c>
      <c r="B39" t="s">
        <v>30</v>
      </c>
      <c r="C39">
        <v>8</v>
      </c>
      <c r="D39">
        <v>6000</v>
      </c>
      <c r="E39">
        <f t="shared" si="0"/>
        <v>48000</v>
      </c>
    </row>
    <row r="40" spans="1:5" hidden="1" x14ac:dyDescent="0.3">
      <c r="A40" t="s">
        <v>37</v>
      </c>
      <c r="B40" t="s">
        <v>30</v>
      </c>
      <c r="C40">
        <v>9</v>
      </c>
      <c r="D40">
        <v>4300</v>
      </c>
      <c r="E40">
        <f t="shared" si="0"/>
        <v>38700</v>
      </c>
    </row>
    <row r="41" spans="1:5" hidden="1" x14ac:dyDescent="0.3">
      <c r="A41" t="s">
        <v>38</v>
      </c>
      <c r="B41" t="s">
        <v>3</v>
      </c>
      <c r="C41">
        <v>783</v>
      </c>
      <c r="D41">
        <v>6000</v>
      </c>
      <c r="E41">
        <f t="shared" si="0"/>
        <v>4698000</v>
      </c>
    </row>
    <row r="42" spans="1:5" hidden="1" x14ac:dyDescent="0.3">
      <c r="A42" t="s">
        <v>103</v>
      </c>
      <c r="B42" t="s">
        <v>3</v>
      </c>
      <c r="C42">
        <v>0</v>
      </c>
      <c r="E42">
        <f t="shared" si="0"/>
        <v>0</v>
      </c>
    </row>
    <row r="43" spans="1:5" hidden="1" x14ac:dyDescent="0.3">
      <c r="A43" t="s">
        <v>39</v>
      </c>
      <c r="B43" t="s">
        <v>40</v>
      </c>
      <c r="C43">
        <v>0</v>
      </c>
      <c r="E43">
        <f t="shared" si="0"/>
        <v>0</v>
      </c>
    </row>
    <row r="44" spans="1:5" hidden="1" x14ac:dyDescent="0.3">
      <c r="A44" t="s">
        <v>39</v>
      </c>
      <c r="B44" t="s">
        <v>3</v>
      </c>
      <c r="C44">
        <v>0</v>
      </c>
      <c r="E44">
        <f t="shared" si="0"/>
        <v>0</v>
      </c>
    </row>
    <row r="45" spans="1:5" hidden="1" x14ac:dyDescent="0.3">
      <c r="A45" t="s">
        <v>41</v>
      </c>
      <c r="B45" t="s">
        <v>3</v>
      </c>
      <c r="C45">
        <v>10</v>
      </c>
      <c r="D45">
        <v>14000</v>
      </c>
      <c r="E45">
        <f t="shared" si="0"/>
        <v>140000</v>
      </c>
    </row>
    <row r="46" spans="1:5" hidden="1" x14ac:dyDescent="0.3">
      <c r="A46" t="s">
        <v>42</v>
      </c>
      <c r="B46" t="s">
        <v>25</v>
      </c>
      <c r="C46">
        <v>30</v>
      </c>
      <c r="D46">
        <v>11000</v>
      </c>
      <c r="E46">
        <f t="shared" si="0"/>
        <v>330000</v>
      </c>
    </row>
    <row r="47" spans="1:5" hidden="1" x14ac:dyDescent="0.3">
      <c r="A47" t="s">
        <v>43</v>
      </c>
      <c r="B47" t="s">
        <v>3</v>
      </c>
      <c r="C47">
        <v>1.5</v>
      </c>
      <c r="D47">
        <v>16000</v>
      </c>
      <c r="E47">
        <f t="shared" si="0"/>
        <v>24000</v>
      </c>
    </row>
    <row r="48" spans="1:5" hidden="1" x14ac:dyDescent="0.3">
      <c r="A48" t="s">
        <v>44</v>
      </c>
      <c r="B48" t="s">
        <v>3</v>
      </c>
      <c r="C48">
        <v>25</v>
      </c>
      <c r="D48">
        <v>6500</v>
      </c>
      <c r="E48">
        <f t="shared" si="0"/>
        <v>162500</v>
      </c>
    </row>
    <row r="49" spans="1:5" hidden="1" x14ac:dyDescent="0.3">
      <c r="A49" t="s">
        <v>45</v>
      </c>
      <c r="B49" t="s">
        <v>3</v>
      </c>
      <c r="C49">
        <v>27</v>
      </c>
      <c r="D49">
        <v>11000</v>
      </c>
      <c r="E49">
        <f t="shared" si="0"/>
        <v>297000</v>
      </c>
    </row>
    <row r="50" spans="1:5" hidden="1" x14ac:dyDescent="0.3">
      <c r="A50" t="s">
        <v>45</v>
      </c>
      <c r="B50" t="s">
        <v>30</v>
      </c>
      <c r="C50">
        <v>0</v>
      </c>
      <c r="E50">
        <f t="shared" si="0"/>
        <v>0</v>
      </c>
    </row>
    <row r="51" spans="1:5" hidden="1" x14ac:dyDescent="0.3">
      <c r="A51" t="s">
        <v>46</v>
      </c>
      <c r="B51" t="s">
        <v>3</v>
      </c>
      <c r="C51">
        <v>10</v>
      </c>
      <c r="D51">
        <v>17000</v>
      </c>
      <c r="E51">
        <f t="shared" si="0"/>
        <v>170000</v>
      </c>
    </row>
    <row r="52" spans="1:5" hidden="1" x14ac:dyDescent="0.3">
      <c r="A52" t="s">
        <v>47</v>
      </c>
      <c r="B52" t="s">
        <v>3</v>
      </c>
      <c r="C52">
        <v>30</v>
      </c>
      <c r="D52">
        <v>12000</v>
      </c>
      <c r="E52">
        <f t="shared" si="0"/>
        <v>360000</v>
      </c>
    </row>
    <row r="53" spans="1:5" hidden="1" x14ac:dyDescent="0.3">
      <c r="A53" t="s">
        <v>47</v>
      </c>
      <c r="B53" t="s">
        <v>48</v>
      </c>
      <c r="C53">
        <v>0</v>
      </c>
      <c r="E53">
        <f t="shared" si="0"/>
        <v>0</v>
      </c>
    </row>
    <row r="54" spans="1:5" hidden="1" x14ac:dyDescent="0.3">
      <c r="A54" t="s">
        <v>50</v>
      </c>
      <c r="B54" t="s">
        <v>30</v>
      </c>
      <c r="C54">
        <v>466</v>
      </c>
      <c r="D54">
        <v>2400</v>
      </c>
      <c r="E54">
        <f t="shared" si="0"/>
        <v>1118400</v>
      </c>
    </row>
    <row r="55" spans="1:5" x14ac:dyDescent="0.3">
      <c r="A55" t="s">
        <v>51</v>
      </c>
      <c r="B55" t="s">
        <v>3</v>
      </c>
      <c r="C55">
        <v>765</v>
      </c>
      <c r="D55">
        <v>27000</v>
      </c>
      <c r="E55">
        <f t="shared" si="0"/>
        <v>20655000</v>
      </c>
    </row>
    <row r="56" spans="1:5" x14ac:dyDescent="0.3">
      <c r="A56" t="s">
        <v>52</v>
      </c>
      <c r="B56" t="s">
        <v>3</v>
      </c>
      <c r="C56">
        <v>1045</v>
      </c>
      <c r="D56">
        <v>27000</v>
      </c>
      <c r="E56">
        <f t="shared" si="0"/>
        <v>28215000</v>
      </c>
    </row>
    <row r="57" spans="1:5" hidden="1" x14ac:dyDescent="0.3">
      <c r="A57" t="s">
        <v>52</v>
      </c>
      <c r="B57" t="s">
        <v>30</v>
      </c>
      <c r="C57">
        <v>0</v>
      </c>
      <c r="E57">
        <f t="shared" si="0"/>
        <v>0</v>
      </c>
    </row>
    <row r="58" spans="1:5" x14ac:dyDescent="0.3">
      <c r="A58" t="s">
        <v>53</v>
      </c>
      <c r="B58" t="s">
        <v>3</v>
      </c>
      <c r="C58">
        <v>235</v>
      </c>
      <c r="D58">
        <v>23000</v>
      </c>
      <c r="E58">
        <f t="shared" si="0"/>
        <v>5405000</v>
      </c>
    </row>
    <row r="59" spans="1:5" hidden="1" x14ac:dyDescent="0.3">
      <c r="A59" t="s">
        <v>54</v>
      </c>
      <c r="B59" t="s">
        <v>3</v>
      </c>
      <c r="C59">
        <v>380</v>
      </c>
      <c r="D59">
        <v>16000</v>
      </c>
      <c r="E59">
        <f t="shared" si="0"/>
        <v>6080000</v>
      </c>
    </row>
    <row r="60" spans="1:5" hidden="1" x14ac:dyDescent="0.3">
      <c r="A60" t="s">
        <v>55</v>
      </c>
      <c r="B60" t="s">
        <v>3</v>
      </c>
      <c r="C60">
        <v>0</v>
      </c>
      <c r="E60">
        <f t="shared" si="0"/>
        <v>0</v>
      </c>
    </row>
    <row r="61" spans="1:5" hidden="1" x14ac:dyDescent="0.3">
      <c r="A61" t="s">
        <v>56</v>
      </c>
      <c r="B61" t="s">
        <v>3</v>
      </c>
      <c r="C61">
        <v>0</v>
      </c>
      <c r="E61">
        <f t="shared" si="0"/>
        <v>0</v>
      </c>
    </row>
    <row r="62" spans="1:5" hidden="1" x14ac:dyDescent="0.3">
      <c r="A62" t="s">
        <v>57</v>
      </c>
      <c r="B62" t="s">
        <v>30</v>
      </c>
      <c r="C62">
        <v>0</v>
      </c>
      <c r="E62">
        <f t="shared" si="0"/>
        <v>0</v>
      </c>
    </row>
    <row r="63" spans="1:5" hidden="1" x14ac:dyDescent="0.3">
      <c r="A63" t="s">
        <v>58</v>
      </c>
      <c r="B63" t="s">
        <v>3</v>
      </c>
      <c r="C63">
        <v>60</v>
      </c>
      <c r="D63">
        <v>30000</v>
      </c>
      <c r="E63">
        <f t="shared" si="0"/>
        <v>1800000</v>
      </c>
    </row>
    <row r="64" spans="1:5" hidden="1" x14ac:dyDescent="0.3">
      <c r="A64" t="s">
        <v>59</v>
      </c>
      <c r="B64" t="s">
        <v>3</v>
      </c>
      <c r="C64">
        <v>196</v>
      </c>
      <c r="D64">
        <v>18000</v>
      </c>
      <c r="E64">
        <f t="shared" si="0"/>
        <v>3528000</v>
      </c>
    </row>
    <row r="65" spans="1:5" hidden="1" x14ac:dyDescent="0.3">
      <c r="A65" t="s">
        <v>59</v>
      </c>
      <c r="B65" t="s">
        <v>30</v>
      </c>
      <c r="C65">
        <v>0</v>
      </c>
      <c r="E65">
        <f t="shared" si="0"/>
        <v>0</v>
      </c>
    </row>
    <row r="66" spans="1:5" hidden="1" x14ac:dyDescent="0.3">
      <c r="A66" t="s">
        <v>60</v>
      </c>
      <c r="B66" t="s">
        <v>30</v>
      </c>
      <c r="C66">
        <v>35</v>
      </c>
      <c r="D66">
        <v>7500</v>
      </c>
      <c r="E66">
        <f t="shared" si="0"/>
        <v>262500</v>
      </c>
    </row>
    <row r="67" spans="1:5" hidden="1" x14ac:dyDescent="0.3">
      <c r="A67" t="s">
        <v>61</v>
      </c>
      <c r="B67" t="s">
        <v>3</v>
      </c>
      <c r="C67">
        <v>25</v>
      </c>
      <c r="D67">
        <v>11000</v>
      </c>
      <c r="E67">
        <f t="shared" si="0"/>
        <v>275000</v>
      </c>
    </row>
    <row r="68" spans="1:5" hidden="1" x14ac:dyDescent="0.3">
      <c r="A68" t="s">
        <v>62</v>
      </c>
      <c r="B68" t="s">
        <v>30</v>
      </c>
      <c r="C68">
        <v>30</v>
      </c>
      <c r="D68">
        <v>6000</v>
      </c>
      <c r="E68">
        <f t="shared" ref="E68:E133" si="1">C68*D68</f>
        <v>180000</v>
      </c>
    </row>
    <row r="69" spans="1:5" hidden="1" x14ac:dyDescent="0.3">
      <c r="A69" t="s">
        <v>63</v>
      </c>
      <c r="B69" t="s">
        <v>3</v>
      </c>
      <c r="C69">
        <v>0</v>
      </c>
      <c r="E69">
        <f t="shared" si="1"/>
        <v>0</v>
      </c>
    </row>
    <row r="70" spans="1:5" hidden="1" x14ac:dyDescent="0.3">
      <c r="A70" t="s">
        <v>63</v>
      </c>
      <c r="B70" t="s">
        <v>64</v>
      </c>
      <c r="C70">
        <v>56</v>
      </c>
      <c r="D70">
        <v>9000</v>
      </c>
      <c r="E70">
        <f t="shared" si="1"/>
        <v>504000</v>
      </c>
    </row>
    <row r="71" spans="1:5" hidden="1" x14ac:dyDescent="0.3">
      <c r="A71" t="s">
        <v>65</v>
      </c>
      <c r="B71" t="s">
        <v>3</v>
      </c>
      <c r="C71">
        <v>0</v>
      </c>
      <c r="E71">
        <f t="shared" si="1"/>
        <v>0</v>
      </c>
    </row>
    <row r="72" spans="1:5" hidden="1" x14ac:dyDescent="0.3">
      <c r="A72" t="s">
        <v>66</v>
      </c>
      <c r="B72" t="s">
        <v>3</v>
      </c>
      <c r="C72">
        <v>0</v>
      </c>
      <c r="E72">
        <f t="shared" si="1"/>
        <v>0</v>
      </c>
    </row>
    <row r="73" spans="1:5" hidden="1" x14ac:dyDescent="0.3">
      <c r="A73" t="s">
        <v>67</v>
      </c>
      <c r="B73" t="s">
        <v>3</v>
      </c>
      <c r="C73">
        <v>0</v>
      </c>
      <c r="E73">
        <f t="shared" si="1"/>
        <v>0</v>
      </c>
    </row>
    <row r="74" spans="1:5" hidden="1" x14ac:dyDescent="0.3">
      <c r="A74" t="s">
        <v>68</v>
      </c>
      <c r="B74" t="s">
        <v>3</v>
      </c>
      <c r="C74">
        <v>0</v>
      </c>
      <c r="E74">
        <f t="shared" si="1"/>
        <v>0</v>
      </c>
    </row>
    <row r="75" spans="1:5" hidden="1" x14ac:dyDescent="0.3">
      <c r="A75" t="s">
        <v>68</v>
      </c>
      <c r="B75" t="s">
        <v>17</v>
      </c>
      <c r="C75">
        <v>665</v>
      </c>
      <c r="D75">
        <v>6000</v>
      </c>
      <c r="E75">
        <f t="shared" si="1"/>
        <v>3990000</v>
      </c>
    </row>
    <row r="76" spans="1:5" hidden="1" x14ac:dyDescent="0.3">
      <c r="A76" t="s">
        <v>69</v>
      </c>
      <c r="B76" t="s">
        <v>3</v>
      </c>
      <c r="C76">
        <v>0</v>
      </c>
      <c r="E76">
        <f t="shared" si="1"/>
        <v>0</v>
      </c>
    </row>
    <row r="77" spans="1:5" hidden="1" x14ac:dyDescent="0.3">
      <c r="A77" t="s">
        <v>70</v>
      </c>
      <c r="B77" t="s">
        <v>3</v>
      </c>
      <c r="C77">
        <v>24</v>
      </c>
      <c r="D77">
        <v>13000</v>
      </c>
      <c r="E77">
        <f t="shared" si="1"/>
        <v>312000</v>
      </c>
    </row>
    <row r="78" spans="1:5" hidden="1" x14ac:dyDescent="0.3">
      <c r="A78" t="s">
        <v>71</v>
      </c>
      <c r="B78" t="s">
        <v>40</v>
      </c>
      <c r="C78">
        <v>0</v>
      </c>
      <c r="E78">
        <f t="shared" si="1"/>
        <v>0</v>
      </c>
    </row>
    <row r="79" spans="1:5" hidden="1" x14ac:dyDescent="0.3">
      <c r="A79" t="s">
        <v>71</v>
      </c>
      <c r="B79" t="s">
        <v>3</v>
      </c>
      <c r="C79">
        <v>19</v>
      </c>
      <c r="D79">
        <v>17000</v>
      </c>
      <c r="E79">
        <f t="shared" si="1"/>
        <v>323000</v>
      </c>
    </row>
    <row r="80" spans="1:5" hidden="1" x14ac:dyDescent="0.3">
      <c r="A80" t="s">
        <v>72</v>
      </c>
      <c r="B80" t="s">
        <v>3</v>
      </c>
      <c r="C80">
        <v>2470</v>
      </c>
      <c r="D80">
        <v>27600</v>
      </c>
      <c r="E80">
        <f t="shared" si="1"/>
        <v>68172000</v>
      </c>
    </row>
    <row r="81" spans="1:5" hidden="1" x14ac:dyDescent="0.3">
      <c r="A81" t="s">
        <v>73</v>
      </c>
      <c r="B81" t="s">
        <v>3</v>
      </c>
      <c r="C81">
        <v>0</v>
      </c>
      <c r="E81">
        <f t="shared" si="1"/>
        <v>0</v>
      </c>
    </row>
    <row r="82" spans="1:5" hidden="1" x14ac:dyDescent="0.3">
      <c r="A82" t="s">
        <v>74</v>
      </c>
      <c r="B82" t="s">
        <v>30</v>
      </c>
      <c r="C82">
        <v>0</v>
      </c>
      <c r="E82">
        <f t="shared" si="1"/>
        <v>0</v>
      </c>
    </row>
    <row r="83" spans="1:5" hidden="1" x14ac:dyDescent="0.3">
      <c r="A83" t="s">
        <v>75</v>
      </c>
      <c r="B83" t="s">
        <v>3</v>
      </c>
      <c r="C83">
        <v>25</v>
      </c>
      <c r="D83">
        <v>14000</v>
      </c>
      <c r="E83">
        <f t="shared" si="1"/>
        <v>350000</v>
      </c>
    </row>
    <row r="84" spans="1:5" hidden="1" x14ac:dyDescent="0.3">
      <c r="A84" t="s">
        <v>76</v>
      </c>
      <c r="B84" t="s">
        <v>17</v>
      </c>
      <c r="C84">
        <v>0</v>
      </c>
      <c r="E84">
        <f t="shared" si="1"/>
        <v>0</v>
      </c>
    </row>
    <row r="85" spans="1:5" hidden="1" x14ac:dyDescent="0.3">
      <c r="A85" t="s">
        <v>77</v>
      </c>
      <c r="B85" t="s">
        <v>25</v>
      </c>
      <c r="C85">
        <v>0</v>
      </c>
      <c r="E85">
        <f t="shared" si="1"/>
        <v>0</v>
      </c>
    </row>
    <row r="86" spans="1:5" hidden="1" x14ac:dyDescent="0.3">
      <c r="A86" t="s">
        <v>77</v>
      </c>
      <c r="B86" t="s">
        <v>3</v>
      </c>
      <c r="C86">
        <v>5</v>
      </c>
      <c r="D86">
        <v>48000</v>
      </c>
      <c r="E86">
        <f t="shared" si="1"/>
        <v>240000</v>
      </c>
    </row>
    <row r="87" spans="1:5" hidden="1" x14ac:dyDescent="0.3">
      <c r="A87" t="s">
        <v>78</v>
      </c>
      <c r="B87" t="s">
        <v>3</v>
      </c>
      <c r="C87">
        <v>174</v>
      </c>
      <c r="D87">
        <v>26000</v>
      </c>
      <c r="E87">
        <f t="shared" si="1"/>
        <v>4524000</v>
      </c>
    </row>
    <row r="88" spans="1:5" hidden="1" x14ac:dyDescent="0.3">
      <c r="A88" t="s">
        <v>78</v>
      </c>
      <c r="B88" t="s">
        <v>9</v>
      </c>
      <c r="C88">
        <v>0</v>
      </c>
      <c r="E88">
        <f t="shared" si="1"/>
        <v>0</v>
      </c>
    </row>
    <row r="89" spans="1:5" hidden="1" x14ac:dyDescent="0.3">
      <c r="A89" t="s">
        <v>79</v>
      </c>
      <c r="B89" t="s">
        <v>3</v>
      </c>
      <c r="C89">
        <v>20</v>
      </c>
      <c r="D89">
        <v>21000</v>
      </c>
      <c r="E89">
        <f t="shared" si="1"/>
        <v>420000</v>
      </c>
    </row>
    <row r="90" spans="1:5" hidden="1" x14ac:dyDescent="0.3">
      <c r="A90" t="s">
        <v>80</v>
      </c>
      <c r="B90" t="s">
        <v>3</v>
      </c>
      <c r="C90">
        <v>75</v>
      </c>
      <c r="D90">
        <v>22000</v>
      </c>
      <c r="E90">
        <f t="shared" si="1"/>
        <v>1650000</v>
      </c>
    </row>
    <row r="91" spans="1:5" hidden="1" x14ac:dyDescent="0.3">
      <c r="A91" t="s">
        <v>80</v>
      </c>
      <c r="B91" t="s">
        <v>9</v>
      </c>
      <c r="C91">
        <v>0</v>
      </c>
      <c r="E91">
        <f t="shared" si="1"/>
        <v>0</v>
      </c>
    </row>
    <row r="92" spans="1:5" hidden="1" x14ac:dyDescent="0.3">
      <c r="A92" t="s">
        <v>81</v>
      </c>
      <c r="B92" t="s">
        <v>3</v>
      </c>
      <c r="C92">
        <v>31</v>
      </c>
      <c r="D92">
        <v>17000</v>
      </c>
      <c r="E92">
        <f t="shared" si="1"/>
        <v>527000</v>
      </c>
    </row>
    <row r="93" spans="1:5" hidden="1" x14ac:dyDescent="0.3">
      <c r="A93" t="s">
        <v>82</v>
      </c>
      <c r="B93" t="s">
        <v>3</v>
      </c>
      <c r="C93">
        <v>50</v>
      </c>
      <c r="D93">
        <v>31000</v>
      </c>
      <c r="E93">
        <f t="shared" si="1"/>
        <v>1550000</v>
      </c>
    </row>
    <row r="94" spans="1:5" hidden="1" x14ac:dyDescent="0.3">
      <c r="A94" t="s">
        <v>82</v>
      </c>
      <c r="B94" t="s">
        <v>9</v>
      </c>
      <c r="C94">
        <v>0</v>
      </c>
      <c r="E94">
        <f t="shared" si="1"/>
        <v>0</v>
      </c>
    </row>
    <row r="95" spans="1:5" hidden="1" x14ac:dyDescent="0.3">
      <c r="A95" t="s">
        <v>83</v>
      </c>
      <c r="B95" t="s">
        <v>3</v>
      </c>
      <c r="C95">
        <v>50</v>
      </c>
      <c r="D95">
        <v>25000</v>
      </c>
      <c r="E95">
        <f t="shared" si="1"/>
        <v>1250000</v>
      </c>
    </row>
    <row r="96" spans="1:5" hidden="1" x14ac:dyDescent="0.3">
      <c r="A96" t="s">
        <v>84</v>
      </c>
      <c r="B96" t="s">
        <v>30</v>
      </c>
      <c r="C96">
        <v>85</v>
      </c>
      <c r="D96">
        <v>18000</v>
      </c>
      <c r="E96">
        <f t="shared" si="1"/>
        <v>1530000</v>
      </c>
    </row>
    <row r="97" spans="1:5" hidden="1" x14ac:dyDescent="0.3">
      <c r="A97" t="s">
        <v>85</v>
      </c>
      <c r="B97" t="s">
        <v>135</v>
      </c>
      <c r="C97">
        <v>0</v>
      </c>
      <c r="E97">
        <f t="shared" si="1"/>
        <v>0</v>
      </c>
    </row>
    <row r="98" spans="1:5" hidden="1" x14ac:dyDescent="0.3">
      <c r="A98" t="s">
        <v>106</v>
      </c>
      <c r="B98" t="s">
        <v>9</v>
      </c>
      <c r="C98">
        <v>0</v>
      </c>
      <c r="E98">
        <f t="shared" si="1"/>
        <v>0</v>
      </c>
    </row>
    <row r="99" spans="1:5" hidden="1" x14ac:dyDescent="0.3">
      <c r="A99" t="s">
        <v>88</v>
      </c>
      <c r="B99" t="s">
        <v>9</v>
      </c>
      <c r="C99">
        <v>996</v>
      </c>
      <c r="D99">
        <v>11361</v>
      </c>
      <c r="E99">
        <f t="shared" si="1"/>
        <v>11315556</v>
      </c>
    </row>
    <row r="100" spans="1:5" hidden="1" x14ac:dyDescent="0.3">
      <c r="A100" t="s">
        <v>89</v>
      </c>
      <c r="B100" t="s">
        <v>3</v>
      </c>
      <c r="C100">
        <v>610</v>
      </c>
      <c r="D100">
        <v>28000</v>
      </c>
      <c r="E100">
        <f t="shared" si="1"/>
        <v>17080000</v>
      </c>
    </row>
    <row r="101" spans="1:5" hidden="1" x14ac:dyDescent="0.3">
      <c r="A101" t="s">
        <v>90</v>
      </c>
      <c r="B101" t="s">
        <v>3</v>
      </c>
      <c r="C101">
        <v>0</v>
      </c>
      <c r="E101">
        <f t="shared" si="1"/>
        <v>0</v>
      </c>
    </row>
    <row r="102" spans="1:5" hidden="1" x14ac:dyDescent="0.3">
      <c r="A102" t="s">
        <v>92</v>
      </c>
      <c r="B102" t="s">
        <v>3</v>
      </c>
      <c r="C102">
        <v>110</v>
      </c>
      <c r="D102">
        <v>13000</v>
      </c>
      <c r="E102">
        <f t="shared" si="1"/>
        <v>1430000</v>
      </c>
    </row>
    <row r="103" spans="1:5" hidden="1" x14ac:dyDescent="0.3">
      <c r="A103" t="s">
        <v>93</v>
      </c>
      <c r="B103" t="s">
        <v>3</v>
      </c>
      <c r="C103">
        <v>9</v>
      </c>
      <c r="D103">
        <v>33000</v>
      </c>
      <c r="E103">
        <f t="shared" si="1"/>
        <v>297000</v>
      </c>
    </row>
    <row r="104" spans="1:5" hidden="1" x14ac:dyDescent="0.3">
      <c r="A104" t="s">
        <v>94</v>
      </c>
      <c r="B104" t="s">
        <v>3</v>
      </c>
      <c r="C104">
        <v>0</v>
      </c>
      <c r="E104">
        <f t="shared" si="1"/>
        <v>0</v>
      </c>
    </row>
    <row r="105" spans="1:5" hidden="1" x14ac:dyDescent="0.3">
      <c r="A105" t="s">
        <v>95</v>
      </c>
      <c r="B105" t="s">
        <v>40</v>
      </c>
      <c r="C105">
        <v>0</v>
      </c>
      <c r="E105">
        <f t="shared" si="1"/>
        <v>0</v>
      </c>
    </row>
    <row r="106" spans="1:5" hidden="1" x14ac:dyDescent="0.3">
      <c r="A106" t="s">
        <v>96</v>
      </c>
      <c r="B106" t="s">
        <v>3</v>
      </c>
      <c r="C106">
        <v>0</v>
      </c>
      <c r="E106">
        <f t="shared" si="1"/>
        <v>0</v>
      </c>
    </row>
    <row r="107" spans="1:5" hidden="1" x14ac:dyDescent="0.3">
      <c r="A107" t="s">
        <v>97</v>
      </c>
      <c r="B107" t="s">
        <v>40</v>
      </c>
      <c r="C107">
        <v>0</v>
      </c>
      <c r="E107">
        <f t="shared" si="1"/>
        <v>0</v>
      </c>
    </row>
    <row r="108" spans="1:5" hidden="1" x14ac:dyDescent="0.3">
      <c r="A108" t="s">
        <v>98</v>
      </c>
      <c r="B108" t="s">
        <v>3</v>
      </c>
      <c r="C108">
        <v>0</v>
      </c>
      <c r="E108">
        <f t="shared" si="1"/>
        <v>0</v>
      </c>
    </row>
    <row r="109" spans="1:5" hidden="1" x14ac:dyDescent="0.3">
      <c r="A109" t="s">
        <v>99</v>
      </c>
      <c r="B109" t="s">
        <v>3</v>
      </c>
      <c r="C109">
        <v>0</v>
      </c>
      <c r="E109">
        <f t="shared" si="1"/>
        <v>0</v>
      </c>
    </row>
    <row r="110" spans="1:5" hidden="1" x14ac:dyDescent="0.3">
      <c r="A110" t="s">
        <v>100</v>
      </c>
      <c r="B110" t="s">
        <v>40</v>
      </c>
      <c r="C110">
        <v>0</v>
      </c>
      <c r="E110">
        <f t="shared" si="1"/>
        <v>0</v>
      </c>
    </row>
    <row r="111" spans="1:5" hidden="1" x14ac:dyDescent="0.3">
      <c r="E111">
        <f>SUM(E5:E103)</f>
        <v>209877656</v>
      </c>
    </row>
    <row r="112" spans="1:5" hidden="1" x14ac:dyDescent="0.3">
      <c r="A112" t="s">
        <v>110</v>
      </c>
    </row>
    <row r="113" spans="1:5" hidden="1" x14ac:dyDescent="0.3">
      <c r="A113" t="s">
        <v>0</v>
      </c>
      <c r="B113" t="s">
        <v>1</v>
      </c>
      <c r="C113" t="s">
        <v>107</v>
      </c>
      <c r="D113" t="s">
        <v>108</v>
      </c>
      <c r="E113" t="s">
        <v>109</v>
      </c>
    </row>
    <row r="114" spans="1:5" hidden="1" x14ac:dyDescent="0.3">
      <c r="A114" t="s">
        <v>2</v>
      </c>
      <c r="B114" t="s">
        <v>3</v>
      </c>
      <c r="C114">
        <v>0</v>
      </c>
      <c r="E114">
        <f t="shared" si="1"/>
        <v>0</v>
      </c>
    </row>
    <row r="115" spans="1:5" hidden="1" x14ac:dyDescent="0.3">
      <c r="A115" t="s">
        <v>4</v>
      </c>
      <c r="B115" t="s">
        <v>3</v>
      </c>
      <c r="C115">
        <v>120</v>
      </c>
      <c r="D115">
        <v>7000</v>
      </c>
      <c r="E115">
        <f t="shared" si="1"/>
        <v>840000</v>
      </c>
    </row>
    <row r="116" spans="1:5" hidden="1" x14ac:dyDescent="0.3">
      <c r="A116" t="s">
        <v>5</v>
      </c>
      <c r="B116" t="s">
        <v>3</v>
      </c>
      <c r="C116">
        <v>165</v>
      </c>
      <c r="D116">
        <v>5500</v>
      </c>
      <c r="E116">
        <f t="shared" si="1"/>
        <v>907500</v>
      </c>
    </row>
    <row r="117" spans="1:5" hidden="1" x14ac:dyDescent="0.3">
      <c r="A117" t="s">
        <v>7</v>
      </c>
      <c r="B117" t="s">
        <v>3</v>
      </c>
      <c r="C117">
        <v>0</v>
      </c>
      <c r="E117">
        <f t="shared" si="1"/>
        <v>0</v>
      </c>
    </row>
    <row r="118" spans="1:5" hidden="1" x14ac:dyDescent="0.3">
      <c r="A118" t="s">
        <v>8</v>
      </c>
      <c r="B118" t="s">
        <v>3</v>
      </c>
      <c r="C118">
        <v>10</v>
      </c>
      <c r="D118">
        <v>8000</v>
      </c>
      <c r="E118">
        <f t="shared" si="1"/>
        <v>80000</v>
      </c>
    </row>
    <row r="119" spans="1:5" hidden="1" x14ac:dyDescent="0.3">
      <c r="A119" t="s">
        <v>102</v>
      </c>
      <c r="B119" t="s">
        <v>3</v>
      </c>
      <c r="C119">
        <v>7</v>
      </c>
      <c r="D119">
        <v>15000</v>
      </c>
      <c r="E119">
        <f t="shared" si="1"/>
        <v>105000</v>
      </c>
    </row>
    <row r="120" spans="1:5" hidden="1" x14ac:dyDescent="0.3">
      <c r="A120" t="s">
        <v>18</v>
      </c>
      <c r="B120" t="s">
        <v>3</v>
      </c>
      <c r="C120">
        <v>30</v>
      </c>
      <c r="D120">
        <v>20000</v>
      </c>
      <c r="E120">
        <f t="shared" si="1"/>
        <v>600000</v>
      </c>
    </row>
    <row r="121" spans="1:5" hidden="1" x14ac:dyDescent="0.3">
      <c r="A121" t="s">
        <v>28</v>
      </c>
      <c r="B121" t="s">
        <v>3</v>
      </c>
      <c r="C121">
        <v>50</v>
      </c>
      <c r="D121">
        <v>14000</v>
      </c>
      <c r="E121">
        <f t="shared" si="1"/>
        <v>700000</v>
      </c>
    </row>
    <row r="122" spans="1:5" hidden="1" x14ac:dyDescent="0.3">
      <c r="A122" t="s">
        <v>31</v>
      </c>
      <c r="B122" t="s">
        <v>3</v>
      </c>
      <c r="C122">
        <v>110.00000000000001</v>
      </c>
      <c r="D122">
        <v>10000</v>
      </c>
      <c r="E122">
        <f t="shared" si="1"/>
        <v>1100000.0000000002</v>
      </c>
    </row>
    <row r="123" spans="1:5" hidden="1" x14ac:dyDescent="0.3">
      <c r="A123" t="s">
        <v>33</v>
      </c>
      <c r="B123" t="s">
        <v>3</v>
      </c>
      <c r="C123">
        <v>5</v>
      </c>
      <c r="D123">
        <v>8000</v>
      </c>
      <c r="E123">
        <f t="shared" si="1"/>
        <v>40000</v>
      </c>
    </row>
    <row r="124" spans="1:5" hidden="1" x14ac:dyDescent="0.3">
      <c r="A124" t="s">
        <v>38</v>
      </c>
      <c r="B124" t="s">
        <v>3</v>
      </c>
      <c r="C124">
        <v>77</v>
      </c>
      <c r="D124">
        <v>8000</v>
      </c>
      <c r="E124">
        <f t="shared" si="1"/>
        <v>616000</v>
      </c>
    </row>
    <row r="125" spans="1:5" hidden="1" x14ac:dyDescent="0.3">
      <c r="A125" t="s">
        <v>103</v>
      </c>
      <c r="B125" t="s">
        <v>3</v>
      </c>
      <c r="C125">
        <v>6</v>
      </c>
      <c r="D125">
        <v>14000</v>
      </c>
      <c r="E125">
        <f t="shared" si="1"/>
        <v>84000</v>
      </c>
    </row>
    <row r="126" spans="1:5" hidden="1" x14ac:dyDescent="0.3">
      <c r="A126" t="s">
        <v>104</v>
      </c>
      <c r="B126" t="s">
        <v>3</v>
      </c>
      <c r="C126">
        <v>2270</v>
      </c>
      <c r="D126">
        <v>6000</v>
      </c>
      <c r="E126">
        <f t="shared" si="1"/>
        <v>13620000</v>
      </c>
    </row>
    <row r="127" spans="1:5" hidden="1" x14ac:dyDescent="0.3">
      <c r="A127" t="s">
        <v>39</v>
      </c>
      <c r="B127" t="s">
        <v>3</v>
      </c>
      <c r="C127">
        <v>20</v>
      </c>
      <c r="D127">
        <v>9000</v>
      </c>
      <c r="E127">
        <f t="shared" si="1"/>
        <v>180000</v>
      </c>
    </row>
    <row r="128" spans="1:5" hidden="1" x14ac:dyDescent="0.3">
      <c r="A128" t="s">
        <v>105</v>
      </c>
      <c r="B128" t="s">
        <v>3</v>
      </c>
      <c r="C128">
        <v>8</v>
      </c>
      <c r="D128">
        <v>27000</v>
      </c>
      <c r="E128">
        <f t="shared" si="1"/>
        <v>216000</v>
      </c>
    </row>
    <row r="129" spans="1:5" hidden="1" x14ac:dyDescent="0.3">
      <c r="A129" t="s">
        <v>41</v>
      </c>
      <c r="B129" t="s">
        <v>3</v>
      </c>
      <c r="C129">
        <v>0</v>
      </c>
      <c r="E129">
        <f t="shared" si="1"/>
        <v>0</v>
      </c>
    </row>
    <row r="130" spans="1:5" hidden="1" x14ac:dyDescent="0.3">
      <c r="A130" t="s">
        <v>44</v>
      </c>
      <c r="B130" t="s">
        <v>3</v>
      </c>
      <c r="C130">
        <v>30</v>
      </c>
      <c r="D130">
        <v>6500</v>
      </c>
      <c r="E130">
        <f t="shared" si="1"/>
        <v>195000</v>
      </c>
    </row>
    <row r="131" spans="1:5" hidden="1" x14ac:dyDescent="0.3">
      <c r="A131" t="s">
        <v>45</v>
      </c>
      <c r="B131" t="s">
        <v>3</v>
      </c>
      <c r="C131">
        <v>0</v>
      </c>
      <c r="E131">
        <f t="shared" si="1"/>
        <v>0</v>
      </c>
    </row>
    <row r="132" spans="1:5" hidden="1" x14ac:dyDescent="0.3">
      <c r="A132" t="s">
        <v>47</v>
      </c>
      <c r="B132" t="s">
        <v>3</v>
      </c>
      <c r="C132">
        <v>50</v>
      </c>
      <c r="D132">
        <v>12000</v>
      </c>
      <c r="E132">
        <f t="shared" si="1"/>
        <v>600000</v>
      </c>
    </row>
    <row r="133" spans="1:5" hidden="1" x14ac:dyDescent="0.3">
      <c r="A133" t="s">
        <v>54</v>
      </c>
      <c r="B133" t="s">
        <v>3</v>
      </c>
      <c r="C133">
        <v>100</v>
      </c>
      <c r="D133">
        <v>16000</v>
      </c>
      <c r="E133">
        <f t="shared" si="1"/>
        <v>1600000</v>
      </c>
    </row>
    <row r="134" spans="1:5" hidden="1" x14ac:dyDescent="0.3">
      <c r="A134" t="s">
        <v>59</v>
      </c>
      <c r="B134" t="s">
        <v>3</v>
      </c>
      <c r="C134">
        <v>40</v>
      </c>
      <c r="D134">
        <v>18000</v>
      </c>
      <c r="E134">
        <f t="shared" ref="E134:E151" si="2">C134*D134</f>
        <v>720000</v>
      </c>
    </row>
    <row r="135" spans="1:5" hidden="1" x14ac:dyDescent="0.3">
      <c r="A135" t="s">
        <v>61</v>
      </c>
      <c r="B135" t="s">
        <v>3</v>
      </c>
      <c r="C135">
        <v>5</v>
      </c>
      <c r="D135">
        <v>11000</v>
      </c>
      <c r="E135">
        <f t="shared" si="2"/>
        <v>55000</v>
      </c>
    </row>
    <row r="136" spans="1:5" hidden="1" x14ac:dyDescent="0.3">
      <c r="A136" t="s">
        <v>62</v>
      </c>
      <c r="B136" t="s">
        <v>30</v>
      </c>
      <c r="C136">
        <v>0</v>
      </c>
      <c r="E136">
        <f t="shared" si="2"/>
        <v>0</v>
      </c>
    </row>
    <row r="137" spans="1:5" hidden="1" x14ac:dyDescent="0.3">
      <c r="A137" t="s">
        <v>63</v>
      </c>
      <c r="B137" t="s">
        <v>30</v>
      </c>
      <c r="C137">
        <v>15</v>
      </c>
      <c r="D137">
        <v>9000</v>
      </c>
      <c r="E137">
        <f t="shared" si="2"/>
        <v>135000</v>
      </c>
    </row>
    <row r="138" spans="1:5" hidden="1" x14ac:dyDescent="0.3">
      <c r="A138" t="s">
        <v>68</v>
      </c>
      <c r="B138" t="s">
        <v>3</v>
      </c>
      <c r="C138">
        <v>0</v>
      </c>
      <c r="E138">
        <f t="shared" si="2"/>
        <v>0</v>
      </c>
    </row>
    <row r="139" spans="1:5" hidden="1" x14ac:dyDescent="0.3">
      <c r="A139" t="s">
        <v>68</v>
      </c>
      <c r="B139" t="s">
        <v>17</v>
      </c>
      <c r="C139">
        <v>45</v>
      </c>
      <c r="D139">
        <v>6000</v>
      </c>
      <c r="E139">
        <f t="shared" si="2"/>
        <v>270000</v>
      </c>
    </row>
    <row r="140" spans="1:5" hidden="1" x14ac:dyDescent="0.3">
      <c r="A140" t="s">
        <v>71</v>
      </c>
      <c r="B140" t="s">
        <v>3</v>
      </c>
      <c r="C140">
        <v>13.200000000000001</v>
      </c>
      <c r="D140">
        <v>17000</v>
      </c>
      <c r="E140">
        <f t="shared" si="2"/>
        <v>224400.00000000003</v>
      </c>
    </row>
    <row r="141" spans="1:5" hidden="1" x14ac:dyDescent="0.3">
      <c r="A141" t="s">
        <v>72</v>
      </c>
      <c r="B141" t="s">
        <v>3</v>
      </c>
      <c r="C141">
        <v>0</v>
      </c>
      <c r="E141">
        <f t="shared" si="2"/>
        <v>0</v>
      </c>
    </row>
    <row r="142" spans="1:5" hidden="1" x14ac:dyDescent="0.3">
      <c r="A142" t="s">
        <v>73</v>
      </c>
      <c r="B142" t="s">
        <v>3</v>
      </c>
      <c r="C142">
        <v>0</v>
      </c>
      <c r="E142">
        <f t="shared" si="2"/>
        <v>0</v>
      </c>
    </row>
    <row r="143" spans="1:5" hidden="1" x14ac:dyDescent="0.3">
      <c r="A143" t="s">
        <v>78</v>
      </c>
      <c r="B143" t="s">
        <v>3</v>
      </c>
      <c r="C143">
        <v>10</v>
      </c>
      <c r="D143">
        <v>26000</v>
      </c>
      <c r="E143">
        <f t="shared" si="2"/>
        <v>260000</v>
      </c>
    </row>
    <row r="144" spans="1:5" hidden="1" x14ac:dyDescent="0.3">
      <c r="A144" t="s">
        <v>80</v>
      </c>
      <c r="B144" t="s">
        <v>3</v>
      </c>
      <c r="C144">
        <v>10</v>
      </c>
      <c r="D144">
        <v>22000</v>
      </c>
      <c r="E144">
        <f t="shared" si="2"/>
        <v>220000</v>
      </c>
    </row>
    <row r="145" spans="1:5" hidden="1" x14ac:dyDescent="0.3">
      <c r="A145" t="s">
        <v>82</v>
      </c>
      <c r="B145" t="s">
        <v>3</v>
      </c>
      <c r="C145">
        <v>10</v>
      </c>
      <c r="D145">
        <v>30000</v>
      </c>
      <c r="E145">
        <f t="shared" si="2"/>
        <v>300000</v>
      </c>
    </row>
    <row r="146" spans="1:5" hidden="1" x14ac:dyDescent="0.3">
      <c r="A146" t="s">
        <v>106</v>
      </c>
      <c r="B146" t="s">
        <v>9</v>
      </c>
      <c r="C146">
        <v>0</v>
      </c>
      <c r="E146">
        <f t="shared" si="2"/>
        <v>0</v>
      </c>
    </row>
    <row r="147" spans="1:5" hidden="1" x14ac:dyDescent="0.3">
      <c r="A147" t="s">
        <v>92</v>
      </c>
      <c r="B147" t="s">
        <v>3</v>
      </c>
      <c r="C147">
        <v>30</v>
      </c>
      <c r="D147">
        <v>13000</v>
      </c>
      <c r="E147">
        <f t="shared" si="2"/>
        <v>390000</v>
      </c>
    </row>
    <row r="148" spans="1:5" hidden="1" x14ac:dyDescent="0.3">
      <c r="A148" t="s">
        <v>94</v>
      </c>
      <c r="B148" t="s">
        <v>40</v>
      </c>
      <c r="C148">
        <v>0</v>
      </c>
      <c r="E148">
        <f t="shared" si="2"/>
        <v>0</v>
      </c>
    </row>
    <row r="149" spans="1:5" hidden="1" x14ac:dyDescent="0.3">
      <c r="A149" t="s">
        <v>95</v>
      </c>
      <c r="B149" t="s">
        <v>40</v>
      </c>
      <c r="C149">
        <v>0</v>
      </c>
      <c r="E149">
        <f t="shared" si="2"/>
        <v>0</v>
      </c>
    </row>
    <row r="150" spans="1:5" hidden="1" x14ac:dyDescent="0.3">
      <c r="A150" t="s">
        <v>97</v>
      </c>
      <c r="B150" t="s">
        <v>40</v>
      </c>
      <c r="C150">
        <v>0</v>
      </c>
      <c r="E150">
        <f t="shared" si="2"/>
        <v>0</v>
      </c>
    </row>
    <row r="151" spans="1:5" hidden="1" x14ac:dyDescent="0.3">
      <c r="A151" t="s">
        <v>100</v>
      </c>
      <c r="B151" t="s">
        <v>40</v>
      </c>
      <c r="C151">
        <v>0</v>
      </c>
      <c r="E151">
        <f t="shared" si="2"/>
        <v>0</v>
      </c>
    </row>
    <row r="152" spans="1:5" hidden="1" x14ac:dyDescent="0.3">
      <c r="E152">
        <f>SUM(E115:E147)</f>
        <v>24057900</v>
      </c>
    </row>
    <row r="153" spans="1:5" hidden="1" x14ac:dyDescent="0.3">
      <c r="E153">
        <f>E152+E111</f>
        <v>233935556</v>
      </c>
    </row>
  </sheetData>
  <autoFilter ref="A2:E153" xr:uid="{00000000-0009-0000-0000-000009000000}">
    <filterColumn colId="0">
      <filters>
        <filter val="Củ Khoai Lang Mật Size 23"/>
        <filter val="Củ Khoai Lang Mật Size 46"/>
        <filter val="Củ Khoai Lang Mật Size 78"/>
      </filters>
    </filterColumn>
    <filterColumn colId="4">
      <filters>
        <filter val="105000"/>
        <filter val="1100000"/>
        <filter val="1118400"/>
        <filter val="11315556"/>
        <filter val="1250000"/>
        <filter val="135000"/>
        <filter val="13620000"/>
        <filter val="140000"/>
        <filter val="1430000"/>
        <filter val="1530000"/>
        <filter val="1550000"/>
        <filter val="1600000"/>
        <filter val="162500"/>
        <filter val="1650000"/>
        <filter val="1664000"/>
        <filter val="170000"/>
        <filter val="17080000"/>
        <filter val="180000"/>
        <filter val="1800000"/>
        <filter val="1845000"/>
        <filter val="1890000"/>
        <filter val="1932000"/>
        <filter val="195000"/>
        <filter val="20655000"/>
        <filter val="209877656"/>
        <filter val="216000"/>
        <filter val="220000"/>
        <filter val="2200000"/>
        <filter val="224400"/>
        <filter val="233935556"/>
        <filter val="24000"/>
        <filter val="240000"/>
        <filter val="24057900"/>
        <filter val="260000"/>
        <filter val="262500"/>
        <filter val="2660000"/>
        <filter val="270000"/>
        <filter val="275000"/>
        <filter val="28215000"/>
        <filter val="297000"/>
        <filter val="300000"/>
        <filter val="312000"/>
        <filter val="323000"/>
        <filter val="330000"/>
        <filter val="338000"/>
        <filter val="350000"/>
        <filter val="3528000"/>
        <filter val="360000"/>
        <filter val="38700"/>
        <filter val="390000"/>
        <filter val="3990000"/>
        <filter val="40000"/>
        <filter val="408000"/>
        <filter val="420000"/>
        <filter val="4524000"/>
        <filter val="4698000"/>
        <filter val="48000"/>
        <filter val="504000"/>
        <filter val="5265000"/>
        <filter val="527000"/>
        <filter val="5405000"/>
        <filter val="55000"/>
        <filter val="60000"/>
        <filter val="600000"/>
        <filter val="6080000"/>
        <filter val="616000"/>
        <filter val="640000"/>
        <filter val="650000"/>
        <filter val="68172000"/>
        <filter val="70000"/>
        <filter val="700000"/>
        <filter val="720000"/>
        <filter val="80000"/>
        <filter val="84000"/>
        <filter val="840000"/>
        <filter val="907500"/>
        <filter val="thành tiền"/>
      </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AH15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E1"/>
    </sheetView>
  </sheetViews>
  <sheetFormatPr defaultColWidth="8.88671875" defaultRowHeight="13.8" x14ac:dyDescent="0.3"/>
  <cols>
    <col min="1" max="1" width="27.77734375" style="4" bestFit="1" customWidth="1"/>
    <col min="2" max="2" width="11.44140625" style="4" bestFit="1" customWidth="1"/>
    <col min="3" max="3" width="12.44140625" style="5" bestFit="1" customWidth="1"/>
    <col min="4" max="4" width="14.77734375" style="24" bestFit="1" customWidth="1"/>
    <col min="5" max="5" width="16.109375" style="24" bestFit="1" customWidth="1"/>
    <col min="6" max="33" width="96.5546875" style="4" bestFit="1" customWidth="1"/>
    <col min="34" max="34" width="13.88671875" style="4" bestFit="1" customWidth="1"/>
    <col min="35" max="16384" width="8.88671875" style="4"/>
  </cols>
  <sheetData>
    <row r="1" spans="1:34" s="8" customFormat="1" ht="54.6" customHeight="1" x14ac:dyDescent="0.25">
      <c r="A1" s="14" t="s">
        <v>0</v>
      </c>
      <c r="B1" s="14" t="s">
        <v>1</v>
      </c>
      <c r="C1" s="15" t="s">
        <v>137</v>
      </c>
      <c r="D1" s="21" t="s">
        <v>140</v>
      </c>
      <c r="E1" s="21" t="s">
        <v>141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3">
      <c r="A2" s="9" t="s">
        <v>2</v>
      </c>
      <c r="B2" s="9" t="s">
        <v>3</v>
      </c>
      <c r="C2" s="10">
        <v>10</v>
      </c>
      <c r="D2" s="22">
        <v>11000</v>
      </c>
      <c r="E2" s="22">
        <f>+D2*C2</f>
        <v>110000</v>
      </c>
    </row>
    <row r="3" spans="1:34" hidden="1" x14ac:dyDescent="0.3">
      <c r="A3" s="9" t="s">
        <v>4</v>
      </c>
      <c r="B3" s="9" t="s">
        <v>3</v>
      </c>
      <c r="C3" s="10">
        <v>0</v>
      </c>
      <c r="D3" s="6"/>
      <c r="E3" s="6"/>
    </row>
    <row r="4" spans="1:34" x14ac:dyDescent="0.25">
      <c r="A4" s="9" t="s">
        <v>5</v>
      </c>
      <c r="B4" s="9" t="s">
        <v>3</v>
      </c>
      <c r="C4" s="10">
        <v>246</v>
      </c>
      <c r="D4" s="22">
        <v>5000</v>
      </c>
      <c r="E4" s="22">
        <f t="shared" ref="E4:E5" si="0">+D4*C4</f>
        <v>1230000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</row>
    <row r="5" spans="1:34" x14ac:dyDescent="0.3">
      <c r="A5" s="9" t="s">
        <v>6</v>
      </c>
      <c r="B5" s="9" t="s">
        <v>3</v>
      </c>
      <c r="C5" s="10">
        <v>3</v>
      </c>
      <c r="D5" s="22">
        <v>11000</v>
      </c>
      <c r="E5" s="22">
        <f t="shared" si="0"/>
        <v>33000</v>
      </c>
    </row>
    <row r="6" spans="1:34" hidden="1" x14ac:dyDescent="0.25">
      <c r="A6" s="9" t="s">
        <v>7</v>
      </c>
      <c r="B6" s="9" t="s">
        <v>3</v>
      </c>
      <c r="C6" s="10">
        <v>0</v>
      </c>
      <c r="D6" s="11"/>
      <c r="E6" s="11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 spans="1:34" x14ac:dyDescent="0.25">
      <c r="A7" s="9" t="s">
        <v>8</v>
      </c>
      <c r="B7" s="9" t="s">
        <v>3</v>
      </c>
      <c r="C7" s="10">
        <v>135</v>
      </c>
      <c r="D7" s="22">
        <v>8000</v>
      </c>
      <c r="E7" s="22">
        <f>+D7*C7</f>
        <v>1080000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</row>
    <row r="8" spans="1:34" hidden="1" x14ac:dyDescent="0.25">
      <c r="A8" s="9" t="s">
        <v>8</v>
      </c>
      <c r="B8" s="9" t="s">
        <v>9</v>
      </c>
      <c r="C8" s="10">
        <v>0</v>
      </c>
      <c r="D8" s="11"/>
      <c r="E8" s="11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</row>
    <row r="9" spans="1:34" x14ac:dyDescent="0.25">
      <c r="A9" s="9" t="s">
        <v>10</v>
      </c>
      <c r="B9" s="9" t="s">
        <v>3</v>
      </c>
      <c r="C9" s="10">
        <v>50</v>
      </c>
      <c r="D9" s="22">
        <v>10000</v>
      </c>
      <c r="E9" s="22">
        <f>+D9*C9</f>
        <v>500000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</row>
    <row r="10" spans="1:34" hidden="1" x14ac:dyDescent="0.25">
      <c r="A10" s="9" t="s">
        <v>10</v>
      </c>
      <c r="B10" s="9" t="s">
        <v>9</v>
      </c>
      <c r="C10" s="10">
        <v>0</v>
      </c>
      <c r="D10" s="11"/>
      <c r="E10" s="11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</row>
    <row r="11" spans="1:34" hidden="1" x14ac:dyDescent="0.3">
      <c r="A11" s="9" t="s">
        <v>11</v>
      </c>
      <c r="B11" s="9" t="s">
        <v>3</v>
      </c>
      <c r="C11" s="10">
        <v>0</v>
      </c>
      <c r="D11" s="6"/>
      <c r="E11" s="6"/>
    </row>
    <row r="12" spans="1:34" x14ac:dyDescent="0.3">
      <c r="A12" s="9" t="s">
        <v>12</v>
      </c>
      <c r="B12" s="9" t="s">
        <v>3</v>
      </c>
      <c r="C12" s="10">
        <v>2</v>
      </c>
      <c r="D12" s="22">
        <v>13000</v>
      </c>
      <c r="E12" s="22">
        <f>+D12*C12</f>
        <v>26000</v>
      </c>
    </row>
    <row r="13" spans="1:34" hidden="1" x14ac:dyDescent="0.3">
      <c r="A13" s="9" t="s">
        <v>13</v>
      </c>
      <c r="B13" s="9" t="s">
        <v>3</v>
      </c>
      <c r="C13" s="10">
        <v>0</v>
      </c>
      <c r="D13" s="6"/>
      <c r="E13" s="6"/>
    </row>
    <row r="14" spans="1:34" hidden="1" x14ac:dyDescent="0.3">
      <c r="A14" s="9" t="s">
        <v>14</v>
      </c>
      <c r="B14" s="9" t="s">
        <v>3</v>
      </c>
      <c r="C14" s="10">
        <v>0</v>
      </c>
      <c r="D14" s="6"/>
      <c r="E14" s="6"/>
    </row>
    <row r="15" spans="1:34" hidden="1" x14ac:dyDescent="0.3">
      <c r="A15" s="9" t="s">
        <v>15</v>
      </c>
      <c r="B15" s="9" t="s">
        <v>3</v>
      </c>
      <c r="C15" s="10">
        <v>0</v>
      </c>
      <c r="D15" s="6"/>
      <c r="E15" s="6"/>
    </row>
    <row r="16" spans="1:34" hidden="1" x14ac:dyDescent="0.25">
      <c r="A16" s="9" t="s">
        <v>16</v>
      </c>
      <c r="B16" s="9" t="s">
        <v>17</v>
      </c>
      <c r="C16" s="10">
        <v>0</v>
      </c>
      <c r="D16" s="11"/>
      <c r="E16" s="11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</row>
    <row r="17" spans="1:34" x14ac:dyDescent="0.25">
      <c r="A17" s="9" t="s">
        <v>18</v>
      </c>
      <c r="B17" s="9" t="s">
        <v>3</v>
      </c>
      <c r="C17" s="10">
        <v>350</v>
      </c>
      <c r="D17" s="22">
        <v>20000</v>
      </c>
      <c r="E17" s="22">
        <f>+D17*C17</f>
        <v>7000000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</row>
    <row r="18" spans="1:34" hidden="1" x14ac:dyDescent="0.25">
      <c r="A18" s="9" t="s">
        <v>18</v>
      </c>
      <c r="B18" s="9" t="s">
        <v>17</v>
      </c>
      <c r="C18" s="10">
        <v>0</v>
      </c>
      <c r="D18" s="11"/>
      <c r="E18" s="11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</row>
    <row r="19" spans="1:34" hidden="1" x14ac:dyDescent="0.25">
      <c r="A19" s="9" t="s">
        <v>18</v>
      </c>
      <c r="B19" s="9" t="s">
        <v>19</v>
      </c>
      <c r="C19" s="10">
        <v>0</v>
      </c>
      <c r="D19" s="11"/>
      <c r="E19" s="11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</row>
    <row r="20" spans="1:34" x14ac:dyDescent="0.3">
      <c r="A20" s="9" t="s">
        <v>20</v>
      </c>
      <c r="B20" s="9" t="s">
        <v>3</v>
      </c>
      <c r="C20" s="10">
        <v>4</v>
      </c>
      <c r="D20" s="22">
        <v>15000</v>
      </c>
      <c r="E20" s="22">
        <f t="shared" ref="E20:E24" si="1">+D20*C20</f>
        <v>60000</v>
      </c>
    </row>
    <row r="21" spans="1:34" x14ac:dyDescent="0.3">
      <c r="A21" s="9" t="s">
        <v>20</v>
      </c>
      <c r="B21" s="9" t="s">
        <v>21</v>
      </c>
      <c r="C21" s="10">
        <v>85</v>
      </c>
      <c r="D21" s="22">
        <v>8500</v>
      </c>
      <c r="E21" s="22">
        <f t="shared" si="1"/>
        <v>722500</v>
      </c>
    </row>
    <row r="22" spans="1:34" x14ac:dyDescent="0.3">
      <c r="A22" s="9" t="s">
        <v>22</v>
      </c>
      <c r="B22" s="9" t="s">
        <v>3</v>
      </c>
      <c r="C22" s="10">
        <v>5</v>
      </c>
      <c r="D22" s="22">
        <v>24000</v>
      </c>
      <c r="E22" s="22">
        <f t="shared" si="1"/>
        <v>120000</v>
      </c>
    </row>
    <row r="23" spans="1:34" x14ac:dyDescent="0.3">
      <c r="A23" s="9" t="s">
        <v>22</v>
      </c>
      <c r="B23" s="9" t="s">
        <v>23</v>
      </c>
      <c r="C23" s="10">
        <v>85</v>
      </c>
      <c r="D23" s="22">
        <v>7200</v>
      </c>
      <c r="E23" s="22">
        <f t="shared" si="1"/>
        <v>612000</v>
      </c>
    </row>
    <row r="24" spans="1:34" x14ac:dyDescent="0.3">
      <c r="A24" s="9" t="s">
        <v>24</v>
      </c>
      <c r="B24" s="9" t="s">
        <v>25</v>
      </c>
      <c r="C24" s="10">
        <v>21</v>
      </c>
      <c r="D24" s="22">
        <v>11100</v>
      </c>
      <c r="E24" s="22">
        <f t="shared" si="1"/>
        <v>233100</v>
      </c>
    </row>
    <row r="25" spans="1:34" hidden="1" x14ac:dyDescent="0.3">
      <c r="A25" s="9" t="s">
        <v>26</v>
      </c>
      <c r="B25" s="9" t="s">
        <v>3</v>
      </c>
      <c r="C25" s="10">
        <v>0</v>
      </c>
      <c r="D25" s="6"/>
      <c r="E25" s="6"/>
    </row>
    <row r="26" spans="1:34" x14ac:dyDescent="0.3">
      <c r="A26" s="9" t="s">
        <v>26</v>
      </c>
      <c r="B26" s="9" t="s">
        <v>23</v>
      </c>
      <c r="C26" s="10">
        <v>180</v>
      </c>
      <c r="D26" s="22">
        <v>8400</v>
      </c>
      <c r="E26" s="22">
        <f t="shared" ref="E26:E28" si="2">+D26*C26</f>
        <v>1512000</v>
      </c>
    </row>
    <row r="27" spans="1:34" x14ac:dyDescent="0.3">
      <c r="A27" s="9" t="s">
        <v>26</v>
      </c>
      <c r="B27" s="9" t="s">
        <v>27</v>
      </c>
      <c r="C27" s="10">
        <v>110</v>
      </c>
      <c r="D27" s="22">
        <v>7000</v>
      </c>
      <c r="E27" s="22">
        <f t="shared" si="2"/>
        <v>770000</v>
      </c>
    </row>
    <row r="28" spans="1:34" x14ac:dyDescent="0.25">
      <c r="A28" s="9" t="s">
        <v>28</v>
      </c>
      <c r="B28" s="9" t="s">
        <v>3</v>
      </c>
      <c r="C28" s="10">
        <v>340</v>
      </c>
      <c r="D28" s="22">
        <v>12000</v>
      </c>
      <c r="E28" s="22">
        <f t="shared" si="2"/>
        <v>4080000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</row>
    <row r="29" spans="1:34" hidden="1" x14ac:dyDescent="0.25">
      <c r="A29" s="9" t="s">
        <v>28</v>
      </c>
      <c r="B29" s="9" t="s">
        <v>17</v>
      </c>
      <c r="C29" s="10">
        <v>0</v>
      </c>
      <c r="D29" s="11"/>
      <c r="E29" s="11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</row>
    <row r="30" spans="1:34" x14ac:dyDescent="0.25">
      <c r="A30" s="9" t="s">
        <v>29</v>
      </c>
      <c r="B30" s="9" t="s">
        <v>30</v>
      </c>
      <c r="C30" s="10">
        <v>120</v>
      </c>
      <c r="D30" s="22">
        <v>9000</v>
      </c>
      <c r="E30" s="22">
        <f t="shared" ref="E30:E31" si="3">+D30*C30</f>
        <v>1080000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</row>
    <row r="31" spans="1:34" x14ac:dyDescent="0.25">
      <c r="A31" s="9" t="s">
        <v>31</v>
      </c>
      <c r="B31" s="9" t="s">
        <v>3</v>
      </c>
      <c r="C31" s="10">
        <v>40</v>
      </c>
      <c r="D31" s="22">
        <v>10000</v>
      </c>
      <c r="E31" s="22">
        <f t="shared" si="3"/>
        <v>400000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</row>
    <row r="32" spans="1:34" hidden="1" x14ac:dyDescent="0.25">
      <c r="A32" s="9" t="s">
        <v>31</v>
      </c>
      <c r="B32" s="9" t="s">
        <v>30</v>
      </c>
      <c r="C32" s="10">
        <v>0</v>
      </c>
      <c r="D32" s="11"/>
      <c r="E32" s="11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</row>
    <row r="33" spans="1:34" x14ac:dyDescent="0.25">
      <c r="A33" s="9" t="s">
        <v>32</v>
      </c>
      <c r="B33" s="9" t="s">
        <v>17</v>
      </c>
      <c r="C33" s="10">
        <v>12</v>
      </c>
      <c r="D33" s="22">
        <v>7800</v>
      </c>
      <c r="E33" s="22">
        <f t="shared" ref="E33:E34" si="4">+D33*C33</f>
        <v>93600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</row>
    <row r="34" spans="1:34" x14ac:dyDescent="0.3">
      <c r="A34" s="9" t="s">
        <v>33</v>
      </c>
      <c r="B34" s="9" t="s">
        <v>3</v>
      </c>
      <c r="C34" s="10">
        <v>27</v>
      </c>
      <c r="D34" s="22">
        <v>8000</v>
      </c>
      <c r="E34" s="22">
        <f t="shared" si="4"/>
        <v>216000</v>
      </c>
    </row>
    <row r="35" spans="1:34" hidden="1" x14ac:dyDescent="0.3">
      <c r="A35" s="9" t="s">
        <v>33</v>
      </c>
      <c r="B35" s="9" t="s">
        <v>34</v>
      </c>
      <c r="C35" s="10">
        <v>0</v>
      </c>
      <c r="D35" s="6"/>
      <c r="E35" s="6"/>
    </row>
    <row r="36" spans="1:34" x14ac:dyDescent="0.25">
      <c r="A36" s="9" t="s">
        <v>35</v>
      </c>
      <c r="B36" s="9" t="s">
        <v>3</v>
      </c>
      <c r="C36" s="10">
        <v>40</v>
      </c>
      <c r="D36" s="22">
        <v>15000</v>
      </c>
      <c r="E36" s="22">
        <f>+D36*C36</f>
        <v>600000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</row>
    <row r="37" spans="1:34" hidden="1" x14ac:dyDescent="0.25">
      <c r="A37" s="9" t="s">
        <v>35</v>
      </c>
      <c r="B37" s="9" t="s">
        <v>30</v>
      </c>
      <c r="C37" s="10">
        <v>0</v>
      </c>
      <c r="D37" s="11"/>
      <c r="E37" s="11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</row>
    <row r="38" spans="1:34" x14ac:dyDescent="0.3">
      <c r="A38" s="9" t="s">
        <v>36</v>
      </c>
      <c r="B38" s="9" t="s">
        <v>30</v>
      </c>
      <c r="C38" s="10">
        <v>11</v>
      </c>
      <c r="D38" s="22">
        <v>6000</v>
      </c>
      <c r="E38" s="22">
        <f t="shared" ref="E38:E41" si="5">+D38*C38</f>
        <v>66000</v>
      </c>
    </row>
    <row r="39" spans="1:34" x14ac:dyDescent="0.25">
      <c r="A39" s="9" t="s">
        <v>37</v>
      </c>
      <c r="B39" s="9" t="s">
        <v>30</v>
      </c>
      <c r="C39" s="10">
        <v>2</v>
      </c>
      <c r="D39" s="22">
        <v>4500</v>
      </c>
      <c r="E39" s="22">
        <f t="shared" si="5"/>
        <v>9000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</row>
    <row r="40" spans="1:34" x14ac:dyDescent="0.25">
      <c r="A40" s="9" t="s">
        <v>38</v>
      </c>
      <c r="B40" s="9" t="s">
        <v>3</v>
      </c>
      <c r="C40" s="10">
        <v>880</v>
      </c>
      <c r="D40" s="22">
        <v>7000</v>
      </c>
      <c r="E40" s="22">
        <f t="shared" si="5"/>
        <v>6160000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</row>
    <row r="41" spans="1:34" x14ac:dyDescent="0.3">
      <c r="A41" s="9" t="s">
        <v>103</v>
      </c>
      <c r="B41" s="9" t="s">
        <v>3</v>
      </c>
      <c r="C41" s="10">
        <v>14</v>
      </c>
      <c r="D41" s="22">
        <v>14000</v>
      </c>
      <c r="E41" s="22">
        <f t="shared" si="5"/>
        <v>196000</v>
      </c>
    </row>
    <row r="42" spans="1:34" hidden="1" x14ac:dyDescent="0.25">
      <c r="A42" s="9" t="s">
        <v>39</v>
      </c>
      <c r="B42" s="9" t="s">
        <v>40</v>
      </c>
      <c r="C42" s="10">
        <v>0</v>
      </c>
      <c r="D42" s="11"/>
      <c r="E42" s="11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</row>
    <row r="43" spans="1:34" x14ac:dyDescent="0.25">
      <c r="A43" s="9" t="s">
        <v>39</v>
      </c>
      <c r="B43" s="9" t="s">
        <v>3</v>
      </c>
      <c r="C43" s="10">
        <v>58</v>
      </c>
      <c r="D43" s="22">
        <v>9000</v>
      </c>
      <c r="E43" s="22">
        <f>+D43*C43</f>
        <v>522000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</row>
    <row r="44" spans="1:34" hidden="1" x14ac:dyDescent="0.3">
      <c r="A44" s="9" t="s">
        <v>41</v>
      </c>
      <c r="B44" s="9" t="s">
        <v>3</v>
      </c>
      <c r="C44" s="10">
        <v>0</v>
      </c>
      <c r="D44" s="6"/>
      <c r="E44" s="6"/>
    </row>
    <row r="45" spans="1:34" x14ac:dyDescent="0.25">
      <c r="A45" s="9" t="s">
        <v>42</v>
      </c>
      <c r="B45" s="9" t="s">
        <v>25</v>
      </c>
      <c r="C45" s="10">
        <v>24</v>
      </c>
      <c r="D45" s="22">
        <v>11000</v>
      </c>
      <c r="E45" s="22">
        <f t="shared" ref="E45:E48" si="6">+D45*C45</f>
        <v>264000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</row>
    <row r="46" spans="1:34" x14ac:dyDescent="0.3">
      <c r="A46" s="9" t="s">
        <v>43</v>
      </c>
      <c r="B46" s="9" t="s">
        <v>3</v>
      </c>
      <c r="C46" s="10">
        <v>1.5</v>
      </c>
      <c r="D46" s="22">
        <v>16000</v>
      </c>
      <c r="E46" s="22">
        <f t="shared" si="6"/>
        <v>24000</v>
      </c>
    </row>
    <row r="47" spans="1:34" x14ac:dyDescent="0.3">
      <c r="A47" s="9" t="s">
        <v>44</v>
      </c>
      <c r="B47" s="9" t="s">
        <v>3</v>
      </c>
      <c r="C47" s="10">
        <v>80</v>
      </c>
      <c r="D47" s="22">
        <v>6500</v>
      </c>
      <c r="E47" s="22">
        <f t="shared" si="6"/>
        <v>520000</v>
      </c>
    </row>
    <row r="48" spans="1:34" x14ac:dyDescent="0.25">
      <c r="A48" s="9" t="s">
        <v>45</v>
      </c>
      <c r="B48" s="9" t="s">
        <v>3</v>
      </c>
      <c r="C48" s="10">
        <v>49</v>
      </c>
      <c r="D48" s="22">
        <v>11000</v>
      </c>
      <c r="E48" s="22">
        <f t="shared" si="6"/>
        <v>539000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</row>
    <row r="49" spans="1:34" hidden="1" x14ac:dyDescent="0.25">
      <c r="A49" s="9" t="s">
        <v>45</v>
      </c>
      <c r="B49" s="9" t="s">
        <v>30</v>
      </c>
      <c r="C49" s="10">
        <v>0</v>
      </c>
      <c r="D49" s="11"/>
      <c r="E49" s="11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</row>
    <row r="50" spans="1:34" x14ac:dyDescent="0.3">
      <c r="A50" s="9" t="s">
        <v>46</v>
      </c>
      <c r="B50" s="9" t="s">
        <v>3</v>
      </c>
      <c r="C50" s="10">
        <v>10</v>
      </c>
      <c r="D50" s="22">
        <v>17000</v>
      </c>
      <c r="E50" s="22">
        <f t="shared" ref="E50:E51" si="7">+D50*C50</f>
        <v>170000</v>
      </c>
    </row>
    <row r="51" spans="1:34" x14ac:dyDescent="0.25">
      <c r="A51" s="9" t="s">
        <v>47</v>
      </c>
      <c r="B51" s="9" t="s">
        <v>3</v>
      </c>
      <c r="C51" s="10">
        <v>197</v>
      </c>
      <c r="D51" s="22">
        <v>10000</v>
      </c>
      <c r="E51" s="22">
        <f t="shared" si="7"/>
        <v>1970000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</row>
    <row r="52" spans="1:34" hidden="1" x14ac:dyDescent="0.25">
      <c r="A52" s="9" t="s">
        <v>47</v>
      </c>
      <c r="B52" s="9" t="s">
        <v>48</v>
      </c>
      <c r="C52" s="10">
        <v>0</v>
      </c>
      <c r="D52" s="11"/>
      <c r="E52" s="11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</row>
    <row r="53" spans="1:34" x14ac:dyDescent="0.25">
      <c r="A53" s="9" t="s">
        <v>50</v>
      </c>
      <c r="B53" s="9" t="s">
        <v>30</v>
      </c>
      <c r="C53" s="10">
        <v>433</v>
      </c>
      <c r="D53" s="22">
        <v>2400</v>
      </c>
      <c r="E53" s="22">
        <f t="shared" ref="E53:E57" si="8">+D53*C53</f>
        <v>1039200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</row>
    <row r="54" spans="1:34" x14ac:dyDescent="0.3">
      <c r="A54" s="9" t="s">
        <v>51</v>
      </c>
      <c r="B54" s="9" t="s">
        <v>3</v>
      </c>
      <c r="C54" s="10">
        <f>765+1300-300</f>
        <v>1765</v>
      </c>
      <c r="D54" s="22">
        <v>28000</v>
      </c>
      <c r="E54" s="22">
        <f t="shared" si="8"/>
        <v>49420000</v>
      </c>
    </row>
    <row r="55" spans="1:34" x14ac:dyDescent="0.25">
      <c r="A55" s="9" t="s">
        <v>52</v>
      </c>
      <c r="B55" s="9" t="s">
        <v>3</v>
      </c>
      <c r="C55" s="10">
        <f>1275+1045</f>
        <v>2320</v>
      </c>
      <c r="D55" s="22">
        <v>27000</v>
      </c>
      <c r="E55" s="22">
        <f t="shared" si="8"/>
        <v>62640000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</row>
    <row r="56" spans="1:34" x14ac:dyDescent="0.3">
      <c r="A56" s="9" t="s">
        <v>53</v>
      </c>
      <c r="B56" s="9" t="s">
        <v>3</v>
      </c>
      <c r="C56" s="10">
        <v>225</v>
      </c>
      <c r="D56" s="22">
        <v>23000</v>
      </c>
      <c r="E56" s="22">
        <f t="shared" si="8"/>
        <v>5175000</v>
      </c>
    </row>
    <row r="57" spans="1:34" x14ac:dyDescent="0.25">
      <c r="A57" s="9" t="s">
        <v>54</v>
      </c>
      <c r="B57" s="9" t="s">
        <v>3</v>
      </c>
      <c r="C57" s="10">
        <v>266</v>
      </c>
      <c r="D57" s="22">
        <v>15000</v>
      </c>
      <c r="E57" s="22">
        <f t="shared" si="8"/>
        <v>3990000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</row>
    <row r="58" spans="1:34" hidden="1" x14ac:dyDescent="0.3">
      <c r="A58" s="9" t="s">
        <v>55</v>
      </c>
      <c r="B58" s="9" t="s">
        <v>3</v>
      </c>
      <c r="C58" s="10">
        <v>0</v>
      </c>
      <c r="D58" s="6"/>
      <c r="E58" s="6"/>
    </row>
    <row r="59" spans="1:34" hidden="1" x14ac:dyDescent="0.3">
      <c r="A59" s="9" t="s">
        <v>56</v>
      </c>
      <c r="B59" s="9" t="s">
        <v>3</v>
      </c>
      <c r="C59" s="10">
        <v>0</v>
      </c>
      <c r="D59" s="6"/>
      <c r="E59" s="6"/>
    </row>
    <row r="60" spans="1:34" hidden="1" x14ac:dyDescent="0.3">
      <c r="A60" s="9" t="s">
        <v>57</v>
      </c>
      <c r="B60" s="9" t="s">
        <v>30</v>
      </c>
      <c r="C60" s="10">
        <v>0</v>
      </c>
      <c r="D60" s="6"/>
      <c r="E60" s="6"/>
    </row>
    <row r="61" spans="1:34" x14ac:dyDescent="0.25">
      <c r="A61" s="9" t="s">
        <v>59</v>
      </c>
      <c r="B61" s="9" t="s">
        <v>3</v>
      </c>
      <c r="C61" s="10">
        <v>450</v>
      </c>
      <c r="D61" s="22">
        <v>18000</v>
      </c>
      <c r="E61" s="22">
        <f>+D61*C61</f>
        <v>8100000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</row>
    <row r="62" spans="1:34" hidden="1" x14ac:dyDescent="0.25">
      <c r="A62" s="9" t="s">
        <v>59</v>
      </c>
      <c r="B62" s="9" t="s">
        <v>30</v>
      </c>
      <c r="C62" s="10">
        <v>0</v>
      </c>
      <c r="D62" s="11"/>
      <c r="E62" s="11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</row>
    <row r="63" spans="1:34" x14ac:dyDescent="0.3">
      <c r="A63" s="9" t="s">
        <v>60</v>
      </c>
      <c r="B63" s="9" t="s">
        <v>30</v>
      </c>
      <c r="C63" s="10">
        <v>80</v>
      </c>
      <c r="D63" s="22">
        <v>8000</v>
      </c>
      <c r="E63" s="22">
        <f>+D63*C63</f>
        <v>640000</v>
      </c>
    </row>
    <row r="64" spans="1:34" hidden="1" x14ac:dyDescent="0.3">
      <c r="A64" s="9" t="s">
        <v>138</v>
      </c>
      <c r="B64" s="9" t="s">
        <v>3</v>
      </c>
      <c r="C64" s="10">
        <v>0</v>
      </c>
      <c r="D64" s="6"/>
      <c r="E64" s="6"/>
    </row>
    <row r="65" spans="1:34" x14ac:dyDescent="0.3">
      <c r="A65" s="9" t="s">
        <v>61</v>
      </c>
      <c r="B65" s="9" t="s">
        <v>3</v>
      </c>
      <c r="C65" s="10">
        <v>38</v>
      </c>
      <c r="D65" s="22">
        <v>11000</v>
      </c>
      <c r="E65" s="22">
        <f t="shared" ref="E65:E66" si="9">+D65*C65</f>
        <v>418000</v>
      </c>
    </row>
    <row r="66" spans="1:34" x14ac:dyDescent="0.3">
      <c r="A66" s="9" t="s">
        <v>62</v>
      </c>
      <c r="B66" s="9" t="s">
        <v>30</v>
      </c>
      <c r="C66" s="10">
        <v>5</v>
      </c>
      <c r="D66" s="22">
        <v>6000</v>
      </c>
      <c r="E66" s="22">
        <f t="shared" si="9"/>
        <v>30000</v>
      </c>
    </row>
    <row r="67" spans="1:34" hidden="1" x14ac:dyDescent="0.3">
      <c r="A67" s="9" t="s">
        <v>63</v>
      </c>
      <c r="B67" s="9" t="s">
        <v>3</v>
      </c>
      <c r="C67" s="10">
        <v>0</v>
      </c>
      <c r="D67" s="6"/>
      <c r="E67" s="6"/>
    </row>
    <row r="68" spans="1:34" x14ac:dyDescent="0.3">
      <c r="A68" s="9" t="s">
        <v>63</v>
      </c>
      <c r="B68" s="9" t="s">
        <v>64</v>
      </c>
      <c r="C68" s="10">
        <v>25</v>
      </c>
      <c r="D68" s="22">
        <v>9000</v>
      </c>
      <c r="E68" s="22">
        <f>+D68*C68</f>
        <v>225000</v>
      </c>
    </row>
    <row r="69" spans="1:34" hidden="1" x14ac:dyDescent="0.3">
      <c r="A69" s="9" t="s">
        <v>65</v>
      </c>
      <c r="B69" s="9" t="s">
        <v>3</v>
      </c>
      <c r="C69" s="10">
        <v>0</v>
      </c>
      <c r="D69" s="6"/>
      <c r="E69" s="6"/>
    </row>
    <row r="70" spans="1:34" hidden="1" x14ac:dyDescent="0.3">
      <c r="A70" s="9" t="s">
        <v>66</v>
      </c>
      <c r="B70" s="9" t="s">
        <v>3</v>
      </c>
      <c r="C70" s="10">
        <v>0</v>
      </c>
      <c r="D70" s="6"/>
      <c r="E70" s="6"/>
    </row>
    <row r="71" spans="1:34" hidden="1" x14ac:dyDescent="0.3">
      <c r="A71" s="9" t="s">
        <v>67</v>
      </c>
      <c r="B71" s="9" t="s">
        <v>3</v>
      </c>
      <c r="C71" s="10">
        <v>0</v>
      </c>
      <c r="D71" s="6"/>
      <c r="E71" s="6"/>
    </row>
    <row r="72" spans="1:34" hidden="1" x14ac:dyDescent="0.25">
      <c r="A72" s="9" t="s">
        <v>68</v>
      </c>
      <c r="B72" s="9" t="s">
        <v>3</v>
      </c>
      <c r="C72" s="10">
        <v>0</v>
      </c>
      <c r="D72" s="11"/>
      <c r="E72" s="11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</row>
    <row r="73" spans="1:34" x14ac:dyDescent="0.25">
      <c r="A73" s="9" t="s">
        <v>68</v>
      </c>
      <c r="B73" s="9" t="s">
        <v>17</v>
      </c>
      <c r="C73" s="10">
        <v>979</v>
      </c>
      <c r="D73" s="22">
        <v>6000</v>
      </c>
      <c r="E73" s="22">
        <f>+D73*C73</f>
        <v>5874000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</row>
    <row r="74" spans="1:34" hidden="1" x14ac:dyDescent="0.3">
      <c r="A74" s="9" t="s">
        <v>69</v>
      </c>
      <c r="B74" s="9" t="s">
        <v>3</v>
      </c>
      <c r="C74" s="10">
        <v>0</v>
      </c>
      <c r="D74" s="6"/>
      <c r="E74" s="6"/>
    </row>
    <row r="75" spans="1:34" x14ac:dyDescent="0.25">
      <c r="A75" s="9" t="s">
        <v>70</v>
      </c>
      <c r="B75" s="9" t="s">
        <v>3</v>
      </c>
      <c r="C75" s="10">
        <v>59</v>
      </c>
      <c r="D75" s="22">
        <v>13000</v>
      </c>
      <c r="E75" s="22">
        <f>+D75*C75</f>
        <v>767000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</row>
    <row r="76" spans="1:34" hidden="1" x14ac:dyDescent="0.3">
      <c r="A76" s="9" t="s">
        <v>71</v>
      </c>
      <c r="B76" s="9" t="s">
        <v>40</v>
      </c>
      <c r="C76" s="10">
        <v>0</v>
      </c>
      <c r="D76" s="6"/>
      <c r="E76" s="6"/>
    </row>
    <row r="77" spans="1:34" x14ac:dyDescent="0.3">
      <c r="A77" s="9" t="s">
        <v>71</v>
      </c>
      <c r="B77" s="9" t="s">
        <v>3</v>
      </c>
      <c r="C77" s="10">
        <v>25</v>
      </c>
      <c r="D77" s="22">
        <v>15000</v>
      </c>
      <c r="E77" s="22">
        <f t="shared" ref="E77:E78" si="10">+D77*C77</f>
        <v>375000</v>
      </c>
    </row>
    <row r="78" spans="1:34" x14ac:dyDescent="0.3">
      <c r="A78" s="9" t="s">
        <v>72</v>
      </c>
      <c r="B78" s="9" t="s">
        <v>3</v>
      </c>
      <c r="C78" s="10">
        <v>2410</v>
      </c>
      <c r="D78" s="22">
        <v>27600</v>
      </c>
      <c r="E78" s="22">
        <f t="shared" si="10"/>
        <v>66516000</v>
      </c>
    </row>
    <row r="79" spans="1:34" hidden="1" x14ac:dyDescent="0.3">
      <c r="A79" s="9" t="s">
        <v>73</v>
      </c>
      <c r="B79" s="9" t="s">
        <v>3</v>
      </c>
      <c r="C79" s="10">
        <v>0</v>
      </c>
      <c r="D79" s="6"/>
      <c r="E79" s="6"/>
    </row>
    <row r="80" spans="1:34" hidden="1" x14ac:dyDescent="0.3">
      <c r="A80" s="9" t="s">
        <v>74</v>
      </c>
      <c r="B80" s="9" t="s">
        <v>30</v>
      </c>
      <c r="C80" s="10">
        <v>0</v>
      </c>
      <c r="D80" s="6"/>
      <c r="E80" s="6"/>
    </row>
    <row r="81" spans="1:34" x14ac:dyDescent="0.3">
      <c r="A81" s="9" t="s">
        <v>75</v>
      </c>
      <c r="B81" s="9" t="s">
        <v>3</v>
      </c>
      <c r="C81" s="10">
        <v>8</v>
      </c>
      <c r="D81" s="22">
        <v>14000</v>
      </c>
      <c r="E81" s="22">
        <f>+D81*C81</f>
        <v>112000</v>
      </c>
    </row>
    <row r="82" spans="1:34" hidden="1" x14ac:dyDescent="0.3">
      <c r="A82" s="9" t="s">
        <v>76</v>
      </c>
      <c r="B82" s="9" t="s">
        <v>17</v>
      </c>
      <c r="C82" s="10">
        <v>0</v>
      </c>
      <c r="D82" s="6"/>
      <c r="E82" s="6"/>
    </row>
    <row r="83" spans="1:34" hidden="1" x14ac:dyDescent="0.3">
      <c r="A83" s="9" t="s">
        <v>77</v>
      </c>
      <c r="B83" s="9" t="s">
        <v>25</v>
      </c>
      <c r="C83" s="10">
        <v>0</v>
      </c>
      <c r="D83" s="6"/>
      <c r="E83" s="6"/>
    </row>
    <row r="84" spans="1:34" x14ac:dyDescent="0.3">
      <c r="A84" s="9" t="s">
        <v>77</v>
      </c>
      <c r="B84" s="9" t="s">
        <v>3</v>
      </c>
      <c r="C84" s="10">
        <v>4</v>
      </c>
      <c r="D84" s="22">
        <v>38000</v>
      </c>
      <c r="E84" s="22">
        <f t="shared" ref="E84:E85" si="11">+D84*C84</f>
        <v>152000</v>
      </c>
    </row>
    <row r="85" spans="1:34" x14ac:dyDescent="0.25">
      <c r="A85" s="9" t="s">
        <v>78</v>
      </c>
      <c r="B85" s="9" t="s">
        <v>3</v>
      </c>
      <c r="C85" s="10">
        <v>170</v>
      </c>
      <c r="D85" s="22">
        <v>26000</v>
      </c>
      <c r="E85" s="22">
        <f t="shared" si="11"/>
        <v>4420000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</row>
    <row r="86" spans="1:34" hidden="1" x14ac:dyDescent="0.25">
      <c r="A86" s="9" t="s">
        <v>78</v>
      </c>
      <c r="B86" s="9" t="s">
        <v>9</v>
      </c>
      <c r="C86" s="10">
        <v>0</v>
      </c>
      <c r="D86" s="11"/>
      <c r="E86" s="11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</row>
    <row r="87" spans="1:34" x14ac:dyDescent="0.25">
      <c r="A87" s="9" t="s">
        <v>80</v>
      </c>
      <c r="B87" s="9" t="s">
        <v>3</v>
      </c>
      <c r="C87" s="10">
        <v>45</v>
      </c>
      <c r="D87" s="22">
        <v>22000</v>
      </c>
      <c r="E87" s="22">
        <f>+D87*C87</f>
        <v>990000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</row>
    <row r="88" spans="1:34" hidden="1" x14ac:dyDescent="0.25">
      <c r="A88" s="9" t="s">
        <v>80</v>
      </c>
      <c r="B88" s="9" t="s">
        <v>9</v>
      </c>
      <c r="C88" s="10">
        <v>0</v>
      </c>
      <c r="D88" s="11"/>
      <c r="E88" s="11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</row>
    <row r="89" spans="1:34" x14ac:dyDescent="0.3">
      <c r="A89" s="9" t="s">
        <v>81</v>
      </c>
      <c r="B89" s="9" t="s">
        <v>3</v>
      </c>
      <c r="C89" s="10">
        <v>18</v>
      </c>
      <c r="D89" s="22">
        <v>17000</v>
      </c>
      <c r="E89" s="22">
        <f t="shared" ref="E89:E90" si="12">+D89*C89</f>
        <v>306000</v>
      </c>
    </row>
    <row r="90" spans="1:34" x14ac:dyDescent="0.3">
      <c r="A90" s="9" t="s">
        <v>82</v>
      </c>
      <c r="B90" s="9" t="s">
        <v>3</v>
      </c>
      <c r="C90" s="10">
        <v>40</v>
      </c>
      <c r="D90" s="22">
        <v>30000</v>
      </c>
      <c r="E90" s="22">
        <f t="shared" si="12"/>
        <v>1200000</v>
      </c>
    </row>
    <row r="91" spans="1:34" hidden="1" x14ac:dyDescent="0.3">
      <c r="A91" s="9" t="s">
        <v>82</v>
      </c>
      <c r="B91" s="9" t="s">
        <v>9</v>
      </c>
      <c r="C91" s="10">
        <v>0</v>
      </c>
      <c r="D91" s="6"/>
      <c r="E91" s="6"/>
    </row>
    <row r="92" spans="1:34" x14ac:dyDescent="0.3">
      <c r="A92" s="9" t="s">
        <v>83</v>
      </c>
      <c r="B92" s="9" t="s">
        <v>3</v>
      </c>
      <c r="C92" s="10">
        <v>12</v>
      </c>
      <c r="D92" s="22">
        <v>25000</v>
      </c>
      <c r="E92" s="22">
        <f t="shared" ref="E92" si="13">+D92*C92</f>
        <v>300000</v>
      </c>
    </row>
    <row r="93" spans="1:34" x14ac:dyDescent="0.3">
      <c r="A93" s="9" t="s">
        <v>84</v>
      </c>
      <c r="B93" s="9" t="s">
        <v>30</v>
      </c>
      <c r="C93" s="10">
        <v>80</v>
      </c>
      <c r="D93" s="22">
        <v>18000</v>
      </c>
      <c r="E93" s="22">
        <f>+D93*C93</f>
        <v>1440000</v>
      </c>
    </row>
    <row r="94" spans="1:34" hidden="1" x14ac:dyDescent="0.3">
      <c r="A94" s="9" t="s">
        <v>85</v>
      </c>
      <c r="B94" s="9" t="s">
        <v>30</v>
      </c>
      <c r="C94" s="10">
        <v>0</v>
      </c>
      <c r="D94" s="6"/>
      <c r="E94" s="6"/>
    </row>
    <row r="95" spans="1:34" hidden="1" x14ac:dyDescent="0.3">
      <c r="A95" s="9" t="s">
        <v>106</v>
      </c>
      <c r="B95" s="9" t="s">
        <v>9</v>
      </c>
      <c r="C95" s="10">
        <v>0</v>
      </c>
      <c r="D95" s="6"/>
      <c r="E95" s="6"/>
    </row>
    <row r="96" spans="1:34" x14ac:dyDescent="0.3">
      <c r="A96" s="9" t="s">
        <v>88</v>
      </c>
      <c r="B96" s="9" t="s">
        <v>9</v>
      </c>
      <c r="C96" s="10">
        <v>926</v>
      </c>
      <c r="D96" s="22">
        <v>11361</v>
      </c>
      <c r="E96" s="22">
        <f t="shared" ref="E96" si="14">+D96*C96</f>
        <v>10520286</v>
      </c>
    </row>
    <row r="97" spans="1:34" x14ac:dyDescent="0.3">
      <c r="A97" s="9" t="s">
        <v>89</v>
      </c>
      <c r="B97" s="9" t="s">
        <v>3</v>
      </c>
      <c r="C97" s="10">
        <v>670</v>
      </c>
      <c r="D97" s="22">
        <v>29000</v>
      </c>
      <c r="E97" s="22">
        <f>+D97*C97</f>
        <v>19430000</v>
      </c>
    </row>
    <row r="98" spans="1:34" hidden="1" x14ac:dyDescent="0.3">
      <c r="A98" s="9" t="s">
        <v>90</v>
      </c>
      <c r="B98" s="9" t="s">
        <v>3</v>
      </c>
      <c r="C98" s="10">
        <v>0</v>
      </c>
      <c r="D98" s="6"/>
      <c r="E98" s="6"/>
    </row>
    <row r="99" spans="1:34" hidden="1" x14ac:dyDescent="0.3">
      <c r="A99" s="9" t="s">
        <v>91</v>
      </c>
      <c r="B99" s="9" t="s">
        <v>25</v>
      </c>
      <c r="C99" s="10">
        <v>0</v>
      </c>
      <c r="D99" s="6"/>
      <c r="E99" s="6"/>
    </row>
    <row r="100" spans="1:34" x14ac:dyDescent="0.3">
      <c r="A100" s="9" t="s">
        <v>92</v>
      </c>
      <c r="B100" s="9" t="s">
        <v>3</v>
      </c>
      <c r="C100" s="10">
        <v>160</v>
      </c>
      <c r="D100" s="22">
        <v>12000</v>
      </c>
      <c r="E100" s="22">
        <f>+D100*C100</f>
        <v>1920000</v>
      </c>
    </row>
    <row r="101" spans="1:34" x14ac:dyDescent="0.3">
      <c r="A101" s="9" t="s">
        <v>93</v>
      </c>
      <c r="B101" s="9" t="s">
        <v>3</v>
      </c>
      <c r="C101" s="10">
        <v>19</v>
      </c>
      <c r="D101" s="22">
        <v>33000</v>
      </c>
      <c r="E101" s="22">
        <f>+D101*C101</f>
        <v>627000</v>
      </c>
    </row>
    <row r="102" spans="1:34" hidden="1" x14ac:dyDescent="0.25">
      <c r="A102" s="9" t="s">
        <v>94</v>
      </c>
      <c r="B102" s="9" t="s">
        <v>3</v>
      </c>
      <c r="C102" s="10">
        <v>0</v>
      </c>
      <c r="D102" s="11"/>
      <c r="E102" s="11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</row>
    <row r="103" spans="1:34" hidden="1" x14ac:dyDescent="0.3">
      <c r="A103" s="9" t="s">
        <v>95</v>
      </c>
      <c r="B103" s="9" t="s">
        <v>40</v>
      </c>
      <c r="C103" s="10">
        <v>0</v>
      </c>
      <c r="D103" s="6"/>
      <c r="E103" s="6"/>
    </row>
    <row r="104" spans="1:34" hidden="1" x14ac:dyDescent="0.3">
      <c r="A104" s="9" t="s">
        <v>96</v>
      </c>
      <c r="B104" s="9" t="s">
        <v>3</v>
      </c>
      <c r="C104" s="10">
        <v>0</v>
      </c>
      <c r="D104" s="6"/>
      <c r="E104" s="6"/>
    </row>
    <row r="105" spans="1:34" hidden="1" x14ac:dyDescent="0.3">
      <c r="A105" s="9" t="s">
        <v>97</v>
      </c>
      <c r="B105" s="9" t="s">
        <v>40</v>
      </c>
      <c r="C105" s="10">
        <v>0</v>
      </c>
      <c r="D105" s="6"/>
      <c r="E105" s="6"/>
    </row>
    <row r="106" spans="1:34" hidden="1" x14ac:dyDescent="0.3">
      <c r="A106" s="9" t="s">
        <v>98</v>
      </c>
      <c r="B106" s="9" t="s">
        <v>3</v>
      </c>
      <c r="C106" s="10">
        <v>0</v>
      </c>
      <c r="D106" s="6"/>
      <c r="E106" s="6"/>
    </row>
    <row r="107" spans="1:34" hidden="1" x14ac:dyDescent="0.3">
      <c r="A107" s="9" t="s">
        <v>99</v>
      </c>
      <c r="B107" s="9" t="s">
        <v>3</v>
      </c>
      <c r="C107" s="10">
        <v>0</v>
      </c>
      <c r="D107" s="6"/>
      <c r="E107" s="6"/>
    </row>
    <row r="108" spans="1:34" hidden="1" x14ac:dyDescent="0.3">
      <c r="A108" s="9" t="s">
        <v>100</v>
      </c>
      <c r="B108" s="9" t="s">
        <v>40</v>
      </c>
      <c r="C108" s="10">
        <v>0</v>
      </c>
      <c r="D108" s="6"/>
      <c r="E108" s="6"/>
    </row>
    <row r="109" spans="1:34" x14ac:dyDescent="0.3">
      <c r="A109" s="17" t="e">
        <v>#N/A</v>
      </c>
      <c r="B109" s="17">
        <v>0</v>
      </c>
      <c r="C109" s="18">
        <v>12123.5</v>
      </c>
      <c r="D109" s="23"/>
      <c r="E109" s="23">
        <f>SUBTOTAL(9,E2:E101)</f>
        <v>277544686</v>
      </c>
    </row>
    <row r="110" spans="1:34" ht="62.4" x14ac:dyDescent="0.3">
      <c r="A110" s="16" t="s">
        <v>0</v>
      </c>
      <c r="B110" s="16" t="s">
        <v>1</v>
      </c>
      <c r="C110" s="15" t="s">
        <v>139</v>
      </c>
      <c r="D110" s="21" t="s">
        <v>140</v>
      </c>
      <c r="E110" s="21" t="s">
        <v>141</v>
      </c>
    </row>
    <row r="111" spans="1:34" ht="15.6" hidden="1" x14ac:dyDescent="0.3">
      <c r="A111" s="12" t="s">
        <v>2</v>
      </c>
      <c r="B111" s="12" t="s">
        <v>3</v>
      </c>
      <c r="C111" s="13">
        <v>0</v>
      </c>
      <c r="D111" s="22">
        <v>11000</v>
      </c>
      <c r="E111" s="22"/>
    </row>
    <row r="112" spans="1:34" ht="15.6" x14ac:dyDescent="0.3">
      <c r="A112" s="12" t="s">
        <v>4</v>
      </c>
      <c r="B112" s="12" t="s">
        <v>3</v>
      </c>
      <c r="C112" s="13">
        <v>170</v>
      </c>
      <c r="D112" s="22">
        <v>5500</v>
      </c>
      <c r="E112" s="22">
        <f>+D112*C112</f>
        <v>935000</v>
      </c>
    </row>
    <row r="113" spans="1:5" ht="15.6" x14ac:dyDescent="0.3">
      <c r="A113" s="12" t="s">
        <v>5</v>
      </c>
      <c r="B113" s="12" t="s">
        <v>3</v>
      </c>
      <c r="C113" s="13">
        <v>308</v>
      </c>
      <c r="D113" s="22">
        <v>5500</v>
      </c>
      <c r="E113" s="22">
        <f>+D113*C113</f>
        <v>1694000</v>
      </c>
    </row>
    <row r="114" spans="1:5" ht="15.6" hidden="1" x14ac:dyDescent="0.3">
      <c r="A114" s="12" t="s">
        <v>119</v>
      </c>
      <c r="B114" s="12" t="s">
        <v>3</v>
      </c>
      <c r="C114" s="13">
        <v>0</v>
      </c>
      <c r="D114" s="22">
        <v>10000</v>
      </c>
      <c r="E114" s="22"/>
    </row>
    <row r="115" spans="1:5" ht="15.6" x14ac:dyDescent="0.3">
      <c r="A115" s="12" t="s">
        <v>7</v>
      </c>
      <c r="B115" s="12" t="s">
        <v>3</v>
      </c>
      <c r="C115" s="13">
        <v>40</v>
      </c>
      <c r="D115" s="22">
        <v>9000</v>
      </c>
      <c r="E115" s="22">
        <f t="shared" ref="E115:E122" si="15">+D115*C115</f>
        <v>360000</v>
      </c>
    </row>
    <row r="116" spans="1:5" ht="15.6" x14ac:dyDescent="0.3">
      <c r="A116" s="12" t="s">
        <v>8</v>
      </c>
      <c r="B116" s="12" t="s">
        <v>3</v>
      </c>
      <c r="C116" s="13">
        <v>10</v>
      </c>
      <c r="D116" s="22">
        <v>8000</v>
      </c>
      <c r="E116" s="22">
        <f>+D116*C116</f>
        <v>80000</v>
      </c>
    </row>
    <row r="117" spans="1:5" ht="15.6" x14ac:dyDescent="0.3">
      <c r="A117" s="12" t="s">
        <v>102</v>
      </c>
      <c r="B117" s="12" t="s">
        <v>3</v>
      </c>
      <c r="C117" s="13">
        <v>40</v>
      </c>
      <c r="D117" s="22">
        <v>15000</v>
      </c>
      <c r="E117" s="22">
        <f t="shared" si="15"/>
        <v>600000</v>
      </c>
    </row>
    <row r="118" spans="1:5" ht="15.6" x14ac:dyDescent="0.3">
      <c r="A118" s="12" t="s">
        <v>18</v>
      </c>
      <c r="B118" s="12" t="s">
        <v>3</v>
      </c>
      <c r="C118" s="13">
        <v>30</v>
      </c>
      <c r="D118" s="22">
        <v>20000</v>
      </c>
      <c r="E118" s="22">
        <f>+D118*C118</f>
        <v>600000</v>
      </c>
    </row>
    <row r="119" spans="1:5" ht="15.6" x14ac:dyDescent="0.3">
      <c r="A119" s="12" t="s">
        <v>28</v>
      </c>
      <c r="B119" s="12" t="s">
        <v>3</v>
      </c>
      <c r="C119" s="13">
        <v>110.00000000000001</v>
      </c>
      <c r="D119" s="22">
        <v>12000</v>
      </c>
      <c r="E119" s="22">
        <f>+D119*C119</f>
        <v>1320000.0000000002</v>
      </c>
    </row>
    <row r="120" spans="1:5" ht="15.6" x14ac:dyDescent="0.3">
      <c r="A120" s="12" t="s">
        <v>31</v>
      </c>
      <c r="B120" s="12" t="s">
        <v>3</v>
      </c>
      <c r="C120" s="13">
        <v>132</v>
      </c>
      <c r="D120" s="22">
        <v>10000</v>
      </c>
      <c r="E120" s="22">
        <f t="shared" si="15"/>
        <v>1320000</v>
      </c>
    </row>
    <row r="121" spans="1:5" ht="15.6" x14ac:dyDescent="0.3">
      <c r="A121" s="12" t="s">
        <v>33</v>
      </c>
      <c r="B121" s="12" t="s">
        <v>3</v>
      </c>
      <c r="C121" s="13">
        <v>35</v>
      </c>
      <c r="D121" s="22">
        <v>8000</v>
      </c>
      <c r="E121" s="22">
        <f t="shared" si="15"/>
        <v>280000</v>
      </c>
    </row>
    <row r="122" spans="1:5" ht="15.6" x14ac:dyDescent="0.3">
      <c r="A122" s="12" t="s">
        <v>38</v>
      </c>
      <c r="B122" s="12" t="s">
        <v>3</v>
      </c>
      <c r="C122" s="13">
        <v>320</v>
      </c>
      <c r="D122" s="22">
        <v>7000</v>
      </c>
      <c r="E122" s="22">
        <f t="shared" si="15"/>
        <v>2240000</v>
      </c>
    </row>
    <row r="123" spans="1:5" ht="15.6" hidden="1" x14ac:dyDescent="0.3">
      <c r="A123" s="12" t="s">
        <v>103</v>
      </c>
      <c r="B123" s="12" t="s">
        <v>3</v>
      </c>
      <c r="C123" s="13">
        <v>0</v>
      </c>
      <c r="D123" s="22">
        <v>14000</v>
      </c>
      <c r="E123" s="22"/>
    </row>
    <row r="124" spans="1:5" ht="15.6" x14ac:dyDescent="0.3">
      <c r="A124" s="12" t="s">
        <v>104</v>
      </c>
      <c r="B124" s="12" t="s">
        <v>3</v>
      </c>
      <c r="C124" s="13">
        <v>2330</v>
      </c>
      <c r="D124" s="22">
        <v>6000</v>
      </c>
      <c r="E124" s="22">
        <f t="shared" ref="E124:E133" si="16">+D124*C124</f>
        <v>13980000</v>
      </c>
    </row>
    <row r="125" spans="1:5" ht="15.6" x14ac:dyDescent="0.3">
      <c r="A125" s="12" t="s">
        <v>39</v>
      </c>
      <c r="B125" s="12" t="s">
        <v>3</v>
      </c>
      <c r="C125" s="13">
        <v>22</v>
      </c>
      <c r="D125" s="22">
        <v>9000</v>
      </c>
      <c r="E125" s="22">
        <f t="shared" si="16"/>
        <v>198000</v>
      </c>
    </row>
    <row r="126" spans="1:5" ht="15.6" x14ac:dyDescent="0.3">
      <c r="A126" s="12" t="s">
        <v>105</v>
      </c>
      <c r="B126" s="12" t="s">
        <v>3</v>
      </c>
      <c r="C126" s="13">
        <v>8</v>
      </c>
      <c r="D126" s="22">
        <v>27000</v>
      </c>
      <c r="E126" s="22">
        <f t="shared" si="16"/>
        <v>216000</v>
      </c>
    </row>
    <row r="127" spans="1:5" ht="15.6" x14ac:dyDescent="0.3">
      <c r="A127" s="12" t="s">
        <v>41</v>
      </c>
      <c r="B127" s="12" t="s">
        <v>3</v>
      </c>
      <c r="C127" s="13">
        <v>10</v>
      </c>
      <c r="D127" s="22">
        <v>14000</v>
      </c>
      <c r="E127" s="22">
        <f t="shared" si="16"/>
        <v>140000</v>
      </c>
    </row>
    <row r="128" spans="1:5" ht="15.6" x14ac:dyDescent="0.3">
      <c r="A128" s="12" t="s">
        <v>44</v>
      </c>
      <c r="B128" s="12" t="s">
        <v>3</v>
      </c>
      <c r="C128" s="13">
        <v>30</v>
      </c>
      <c r="D128" s="22">
        <v>6500</v>
      </c>
      <c r="E128" s="22">
        <f t="shared" si="16"/>
        <v>195000</v>
      </c>
    </row>
    <row r="129" spans="1:5" ht="15.6" x14ac:dyDescent="0.3">
      <c r="A129" s="12" t="s">
        <v>45</v>
      </c>
      <c r="B129" s="12" t="s">
        <v>3</v>
      </c>
      <c r="C129" s="13">
        <v>5</v>
      </c>
      <c r="D129" s="22">
        <v>11000</v>
      </c>
      <c r="E129" s="22">
        <f t="shared" si="16"/>
        <v>55000</v>
      </c>
    </row>
    <row r="130" spans="1:5" ht="15.6" x14ac:dyDescent="0.3">
      <c r="A130" s="12" t="s">
        <v>47</v>
      </c>
      <c r="B130" s="12" t="s">
        <v>3</v>
      </c>
      <c r="C130" s="13">
        <v>33</v>
      </c>
      <c r="D130" s="22">
        <v>10000</v>
      </c>
      <c r="E130" s="22">
        <f t="shared" si="16"/>
        <v>330000</v>
      </c>
    </row>
    <row r="131" spans="1:5" ht="15.6" x14ac:dyDescent="0.3">
      <c r="A131" s="12" t="s">
        <v>54</v>
      </c>
      <c r="B131" s="12" t="s">
        <v>3</v>
      </c>
      <c r="C131" s="13">
        <v>44</v>
      </c>
      <c r="D131" s="22">
        <v>16000</v>
      </c>
      <c r="E131" s="22">
        <f t="shared" si="16"/>
        <v>704000</v>
      </c>
    </row>
    <row r="132" spans="1:5" ht="15.6" x14ac:dyDescent="0.3">
      <c r="A132" s="12" t="s">
        <v>59</v>
      </c>
      <c r="B132" s="12" t="s">
        <v>3</v>
      </c>
      <c r="C132" s="13">
        <v>40</v>
      </c>
      <c r="D132" s="22">
        <v>18000</v>
      </c>
      <c r="E132" s="22">
        <f t="shared" si="16"/>
        <v>720000</v>
      </c>
    </row>
    <row r="133" spans="1:5" ht="15.6" x14ac:dyDescent="0.3">
      <c r="A133" s="12" t="s">
        <v>61</v>
      </c>
      <c r="B133" s="12" t="s">
        <v>3</v>
      </c>
      <c r="C133" s="13">
        <v>5</v>
      </c>
      <c r="D133" s="22">
        <v>11000</v>
      </c>
      <c r="E133" s="22">
        <f t="shared" si="16"/>
        <v>55000</v>
      </c>
    </row>
    <row r="134" spans="1:5" ht="15.6" hidden="1" x14ac:dyDescent="0.3">
      <c r="A134" s="12" t="s">
        <v>62</v>
      </c>
      <c r="B134" s="12" t="s">
        <v>30</v>
      </c>
      <c r="C134" s="13">
        <v>0</v>
      </c>
      <c r="D134" s="22">
        <v>6000</v>
      </c>
      <c r="E134" s="22"/>
    </row>
    <row r="135" spans="1:5" ht="15.6" x14ac:dyDescent="0.3">
      <c r="A135" s="12" t="s">
        <v>63</v>
      </c>
      <c r="B135" s="12" t="s">
        <v>30</v>
      </c>
      <c r="C135" s="13">
        <v>14</v>
      </c>
      <c r="D135" s="22">
        <v>9000</v>
      </c>
      <c r="E135" s="22">
        <f>+D135*C135</f>
        <v>126000</v>
      </c>
    </row>
    <row r="136" spans="1:5" ht="15.6" hidden="1" x14ac:dyDescent="0.3">
      <c r="A136" s="12" t="s">
        <v>68</v>
      </c>
      <c r="B136" s="12" t="s">
        <v>3</v>
      </c>
      <c r="C136" s="13">
        <v>0</v>
      </c>
      <c r="D136" s="22">
        <v>6000</v>
      </c>
      <c r="E136" s="22"/>
    </row>
    <row r="137" spans="1:5" ht="15.6" x14ac:dyDescent="0.3">
      <c r="A137" s="12" t="s">
        <v>68</v>
      </c>
      <c r="B137" s="12" t="s">
        <v>17</v>
      </c>
      <c r="C137" s="13">
        <v>20</v>
      </c>
      <c r="D137" s="22">
        <v>6000</v>
      </c>
      <c r="E137" s="22">
        <f t="shared" ref="E137:E138" si="17">+D137*C137</f>
        <v>120000</v>
      </c>
    </row>
    <row r="138" spans="1:5" ht="15.6" x14ac:dyDescent="0.3">
      <c r="A138" s="12" t="s">
        <v>71</v>
      </c>
      <c r="B138" s="12" t="s">
        <v>3</v>
      </c>
      <c r="C138" s="13">
        <v>10</v>
      </c>
      <c r="D138" s="22">
        <v>15000</v>
      </c>
      <c r="E138" s="22">
        <f t="shared" si="17"/>
        <v>150000</v>
      </c>
    </row>
    <row r="139" spans="1:5" ht="15.6" hidden="1" x14ac:dyDescent="0.3">
      <c r="A139" s="12" t="s">
        <v>72</v>
      </c>
      <c r="B139" s="12" t="s">
        <v>3</v>
      </c>
      <c r="C139" s="13">
        <v>0</v>
      </c>
      <c r="D139" s="22">
        <v>27600</v>
      </c>
      <c r="E139" s="22"/>
    </row>
    <row r="140" spans="1:5" ht="15.6" hidden="1" x14ac:dyDescent="0.3">
      <c r="A140" s="12" t="s">
        <v>73</v>
      </c>
      <c r="B140" s="12" t="s">
        <v>3</v>
      </c>
      <c r="C140" s="13">
        <v>0</v>
      </c>
      <c r="D140" s="22" t="e">
        <v>#N/A</v>
      </c>
      <c r="E140" s="22"/>
    </row>
    <row r="141" spans="1:5" ht="15.6" x14ac:dyDescent="0.3">
      <c r="A141" s="12" t="s">
        <v>78</v>
      </c>
      <c r="B141" s="12" t="s">
        <v>3</v>
      </c>
      <c r="C141" s="13">
        <v>5</v>
      </c>
      <c r="D141" s="22">
        <v>26000</v>
      </c>
      <c r="E141" s="22">
        <f t="shared" ref="E141:E144" si="18">+D141*C141</f>
        <v>130000</v>
      </c>
    </row>
    <row r="142" spans="1:5" ht="15.6" x14ac:dyDescent="0.3">
      <c r="A142" s="12" t="s">
        <v>80</v>
      </c>
      <c r="B142" s="12" t="s">
        <v>3</v>
      </c>
      <c r="C142" s="13">
        <v>5</v>
      </c>
      <c r="D142" s="22">
        <v>22000</v>
      </c>
      <c r="E142" s="22">
        <f t="shared" si="18"/>
        <v>110000</v>
      </c>
    </row>
    <row r="143" spans="1:5" ht="15.6" x14ac:dyDescent="0.3">
      <c r="A143" s="12" t="s">
        <v>82</v>
      </c>
      <c r="B143" s="12" t="s">
        <v>3</v>
      </c>
      <c r="C143" s="13">
        <v>5</v>
      </c>
      <c r="D143" s="22">
        <v>30000</v>
      </c>
      <c r="E143" s="22">
        <f t="shared" si="18"/>
        <v>150000</v>
      </c>
    </row>
    <row r="144" spans="1:5" ht="15.6" x14ac:dyDescent="0.3">
      <c r="A144" s="12" t="s">
        <v>92</v>
      </c>
      <c r="B144" s="12" t="s">
        <v>3</v>
      </c>
      <c r="C144" s="13">
        <v>20</v>
      </c>
      <c r="D144" s="22">
        <v>12000</v>
      </c>
      <c r="E144" s="22">
        <f t="shared" si="18"/>
        <v>240000</v>
      </c>
    </row>
    <row r="145" spans="1:5" ht="15.6" hidden="1" x14ac:dyDescent="0.3">
      <c r="A145" s="12" t="s">
        <v>94</v>
      </c>
      <c r="B145" s="12" t="s">
        <v>40</v>
      </c>
      <c r="C145" s="13">
        <v>0</v>
      </c>
      <c r="D145" s="22"/>
      <c r="E145" s="22"/>
    </row>
    <row r="146" spans="1:5" ht="15.6" hidden="1" x14ac:dyDescent="0.3">
      <c r="A146" s="12" t="s">
        <v>95</v>
      </c>
      <c r="B146" s="12" t="s">
        <v>40</v>
      </c>
      <c r="C146" s="13">
        <v>0</v>
      </c>
      <c r="D146" s="22"/>
      <c r="E146" s="22"/>
    </row>
    <row r="147" spans="1:5" ht="15.6" hidden="1" x14ac:dyDescent="0.3">
      <c r="A147" s="12" t="s">
        <v>97</v>
      </c>
      <c r="B147" s="12" t="s">
        <v>40</v>
      </c>
      <c r="C147" s="13">
        <v>0</v>
      </c>
      <c r="D147" s="22"/>
      <c r="E147" s="22"/>
    </row>
    <row r="148" spans="1:5" ht="15.6" hidden="1" x14ac:dyDescent="0.3">
      <c r="A148" s="12" t="s">
        <v>100</v>
      </c>
      <c r="B148" s="12" t="s">
        <v>40</v>
      </c>
      <c r="C148" s="13">
        <v>0</v>
      </c>
      <c r="D148" s="22"/>
      <c r="E148" s="22"/>
    </row>
    <row r="149" spans="1:5" ht="15.6" x14ac:dyDescent="0.3">
      <c r="A149" s="19"/>
      <c r="B149" s="19">
        <v>0</v>
      </c>
      <c r="C149" s="20">
        <v>3801</v>
      </c>
      <c r="D149" s="23">
        <v>11</v>
      </c>
      <c r="E149" s="23">
        <f>SUBTOTAL(9,E112:E144)</f>
        <v>27048000</v>
      </c>
    </row>
    <row r="150" spans="1:5" x14ac:dyDescent="0.3">
      <c r="E150" s="25">
        <f>+E109+E149</f>
        <v>304592686</v>
      </c>
    </row>
  </sheetData>
  <autoFilter ref="A1:CZ150" xr:uid="{00000000-0009-0000-0000-00000A000000}">
    <filterColumn colId="4">
      <customFilters>
        <customFilter operator="notEqual" val=" "/>
      </customFilters>
    </filterColumn>
  </autoFilter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F163"/>
  <sheetViews>
    <sheetView workbookViewId="0">
      <selection activeCell="E14" sqref="E13:E14"/>
    </sheetView>
  </sheetViews>
  <sheetFormatPr defaultRowHeight="14.4" x14ac:dyDescent="0.3"/>
  <cols>
    <col min="1" max="1" width="26.109375" customWidth="1"/>
    <col min="4" max="4" width="10.88671875" customWidth="1"/>
    <col min="5" max="5" width="17" customWidth="1"/>
  </cols>
  <sheetData>
    <row r="1" spans="1:5" x14ac:dyDescent="0.3">
      <c r="A1" t="s">
        <v>142</v>
      </c>
    </row>
    <row r="2" spans="1:5" x14ac:dyDescent="0.3">
      <c r="A2" t="s">
        <v>0</v>
      </c>
      <c r="B2" t="s">
        <v>1</v>
      </c>
      <c r="C2" t="s">
        <v>107</v>
      </c>
      <c r="D2" t="s">
        <v>108</v>
      </c>
      <c r="E2" t="s">
        <v>109</v>
      </c>
    </row>
    <row r="3" spans="1:5" x14ac:dyDescent="0.3">
      <c r="A3" t="s">
        <v>2</v>
      </c>
      <c r="B3" t="s">
        <v>3</v>
      </c>
      <c r="C3">
        <v>11</v>
      </c>
      <c r="D3">
        <v>11000</v>
      </c>
      <c r="E3">
        <f>C3*D3</f>
        <v>121000</v>
      </c>
    </row>
    <row r="4" spans="1:5" hidden="1" x14ac:dyDescent="0.3">
      <c r="A4" t="s">
        <v>4</v>
      </c>
      <c r="B4" t="s">
        <v>3</v>
      </c>
      <c r="C4">
        <v>0</v>
      </c>
      <c r="E4">
        <f t="shared" ref="E4:E67" si="0">C4*D4</f>
        <v>0</v>
      </c>
    </row>
    <row r="5" spans="1:5" x14ac:dyDescent="0.3">
      <c r="A5" t="s">
        <v>5</v>
      </c>
      <c r="B5" t="s">
        <v>3</v>
      </c>
      <c r="C5">
        <v>210</v>
      </c>
      <c r="D5">
        <v>5000</v>
      </c>
      <c r="E5">
        <f t="shared" si="0"/>
        <v>1050000</v>
      </c>
    </row>
    <row r="6" spans="1:5" hidden="1" x14ac:dyDescent="0.3">
      <c r="A6" t="s">
        <v>119</v>
      </c>
      <c r="B6" t="s">
        <v>3</v>
      </c>
      <c r="C6">
        <v>0</v>
      </c>
      <c r="E6">
        <f t="shared" si="0"/>
        <v>0</v>
      </c>
    </row>
    <row r="7" spans="1:5" hidden="1" x14ac:dyDescent="0.3">
      <c r="A7" t="s">
        <v>6</v>
      </c>
      <c r="B7" t="s">
        <v>3</v>
      </c>
      <c r="C7">
        <v>0</v>
      </c>
      <c r="E7">
        <f t="shared" si="0"/>
        <v>0</v>
      </c>
    </row>
    <row r="8" spans="1:5" x14ac:dyDescent="0.3">
      <c r="A8" t="s">
        <v>7</v>
      </c>
      <c r="B8" t="s">
        <v>3</v>
      </c>
      <c r="C8">
        <v>125</v>
      </c>
      <c r="D8">
        <v>9000</v>
      </c>
      <c r="E8">
        <f t="shared" si="0"/>
        <v>1125000</v>
      </c>
    </row>
    <row r="9" spans="1:5" hidden="1" x14ac:dyDescent="0.3">
      <c r="A9" t="s">
        <v>111</v>
      </c>
      <c r="B9" t="s">
        <v>3</v>
      </c>
      <c r="C9">
        <v>0</v>
      </c>
      <c r="E9">
        <f t="shared" si="0"/>
        <v>0</v>
      </c>
    </row>
    <row r="10" spans="1:5" x14ac:dyDescent="0.3">
      <c r="A10" t="s">
        <v>8</v>
      </c>
      <c r="B10" t="s">
        <v>3</v>
      </c>
      <c r="C10">
        <v>125</v>
      </c>
      <c r="D10">
        <v>8000</v>
      </c>
      <c r="E10">
        <f t="shared" si="0"/>
        <v>1000000</v>
      </c>
    </row>
    <row r="11" spans="1:5" hidden="1" x14ac:dyDescent="0.3">
      <c r="A11" t="s">
        <v>8</v>
      </c>
      <c r="B11" t="s">
        <v>9</v>
      </c>
      <c r="C11">
        <v>0</v>
      </c>
      <c r="E11">
        <f t="shared" si="0"/>
        <v>0</v>
      </c>
    </row>
    <row r="12" spans="1:5" x14ac:dyDescent="0.3">
      <c r="A12" t="s">
        <v>10</v>
      </c>
      <c r="B12" t="s">
        <v>3</v>
      </c>
      <c r="C12">
        <v>28</v>
      </c>
      <c r="D12">
        <v>14000</v>
      </c>
      <c r="E12">
        <f t="shared" si="0"/>
        <v>392000</v>
      </c>
    </row>
    <row r="13" spans="1:5" hidden="1" x14ac:dyDescent="0.3">
      <c r="A13" t="s">
        <v>10</v>
      </c>
      <c r="B13" t="s">
        <v>9</v>
      </c>
      <c r="C13">
        <v>0</v>
      </c>
      <c r="E13">
        <f t="shared" si="0"/>
        <v>0</v>
      </c>
    </row>
    <row r="14" spans="1:5" hidden="1" x14ac:dyDescent="0.3">
      <c r="A14" t="s">
        <v>11</v>
      </c>
      <c r="B14" t="s">
        <v>3</v>
      </c>
      <c r="C14">
        <v>0</v>
      </c>
      <c r="E14">
        <f t="shared" si="0"/>
        <v>0</v>
      </c>
    </row>
    <row r="15" spans="1:5" x14ac:dyDescent="0.3">
      <c r="A15" t="s">
        <v>12</v>
      </c>
      <c r="B15" t="s">
        <v>3</v>
      </c>
      <c r="C15">
        <v>10</v>
      </c>
      <c r="D15">
        <v>13000</v>
      </c>
      <c r="E15">
        <f t="shared" si="0"/>
        <v>130000</v>
      </c>
    </row>
    <row r="16" spans="1:5" hidden="1" x14ac:dyDescent="0.3">
      <c r="A16" t="s">
        <v>13</v>
      </c>
      <c r="B16" t="s">
        <v>3</v>
      </c>
      <c r="C16">
        <v>0</v>
      </c>
      <c r="E16">
        <f t="shared" si="0"/>
        <v>0</v>
      </c>
    </row>
    <row r="17" spans="1:5" hidden="1" x14ac:dyDescent="0.3">
      <c r="A17" t="s">
        <v>14</v>
      </c>
      <c r="B17" t="s">
        <v>3</v>
      </c>
      <c r="C17">
        <v>0</v>
      </c>
      <c r="E17">
        <f t="shared" si="0"/>
        <v>0</v>
      </c>
    </row>
    <row r="18" spans="1:5" hidden="1" x14ac:dyDescent="0.3">
      <c r="A18" t="s">
        <v>15</v>
      </c>
      <c r="B18" t="s">
        <v>3</v>
      </c>
      <c r="C18">
        <v>0</v>
      </c>
      <c r="E18">
        <f t="shared" si="0"/>
        <v>0</v>
      </c>
    </row>
    <row r="19" spans="1:5" hidden="1" x14ac:dyDescent="0.3">
      <c r="A19" t="s">
        <v>16</v>
      </c>
      <c r="B19" t="s">
        <v>17</v>
      </c>
      <c r="C19">
        <v>0</v>
      </c>
      <c r="E19">
        <f t="shared" si="0"/>
        <v>0</v>
      </c>
    </row>
    <row r="20" spans="1:5" x14ac:dyDescent="0.3">
      <c r="A20" t="s">
        <v>18</v>
      </c>
      <c r="B20" t="s">
        <v>3</v>
      </c>
      <c r="C20">
        <v>218</v>
      </c>
      <c r="D20">
        <v>18000</v>
      </c>
      <c r="E20">
        <f t="shared" si="0"/>
        <v>3924000</v>
      </c>
    </row>
    <row r="21" spans="1:5" hidden="1" x14ac:dyDescent="0.3">
      <c r="A21" t="s">
        <v>18</v>
      </c>
      <c r="B21" t="s">
        <v>17</v>
      </c>
      <c r="C21">
        <v>0</v>
      </c>
      <c r="E21">
        <f t="shared" si="0"/>
        <v>0</v>
      </c>
    </row>
    <row r="22" spans="1:5" hidden="1" x14ac:dyDescent="0.3">
      <c r="A22" t="s">
        <v>18</v>
      </c>
      <c r="B22" t="s">
        <v>19</v>
      </c>
      <c r="C22">
        <v>0</v>
      </c>
      <c r="E22">
        <f t="shared" si="0"/>
        <v>0</v>
      </c>
    </row>
    <row r="23" spans="1:5" x14ac:dyDescent="0.3">
      <c r="A23" t="s">
        <v>20</v>
      </c>
      <c r="B23" t="s">
        <v>3</v>
      </c>
      <c r="C23">
        <v>15</v>
      </c>
      <c r="D23">
        <v>16000</v>
      </c>
      <c r="E23">
        <f t="shared" si="0"/>
        <v>240000</v>
      </c>
    </row>
    <row r="24" spans="1:5" x14ac:dyDescent="0.3">
      <c r="A24" t="s">
        <v>20</v>
      </c>
      <c r="B24" t="s">
        <v>21</v>
      </c>
      <c r="C24">
        <v>40</v>
      </c>
      <c r="D24">
        <v>8500</v>
      </c>
      <c r="E24">
        <f t="shared" si="0"/>
        <v>340000</v>
      </c>
    </row>
    <row r="25" spans="1:5" hidden="1" x14ac:dyDescent="0.3">
      <c r="A25" t="s">
        <v>22</v>
      </c>
      <c r="B25" t="s">
        <v>3</v>
      </c>
      <c r="C25">
        <v>0</v>
      </c>
      <c r="E25">
        <f t="shared" si="0"/>
        <v>0</v>
      </c>
    </row>
    <row r="26" spans="1:5" x14ac:dyDescent="0.3">
      <c r="A26" t="s">
        <v>22</v>
      </c>
      <c r="B26" t="s">
        <v>23</v>
      </c>
      <c r="C26">
        <v>111</v>
      </c>
      <c r="D26">
        <v>7200</v>
      </c>
      <c r="E26">
        <f t="shared" si="0"/>
        <v>799200</v>
      </c>
    </row>
    <row r="27" spans="1:5" x14ac:dyDescent="0.3">
      <c r="A27" t="s">
        <v>24</v>
      </c>
      <c r="B27" t="s">
        <v>25</v>
      </c>
      <c r="C27">
        <v>11</v>
      </c>
      <c r="D27">
        <v>12000</v>
      </c>
      <c r="E27">
        <f t="shared" si="0"/>
        <v>132000</v>
      </c>
    </row>
    <row r="28" spans="1:5" hidden="1" x14ac:dyDescent="0.3">
      <c r="A28" t="s">
        <v>26</v>
      </c>
      <c r="B28" t="s">
        <v>3</v>
      </c>
      <c r="C28">
        <v>0</v>
      </c>
      <c r="E28">
        <f t="shared" si="0"/>
        <v>0</v>
      </c>
    </row>
    <row r="29" spans="1:5" x14ac:dyDescent="0.3">
      <c r="A29" t="s">
        <v>26</v>
      </c>
      <c r="B29" t="s">
        <v>23</v>
      </c>
      <c r="C29">
        <v>200</v>
      </c>
      <c r="D29">
        <v>8400</v>
      </c>
      <c r="E29">
        <f t="shared" si="0"/>
        <v>1680000</v>
      </c>
    </row>
    <row r="30" spans="1:5" x14ac:dyDescent="0.3">
      <c r="A30" t="s">
        <v>26</v>
      </c>
      <c r="B30" t="s">
        <v>27</v>
      </c>
      <c r="C30">
        <v>350</v>
      </c>
      <c r="D30">
        <v>7000</v>
      </c>
      <c r="E30">
        <f t="shared" si="0"/>
        <v>2450000</v>
      </c>
    </row>
    <row r="31" spans="1:5" x14ac:dyDescent="0.3">
      <c r="A31" t="s">
        <v>28</v>
      </c>
      <c r="B31" t="s">
        <v>3</v>
      </c>
      <c r="C31">
        <v>235</v>
      </c>
      <c r="D31">
        <v>11000</v>
      </c>
      <c r="E31">
        <f t="shared" si="0"/>
        <v>2585000</v>
      </c>
    </row>
    <row r="32" spans="1:5" hidden="1" x14ac:dyDescent="0.3">
      <c r="A32" t="s">
        <v>28</v>
      </c>
      <c r="B32" t="s">
        <v>17</v>
      </c>
      <c r="C32">
        <v>0</v>
      </c>
      <c r="E32">
        <f t="shared" si="0"/>
        <v>0</v>
      </c>
    </row>
    <row r="33" spans="1:5" x14ac:dyDescent="0.3">
      <c r="A33" t="s">
        <v>29</v>
      </c>
      <c r="B33" t="s">
        <v>30</v>
      </c>
      <c r="C33">
        <v>90</v>
      </c>
      <c r="D33">
        <v>9000</v>
      </c>
      <c r="E33">
        <f t="shared" si="0"/>
        <v>810000</v>
      </c>
    </row>
    <row r="34" spans="1:5" x14ac:dyDescent="0.3">
      <c r="A34" t="s">
        <v>31</v>
      </c>
      <c r="B34" t="s">
        <v>3</v>
      </c>
      <c r="C34">
        <v>116</v>
      </c>
      <c r="D34">
        <v>10000</v>
      </c>
      <c r="E34">
        <f t="shared" si="0"/>
        <v>1160000</v>
      </c>
    </row>
    <row r="35" spans="1:5" hidden="1" x14ac:dyDescent="0.3">
      <c r="A35" t="s">
        <v>31</v>
      </c>
      <c r="B35" t="s">
        <v>30</v>
      </c>
      <c r="C35">
        <v>0</v>
      </c>
      <c r="E35">
        <f t="shared" si="0"/>
        <v>0</v>
      </c>
    </row>
    <row r="36" spans="1:5" hidden="1" x14ac:dyDescent="0.3">
      <c r="A36" t="s">
        <v>32</v>
      </c>
      <c r="B36" t="s">
        <v>3</v>
      </c>
      <c r="C36">
        <v>0</v>
      </c>
      <c r="E36">
        <f t="shared" si="0"/>
        <v>0</v>
      </c>
    </row>
    <row r="37" spans="1:5" x14ac:dyDescent="0.3">
      <c r="A37" t="s">
        <v>32</v>
      </c>
      <c r="B37" t="s">
        <v>17</v>
      </c>
      <c r="C37">
        <v>2</v>
      </c>
      <c r="D37">
        <v>7800</v>
      </c>
      <c r="E37">
        <f t="shared" si="0"/>
        <v>15600</v>
      </c>
    </row>
    <row r="38" spans="1:5" x14ac:dyDescent="0.3">
      <c r="A38" t="s">
        <v>33</v>
      </c>
      <c r="B38" t="s">
        <v>3</v>
      </c>
      <c r="C38">
        <v>62</v>
      </c>
      <c r="D38">
        <v>8000</v>
      </c>
      <c r="E38">
        <f t="shared" si="0"/>
        <v>496000</v>
      </c>
    </row>
    <row r="39" spans="1:5" hidden="1" x14ac:dyDescent="0.3">
      <c r="A39" t="s">
        <v>33</v>
      </c>
      <c r="B39" t="s">
        <v>34</v>
      </c>
      <c r="C39">
        <v>0</v>
      </c>
      <c r="E39">
        <f t="shared" si="0"/>
        <v>0</v>
      </c>
    </row>
    <row r="40" spans="1:5" x14ac:dyDescent="0.3">
      <c r="A40" t="s">
        <v>35</v>
      </c>
      <c r="B40" t="s">
        <v>3</v>
      </c>
      <c r="C40">
        <v>36</v>
      </c>
      <c r="D40">
        <v>15000</v>
      </c>
      <c r="E40">
        <f t="shared" si="0"/>
        <v>540000</v>
      </c>
    </row>
    <row r="41" spans="1:5" hidden="1" x14ac:dyDescent="0.3">
      <c r="A41" t="s">
        <v>35</v>
      </c>
      <c r="B41" t="s">
        <v>30</v>
      </c>
      <c r="C41">
        <v>0</v>
      </c>
      <c r="E41">
        <f t="shared" si="0"/>
        <v>0</v>
      </c>
    </row>
    <row r="42" spans="1:5" hidden="1" x14ac:dyDescent="0.3">
      <c r="A42" t="s">
        <v>36</v>
      </c>
      <c r="B42" t="s">
        <v>3</v>
      </c>
      <c r="C42">
        <v>0</v>
      </c>
      <c r="E42">
        <f t="shared" si="0"/>
        <v>0</v>
      </c>
    </row>
    <row r="43" spans="1:5" x14ac:dyDescent="0.3">
      <c r="A43" t="s">
        <v>36</v>
      </c>
      <c r="B43" t="s">
        <v>30</v>
      </c>
      <c r="C43">
        <v>10</v>
      </c>
      <c r="D43">
        <v>6000</v>
      </c>
      <c r="E43">
        <f t="shared" si="0"/>
        <v>60000</v>
      </c>
    </row>
    <row r="44" spans="1:5" hidden="1" x14ac:dyDescent="0.3">
      <c r="A44" t="s">
        <v>37</v>
      </c>
      <c r="B44" t="s">
        <v>3</v>
      </c>
      <c r="C44">
        <v>0</v>
      </c>
      <c r="E44">
        <f t="shared" si="0"/>
        <v>0</v>
      </c>
    </row>
    <row r="45" spans="1:5" hidden="1" x14ac:dyDescent="0.3">
      <c r="A45" t="s">
        <v>37</v>
      </c>
      <c r="B45" t="s">
        <v>30</v>
      </c>
      <c r="C45">
        <v>0</v>
      </c>
      <c r="E45">
        <f t="shared" si="0"/>
        <v>0</v>
      </c>
    </row>
    <row r="46" spans="1:5" x14ac:dyDescent="0.3">
      <c r="A46" t="s">
        <v>38</v>
      </c>
      <c r="B46" t="s">
        <v>3</v>
      </c>
      <c r="C46">
        <v>134</v>
      </c>
      <c r="D46">
        <v>5500</v>
      </c>
      <c r="E46">
        <f t="shared" si="0"/>
        <v>737000</v>
      </c>
    </row>
    <row r="47" spans="1:5" x14ac:dyDescent="0.3">
      <c r="A47" t="s">
        <v>103</v>
      </c>
      <c r="B47" t="s">
        <v>3</v>
      </c>
      <c r="C47">
        <v>14</v>
      </c>
      <c r="D47">
        <v>14000</v>
      </c>
      <c r="E47">
        <f t="shared" si="0"/>
        <v>196000</v>
      </c>
    </row>
    <row r="48" spans="1:5" hidden="1" x14ac:dyDescent="0.3">
      <c r="A48" t="s">
        <v>39</v>
      </c>
      <c r="B48" t="s">
        <v>40</v>
      </c>
      <c r="C48">
        <v>0</v>
      </c>
      <c r="E48">
        <f t="shared" si="0"/>
        <v>0</v>
      </c>
    </row>
    <row r="49" spans="1:5" x14ac:dyDescent="0.3">
      <c r="A49" t="s">
        <v>39</v>
      </c>
      <c r="B49" t="s">
        <v>3</v>
      </c>
      <c r="C49">
        <v>23</v>
      </c>
      <c r="D49">
        <v>9000</v>
      </c>
      <c r="E49">
        <f t="shared" si="0"/>
        <v>207000</v>
      </c>
    </row>
    <row r="50" spans="1:5" x14ac:dyDescent="0.3">
      <c r="A50" t="s">
        <v>41</v>
      </c>
      <c r="B50" t="s">
        <v>3</v>
      </c>
      <c r="C50">
        <v>13</v>
      </c>
      <c r="D50">
        <v>14000</v>
      </c>
      <c r="E50">
        <f t="shared" si="0"/>
        <v>182000</v>
      </c>
    </row>
    <row r="51" spans="1:5" hidden="1" x14ac:dyDescent="0.3">
      <c r="A51" t="s">
        <v>42</v>
      </c>
      <c r="B51" t="s">
        <v>25</v>
      </c>
      <c r="C51">
        <v>0</v>
      </c>
      <c r="E51">
        <f t="shared" si="0"/>
        <v>0</v>
      </c>
    </row>
    <row r="52" spans="1:5" hidden="1" x14ac:dyDescent="0.3">
      <c r="A52" t="s">
        <v>42</v>
      </c>
      <c r="B52" t="s">
        <v>3</v>
      </c>
      <c r="C52">
        <v>0</v>
      </c>
      <c r="E52">
        <f t="shared" si="0"/>
        <v>0</v>
      </c>
    </row>
    <row r="53" spans="1:5" x14ac:dyDescent="0.3">
      <c r="A53" t="s">
        <v>43</v>
      </c>
      <c r="B53" t="s">
        <v>3</v>
      </c>
      <c r="C53">
        <v>2</v>
      </c>
      <c r="D53">
        <v>16000</v>
      </c>
      <c r="E53">
        <f t="shared" si="0"/>
        <v>32000</v>
      </c>
    </row>
    <row r="54" spans="1:5" hidden="1" x14ac:dyDescent="0.3">
      <c r="A54" t="s">
        <v>44</v>
      </c>
      <c r="B54" t="s">
        <v>3</v>
      </c>
      <c r="C54">
        <v>0</v>
      </c>
      <c r="E54">
        <f t="shared" si="0"/>
        <v>0</v>
      </c>
    </row>
    <row r="55" spans="1:5" x14ac:dyDescent="0.3">
      <c r="A55" t="s">
        <v>45</v>
      </c>
      <c r="B55" t="s">
        <v>3</v>
      </c>
      <c r="C55">
        <v>25</v>
      </c>
      <c r="D55">
        <v>11000</v>
      </c>
      <c r="E55">
        <f t="shared" si="0"/>
        <v>275000</v>
      </c>
    </row>
    <row r="56" spans="1:5" hidden="1" x14ac:dyDescent="0.3">
      <c r="A56" t="s">
        <v>45</v>
      </c>
      <c r="B56" t="s">
        <v>30</v>
      </c>
      <c r="C56">
        <v>0</v>
      </c>
      <c r="E56">
        <f t="shared" si="0"/>
        <v>0</v>
      </c>
    </row>
    <row r="57" spans="1:5" x14ac:dyDescent="0.3">
      <c r="A57" t="s">
        <v>46</v>
      </c>
      <c r="B57" t="s">
        <v>3</v>
      </c>
      <c r="C57">
        <v>14</v>
      </c>
      <c r="D57">
        <v>17000</v>
      </c>
      <c r="E57">
        <f t="shared" si="0"/>
        <v>238000</v>
      </c>
    </row>
    <row r="58" spans="1:5" x14ac:dyDescent="0.3">
      <c r="A58" t="s">
        <v>47</v>
      </c>
      <c r="B58" t="s">
        <v>3</v>
      </c>
      <c r="C58">
        <v>180</v>
      </c>
      <c r="D58">
        <v>10000</v>
      </c>
      <c r="E58">
        <f t="shared" si="0"/>
        <v>1800000</v>
      </c>
    </row>
    <row r="59" spans="1:5" hidden="1" x14ac:dyDescent="0.3">
      <c r="A59" t="s">
        <v>47</v>
      </c>
      <c r="B59" t="s">
        <v>48</v>
      </c>
      <c r="C59">
        <v>0</v>
      </c>
      <c r="E59">
        <f t="shared" si="0"/>
        <v>0</v>
      </c>
    </row>
    <row r="60" spans="1:5" x14ac:dyDescent="0.3">
      <c r="A60" t="s">
        <v>50</v>
      </c>
      <c r="B60" t="s">
        <v>30</v>
      </c>
      <c r="C60">
        <v>383</v>
      </c>
      <c r="D60">
        <v>2400</v>
      </c>
      <c r="E60">
        <f t="shared" si="0"/>
        <v>919200</v>
      </c>
    </row>
    <row r="61" spans="1:5" x14ac:dyDescent="0.3">
      <c r="A61" t="s">
        <v>51</v>
      </c>
      <c r="B61" t="s">
        <v>3</v>
      </c>
      <c r="C61">
        <v>1815</v>
      </c>
      <c r="D61">
        <v>28000</v>
      </c>
      <c r="E61">
        <f t="shared" si="0"/>
        <v>50820000</v>
      </c>
    </row>
    <row r="62" spans="1:5" x14ac:dyDescent="0.3">
      <c r="A62" t="s">
        <v>52</v>
      </c>
      <c r="B62" t="s">
        <v>3</v>
      </c>
      <c r="C62">
        <v>2025</v>
      </c>
      <c r="D62">
        <v>27000</v>
      </c>
      <c r="E62">
        <f t="shared" si="0"/>
        <v>54675000</v>
      </c>
    </row>
    <row r="63" spans="1:5" x14ac:dyDescent="0.3">
      <c r="A63" t="s">
        <v>53</v>
      </c>
      <c r="B63" t="s">
        <v>3</v>
      </c>
      <c r="C63">
        <v>225</v>
      </c>
      <c r="D63">
        <v>23000</v>
      </c>
      <c r="E63">
        <f t="shared" si="0"/>
        <v>5175000</v>
      </c>
    </row>
    <row r="64" spans="1:5" x14ac:dyDescent="0.3">
      <c r="A64" t="s">
        <v>54</v>
      </c>
      <c r="B64" t="s">
        <v>3</v>
      </c>
      <c r="C64">
        <v>235</v>
      </c>
      <c r="D64">
        <v>15500</v>
      </c>
      <c r="E64">
        <f t="shared" si="0"/>
        <v>3642500</v>
      </c>
    </row>
    <row r="65" spans="1:5" hidden="1" x14ac:dyDescent="0.3">
      <c r="A65" t="s">
        <v>55</v>
      </c>
      <c r="B65" t="s">
        <v>3</v>
      </c>
      <c r="C65">
        <v>0</v>
      </c>
      <c r="E65">
        <f t="shared" si="0"/>
        <v>0</v>
      </c>
    </row>
    <row r="66" spans="1:5" hidden="1" x14ac:dyDescent="0.3">
      <c r="A66" t="s">
        <v>56</v>
      </c>
      <c r="B66" t="s">
        <v>3</v>
      </c>
      <c r="C66">
        <v>0</v>
      </c>
      <c r="E66">
        <f t="shared" si="0"/>
        <v>0</v>
      </c>
    </row>
    <row r="67" spans="1:5" hidden="1" x14ac:dyDescent="0.3">
      <c r="A67" t="s">
        <v>57</v>
      </c>
      <c r="B67" t="s">
        <v>3</v>
      </c>
      <c r="C67">
        <v>0</v>
      </c>
      <c r="E67">
        <f t="shared" si="0"/>
        <v>0</v>
      </c>
    </row>
    <row r="68" spans="1:5" hidden="1" x14ac:dyDescent="0.3">
      <c r="A68" t="s">
        <v>57</v>
      </c>
      <c r="B68" t="s">
        <v>30</v>
      </c>
      <c r="C68">
        <v>0</v>
      </c>
      <c r="E68">
        <f t="shared" ref="E68:E133" si="1">C68*D68</f>
        <v>0</v>
      </c>
    </row>
    <row r="69" spans="1:5" x14ac:dyDescent="0.3">
      <c r="A69" t="s">
        <v>58</v>
      </c>
      <c r="B69" t="s">
        <v>3</v>
      </c>
      <c r="C69">
        <v>60</v>
      </c>
      <c r="D69">
        <v>30000</v>
      </c>
      <c r="E69">
        <f t="shared" si="1"/>
        <v>1800000</v>
      </c>
    </row>
    <row r="70" spans="1:5" x14ac:dyDescent="0.3">
      <c r="A70" t="s">
        <v>59</v>
      </c>
      <c r="B70" t="s">
        <v>3</v>
      </c>
      <c r="C70">
        <v>440</v>
      </c>
      <c r="D70">
        <v>18000</v>
      </c>
      <c r="E70">
        <f t="shared" si="1"/>
        <v>7920000</v>
      </c>
    </row>
    <row r="71" spans="1:5" hidden="1" x14ac:dyDescent="0.3">
      <c r="A71" t="s">
        <v>59</v>
      </c>
      <c r="B71" t="s">
        <v>30</v>
      </c>
      <c r="C71">
        <v>0</v>
      </c>
      <c r="E71">
        <f t="shared" si="1"/>
        <v>0</v>
      </c>
    </row>
    <row r="72" spans="1:5" x14ac:dyDescent="0.3">
      <c r="A72" t="s">
        <v>60</v>
      </c>
      <c r="B72" t="s">
        <v>30</v>
      </c>
      <c r="C72">
        <v>60</v>
      </c>
      <c r="D72">
        <v>8000</v>
      </c>
      <c r="E72">
        <f t="shared" si="1"/>
        <v>480000</v>
      </c>
    </row>
    <row r="73" spans="1:5" hidden="1" x14ac:dyDescent="0.3">
      <c r="A73" t="s">
        <v>138</v>
      </c>
      <c r="B73" t="s">
        <v>3</v>
      </c>
      <c r="C73">
        <v>0</v>
      </c>
      <c r="E73">
        <f t="shared" si="1"/>
        <v>0</v>
      </c>
    </row>
    <row r="74" spans="1:5" x14ac:dyDescent="0.3">
      <c r="A74" t="s">
        <v>61</v>
      </c>
      <c r="B74" t="s">
        <v>3</v>
      </c>
      <c r="C74">
        <v>10</v>
      </c>
      <c r="D74">
        <v>11000</v>
      </c>
      <c r="E74">
        <f t="shared" si="1"/>
        <v>110000</v>
      </c>
    </row>
    <row r="75" spans="1:5" x14ac:dyDescent="0.3">
      <c r="A75" t="s">
        <v>62</v>
      </c>
      <c r="B75" t="s">
        <v>30</v>
      </c>
      <c r="C75">
        <v>14</v>
      </c>
      <c r="D75">
        <v>6000</v>
      </c>
      <c r="E75">
        <f t="shared" si="1"/>
        <v>84000</v>
      </c>
    </row>
    <row r="76" spans="1:5" hidden="1" x14ac:dyDescent="0.3">
      <c r="A76" t="s">
        <v>63</v>
      </c>
      <c r="B76" t="s">
        <v>3</v>
      </c>
      <c r="C76">
        <v>0</v>
      </c>
      <c r="E76">
        <f t="shared" si="1"/>
        <v>0</v>
      </c>
    </row>
    <row r="77" spans="1:5" x14ac:dyDescent="0.3">
      <c r="A77" t="s">
        <v>63</v>
      </c>
      <c r="B77" t="s">
        <v>64</v>
      </c>
      <c r="C77">
        <v>44</v>
      </c>
      <c r="D77">
        <v>9000</v>
      </c>
      <c r="E77">
        <f t="shared" si="1"/>
        <v>396000</v>
      </c>
    </row>
    <row r="78" spans="1:5" x14ac:dyDescent="0.3">
      <c r="A78" t="s">
        <v>65</v>
      </c>
      <c r="B78" t="s">
        <v>3</v>
      </c>
      <c r="C78">
        <v>0.5</v>
      </c>
      <c r="D78">
        <v>80000</v>
      </c>
      <c r="E78">
        <f t="shared" si="1"/>
        <v>40000</v>
      </c>
    </row>
    <row r="79" spans="1:5" hidden="1" x14ac:dyDescent="0.3">
      <c r="A79" t="s">
        <v>112</v>
      </c>
      <c r="B79" t="s">
        <v>3</v>
      </c>
      <c r="C79">
        <v>0</v>
      </c>
      <c r="E79">
        <f t="shared" si="1"/>
        <v>0</v>
      </c>
    </row>
    <row r="80" spans="1:5" x14ac:dyDescent="0.3">
      <c r="A80" t="s">
        <v>66</v>
      </c>
      <c r="B80" t="s">
        <v>3</v>
      </c>
      <c r="C80">
        <v>0.5</v>
      </c>
      <c r="D80">
        <v>70000</v>
      </c>
      <c r="E80">
        <f t="shared" si="1"/>
        <v>35000</v>
      </c>
    </row>
    <row r="81" spans="1:5" x14ac:dyDescent="0.3">
      <c r="A81" t="s">
        <v>67</v>
      </c>
      <c r="B81" t="s">
        <v>3</v>
      </c>
      <c r="C81">
        <v>0.5</v>
      </c>
      <c r="D81">
        <v>70000</v>
      </c>
      <c r="E81">
        <f t="shared" si="1"/>
        <v>35000</v>
      </c>
    </row>
    <row r="82" spans="1:5" hidden="1" x14ac:dyDescent="0.3">
      <c r="A82" t="s">
        <v>68</v>
      </c>
      <c r="B82" t="s">
        <v>3</v>
      </c>
      <c r="C82">
        <v>0</v>
      </c>
      <c r="E82">
        <f t="shared" si="1"/>
        <v>0</v>
      </c>
    </row>
    <row r="83" spans="1:5" x14ac:dyDescent="0.3">
      <c r="A83" t="s">
        <v>68</v>
      </c>
      <c r="B83" t="s">
        <v>17</v>
      </c>
      <c r="C83">
        <v>754</v>
      </c>
      <c r="D83">
        <v>6000</v>
      </c>
      <c r="E83">
        <f t="shared" si="1"/>
        <v>4524000</v>
      </c>
    </row>
    <row r="84" spans="1:5" x14ac:dyDescent="0.3">
      <c r="A84" t="s">
        <v>69</v>
      </c>
      <c r="B84" t="s">
        <v>3</v>
      </c>
      <c r="C84">
        <v>5</v>
      </c>
      <c r="D84">
        <v>16000</v>
      </c>
      <c r="E84">
        <f t="shared" si="1"/>
        <v>80000</v>
      </c>
    </row>
    <row r="85" spans="1:5" x14ac:dyDescent="0.3">
      <c r="A85" t="s">
        <v>70</v>
      </c>
      <c r="B85" t="s">
        <v>3</v>
      </c>
      <c r="C85">
        <v>18</v>
      </c>
      <c r="D85">
        <v>13000</v>
      </c>
      <c r="E85">
        <f t="shared" si="1"/>
        <v>234000</v>
      </c>
    </row>
    <row r="86" spans="1:5" hidden="1" x14ac:dyDescent="0.3">
      <c r="A86" t="s">
        <v>71</v>
      </c>
      <c r="B86" t="s">
        <v>40</v>
      </c>
      <c r="C86">
        <v>0</v>
      </c>
      <c r="E86">
        <f t="shared" si="1"/>
        <v>0</v>
      </c>
    </row>
    <row r="87" spans="1:5" hidden="1" x14ac:dyDescent="0.3">
      <c r="A87" t="s">
        <v>71</v>
      </c>
      <c r="B87" t="s">
        <v>3</v>
      </c>
      <c r="C87">
        <v>0</v>
      </c>
      <c r="E87">
        <f t="shared" si="1"/>
        <v>0</v>
      </c>
    </row>
    <row r="88" spans="1:5" x14ac:dyDescent="0.3">
      <c r="A88" t="s">
        <v>72</v>
      </c>
      <c r="B88" t="s">
        <v>3</v>
      </c>
      <c r="C88">
        <v>2410</v>
      </c>
      <c r="D88">
        <v>27600</v>
      </c>
      <c r="E88">
        <f t="shared" si="1"/>
        <v>66516000</v>
      </c>
    </row>
    <row r="89" spans="1:5" hidden="1" x14ac:dyDescent="0.3">
      <c r="A89" t="s">
        <v>73</v>
      </c>
      <c r="B89" t="s">
        <v>3</v>
      </c>
      <c r="C89">
        <v>0</v>
      </c>
      <c r="E89">
        <f t="shared" si="1"/>
        <v>0</v>
      </c>
    </row>
    <row r="90" spans="1:5" hidden="1" x14ac:dyDescent="0.3">
      <c r="A90" t="s">
        <v>74</v>
      </c>
      <c r="B90" t="s">
        <v>30</v>
      </c>
      <c r="C90">
        <v>0</v>
      </c>
      <c r="E90">
        <f t="shared" si="1"/>
        <v>0</v>
      </c>
    </row>
    <row r="91" spans="1:5" x14ac:dyDescent="0.3">
      <c r="A91" t="s">
        <v>75</v>
      </c>
      <c r="B91" t="s">
        <v>3</v>
      </c>
      <c r="C91">
        <v>21</v>
      </c>
      <c r="D91">
        <v>14000</v>
      </c>
      <c r="E91">
        <f t="shared" si="1"/>
        <v>294000</v>
      </c>
    </row>
    <row r="92" spans="1:5" hidden="1" x14ac:dyDescent="0.3">
      <c r="A92" t="s">
        <v>76</v>
      </c>
      <c r="B92" t="s">
        <v>17</v>
      </c>
      <c r="C92">
        <v>0</v>
      </c>
      <c r="E92">
        <f t="shared" si="1"/>
        <v>0</v>
      </c>
    </row>
    <row r="93" spans="1:5" hidden="1" x14ac:dyDescent="0.3">
      <c r="A93" t="s">
        <v>77</v>
      </c>
      <c r="B93" t="s">
        <v>25</v>
      </c>
      <c r="C93">
        <v>0</v>
      </c>
      <c r="E93">
        <f t="shared" si="1"/>
        <v>0</v>
      </c>
    </row>
    <row r="94" spans="1:5" x14ac:dyDescent="0.3">
      <c r="A94" t="s">
        <v>77</v>
      </c>
      <c r="B94" t="s">
        <v>3</v>
      </c>
      <c r="C94">
        <v>7</v>
      </c>
      <c r="D94">
        <v>38000</v>
      </c>
      <c r="E94">
        <f t="shared" si="1"/>
        <v>266000</v>
      </c>
    </row>
    <row r="95" spans="1:5" x14ac:dyDescent="0.3">
      <c r="A95" t="s">
        <v>78</v>
      </c>
      <c r="B95" t="s">
        <v>3</v>
      </c>
      <c r="C95">
        <v>150</v>
      </c>
      <c r="D95">
        <v>26000</v>
      </c>
      <c r="E95">
        <f t="shared" si="1"/>
        <v>3900000</v>
      </c>
    </row>
    <row r="96" spans="1:5" hidden="1" x14ac:dyDescent="0.3">
      <c r="A96" t="s">
        <v>78</v>
      </c>
      <c r="B96" t="s">
        <v>9</v>
      </c>
      <c r="C96">
        <v>0</v>
      </c>
      <c r="E96">
        <f t="shared" si="1"/>
        <v>0</v>
      </c>
    </row>
    <row r="97" spans="1:6" x14ac:dyDescent="0.3">
      <c r="A97" t="s">
        <v>79</v>
      </c>
      <c r="B97" t="s">
        <v>3</v>
      </c>
      <c r="C97">
        <v>5</v>
      </c>
      <c r="D97">
        <v>21000</v>
      </c>
      <c r="E97">
        <f t="shared" si="1"/>
        <v>105000</v>
      </c>
    </row>
    <row r="98" spans="1:6" x14ac:dyDescent="0.3">
      <c r="A98" t="s">
        <v>80</v>
      </c>
      <c r="B98" t="s">
        <v>3</v>
      </c>
      <c r="C98">
        <v>93</v>
      </c>
      <c r="D98">
        <v>22000</v>
      </c>
      <c r="E98">
        <f t="shared" si="1"/>
        <v>2046000</v>
      </c>
    </row>
    <row r="99" spans="1:6" hidden="1" x14ac:dyDescent="0.3">
      <c r="A99" t="s">
        <v>80</v>
      </c>
      <c r="B99" t="s">
        <v>9</v>
      </c>
      <c r="C99">
        <v>0</v>
      </c>
      <c r="E99">
        <f t="shared" si="1"/>
        <v>0</v>
      </c>
    </row>
    <row r="100" spans="1:6" x14ac:dyDescent="0.3">
      <c r="A100" t="s">
        <v>81</v>
      </c>
      <c r="B100" t="s">
        <v>3</v>
      </c>
      <c r="C100">
        <v>14</v>
      </c>
      <c r="D100">
        <v>17000</v>
      </c>
      <c r="E100">
        <f t="shared" si="1"/>
        <v>238000</v>
      </c>
    </row>
    <row r="101" spans="1:6" x14ac:dyDescent="0.3">
      <c r="A101" t="s">
        <v>82</v>
      </c>
      <c r="B101" t="s">
        <v>3</v>
      </c>
      <c r="C101">
        <v>35</v>
      </c>
      <c r="D101">
        <v>30000</v>
      </c>
      <c r="E101">
        <f t="shared" si="1"/>
        <v>1050000</v>
      </c>
    </row>
    <row r="102" spans="1:6" hidden="1" x14ac:dyDescent="0.3">
      <c r="A102" t="s">
        <v>82</v>
      </c>
      <c r="B102" t="s">
        <v>9</v>
      </c>
      <c r="C102">
        <v>0</v>
      </c>
      <c r="E102">
        <f t="shared" si="1"/>
        <v>0</v>
      </c>
    </row>
    <row r="103" spans="1:6" x14ac:dyDescent="0.3">
      <c r="A103" t="s">
        <v>84</v>
      </c>
      <c r="B103" t="s">
        <v>30</v>
      </c>
      <c r="C103">
        <v>73</v>
      </c>
      <c r="D103">
        <v>18000</v>
      </c>
      <c r="E103">
        <f t="shared" si="1"/>
        <v>1314000</v>
      </c>
    </row>
    <row r="104" spans="1:6" hidden="1" x14ac:dyDescent="0.3">
      <c r="A104" t="s">
        <v>85</v>
      </c>
      <c r="B104" t="s">
        <v>30</v>
      </c>
      <c r="C104">
        <v>0</v>
      </c>
      <c r="E104">
        <f t="shared" si="1"/>
        <v>0</v>
      </c>
    </row>
    <row r="105" spans="1:6" hidden="1" x14ac:dyDescent="0.3">
      <c r="A105" t="s">
        <v>123</v>
      </c>
      <c r="B105" t="s">
        <v>3</v>
      </c>
      <c r="C105">
        <v>0</v>
      </c>
      <c r="E105">
        <f t="shared" si="1"/>
        <v>0</v>
      </c>
    </row>
    <row r="106" spans="1:6" hidden="1" x14ac:dyDescent="0.3">
      <c r="A106" t="s">
        <v>106</v>
      </c>
      <c r="B106" t="s">
        <v>9</v>
      </c>
      <c r="C106">
        <v>0</v>
      </c>
      <c r="E106">
        <f t="shared" si="1"/>
        <v>0</v>
      </c>
    </row>
    <row r="107" spans="1:6" x14ac:dyDescent="0.3">
      <c r="A107" t="s">
        <v>88</v>
      </c>
      <c r="B107" t="s">
        <v>9</v>
      </c>
      <c r="C107">
        <v>835</v>
      </c>
      <c r="D107">
        <v>11361</v>
      </c>
      <c r="E107">
        <f t="shared" si="1"/>
        <v>9486435</v>
      </c>
    </row>
    <row r="108" spans="1:6" x14ac:dyDescent="0.3">
      <c r="A108" t="s">
        <v>89</v>
      </c>
      <c r="B108" t="s">
        <v>3</v>
      </c>
      <c r="C108">
        <v>1360</v>
      </c>
      <c r="D108">
        <v>31000</v>
      </c>
      <c r="E108">
        <f t="shared" si="1"/>
        <v>42160000</v>
      </c>
      <c r="F108" t="s">
        <v>143</v>
      </c>
    </row>
    <row r="109" spans="1:6" x14ac:dyDescent="0.3">
      <c r="A109" t="s">
        <v>90</v>
      </c>
      <c r="B109" t="s">
        <v>3</v>
      </c>
      <c r="C109">
        <v>2</v>
      </c>
      <c r="D109">
        <v>30000</v>
      </c>
      <c r="E109">
        <f t="shared" si="1"/>
        <v>60000</v>
      </c>
    </row>
    <row r="110" spans="1:6" hidden="1" x14ac:dyDescent="0.3">
      <c r="A110" t="s">
        <v>91</v>
      </c>
      <c r="B110" t="s">
        <v>25</v>
      </c>
      <c r="C110">
        <v>0</v>
      </c>
      <c r="E110">
        <f t="shared" si="1"/>
        <v>0</v>
      </c>
    </row>
    <row r="111" spans="1:6" hidden="1" x14ac:dyDescent="0.3">
      <c r="A111" t="s">
        <v>92</v>
      </c>
      <c r="B111" t="s">
        <v>3</v>
      </c>
      <c r="C111">
        <v>0</v>
      </c>
      <c r="E111">
        <f t="shared" si="1"/>
        <v>0</v>
      </c>
    </row>
    <row r="112" spans="1:6" hidden="1" x14ac:dyDescent="0.3">
      <c r="A112" t="s">
        <v>114</v>
      </c>
      <c r="B112" t="s">
        <v>3</v>
      </c>
      <c r="C112">
        <v>0</v>
      </c>
      <c r="E112">
        <f t="shared" si="1"/>
        <v>0</v>
      </c>
    </row>
    <row r="113" spans="1:5" x14ac:dyDescent="0.3">
      <c r="A113" t="s">
        <v>93</v>
      </c>
      <c r="B113" t="s">
        <v>3</v>
      </c>
      <c r="C113">
        <v>16</v>
      </c>
      <c r="D113">
        <v>33000</v>
      </c>
      <c r="E113">
        <f t="shared" si="1"/>
        <v>528000</v>
      </c>
    </row>
    <row r="114" spans="1:5" hidden="1" x14ac:dyDescent="0.3">
      <c r="A114" t="s">
        <v>94</v>
      </c>
      <c r="B114" t="s">
        <v>3</v>
      </c>
      <c r="C114">
        <v>0</v>
      </c>
      <c r="E114">
        <f t="shared" si="1"/>
        <v>0</v>
      </c>
    </row>
    <row r="115" spans="1:5" x14ac:dyDescent="0.3">
      <c r="A115" t="s">
        <v>95</v>
      </c>
      <c r="B115" t="s">
        <v>40</v>
      </c>
      <c r="C115">
        <v>35</v>
      </c>
      <c r="D115">
        <v>6800</v>
      </c>
      <c r="E115">
        <f t="shared" si="1"/>
        <v>238000</v>
      </c>
    </row>
    <row r="116" spans="1:5" hidden="1" x14ac:dyDescent="0.3">
      <c r="A116" t="s">
        <v>96</v>
      </c>
      <c r="B116" t="s">
        <v>3</v>
      </c>
      <c r="C116">
        <v>0</v>
      </c>
      <c r="E116">
        <f t="shared" si="1"/>
        <v>0</v>
      </c>
    </row>
    <row r="117" spans="1:5" hidden="1" x14ac:dyDescent="0.3">
      <c r="A117" t="s">
        <v>97</v>
      </c>
      <c r="B117" t="s">
        <v>40</v>
      </c>
      <c r="C117">
        <v>0</v>
      </c>
      <c r="E117">
        <f t="shared" si="1"/>
        <v>0</v>
      </c>
    </row>
    <row r="118" spans="1:5" hidden="1" x14ac:dyDescent="0.3">
      <c r="A118" t="s">
        <v>98</v>
      </c>
      <c r="B118" t="s">
        <v>3</v>
      </c>
      <c r="C118">
        <v>0</v>
      </c>
      <c r="E118">
        <f t="shared" si="1"/>
        <v>0</v>
      </c>
    </row>
    <row r="119" spans="1:5" hidden="1" x14ac:dyDescent="0.3">
      <c r="A119" t="s">
        <v>99</v>
      </c>
      <c r="B119" t="s">
        <v>3</v>
      </c>
      <c r="C119">
        <v>0</v>
      </c>
      <c r="E119">
        <f t="shared" si="1"/>
        <v>0</v>
      </c>
    </row>
    <row r="120" spans="1:5" hidden="1" x14ac:dyDescent="0.3">
      <c r="A120" t="s">
        <v>100</v>
      </c>
      <c r="B120" t="s">
        <v>40</v>
      </c>
      <c r="C120">
        <v>0</v>
      </c>
      <c r="E120">
        <f t="shared" si="1"/>
        <v>0</v>
      </c>
    </row>
    <row r="121" spans="1:5" x14ac:dyDescent="0.3">
      <c r="E121">
        <f>SUM(E3:E115)</f>
        <v>281887935</v>
      </c>
    </row>
    <row r="122" spans="1:5" hidden="1" x14ac:dyDescent="0.3">
      <c r="A122" t="s">
        <v>110</v>
      </c>
    </row>
    <row r="123" spans="1:5" x14ac:dyDescent="0.3">
      <c r="A123" t="s">
        <v>0</v>
      </c>
      <c r="B123" t="s">
        <v>1</v>
      </c>
      <c r="C123" t="s">
        <v>107</v>
      </c>
      <c r="D123" t="s">
        <v>108</v>
      </c>
      <c r="E123" t="s">
        <v>109</v>
      </c>
    </row>
    <row r="124" spans="1:5" x14ac:dyDescent="0.3">
      <c r="A124" t="s">
        <v>2</v>
      </c>
      <c r="B124" t="s">
        <v>3</v>
      </c>
      <c r="C124">
        <v>6</v>
      </c>
      <c r="D124">
        <v>11000</v>
      </c>
      <c r="E124">
        <f t="shared" si="1"/>
        <v>66000</v>
      </c>
    </row>
    <row r="125" spans="1:5" x14ac:dyDescent="0.3">
      <c r="A125" t="s">
        <v>4</v>
      </c>
      <c r="B125" t="s">
        <v>3</v>
      </c>
      <c r="C125">
        <v>200</v>
      </c>
      <c r="D125">
        <v>5500</v>
      </c>
      <c r="E125">
        <f t="shared" si="1"/>
        <v>1100000</v>
      </c>
    </row>
    <row r="126" spans="1:5" x14ac:dyDescent="0.3">
      <c r="A126" t="s">
        <v>5</v>
      </c>
      <c r="B126" t="s">
        <v>3</v>
      </c>
      <c r="C126">
        <v>198.00000000000003</v>
      </c>
      <c r="D126">
        <v>5500</v>
      </c>
      <c r="E126">
        <f t="shared" si="1"/>
        <v>1089000.0000000002</v>
      </c>
    </row>
    <row r="127" spans="1:5" x14ac:dyDescent="0.3">
      <c r="A127" t="s">
        <v>119</v>
      </c>
      <c r="B127" t="s">
        <v>3</v>
      </c>
      <c r="C127">
        <v>20</v>
      </c>
      <c r="D127">
        <v>22000</v>
      </c>
      <c r="E127">
        <f t="shared" si="1"/>
        <v>440000</v>
      </c>
    </row>
    <row r="128" spans="1:5" x14ac:dyDescent="0.3">
      <c r="A128" t="s">
        <v>7</v>
      </c>
      <c r="B128" t="s">
        <v>3</v>
      </c>
      <c r="C128">
        <v>55.000000000000007</v>
      </c>
      <c r="D128">
        <v>9000</v>
      </c>
      <c r="E128">
        <f t="shared" si="1"/>
        <v>495000.00000000006</v>
      </c>
    </row>
    <row r="129" spans="1:5" x14ac:dyDescent="0.3">
      <c r="A129" t="s">
        <v>8</v>
      </c>
      <c r="B129" t="s">
        <v>3</v>
      </c>
      <c r="C129">
        <v>10</v>
      </c>
      <c r="D129">
        <v>8000</v>
      </c>
      <c r="E129">
        <f t="shared" si="1"/>
        <v>80000</v>
      </c>
    </row>
    <row r="130" spans="1:5" x14ac:dyDescent="0.3">
      <c r="A130" t="s">
        <v>102</v>
      </c>
      <c r="B130" t="s">
        <v>3</v>
      </c>
      <c r="C130">
        <v>36</v>
      </c>
      <c r="D130">
        <v>13000</v>
      </c>
      <c r="E130">
        <f t="shared" si="1"/>
        <v>468000</v>
      </c>
    </row>
    <row r="131" spans="1:5" x14ac:dyDescent="0.3">
      <c r="A131" t="s">
        <v>18</v>
      </c>
      <c r="B131" t="s">
        <v>3</v>
      </c>
      <c r="C131">
        <v>22</v>
      </c>
      <c r="D131">
        <v>16000</v>
      </c>
      <c r="E131">
        <f t="shared" si="1"/>
        <v>352000</v>
      </c>
    </row>
    <row r="132" spans="1:5" x14ac:dyDescent="0.3">
      <c r="A132" t="s">
        <v>28</v>
      </c>
      <c r="B132" t="s">
        <v>3</v>
      </c>
      <c r="C132">
        <v>220.00000000000003</v>
      </c>
      <c r="D132">
        <v>11000</v>
      </c>
      <c r="E132">
        <f t="shared" si="1"/>
        <v>2420000.0000000005</v>
      </c>
    </row>
    <row r="133" spans="1:5" x14ac:dyDescent="0.3">
      <c r="A133" t="s">
        <v>31</v>
      </c>
      <c r="B133" t="s">
        <v>3</v>
      </c>
      <c r="C133">
        <v>100</v>
      </c>
      <c r="D133">
        <v>10000</v>
      </c>
      <c r="E133">
        <f t="shared" si="1"/>
        <v>1000000</v>
      </c>
    </row>
    <row r="134" spans="1:5" x14ac:dyDescent="0.3">
      <c r="A134" t="s">
        <v>33</v>
      </c>
      <c r="B134" t="s">
        <v>3</v>
      </c>
      <c r="C134">
        <v>10</v>
      </c>
      <c r="D134">
        <v>8000</v>
      </c>
      <c r="E134">
        <f t="shared" ref="E134:E161" si="2">C134*D134</f>
        <v>80000</v>
      </c>
    </row>
    <row r="135" spans="1:5" x14ac:dyDescent="0.3">
      <c r="A135" t="s">
        <v>38</v>
      </c>
      <c r="B135" t="s">
        <v>3</v>
      </c>
      <c r="C135">
        <v>176</v>
      </c>
      <c r="D135">
        <v>5500</v>
      </c>
      <c r="E135">
        <f t="shared" si="2"/>
        <v>968000</v>
      </c>
    </row>
    <row r="136" spans="1:5" hidden="1" x14ac:dyDescent="0.3">
      <c r="A136" t="s">
        <v>103</v>
      </c>
      <c r="B136" t="s">
        <v>3</v>
      </c>
      <c r="C136">
        <v>0</v>
      </c>
      <c r="E136">
        <f t="shared" si="2"/>
        <v>0</v>
      </c>
    </row>
    <row r="137" spans="1:5" hidden="1" x14ac:dyDescent="0.3">
      <c r="A137" t="s">
        <v>104</v>
      </c>
      <c r="B137" t="s">
        <v>3</v>
      </c>
      <c r="C137">
        <v>0</v>
      </c>
      <c r="E137">
        <f t="shared" si="2"/>
        <v>0</v>
      </c>
    </row>
    <row r="138" spans="1:5" x14ac:dyDescent="0.3">
      <c r="A138" t="s">
        <v>39</v>
      </c>
      <c r="B138" t="s">
        <v>3</v>
      </c>
      <c r="C138">
        <v>22</v>
      </c>
      <c r="D138">
        <v>9000</v>
      </c>
      <c r="E138">
        <f t="shared" si="2"/>
        <v>198000</v>
      </c>
    </row>
    <row r="139" spans="1:5" hidden="1" x14ac:dyDescent="0.3">
      <c r="A139" t="s">
        <v>105</v>
      </c>
      <c r="B139" t="s">
        <v>3</v>
      </c>
      <c r="C139">
        <v>0</v>
      </c>
      <c r="E139">
        <f t="shared" si="2"/>
        <v>0</v>
      </c>
    </row>
    <row r="140" spans="1:5" x14ac:dyDescent="0.3">
      <c r="A140" t="s">
        <v>41</v>
      </c>
      <c r="B140" t="s">
        <v>3</v>
      </c>
      <c r="C140">
        <v>15</v>
      </c>
      <c r="D140">
        <v>14000</v>
      </c>
      <c r="E140">
        <f t="shared" si="2"/>
        <v>210000</v>
      </c>
    </row>
    <row r="141" spans="1:5" x14ac:dyDescent="0.3">
      <c r="A141" t="s">
        <v>44</v>
      </c>
      <c r="B141" t="s">
        <v>3</v>
      </c>
      <c r="C141">
        <v>10</v>
      </c>
      <c r="D141">
        <v>6500</v>
      </c>
      <c r="E141">
        <f t="shared" si="2"/>
        <v>65000</v>
      </c>
    </row>
    <row r="142" spans="1:5" x14ac:dyDescent="0.3">
      <c r="A142" t="s">
        <v>45</v>
      </c>
      <c r="B142" t="s">
        <v>3</v>
      </c>
      <c r="C142">
        <v>5</v>
      </c>
      <c r="D142">
        <v>11000</v>
      </c>
      <c r="E142">
        <f t="shared" si="2"/>
        <v>55000</v>
      </c>
    </row>
    <row r="143" spans="1:5" x14ac:dyDescent="0.3">
      <c r="A143" t="s">
        <v>47</v>
      </c>
      <c r="B143" t="s">
        <v>3</v>
      </c>
      <c r="C143">
        <v>50</v>
      </c>
      <c r="D143">
        <v>10000</v>
      </c>
      <c r="E143">
        <f t="shared" si="2"/>
        <v>500000</v>
      </c>
    </row>
    <row r="144" spans="1:5" x14ac:dyDescent="0.3">
      <c r="A144" t="s">
        <v>54</v>
      </c>
      <c r="B144" t="s">
        <v>3</v>
      </c>
      <c r="C144">
        <v>50</v>
      </c>
      <c r="D144">
        <v>15500</v>
      </c>
      <c r="E144">
        <f t="shared" si="2"/>
        <v>775000</v>
      </c>
    </row>
    <row r="145" spans="1:5" x14ac:dyDescent="0.3">
      <c r="A145" t="s">
        <v>59</v>
      </c>
      <c r="B145" t="s">
        <v>3</v>
      </c>
      <c r="C145">
        <v>50</v>
      </c>
      <c r="D145">
        <v>18000</v>
      </c>
      <c r="E145">
        <f t="shared" si="2"/>
        <v>900000</v>
      </c>
    </row>
    <row r="146" spans="1:5" hidden="1" x14ac:dyDescent="0.3">
      <c r="A146" t="s">
        <v>61</v>
      </c>
      <c r="B146" t="s">
        <v>3</v>
      </c>
      <c r="C146">
        <v>0</v>
      </c>
      <c r="E146">
        <f t="shared" si="2"/>
        <v>0</v>
      </c>
    </row>
    <row r="147" spans="1:5" hidden="1" x14ac:dyDescent="0.3">
      <c r="A147" t="s">
        <v>62</v>
      </c>
      <c r="B147" t="s">
        <v>30</v>
      </c>
      <c r="C147">
        <v>0</v>
      </c>
      <c r="E147">
        <f t="shared" si="2"/>
        <v>0</v>
      </c>
    </row>
    <row r="148" spans="1:5" x14ac:dyDescent="0.3">
      <c r="A148" t="s">
        <v>63</v>
      </c>
      <c r="B148" t="s">
        <v>30</v>
      </c>
      <c r="C148">
        <v>12</v>
      </c>
      <c r="D148">
        <v>9000</v>
      </c>
      <c r="E148">
        <f t="shared" si="2"/>
        <v>108000</v>
      </c>
    </row>
    <row r="149" spans="1:5" hidden="1" x14ac:dyDescent="0.3">
      <c r="A149" t="s">
        <v>68</v>
      </c>
      <c r="B149" t="s">
        <v>3</v>
      </c>
      <c r="C149">
        <v>0</v>
      </c>
      <c r="E149">
        <f t="shared" si="2"/>
        <v>0</v>
      </c>
    </row>
    <row r="150" spans="1:5" x14ac:dyDescent="0.3">
      <c r="A150" t="s">
        <v>68</v>
      </c>
      <c r="B150" t="s">
        <v>17</v>
      </c>
      <c r="C150">
        <v>36</v>
      </c>
      <c r="D150">
        <v>6000</v>
      </c>
      <c r="E150">
        <f t="shared" si="2"/>
        <v>216000</v>
      </c>
    </row>
    <row r="151" spans="1:5" hidden="1" x14ac:dyDescent="0.3">
      <c r="A151" t="s">
        <v>71</v>
      </c>
      <c r="B151" t="s">
        <v>3</v>
      </c>
      <c r="C151">
        <v>0</v>
      </c>
      <c r="E151">
        <f t="shared" si="2"/>
        <v>0</v>
      </c>
    </row>
    <row r="152" spans="1:5" hidden="1" x14ac:dyDescent="0.3">
      <c r="A152" t="s">
        <v>72</v>
      </c>
      <c r="B152" t="s">
        <v>3</v>
      </c>
      <c r="C152">
        <v>0</v>
      </c>
      <c r="E152">
        <f t="shared" si="2"/>
        <v>0</v>
      </c>
    </row>
    <row r="153" spans="1:5" hidden="1" x14ac:dyDescent="0.3">
      <c r="A153" t="s">
        <v>73</v>
      </c>
      <c r="B153" t="s">
        <v>3</v>
      </c>
      <c r="C153">
        <v>0</v>
      </c>
      <c r="E153">
        <f t="shared" si="2"/>
        <v>0</v>
      </c>
    </row>
    <row r="154" spans="1:5" x14ac:dyDescent="0.3">
      <c r="A154" t="s">
        <v>78</v>
      </c>
      <c r="B154" t="s">
        <v>3</v>
      </c>
      <c r="C154">
        <v>5</v>
      </c>
      <c r="D154">
        <v>26000</v>
      </c>
      <c r="E154">
        <f t="shared" si="2"/>
        <v>130000</v>
      </c>
    </row>
    <row r="155" spans="1:5" x14ac:dyDescent="0.3">
      <c r="A155" t="s">
        <v>80</v>
      </c>
      <c r="B155" t="s">
        <v>3</v>
      </c>
      <c r="C155">
        <v>5</v>
      </c>
      <c r="D155">
        <v>22000</v>
      </c>
      <c r="E155">
        <f t="shared" si="2"/>
        <v>110000</v>
      </c>
    </row>
    <row r="156" spans="1:5" x14ac:dyDescent="0.3">
      <c r="A156" t="s">
        <v>82</v>
      </c>
      <c r="B156" t="s">
        <v>3</v>
      </c>
      <c r="C156">
        <v>5</v>
      </c>
      <c r="D156">
        <v>30000</v>
      </c>
      <c r="E156">
        <f t="shared" si="2"/>
        <v>150000</v>
      </c>
    </row>
    <row r="157" spans="1:5" x14ac:dyDescent="0.3">
      <c r="A157" t="s">
        <v>92</v>
      </c>
      <c r="B157" t="s">
        <v>3</v>
      </c>
      <c r="C157">
        <v>110</v>
      </c>
      <c r="D157">
        <v>10000</v>
      </c>
      <c r="E157">
        <f t="shared" si="2"/>
        <v>1100000</v>
      </c>
    </row>
    <row r="158" spans="1:5" hidden="1" x14ac:dyDescent="0.3">
      <c r="A158" t="s">
        <v>94</v>
      </c>
      <c r="B158" t="s">
        <v>40</v>
      </c>
      <c r="C158">
        <v>0</v>
      </c>
      <c r="E158">
        <f t="shared" si="2"/>
        <v>0</v>
      </c>
    </row>
    <row r="159" spans="1:5" hidden="1" x14ac:dyDescent="0.3">
      <c r="A159" t="s">
        <v>95</v>
      </c>
      <c r="B159" t="s">
        <v>40</v>
      </c>
      <c r="C159">
        <v>0</v>
      </c>
      <c r="E159">
        <f t="shared" si="2"/>
        <v>0</v>
      </c>
    </row>
    <row r="160" spans="1:5" hidden="1" x14ac:dyDescent="0.3">
      <c r="A160" t="s">
        <v>97</v>
      </c>
      <c r="B160" t="s">
        <v>40</v>
      </c>
      <c r="C160">
        <v>0</v>
      </c>
      <c r="E160">
        <f t="shared" si="2"/>
        <v>0</v>
      </c>
    </row>
    <row r="161" spans="1:5" hidden="1" x14ac:dyDescent="0.3">
      <c r="A161" t="s">
        <v>100</v>
      </c>
      <c r="B161" t="s">
        <v>40</v>
      </c>
      <c r="C161">
        <v>0</v>
      </c>
      <c r="E161">
        <f t="shared" si="2"/>
        <v>0</v>
      </c>
    </row>
    <row r="162" spans="1:5" x14ac:dyDescent="0.3">
      <c r="E162">
        <f>SUM(E124:E157)</f>
        <v>13075000</v>
      </c>
    </row>
    <row r="163" spans="1:5" x14ac:dyDescent="0.3">
      <c r="E163">
        <f>E162+E121</f>
        <v>294962935</v>
      </c>
    </row>
  </sheetData>
  <autoFilter ref="A2:E163" xr:uid="{00000000-0009-0000-0000-00000B000000}">
    <filterColumn colId="4">
      <filters>
        <filter val="1000000"/>
        <filter val="105000"/>
        <filter val="1050000"/>
        <filter val="108000"/>
        <filter val="1089000"/>
        <filter val="110000"/>
        <filter val="1100000"/>
        <filter val="1125000"/>
        <filter val="1160000"/>
        <filter val="121000"/>
        <filter val="130000"/>
        <filter val="13075000"/>
        <filter val="1314000"/>
        <filter val="132000"/>
        <filter val="150000"/>
        <filter val="15600"/>
        <filter val="1680000"/>
        <filter val="1800000"/>
        <filter val="182000"/>
        <filter val="196000"/>
        <filter val="198000"/>
        <filter val="2046000"/>
        <filter val="207000"/>
        <filter val="210000"/>
        <filter val="216000"/>
        <filter val="234000"/>
        <filter val="238000"/>
        <filter val="240000"/>
        <filter val="2420000"/>
        <filter val="2450000"/>
        <filter val="2585000"/>
        <filter val="266000"/>
        <filter val="275000"/>
        <filter val="281887935"/>
        <filter val="294000"/>
        <filter val="294962935"/>
        <filter val="32000"/>
        <filter val="340000"/>
        <filter val="35000"/>
        <filter val="352000"/>
        <filter val="3642500"/>
        <filter val="3900000"/>
        <filter val="392000"/>
        <filter val="3924000"/>
        <filter val="396000"/>
        <filter val="40000"/>
        <filter val="42160000"/>
        <filter val="440000"/>
        <filter val="4524000"/>
        <filter val="468000"/>
        <filter val="480000"/>
        <filter val="495000"/>
        <filter val="496000"/>
        <filter val="500000"/>
        <filter val="50820000"/>
        <filter val="5175000"/>
        <filter val="528000"/>
        <filter val="540000"/>
        <filter val="54675000"/>
        <filter val="55000"/>
        <filter val="60000"/>
        <filter val="65000"/>
        <filter val="66000"/>
        <filter val="66516000"/>
        <filter val="737000"/>
        <filter val="775000"/>
        <filter val="7920000"/>
        <filter val="799200"/>
        <filter val="80000"/>
        <filter val="810000"/>
        <filter val="84000"/>
        <filter val="900000"/>
        <filter val="919200"/>
        <filter val="9486435"/>
        <filter val="968000"/>
        <filter val="thành tiền"/>
      </filters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/>
  <dimension ref="A1:F146"/>
  <sheetViews>
    <sheetView topLeftCell="A35" workbookViewId="0">
      <selection activeCell="E146" sqref="E146"/>
    </sheetView>
  </sheetViews>
  <sheetFormatPr defaultRowHeight="14.4" x14ac:dyDescent="0.3"/>
  <cols>
    <col min="1" max="1" width="30.44140625" customWidth="1"/>
    <col min="4" max="4" width="11.88671875" customWidth="1"/>
    <col min="5" max="5" width="16.6640625" customWidth="1"/>
  </cols>
  <sheetData>
    <row r="1" spans="1:5" x14ac:dyDescent="0.3">
      <c r="A1" t="s">
        <v>144</v>
      </c>
    </row>
    <row r="2" spans="1:5" x14ac:dyDescent="0.3">
      <c r="A2" t="s">
        <v>127</v>
      </c>
      <c r="B2" t="s">
        <v>1</v>
      </c>
      <c r="C2" t="s">
        <v>107</v>
      </c>
      <c r="D2" t="s">
        <v>108</v>
      </c>
      <c r="E2" t="s">
        <v>109</v>
      </c>
    </row>
    <row r="3" spans="1:5" x14ac:dyDescent="0.3">
      <c r="A3" t="s">
        <v>2</v>
      </c>
      <c r="B3" t="s">
        <v>3</v>
      </c>
      <c r="C3">
        <v>20</v>
      </c>
      <c r="D3">
        <v>12000</v>
      </c>
      <c r="E3">
        <f>C3*D3</f>
        <v>240000</v>
      </c>
    </row>
    <row r="4" spans="1:5" hidden="1" x14ac:dyDescent="0.3">
      <c r="A4" t="s">
        <v>4</v>
      </c>
      <c r="B4" t="s">
        <v>3</v>
      </c>
      <c r="C4">
        <v>0</v>
      </c>
      <c r="E4">
        <f t="shared" ref="E4:E67" si="0">C4*D4</f>
        <v>0</v>
      </c>
    </row>
    <row r="5" spans="1:5" x14ac:dyDescent="0.3">
      <c r="A5" t="s">
        <v>5</v>
      </c>
      <c r="B5" t="s">
        <v>3</v>
      </c>
      <c r="C5">
        <v>185</v>
      </c>
      <c r="D5">
        <v>5000</v>
      </c>
      <c r="E5">
        <f t="shared" si="0"/>
        <v>925000</v>
      </c>
    </row>
    <row r="6" spans="1:5" x14ac:dyDescent="0.3">
      <c r="A6" t="s">
        <v>6</v>
      </c>
      <c r="B6" t="s">
        <v>3</v>
      </c>
      <c r="C6">
        <v>28</v>
      </c>
      <c r="D6">
        <v>9500</v>
      </c>
      <c r="E6">
        <f t="shared" si="0"/>
        <v>266000</v>
      </c>
    </row>
    <row r="7" spans="1:5" hidden="1" x14ac:dyDescent="0.3">
      <c r="A7" t="s">
        <v>7</v>
      </c>
      <c r="B7" t="s">
        <v>3</v>
      </c>
      <c r="C7">
        <v>0</v>
      </c>
      <c r="E7">
        <f t="shared" si="0"/>
        <v>0</v>
      </c>
    </row>
    <row r="8" spans="1:5" x14ac:dyDescent="0.3">
      <c r="A8" t="s">
        <v>8</v>
      </c>
      <c r="B8" t="s">
        <v>3</v>
      </c>
      <c r="C8">
        <v>120</v>
      </c>
      <c r="D8">
        <v>8000</v>
      </c>
      <c r="E8">
        <f t="shared" si="0"/>
        <v>960000</v>
      </c>
    </row>
    <row r="9" spans="1:5" hidden="1" x14ac:dyDescent="0.3">
      <c r="A9" t="s">
        <v>8</v>
      </c>
      <c r="B9" t="s">
        <v>9</v>
      </c>
      <c r="C9">
        <v>0</v>
      </c>
      <c r="E9">
        <f t="shared" si="0"/>
        <v>0</v>
      </c>
    </row>
    <row r="10" spans="1:5" x14ac:dyDescent="0.3">
      <c r="A10" t="s">
        <v>10</v>
      </c>
      <c r="B10" t="s">
        <v>3</v>
      </c>
      <c r="C10">
        <v>40</v>
      </c>
      <c r="D10">
        <v>14000</v>
      </c>
      <c r="E10">
        <f t="shared" si="0"/>
        <v>560000</v>
      </c>
    </row>
    <row r="11" spans="1:5" hidden="1" x14ac:dyDescent="0.3">
      <c r="A11" t="s">
        <v>10</v>
      </c>
      <c r="B11" t="s">
        <v>9</v>
      </c>
      <c r="C11">
        <v>0</v>
      </c>
      <c r="E11">
        <f t="shared" si="0"/>
        <v>0</v>
      </c>
    </row>
    <row r="12" spans="1:5" x14ac:dyDescent="0.3">
      <c r="A12" t="s">
        <v>12</v>
      </c>
      <c r="B12" t="s">
        <v>3</v>
      </c>
      <c r="C12">
        <v>7</v>
      </c>
      <c r="D12">
        <v>12000</v>
      </c>
      <c r="E12">
        <f t="shared" si="0"/>
        <v>84000</v>
      </c>
    </row>
    <row r="13" spans="1:5" x14ac:dyDescent="0.3">
      <c r="A13" t="s">
        <v>13</v>
      </c>
      <c r="B13" t="s">
        <v>3</v>
      </c>
      <c r="C13">
        <v>50</v>
      </c>
      <c r="D13">
        <v>12000</v>
      </c>
      <c r="E13">
        <f t="shared" si="0"/>
        <v>600000</v>
      </c>
    </row>
    <row r="14" spans="1:5" hidden="1" x14ac:dyDescent="0.3">
      <c r="A14" t="s">
        <v>14</v>
      </c>
      <c r="B14" t="s">
        <v>3</v>
      </c>
      <c r="C14">
        <v>0</v>
      </c>
      <c r="E14">
        <f t="shared" si="0"/>
        <v>0</v>
      </c>
    </row>
    <row r="15" spans="1:5" hidden="1" x14ac:dyDescent="0.3">
      <c r="A15" t="s">
        <v>15</v>
      </c>
      <c r="B15" t="s">
        <v>3</v>
      </c>
      <c r="C15">
        <v>0</v>
      </c>
      <c r="E15">
        <f t="shared" si="0"/>
        <v>0</v>
      </c>
    </row>
    <row r="16" spans="1:5" x14ac:dyDescent="0.3">
      <c r="A16" t="s">
        <v>16</v>
      </c>
      <c r="B16" t="s">
        <v>17</v>
      </c>
      <c r="C16">
        <v>10</v>
      </c>
      <c r="D16">
        <v>7000</v>
      </c>
      <c r="E16">
        <f t="shared" si="0"/>
        <v>70000</v>
      </c>
    </row>
    <row r="17" spans="1:5" x14ac:dyDescent="0.3">
      <c r="A17" t="s">
        <v>18</v>
      </c>
      <c r="B17" t="s">
        <v>3</v>
      </c>
      <c r="C17">
        <v>505</v>
      </c>
      <c r="D17">
        <v>19000</v>
      </c>
      <c r="E17">
        <f t="shared" si="0"/>
        <v>9595000</v>
      </c>
    </row>
    <row r="18" spans="1:5" hidden="1" x14ac:dyDescent="0.3">
      <c r="A18" t="s">
        <v>18</v>
      </c>
      <c r="B18" t="s">
        <v>19</v>
      </c>
      <c r="C18">
        <v>0</v>
      </c>
      <c r="E18">
        <f t="shared" si="0"/>
        <v>0</v>
      </c>
    </row>
    <row r="19" spans="1:5" x14ac:dyDescent="0.3">
      <c r="A19" t="s">
        <v>20</v>
      </c>
      <c r="B19" t="s">
        <v>3</v>
      </c>
      <c r="C19">
        <v>42</v>
      </c>
      <c r="D19">
        <v>16000</v>
      </c>
      <c r="E19">
        <f t="shared" si="0"/>
        <v>672000</v>
      </c>
    </row>
    <row r="20" spans="1:5" hidden="1" x14ac:dyDescent="0.3">
      <c r="A20" t="s">
        <v>20</v>
      </c>
      <c r="B20" t="s">
        <v>21</v>
      </c>
      <c r="C20">
        <v>0</v>
      </c>
      <c r="E20">
        <f t="shared" si="0"/>
        <v>0</v>
      </c>
    </row>
    <row r="21" spans="1:5" x14ac:dyDescent="0.3">
      <c r="A21" t="s">
        <v>22</v>
      </c>
      <c r="B21" t="s">
        <v>3</v>
      </c>
      <c r="C21">
        <v>6</v>
      </c>
      <c r="D21">
        <v>21000</v>
      </c>
      <c r="E21">
        <f t="shared" si="0"/>
        <v>126000</v>
      </c>
    </row>
    <row r="22" spans="1:5" x14ac:dyDescent="0.3">
      <c r="A22" t="s">
        <v>22</v>
      </c>
      <c r="B22" t="s">
        <v>23</v>
      </c>
      <c r="C22">
        <v>75</v>
      </c>
      <c r="D22">
        <v>6300</v>
      </c>
      <c r="E22">
        <f t="shared" si="0"/>
        <v>472500</v>
      </c>
    </row>
    <row r="23" spans="1:5" x14ac:dyDescent="0.3">
      <c r="A23" t="s">
        <v>24</v>
      </c>
      <c r="B23" t="s">
        <v>25</v>
      </c>
      <c r="C23">
        <v>3</v>
      </c>
      <c r="D23">
        <v>11200</v>
      </c>
      <c r="E23">
        <f t="shared" si="0"/>
        <v>33600</v>
      </c>
    </row>
    <row r="24" spans="1:5" hidden="1" x14ac:dyDescent="0.3">
      <c r="A24" t="s">
        <v>26</v>
      </c>
      <c r="B24" t="s">
        <v>3</v>
      </c>
      <c r="C24">
        <v>0</v>
      </c>
      <c r="E24">
        <f t="shared" si="0"/>
        <v>0</v>
      </c>
    </row>
    <row r="25" spans="1:5" x14ac:dyDescent="0.3">
      <c r="A25" t="s">
        <v>26</v>
      </c>
      <c r="B25" t="s">
        <v>23</v>
      </c>
      <c r="C25">
        <v>110</v>
      </c>
      <c r="D25">
        <v>8400</v>
      </c>
      <c r="E25">
        <f t="shared" si="0"/>
        <v>924000</v>
      </c>
    </row>
    <row r="26" spans="1:5" x14ac:dyDescent="0.3">
      <c r="A26" t="s">
        <v>26</v>
      </c>
      <c r="B26" t="s">
        <v>27</v>
      </c>
      <c r="C26">
        <v>190</v>
      </c>
      <c r="D26">
        <v>7000</v>
      </c>
      <c r="E26">
        <f t="shared" si="0"/>
        <v>1330000</v>
      </c>
    </row>
    <row r="27" spans="1:5" x14ac:dyDescent="0.3">
      <c r="A27" t="s">
        <v>28</v>
      </c>
      <c r="B27" t="s">
        <v>3</v>
      </c>
      <c r="C27">
        <v>365</v>
      </c>
      <c r="D27">
        <v>11000</v>
      </c>
      <c r="E27">
        <f t="shared" si="0"/>
        <v>4015000</v>
      </c>
    </row>
    <row r="28" spans="1:5" hidden="1" x14ac:dyDescent="0.3">
      <c r="A28" t="s">
        <v>28</v>
      </c>
      <c r="B28" t="s">
        <v>17</v>
      </c>
      <c r="C28">
        <v>0</v>
      </c>
      <c r="E28">
        <f t="shared" si="0"/>
        <v>0</v>
      </c>
    </row>
    <row r="29" spans="1:5" x14ac:dyDescent="0.3">
      <c r="A29" t="s">
        <v>29</v>
      </c>
      <c r="B29" t="s">
        <v>30</v>
      </c>
      <c r="C29">
        <v>90</v>
      </c>
      <c r="D29">
        <v>6000</v>
      </c>
      <c r="E29">
        <f t="shared" si="0"/>
        <v>540000</v>
      </c>
    </row>
    <row r="30" spans="1:5" x14ac:dyDescent="0.3">
      <c r="A30" t="s">
        <v>31</v>
      </c>
      <c r="B30" t="s">
        <v>3</v>
      </c>
      <c r="C30">
        <v>97</v>
      </c>
      <c r="D30">
        <v>10000</v>
      </c>
      <c r="E30">
        <f t="shared" si="0"/>
        <v>970000</v>
      </c>
    </row>
    <row r="31" spans="1:5" hidden="1" x14ac:dyDescent="0.3">
      <c r="A31" t="s">
        <v>31</v>
      </c>
      <c r="B31" t="s">
        <v>30</v>
      </c>
      <c r="C31">
        <v>0</v>
      </c>
      <c r="E31">
        <f t="shared" si="0"/>
        <v>0</v>
      </c>
    </row>
    <row r="32" spans="1:5" x14ac:dyDescent="0.3">
      <c r="A32" t="s">
        <v>32</v>
      </c>
      <c r="B32" t="s">
        <v>17</v>
      </c>
      <c r="C32">
        <v>8</v>
      </c>
      <c r="D32">
        <v>7800</v>
      </c>
      <c r="E32">
        <f t="shared" si="0"/>
        <v>62400</v>
      </c>
    </row>
    <row r="33" spans="1:5" x14ac:dyDescent="0.3">
      <c r="A33" t="s">
        <v>33</v>
      </c>
      <c r="B33" t="s">
        <v>3</v>
      </c>
      <c r="C33">
        <v>83</v>
      </c>
      <c r="D33">
        <v>8000</v>
      </c>
      <c r="E33">
        <f t="shared" si="0"/>
        <v>664000</v>
      </c>
    </row>
    <row r="34" spans="1:5" hidden="1" x14ac:dyDescent="0.3">
      <c r="A34" t="s">
        <v>33</v>
      </c>
      <c r="B34" t="s">
        <v>34</v>
      </c>
      <c r="C34">
        <v>0</v>
      </c>
      <c r="E34">
        <f t="shared" si="0"/>
        <v>0</v>
      </c>
    </row>
    <row r="35" spans="1:5" x14ac:dyDescent="0.3">
      <c r="A35" t="s">
        <v>35</v>
      </c>
      <c r="B35" t="s">
        <v>3</v>
      </c>
      <c r="C35">
        <v>8</v>
      </c>
      <c r="D35">
        <v>15000</v>
      </c>
      <c r="E35">
        <f t="shared" si="0"/>
        <v>120000</v>
      </c>
    </row>
    <row r="36" spans="1:5" hidden="1" x14ac:dyDescent="0.3">
      <c r="A36" t="s">
        <v>35</v>
      </c>
      <c r="B36" t="s">
        <v>30</v>
      </c>
      <c r="C36">
        <v>0</v>
      </c>
      <c r="E36">
        <f t="shared" si="0"/>
        <v>0</v>
      </c>
    </row>
    <row r="37" spans="1:5" x14ac:dyDescent="0.3">
      <c r="A37" t="s">
        <v>36</v>
      </c>
      <c r="B37" t="s">
        <v>30</v>
      </c>
      <c r="C37">
        <v>8</v>
      </c>
      <c r="D37">
        <v>6000</v>
      </c>
      <c r="E37">
        <f t="shared" si="0"/>
        <v>48000</v>
      </c>
    </row>
    <row r="38" spans="1:5" x14ac:dyDescent="0.3">
      <c r="A38" t="s">
        <v>37</v>
      </c>
      <c r="B38" t="s">
        <v>30</v>
      </c>
      <c r="C38">
        <v>6</v>
      </c>
      <c r="D38">
        <v>4300</v>
      </c>
      <c r="E38">
        <f t="shared" si="0"/>
        <v>25800</v>
      </c>
    </row>
    <row r="39" spans="1:5" x14ac:dyDescent="0.3">
      <c r="A39" t="s">
        <v>38</v>
      </c>
      <c r="B39" t="s">
        <v>3</v>
      </c>
      <c r="C39">
        <v>465</v>
      </c>
      <c r="D39">
        <v>5500</v>
      </c>
      <c r="E39">
        <f t="shared" si="0"/>
        <v>2557500</v>
      </c>
    </row>
    <row r="40" spans="1:5" x14ac:dyDescent="0.3">
      <c r="A40" t="s">
        <v>103</v>
      </c>
      <c r="B40" t="s">
        <v>3</v>
      </c>
      <c r="C40">
        <v>9</v>
      </c>
      <c r="D40">
        <v>14000</v>
      </c>
      <c r="E40">
        <f t="shared" si="0"/>
        <v>126000</v>
      </c>
    </row>
    <row r="41" spans="1:5" hidden="1" x14ac:dyDescent="0.3">
      <c r="A41" t="s">
        <v>39</v>
      </c>
      <c r="B41" t="s">
        <v>40</v>
      </c>
      <c r="C41">
        <v>0</v>
      </c>
      <c r="E41">
        <f t="shared" si="0"/>
        <v>0</v>
      </c>
    </row>
    <row r="42" spans="1:5" x14ac:dyDescent="0.3">
      <c r="A42" t="s">
        <v>39</v>
      </c>
      <c r="B42" t="s">
        <v>3</v>
      </c>
      <c r="C42">
        <v>20</v>
      </c>
      <c r="D42">
        <v>9000</v>
      </c>
      <c r="E42">
        <f t="shared" si="0"/>
        <v>180000</v>
      </c>
    </row>
    <row r="43" spans="1:5" x14ac:dyDescent="0.3">
      <c r="A43" t="s">
        <v>41</v>
      </c>
      <c r="B43" t="s">
        <v>3</v>
      </c>
      <c r="C43">
        <v>18</v>
      </c>
      <c r="D43">
        <v>14000</v>
      </c>
      <c r="E43">
        <f t="shared" si="0"/>
        <v>252000</v>
      </c>
    </row>
    <row r="44" spans="1:5" x14ac:dyDescent="0.3">
      <c r="A44" t="s">
        <v>42</v>
      </c>
      <c r="B44" t="s">
        <v>25</v>
      </c>
      <c r="C44">
        <v>20</v>
      </c>
      <c r="D44">
        <v>11000</v>
      </c>
      <c r="E44">
        <f t="shared" si="0"/>
        <v>220000</v>
      </c>
    </row>
    <row r="45" spans="1:5" x14ac:dyDescent="0.3">
      <c r="A45" t="s">
        <v>44</v>
      </c>
      <c r="B45" t="s">
        <v>3</v>
      </c>
      <c r="C45">
        <v>68</v>
      </c>
      <c r="D45">
        <v>6000</v>
      </c>
      <c r="E45">
        <f t="shared" si="0"/>
        <v>408000</v>
      </c>
    </row>
    <row r="46" spans="1:5" x14ac:dyDescent="0.3">
      <c r="A46" t="s">
        <v>45</v>
      </c>
      <c r="B46" t="s">
        <v>3</v>
      </c>
      <c r="C46">
        <v>52</v>
      </c>
      <c r="D46">
        <v>11000</v>
      </c>
      <c r="E46">
        <f t="shared" si="0"/>
        <v>572000</v>
      </c>
    </row>
    <row r="47" spans="1:5" hidden="1" x14ac:dyDescent="0.3">
      <c r="A47" t="s">
        <v>45</v>
      </c>
      <c r="B47" t="s">
        <v>30</v>
      </c>
      <c r="C47">
        <v>0</v>
      </c>
      <c r="E47">
        <f t="shared" si="0"/>
        <v>0</v>
      </c>
    </row>
    <row r="48" spans="1:5" x14ac:dyDescent="0.3">
      <c r="A48" t="s">
        <v>46</v>
      </c>
      <c r="B48" t="s">
        <v>3</v>
      </c>
      <c r="C48">
        <v>3</v>
      </c>
      <c r="D48">
        <v>17000</v>
      </c>
      <c r="E48">
        <f t="shared" si="0"/>
        <v>51000</v>
      </c>
    </row>
    <row r="49" spans="1:5" x14ac:dyDescent="0.3">
      <c r="A49" t="s">
        <v>47</v>
      </c>
      <c r="B49" t="s">
        <v>3</v>
      </c>
      <c r="C49">
        <v>167</v>
      </c>
      <c r="D49">
        <v>10000</v>
      </c>
      <c r="E49">
        <f t="shared" si="0"/>
        <v>1670000</v>
      </c>
    </row>
    <row r="50" spans="1:5" hidden="1" x14ac:dyDescent="0.3">
      <c r="A50" t="s">
        <v>47</v>
      </c>
      <c r="B50" t="s">
        <v>48</v>
      </c>
      <c r="C50">
        <v>0</v>
      </c>
      <c r="E50">
        <f t="shared" si="0"/>
        <v>0</v>
      </c>
    </row>
    <row r="51" spans="1:5" x14ac:dyDescent="0.3">
      <c r="A51" t="s">
        <v>50</v>
      </c>
      <c r="B51" t="s">
        <v>30</v>
      </c>
      <c r="C51">
        <v>310</v>
      </c>
      <c r="D51">
        <v>2400</v>
      </c>
      <c r="E51">
        <f t="shared" si="0"/>
        <v>744000</v>
      </c>
    </row>
    <row r="52" spans="1:5" x14ac:dyDescent="0.3">
      <c r="A52" t="s">
        <v>51</v>
      </c>
      <c r="B52" t="s">
        <v>3</v>
      </c>
      <c r="C52">
        <v>1200</v>
      </c>
      <c r="D52">
        <v>28000</v>
      </c>
      <c r="E52">
        <f t="shared" si="0"/>
        <v>33600000</v>
      </c>
    </row>
    <row r="53" spans="1:5" hidden="1" x14ac:dyDescent="0.3">
      <c r="A53" t="s">
        <v>51</v>
      </c>
      <c r="B53" t="s">
        <v>30</v>
      </c>
      <c r="C53">
        <v>0</v>
      </c>
      <c r="E53">
        <f t="shared" si="0"/>
        <v>0</v>
      </c>
    </row>
    <row r="54" spans="1:5" x14ac:dyDescent="0.3">
      <c r="A54" t="s">
        <v>52</v>
      </c>
      <c r="B54" t="s">
        <v>3</v>
      </c>
      <c r="C54">
        <v>2420</v>
      </c>
      <c r="D54">
        <v>27000</v>
      </c>
      <c r="E54">
        <f t="shared" si="0"/>
        <v>65340000</v>
      </c>
    </row>
    <row r="55" spans="1:5" hidden="1" x14ac:dyDescent="0.3">
      <c r="A55" t="s">
        <v>52</v>
      </c>
      <c r="B55" t="s">
        <v>30</v>
      </c>
      <c r="C55">
        <v>0</v>
      </c>
      <c r="E55">
        <f t="shared" si="0"/>
        <v>0</v>
      </c>
    </row>
    <row r="56" spans="1:5" x14ac:dyDescent="0.3">
      <c r="A56" t="s">
        <v>53</v>
      </c>
      <c r="B56" t="s">
        <v>3</v>
      </c>
      <c r="C56">
        <v>700</v>
      </c>
      <c r="D56">
        <v>23000</v>
      </c>
      <c r="E56">
        <f t="shared" si="0"/>
        <v>16100000</v>
      </c>
    </row>
    <row r="57" spans="1:5" x14ac:dyDescent="0.3">
      <c r="A57" t="s">
        <v>54</v>
      </c>
      <c r="B57" t="s">
        <v>3</v>
      </c>
      <c r="C57">
        <v>320</v>
      </c>
      <c r="D57">
        <v>15500</v>
      </c>
      <c r="E57">
        <f t="shared" si="0"/>
        <v>4960000</v>
      </c>
    </row>
    <row r="58" spans="1:5" hidden="1" x14ac:dyDescent="0.3">
      <c r="A58" t="s">
        <v>55</v>
      </c>
      <c r="B58" t="s">
        <v>3</v>
      </c>
      <c r="C58">
        <v>0</v>
      </c>
      <c r="E58">
        <f t="shared" si="0"/>
        <v>0</v>
      </c>
    </row>
    <row r="59" spans="1:5" hidden="1" x14ac:dyDescent="0.3">
      <c r="A59" t="s">
        <v>57</v>
      </c>
      <c r="B59" t="s">
        <v>30</v>
      </c>
      <c r="C59">
        <v>0</v>
      </c>
      <c r="E59">
        <f t="shared" si="0"/>
        <v>0</v>
      </c>
    </row>
    <row r="60" spans="1:5" x14ac:dyDescent="0.3">
      <c r="A60" t="s">
        <v>58</v>
      </c>
      <c r="B60" t="s">
        <v>3</v>
      </c>
      <c r="C60">
        <v>60</v>
      </c>
      <c r="D60">
        <v>30000</v>
      </c>
      <c r="E60">
        <f t="shared" si="0"/>
        <v>1800000</v>
      </c>
    </row>
    <row r="61" spans="1:5" x14ac:dyDescent="0.3">
      <c r="A61" t="s">
        <v>59</v>
      </c>
      <c r="B61" t="s">
        <v>3</v>
      </c>
      <c r="C61">
        <v>367</v>
      </c>
      <c r="D61">
        <v>18000</v>
      </c>
      <c r="E61">
        <f t="shared" si="0"/>
        <v>6606000</v>
      </c>
    </row>
    <row r="62" spans="1:5" hidden="1" x14ac:dyDescent="0.3">
      <c r="A62" t="s">
        <v>59</v>
      </c>
      <c r="B62" t="s">
        <v>30</v>
      </c>
      <c r="C62">
        <v>0</v>
      </c>
      <c r="E62">
        <f t="shared" si="0"/>
        <v>0</v>
      </c>
    </row>
    <row r="63" spans="1:5" x14ac:dyDescent="0.3">
      <c r="A63" t="s">
        <v>60</v>
      </c>
      <c r="B63" t="s">
        <v>30</v>
      </c>
      <c r="C63">
        <v>80</v>
      </c>
      <c r="D63">
        <v>8000</v>
      </c>
      <c r="E63">
        <f t="shared" si="0"/>
        <v>640000</v>
      </c>
    </row>
    <row r="64" spans="1:5" x14ac:dyDescent="0.3">
      <c r="A64" t="s">
        <v>61</v>
      </c>
      <c r="B64" t="s">
        <v>3</v>
      </c>
      <c r="C64">
        <v>28</v>
      </c>
      <c r="D64">
        <v>11000</v>
      </c>
      <c r="E64">
        <f t="shared" si="0"/>
        <v>308000</v>
      </c>
    </row>
    <row r="65" spans="1:5" x14ac:dyDescent="0.3">
      <c r="A65" t="s">
        <v>62</v>
      </c>
      <c r="B65" t="s">
        <v>30</v>
      </c>
      <c r="C65">
        <v>25</v>
      </c>
      <c r="D65">
        <v>6000</v>
      </c>
      <c r="E65">
        <f t="shared" si="0"/>
        <v>150000</v>
      </c>
    </row>
    <row r="66" spans="1:5" hidden="1" x14ac:dyDescent="0.3">
      <c r="A66" t="s">
        <v>63</v>
      </c>
      <c r="B66" t="s">
        <v>3</v>
      </c>
      <c r="C66">
        <v>0</v>
      </c>
      <c r="E66">
        <f t="shared" si="0"/>
        <v>0</v>
      </c>
    </row>
    <row r="67" spans="1:5" x14ac:dyDescent="0.3">
      <c r="A67" t="s">
        <v>112</v>
      </c>
      <c r="B67" t="s">
        <v>3</v>
      </c>
      <c r="C67">
        <v>0.3</v>
      </c>
      <c r="D67">
        <v>80000</v>
      </c>
      <c r="E67">
        <f t="shared" si="0"/>
        <v>24000</v>
      </c>
    </row>
    <row r="68" spans="1:5" hidden="1" x14ac:dyDescent="0.3">
      <c r="A68" t="s">
        <v>68</v>
      </c>
      <c r="B68" t="s">
        <v>3</v>
      </c>
      <c r="C68">
        <v>0</v>
      </c>
      <c r="E68">
        <f t="shared" ref="E68:E133" si="1">C68*D68</f>
        <v>0</v>
      </c>
    </row>
    <row r="69" spans="1:5" x14ac:dyDescent="0.3">
      <c r="A69" t="s">
        <v>68</v>
      </c>
      <c r="B69" t="s">
        <v>17</v>
      </c>
      <c r="C69">
        <v>570</v>
      </c>
      <c r="D69">
        <v>6000</v>
      </c>
      <c r="E69">
        <f t="shared" si="1"/>
        <v>3420000</v>
      </c>
    </row>
    <row r="70" spans="1:5" hidden="1" x14ac:dyDescent="0.3">
      <c r="A70" t="s">
        <v>69</v>
      </c>
      <c r="B70" t="s">
        <v>3</v>
      </c>
      <c r="C70">
        <v>0</v>
      </c>
      <c r="E70">
        <f t="shared" si="1"/>
        <v>0</v>
      </c>
    </row>
    <row r="71" spans="1:5" hidden="1" x14ac:dyDescent="0.3">
      <c r="A71" t="s">
        <v>70</v>
      </c>
      <c r="B71" t="s">
        <v>3</v>
      </c>
      <c r="C71">
        <v>0</v>
      </c>
      <c r="E71">
        <f t="shared" si="1"/>
        <v>0</v>
      </c>
    </row>
    <row r="72" spans="1:5" hidden="1" x14ac:dyDescent="0.3">
      <c r="A72" t="s">
        <v>71</v>
      </c>
      <c r="B72" t="s">
        <v>40</v>
      </c>
      <c r="C72">
        <v>0</v>
      </c>
      <c r="E72">
        <f t="shared" si="1"/>
        <v>0</v>
      </c>
    </row>
    <row r="73" spans="1:5" x14ac:dyDescent="0.3">
      <c r="A73" t="s">
        <v>71</v>
      </c>
      <c r="B73" t="s">
        <v>3</v>
      </c>
      <c r="C73">
        <v>10</v>
      </c>
      <c r="D73">
        <v>15000</v>
      </c>
      <c r="E73">
        <f t="shared" si="1"/>
        <v>150000</v>
      </c>
    </row>
    <row r="74" spans="1:5" x14ac:dyDescent="0.3">
      <c r="A74" t="s">
        <v>72</v>
      </c>
      <c r="B74" t="s">
        <v>3</v>
      </c>
      <c r="C74">
        <v>2400</v>
      </c>
      <c r="D74">
        <v>27600</v>
      </c>
      <c r="E74">
        <f t="shared" si="1"/>
        <v>66240000</v>
      </c>
    </row>
    <row r="75" spans="1:5" hidden="1" x14ac:dyDescent="0.3">
      <c r="A75" t="s">
        <v>125</v>
      </c>
      <c r="B75" t="s">
        <v>25</v>
      </c>
      <c r="C75">
        <v>0</v>
      </c>
      <c r="E75">
        <f t="shared" si="1"/>
        <v>0</v>
      </c>
    </row>
    <row r="76" spans="1:5" hidden="1" x14ac:dyDescent="0.3">
      <c r="A76" t="s">
        <v>74</v>
      </c>
      <c r="B76" t="s">
        <v>30</v>
      </c>
      <c r="C76">
        <v>0</v>
      </c>
      <c r="E76">
        <f t="shared" si="1"/>
        <v>0</v>
      </c>
    </row>
    <row r="77" spans="1:5" x14ac:dyDescent="0.3">
      <c r="A77" t="s">
        <v>75</v>
      </c>
      <c r="B77" t="s">
        <v>3</v>
      </c>
      <c r="C77">
        <v>18</v>
      </c>
      <c r="D77">
        <v>14000</v>
      </c>
      <c r="E77">
        <f t="shared" si="1"/>
        <v>252000</v>
      </c>
    </row>
    <row r="78" spans="1:5" hidden="1" x14ac:dyDescent="0.3">
      <c r="A78" t="s">
        <v>76</v>
      </c>
      <c r="B78" t="s">
        <v>17</v>
      </c>
      <c r="C78">
        <v>0</v>
      </c>
      <c r="E78">
        <f t="shared" si="1"/>
        <v>0</v>
      </c>
    </row>
    <row r="79" spans="1:5" hidden="1" x14ac:dyDescent="0.3">
      <c r="A79" t="s">
        <v>77</v>
      </c>
      <c r="B79" t="s">
        <v>25</v>
      </c>
      <c r="C79">
        <v>0</v>
      </c>
      <c r="E79">
        <f t="shared" si="1"/>
        <v>0</v>
      </c>
    </row>
    <row r="80" spans="1:5" x14ac:dyDescent="0.3">
      <c r="A80" t="s">
        <v>78</v>
      </c>
      <c r="B80" t="s">
        <v>3</v>
      </c>
      <c r="C80">
        <v>130</v>
      </c>
      <c r="D80">
        <v>26000</v>
      </c>
      <c r="E80">
        <f t="shared" si="1"/>
        <v>3380000</v>
      </c>
    </row>
    <row r="81" spans="1:6" hidden="1" x14ac:dyDescent="0.3">
      <c r="A81" t="s">
        <v>78</v>
      </c>
      <c r="B81" t="s">
        <v>9</v>
      </c>
      <c r="C81">
        <v>0</v>
      </c>
      <c r="E81">
        <f t="shared" si="1"/>
        <v>0</v>
      </c>
    </row>
    <row r="82" spans="1:6" x14ac:dyDescent="0.3">
      <c r="A82" t="s">
        <v>79</v>
      </c>
      <c r="B82" t="s">
        <v>3</v>
      </c>
      <c r="C82">
        <v>20</v>
      </c>
      <c r="D82">
        <v>21000</v>
      </c>
      <c r="E82">
        <f t="shared" si="1"/>
        <v>420000</v>
      </c>
    </row>
    <row r="83" spans="1:6" x14ac:dyDescent="0.3">
      <c r="A83" t="s">
        <v>80</v>
      </c>
      <c r="B83" t="s">
        <v>3</v>
      </c>
      <c r="C83">
        <v>15</v>
      </c>
      <c r="D83">
        <v>22000</v>
      </c>
      <c r="E83">
        <f t="shared" si="1"/>
        <v>330000</v>
      </c>
    </row>
    <row r="84" spans="1:6" hidden="1" x14ac:dyDescent="0.3">
      <c r="A84" t="s">
        <v>80</v>
      </c>
      <c r="B84" t="s">
        <v>9</v>
      </c>
      <c r="C84">
        <v>0</v>
      </c>
      <c r="E84">
        <f t="shared" si="1"/>
        <v>0</v>
      </c>
    </row>
    <row r="85" spans="1:6" x14ac:dyDescent="0.3">
      <c r="A85" t="s">
        <v>81</v>
      </c>
      <c r="B85" t="s">
        <v>3</v>
      </c>
      <c r="C85">
        <v>15</v>
      </c>
      <c r="D85">
        <v>17000</v>
      </c>
      <c r="E85">
        <f t="shared" si="1"/>
        <v>255000</v>
      </c>
    </row>
    <row r="86" spans="1:6" x14ac:dyDescent="0.3">
      <c r="A86" t="s">
        <v>82</v>
      </c>
      <c r="B86" t="s">
        <v>3</v>
      </c>
      <c r="C86">
        <v>85</v>
      </c>
      <c r="D86">
        <v>30000</v>
      </c>
      <c r="E86">
        <f t="shared" si="1"/>
        <v>2550000</v>
      </c>
    </row>
    <row r="87" spans="1:6" hidden="1" x14ac:dyDescent="0.3">
      <c r="A87" t="s">
        <v>82</v>
      </c>
      <c r="B87" t="s">
        <v>9</v>
      </c>
      <c r="C87">
        <v>0</v>
      </c>
      <c r="E87">
        <f t="shared" si="1"/>
        <v>0</v>
      </c>
    </row>
    <row r="88" spans="1:6" x14ac:dyDescent="0.3">
      <c r="A88" t="s">
        <v>83</v>
      </c>
      <c r="B88" t="s">
        <v>3</v>
      </c>
      <c r="C88">
        <v>20</v>
      </c>
      <c r="D88">
        <v>25000</v>
      </c>
      <c r="E88">
        <f t="shared" si="1"/>
        <v>500000</v>
      </c>
    </row>
    <row r="89" spans="1:6" x14ac:dyDescent="0.3">
      <c r="A89" t="s">
        <v>84</v>
      </c>
      <c r="B89" t="s">
        <v>3</v>
      </c>
      <c r="C89">
        <v>15</v>
      </c>
      <c r="D89">
        <v>50000</v>
      </c>
      <c r="E89">
        <f t="shared" si="1"/>
        <v>750000</v>
      </c>
      <c r="F89" t="s">
        <v>145</v>
      </c>
    </row>
    <row r="90" spans="1:6" x14ac:dyDescent="0.3">
      <c r="A90" t="s">
        <v>84</v>
      </c>
      <c r="B90" t="s">
        <v>30</v>
      </c>
      <c r="C90">
        <v>90</v>
      </c>
      <c r="D90">
        <v>18000</v>
      </c>
      <c r="E90">
        <f t="shared" si="1"/>
        <v>1620000</v>
      </c>
    </row>
    <row r="91" spans="1:6" hidden="1" x14ac:dyDescent="0.3">
      <c r="A91" t="s">
        <v>85</v>
      </c>
      <c r="B91" t="s">
        <v>30</v>
      </c>
      <c r="C91">
        <v>0</v>
      </c>
      <c r="E91">
        <f t="shared" si="1"/>
        <v>0</v>
      </c>
    </row>
    <row r="92" spans="1:6" x14ac:dyDescent="0.3">
      <c r="A92" t="s">
        <v>88</v>
      </c>
      <c r="B92" t="s">
        <v>9</v>
      </c>
      <c r="C92">
        <v>835</v>
      </c>
      <c r="D92">
        <v>11361</v>
      </c>
      <c r="E92">
        <f t="shared" si="1"/>
        <v>9486435</v>
      </c>
    </row>
    <row r="93" spans="1:6" x14ac:dyDescent="0.3">
      <c r="A93" t="s">
        <v>89</v>
      </c>
      <c r="B93" t="s">
        <v>3</v>
      </c>
      <c r="C93">
        <v>2215</v>
      </c>
      <c r="D93">
        <v>31000</v>
      </c>
      <c r="E93">
        <f t="shared" si="1"/>
        <v>68665000</v>
      </c>
    </row>
    <row r="94" spans="1:6" x14ac:dyDescent="0.3">
      <c r="A94" t="s">
        <v>90</v>
      </c>
      <c r="B94" t="s">
        <v>3</v>
      </c>
      <c r="C94">
        <v>2</v>
      </c>
      <c r="D94">
        <v>30000</v>
      </c>
      <c r="E94">
        <f t="shared" si="1"/>
        <v>60000</v>
      </c>
    </row>
    <row r="95" spans="1:6" hidden="1" x14ac:dyDescent="0.3">
      <c r="A95" t="s">
        <v>91</v>
      </c>
      <c r="B95" t="s">
        <v>25</v>
      </c>
      <c r="C95">
        <v>0</v>
      </c>
      <c r="E95">
        <f t="shared" si="1"/>
        <v>0</v>
      </c>
    </row>
    <row r="96" spans="1:6" x14ac:dyDescent="0.3">
      <c r="A96" t="s">
        <v>92</v>
      </c>
      <c r="B96" t="s">
        <v>3</v>
      </c>
      <c r="C96">
        <v>126</v>
      </c>
      <c r="D96">
        <v>11000</v>
      </c>
      <c r="E96">
        <f t="shared" si="1"/>
        <v>1386000</v>
      </c>
    </row>
    <row r="97" spans="1:5" x14ac:dyDescent="0.3">
      <c r="A97" t="s">
        <v>93</v>
      </c>
      <c r="B97" t="s">
        <v>3</v>
      </c>
      <c r="C97">
        <v>7</v>
      </c>
      <c r="D97">
        <v>33000</v>
      </c>
      <c r="E97">
        <f t="shared" si="1"/>
        <v>231000</v>
      </c>
    </row>
    <row r="98" spans="1:5" hidden="1" x14ac:dyDescent="0.3">
      <c r="A98" t="s">
        <v>94</v>
      </c>
      <c r="B98" t="s">
        <v>3</v>
      </c>
      <c r="C98">
        <v>0</v>
      </c>
      <c r="E98">
        <f t="shared" si="1"/>
        <v>0</v>
      </c>
    </row>
    <row r="99" spans="1:5" hidden="1" x14ac:dyDescent="0.3">
      <c r="A99" t="s">
        <v>95</v>
      </c>
      <c r="B99" t="s">
        <v>40</v>
      </c>
      <c r="C99">
        <v>0</v>
      </c>
      <c r="E99">
        <f t="shared" si="1"/>
        <v>0</v>
      </c>
    </row>
    <row r="100" spans="1:5" hidden="1" x14ac:dyDescent="0.3">
      <c r="A100" t="s">
        <v>96</v>
      </c>
      <c r="B100" t="s">
        <v>3</v>
      </c>
      <c r="C100">
        <v>0</v>
      </c>
      <c r="E100">
        <f t="shared" si="1"/>
        <v>0</v>
      </c>
    </row>
    <row r="101" spans="1:5" hidden="1" x14ac:dyDescent="0.3">
      <c r="A101" t="s">
        <v>97</v>
      </c>
      <c r="B101" t="s">
        <v>40</v>
      </c>
      <c r="C101">
        <v>0</v>
      </c>
      <c r="E101">
        <f t="shared" si="1"/>
        <v>0</v>
      </c>
    </row>
    <row r="102" spans="1:5" hidden="1" x14ac:dyDescent="0.3">
      <c r="A102" t="s">
        <v>99</v>
      </c>
      <c r="B102" t="s">
        <v>3</v>
      </c>
      <c r="C102">
        <v>0</v>
      </c>
      <c r="E102">
        <f t="shared" si="1"/>
        <v>0</v>
      </c>
    </row>
    <row r="103" spans="1:5" hidden="1" x14ac:dyDescent="0.3">
      <c r="A103" t="s">
        <v>100</v>
      </c>
      <c r="B103" t="s">
        <v>40</v>
      </c>
      <c r="C103">
        <v>0</v>
      </c>
      <c r="E103">
        <f t="shared" si="1"/>
        <v>0</v>
      </c>
    </row>
    <row r="104" spans="1:5" x14ac:dyDescent="0.3">
      <c r="E104">
        <f>SUM(E3:E97)</f>
        <v>319307235</v>
      </c>
    </row>
    <row r="105" spans="1:5" x14ac:dyDescent="0.3">
      <c r="A105" t="s">
        <v>110</v>
      </c>
    </row>
    <row r="106" spans="1:5" x14ac:dyDescent="0.3">
      <c r="A106" t="s">
        <v>130</v>
      </c>
      <c r="B106" t="s">
        <v>1</v>
      </c>
      <c r="C106" t="s">
        <v>107</v>
      </c>
      <c r="D106" t="s">
        <v>108</v>
      </c>
      <c r="E106" t="s">
        <v>109</v>
      </c>
    </row>
    <row r="107" spans="1:5" x14ac:dyDescent="0.3">
      <c r="A107" t="s">
        <v>2</v>
      </c>
      <c r="B107" t="s">
        <v>3</v>
      </c>
      <c r="C107">
        <v>5</v>
      </c>
      <c r="D107">
        <v>12000</v>
      </c>
      <c r="E107">
        <f t="shared" si="1"/>
        <v>60000</v>
      </c>
    </row>
    <row r="108" spans="1:5" x14ac:dyDescent="0.3">
      <c r="A108" t="s">
        <v>4</v>
      </c>
      <c r="B108" t="s">
        <v>3</v>
      </c>
      <c r="C108">
        <v>220</v>
      </c>
      <c r="D108">
        <v>5500</v>
      </c>
      <c r="E108">
        <f t="shared" si="1"/>
        <v>1210000</v>
      </c>
    </row>
    <row r="109" spans="1:5" x14ac:dyDescent="0.3">
      <c r="A109" t="s">
        <v>5</v>
      </c>
      <c r="B109" t="s">
        <v>3</v>
      </c>
      <c r="C109">
        <v>275</v>
      </c>
      <c r="D109">
        <v>5500</v>
      </c>
      <c r="E109">
        <f t="shared" si="1"/>
        <v>1512500</v>
      </c>
    </row>
    <row r="110" spans="1:5" x14ac:dyDescent="0.3">
      <c r="A110" t="s">
        <v>119</v>
      </c>
      <c r="B110" t="s">
        <v>3</v>
      </c>
      <c r="C110">
        <v>5</v>
      </c>
      <c r="D110">
        <v>22000</v>
      </c>
      <c r="E110">
        <f t="shared" si="1"/>
        <v>110000</v>
      </c>
    </row>
    <row r="111" spans="1:5" x14ac:dyDescent="0.3">
      <c r="A111" t="s">
        <v>7</v>
      </c>
      <c r="B111" t="s">
        <v>3</v>
      </c>
      <c r="C111">
        <v>135</v>
      </c>
      <c r="D111">
        <v>9000</v>
      </c>
      <c r="E111">
        <f t="shared" si="1"/>
        <v>1215000</v>
      </c>
    </row>
    <row r="112" spans="1:5" x14ac:dyDescent="0.3">
      <c r="A112" t="s">
        <v>8</v>
      </c>
      <c r="B112" t="s">
        <v>3</v>
      </c>
      <c r="C112">
        <v>10</v>
      </c>
      <c r="D112">
        <v>8000</v>
      </c>
      <c r="E112">
        <f t="shared" si="1"/>
        <v>80000</v>
      </c>
    </row>
    <row r="113" spans="1:5" x14ac:dyDescent="0.3">
      <c r="A113" t="s">
        <v>102</v>
      </c>
      <c r="B113" t="s">
        <v>3</v>
      </c>
      <c r="C113">
        <v>3</v>
      </c>
      <c r="D113">
        <v>13000</v>
      </c>
      <c r="E113">
        <f t="shared" si="1"/>
        <v>39000</v>
      </c>
    </row>
    <row r="114" spans="1:5" hidden="1" x14ac:dyDescent="0.3">
      <c r="A114" t="s">
        <v>18</v>
      </c>
      <c r="B114" t="s">
        <v>3</v>
      </c>
      <c r="C114">
        <v>0</v>
      </c>
      <c r="E114">
        <f t="shared" si="1"/>
        <v>0</v>
      </c>
    </row>
    <row r="115" spans="1:5" x14ac:dyDescent="0.3">
      <c r="A115" t="s">
        <v>28</v>
      </c>
      <c r="B115" t="s">
        <v>3</v>
      </c>
      <c r="C115">
        <v>110</v>
      </c>
      <c r="D115">
        <v>11000</v>
      </c>
      <c r="E115">
        <f t="shared" si="1"/>
        <v>1210000</v>
      </c>
    </row>
    <row r="116" spans="1:5" x14ac:dyDescent="0.3">
      <c r="A116" t="s">
        <v>31</v>
      </c>
      <c r="B116" t="s">
        <v>3</v>
      </c>
      <c r="C116">
        <v>116</v>
      </c>
      <c r="D116">
        <v>10000</v>
      </c>
      <c r="E116">
        <f t="shared" si="1"/>
        <v>1160000</v>
      </c>
    </row>
    <row r="117" spans="1:5" x14ac:dyDescent="0.3">
      <c r="A117" t="s">
        <v>33</v>
      </c>
      <c r="B117" t="s">
        <v>3</v>
      </c>
      <c r="C117">
        <v>5</v>
      </c>
      <c r="D117">
        <v>8000</v>
      </c>
      <c r="E117">
        <f t="shared" si="1"/>
        <v>40000</v>
      </c>
    </row>
    <row r="118" spans="1:5" x14ac:dyDescent="0.3">
      <c r="A118" t="s">
        <v>38</v>
      </c>
      <c r="B118" t="s">
        <v>3</v>
      </c>
      <c r="C118">
        <v>55</v>
      </c>
      <c r="D118">
        <v>5500</v>
      </c>
      <c r="E118">
        <f t="shared" si="1"/>
        <v>302500</v>
      </c>
    </row>
    <row r="119" spans="1:5" x14ac:dyDescent="0.3">
      <c r="A119" t="s">
        <v>103</v>
      </c>
      <c r="B119" t="s">
        <v>3</v>
      </c>
      <c r="C119">
        <v>5</v>
      </c>
      <c r="D119">
        <v>14000</v>
      </c>
      <c r="E119">
        <f t="shared" si="1"/>
        <v>70000</v>
      </c>
    </row>
    <row r="120" spans="1:5" x14ac:dyDescent="0.3">
      <c r="A120" t="s">
        <v>104</v>
      </c>
      <c r="B120" t="s">
        <v>3</v>
      </c>
      <c r="C120">
        <v>180</v>
      </c>
      <c r="D120">
        <v>4000</v>
      </c>
      <c r="E120">
        <f t="shared" si="1"/>
        <v>720000</v>
      </c>
    </row>
    <row r="121" spans="1:5" x14ac:dyDescent="0.3">
      <c r="A121" t="s">
        <v>39</v>
      </c>
      <c r="B121" t="s">
        <v>3</v>
      </c>
      <c r="C121">
        <v>20</v>
      </c>
      <c r="D121">
        <v>9000</v>
      </c>
      <c r="E121">
        <f t="shared" si="1"/>
        <v>180000</v>
      </c>
    </row>
    <row r="122" spans="1:5" hidden="1" x14ac:dyDescent="0.3">
      <c r="A122" t="s">
        <v>105</v>
      </c>
      <c r="B122" t="s">
        <v>3</v>
      </c>
      <c r="C122">
        <v>0</v>
      </c>
      <c r="E122">
        <f t="shared" si="1"/>
        <v>0</v>
      </c>
    </row>
    <row r="123" spans="1:5" x14ac:dyDescent="0.3">
      <c r="A123" t="s">
        <v>41</v>
      </c>
      <c r="B123" t="s">
        <v>3</v>
      </c>
      <c r="C123">
        <v>17</v>
      </c>
      <c r="D123">
        <v>14000</v>
      </c>
      <c r="E123">
        <f t="shared" si="1"/>
        <v>238000</v>
      </c>
    </row>
    <row r="124" spans="1:5" x14ac:dyDescent="0.3">
      <c r="A124" t="s">
        <v>44</v>
      </c>
      <c r="B124" t="s">
        <v>3</v>
      </c>
      <c r="C124">
        <v>22</v>
      </c>
      <c r="D124">
        <v>6500</v>
      </c>
      <c r="E124">
        <f t="shared" si="1"/>
        <v>143000</v>
      </c>
    </row>
    <row r="125" spans="1:5" x14ac:dyDescent="0.3">
      <c r="A125" t="s">
        <v>45</v>
      </c>
      <c r="B125" t="s">
        <v>3</v>
      </c>
      <c r="C125">
        <v>5</v>
      </c>
      <c r="D125">
        <v>11000</v>
      </c>
      <c r="E125">
        <f t="shared" si="1"/>
        <v>55000</v>
      </c>
    </row>
    <row r="126" spans="1:5" x14ac:dyDescent="0.3">
      <c r="A126" t="s">
        <v>47</v>
      </c>
      <c r="B126" t="s">
        <v>3</v>
      </c>
      <c r="C126">
        <v>33</v>
      </c>
      <c r="D126">
        <v>10000</v>
      </c>
      <c r="E126">
        <f t="shared" si="1"/>
        <v>330000</v>
      </c>
    </row>
    <row r="127" spans="1:5" hidden="1" x14ac:dyDescent="0.3">
      <c r="A127" t="s">
        <v>54</v>
      </c>
      <c r="B127" t="s">
        <v>3</v>
      </c>
      <c r="C127">
        <v>0</v>
      </c>
      <c r="E127">
        <f t="shared" si="1"/>
        <v>0</v>
      </c>
    </row>
    <row r="128" spans="1:5" x14ac:dyDescent="0.3">
      <c r="A128" t="s">
        <v>59</v>
      </c>
      <c r="B128" t="s">
        <v>3</v>
      </c>
      <c r="C128">
        <v>33</v>
      </c>
      <c r="D128">
        <v>18000</v>
      </c>
      <c r="E128">
        <f t="shared" si="1"/>
        <v>594000</v>
      </c>
    </row>
    <row r="129" spans="1:5" x14ac:dyDescent="0.3">
      <c r="A129" t="s">
        <v>61</v>
      </c>
      <c r="B129" t="s">
        <v>3</v>
      </c>
      <c r="C129">
        <v>5</v>
      </c>
      <c r="D129">
        <v>11000</v>
      </c>
      <c r="E129">
        <f t="shared" si="1"/>
        <v>55000</v>
      </c>
    </row>
    <row r="130" spans="1:5" hidden="1" x14ac:dyDescent="0.3">
      <c r="A130" t="s">
        <v>62</v>
      </c>
      <c r="B130" t="s">
        <v>30</v>
      </c>
      <c r="C130">
        <v>0</v>
      </c>
      <c r="E130">
        <f t="shared" si="1"/>
        <v>0</v>
      </c>
    </row>
    <row r="131" spans="1:5" x14ac:dyDescent="0.3">
      <c r="A131" t="s">
        <v>63</v>
      </c>
      <c r="B131" t="s">
        <v>30</v>
      </c>
      <c r="C131">
        <v>14</v>
      </c>
      <c r="D131">
        <v>9000</v>
      </c>
      <c r="E131">
        <f t="shared" si="1"/>
        <v>126000</v>
      </c>
    </row>
    <row r="132" spans="1:5" hidden="1" x14ac:dyDescent="0.3">
      <c r="A132" t="s">
        <v>68</v>
      </c>
      <c r="B132" t="s">
        <v>3</v>
      </c>
      <c r="C132">
        <v>0</v>
      </c>
      <c r="E132">
        <f t="shared" si="1"/>
        <v>0</v>
      </c>
    </row>
    <row r="133" spans="1:5" hidden="1" x14ac:dyDescent="0.3">
      <c r="A133" t="s">
        <v>68</v>
      </c>
      <c r="B133" t="s">
        <v>17</v>
      </c>
      <c r="C133">
        <v>0</v>
      </c>
      <c r="E133">
        <f t="shared" si="1"/>
        <v>0</v>
      </c>
    </row>
    <row r="134" spans="1:5" x14ac:dyDescent="0.3">
      <c r="A134" t="s">
        <v>71</v>
      </c>
      <c r="B134" t="s">
        <v>3</v>
      </c>
      <c r="C134">
        <v>10</v>
      </c>
      <c r="D134">
        <v>15000</v>
      </c>
      <c r="E134">
        <f t="shared" ref="E134:E144" si="2">C134*D134</f>
        <v>150000</v>
      </c>
    </row>
    <row r="135" spans="1:5" hidden="1" x14ac:dyDescent="0.3">
      <c r="A135" t="s">
        <v>72</v>
      </c>
      <c r="B135" t="s">
        <v>3</v>
      </c>
      <c r="C135">
        <v>0</v>
      </c>
      <c r="E135">
        <f t="shared" si="2"/>
        <v>0</v>
      </c>
    </row>
    <row r="136" spans="1:5" hidden="1" x14ac:dyDescent="0.3">
      <c r="A136" t="s">
        <v>73</v>
      </c>
      <c r="B136" t="s">
        <v>3</v>
      </c>
      <c r="C136">
        <v>0</v>
      </c>
      <c r="E136">
        <f t="shared" si="2"/>
        <v>0</v>
      </c>
    </row>
    <row r="137" spans="1:5" x14ac:dyDescent="0.3">
      <c r="A137" t="s">
        <v>78</v>
      </c>
      <c r="B137" t="s">
        <v>3</v>
      </c>
      <c r="C137">
        <v>3</v>
      </c>
      <c r="D137">
        <v>26000</v>
      </c>
      <c r="E137">
        <f t="shared" si="2"/>
        <v>78000</v>
      </c>
    </row>
    <row r="138" spans="1:5" x14ac:dyDescent="0.3">
      <c r="A138" t="s">
        <v>80</v>
      </c>
      <c r="B138" t="s">
        <v>3</v>
      </c>
      <c r="C138">
        <v>3</v>
      </c>
      <c r="D138">
        <v>22000</v>
      </c>
      <c r="E138">
        <f t="shared" si="2"/>
        <v>66000</v>
      </c>
    </row>
    <row r="139" spans="1:5" x14ac:dyDescent="0.3">
      <c r="A139" t="s">
        <v>82</v>
      </c>
      <c r="B139" t="s">
        <v>3</v>
      </c>
      <c r="C139">
        <v>3</v>
      </c>
      <c r="D139">
        <v>30000</v>
      </c>
      <c r="E139">
        <f t="shared" si="2"/>
        <v>90000</v>
      </c>
    </row>
    <row r="140" spans="1:5" x14ac:dyDescent="0.3">
      <c r="A140" t="s">
        <v>92</v>
      </c>
      <c r="B140" t="s">
        <v>3</v>
      </c>
      <c r="C140">
        <v>17</v>
      </c>
      <c r="D140">
        <v>11000</v>
      </c>
      <c r="E140">
        <f t="shared" si="2"/>
        <v>187000</v>
      </c>
    </row>
    <row r="141" spans="1:5" hidden="1" x14ac:dyDescent="0.3">
      <c r="A141" t="s">
        <v>94</v>
      </c>
      <c r="B141" t="s">
        <v>40</v>
      </c>
      <c r="C141">
        <v>0</v>
      </c>
      <c r="E141">
        <f t="shared" si="2"/>
        <v>0</v>
      </c>
    </row>
    <row r="142" spans="1:5" hidden="1" x14ac:dyDescent="0.3">
      <c r="A142" t="s">
        <v>95</v>
      </c>
      <c r="B142" t="s">
        <v>40</v>
      </c>
      <c r="C142">
        <v>0</v>
      </c>
      <c r="E142">
        <f t="shared" si="2"/>
        <v>0</v>
      </c>
    </row>
    <row r="143" spans="1:5" hidden="1" x14ac:dyDescent="0.3">
      <c r="A143" t="s">
        <v>97</v>
      </c>
      <c r="B143" t="s">
        <v>40</v>
      </c>
      <c r="C143">
        <v>0</v>
      </c>
      <c r="E143">
        <f t="shared" si="2"/>
        <v>0</v>
      </c>
    </row>
    <row r="144" spans="1:5" hidden="1" x14ac:dyDescent="0.3">
      <c r="A144" t="s">
        <v>100</v>
      </c>
      <c r="B144" t="s">
        <v>40</v>
      </c>
      <c r="C144">
        <v>0</v>
      </c>
      <c r="E144">
        <f t="shared" si="2"/>
        <v>0</v>
      </c>
    </row>
    <row r="145" spans="5:5" x14ac:dyDescent="0.3">
      <c r="E145">
        <f>SUM(E107:E140)</f>
        <v>10021000</v>
      </c>
    </row>
    <row r="146" spans="5:5" x14ac:dyDescent="0.3">
      <c r="E146">
        <f>SUM(E145,E104)</f>
        <v>329328235</v>
      </c>
    </row>
  </sheetData>
  <autoFilter ref="A2:E144" xr:uid="{00000000-0009-0000-0000-00000C000000}">
    <filterColumn colId="2">
      <filters>
        <filter val="0.3"/>
        <filter val="10"/>
        <filter val="110"/>
        <filter val="116"/>
        <filter val="120"/>
        <filter val="1200"/>
        <filter val="126"/>
        <filter val="130"/>
        <filter val="135"/>
        <filter val="14"/>
        <filter val="15"/>
        <filter val="167"/>
        <filter val="17"/>
        <filter val="18"/>
        <filter val="180"/>
        <filter val="185"/>
        <filter val="190"/>
        <filter val="2"/>
        <filter val="20"/>
        <filter val="22"/>
        <filter val="220"/>
        <filter val="2215"/>
        <filter val="2400"/>
        <filter val="2420"/>
        <filter val="25"/>
        <filter val="275"/>
        <filter val="28"/>
        <filter val="3"/>
        <filter val="310"/>
        <filter val="320"/>
        <filter val="33"/>
        <filter val="365"/>
        <filter val="367"/>
        <filter val="40"/>
        <filter val="42"/>
        <filter val="465"/>
        <filter val="5"/>
        <filter val="50"/>
        <filter val="505"/>
        <filter val="52"/>
        <filter val="55"/>
        <filter val="570"/>
        <filter val="6"/>
        <filter val="60"/>
        <filter val="68"/>
        <filter val="7"/>
        <filter val="700"/>
        <filter val="75"/>
        <filter val="8"/>
        <filter val="80"/>
        <filter val="83"/>
        <filter val="835"/>
        <filter val="85"/>
        <filter val="9"/>
        <filter val="90"/>
        <filter val="97"/>
        <filter val="Tồn_x000a_ĐL_x000a__x000a_現在庫"/>
      </filters>
    </filterColumn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A1:E162"/>
  <sheetViews>
    <sheetView workbookViewId="0">
      <selection activeCell="A7" sqref="A7:XFD7"/>
    </sheetView>
  </sheetViews>
  <sheetFormatPr defaultRowHeight="14.4" x14ac:dyDescent="0.3"/>
  <cols>
    <col min="1" max="1" width="26.109375" customWidth="1"/>
    <col min="2" max="2" width="8.77734375" customWidth="1"/>
    <col min="4" max="4" width="12" customWidth="1"/>
    <col min="5" max="5" width="16" customWidth="1"/>
  </cols>
  <sheetData>
    <row r="1" spans="1:5" x14ac:dyDescent="0.3">
      <c r="A1" t="s">
        <v>147</v>
      </c>
    </row>
    <row r="2" spans="1:5" x14ac:dyDescent="0.3">
      <c r="A2" t="s">
        <v>148</v>
      </c>
      <c r="B2" t="s">
        <v>149</v>
      </c>
      <c r="C2" t="s">
        <v>107</v>
      </c>
      <c r="D2" t="s">
        <v>108</v>
      </c>
      <c r="E2" t="s">
        <v>109</v>
      </c>
    </row>
    <row r="3" spans="1:5" hidden="1" x14ac:dyDescent="0.3">
      <c r="A3" t="s">
        <v>2</v>
      </c>
      <c r="B3" t="s">
        <v>3</v>
      </c>
      <c r="C3">
        <v>0</v>
      </c>
      <c r="E3">
        <f>C3*D3</f>
        <v>0</v>
      </c>
    </row>
    <row r="4" spans="1:5" hidden="1" x14ac:dyDescent="0.3">
      <c r="A4" t="s">
        <v>4</v>
      </c>
      <c r="B4" t="s">
        <v>3</v>
      </c>
      <c r="C4">
        <v>0</v>
      </c>
      <c r="E4">
        <f t="shared" ref="E4:E67" si="0">C4*D4</f>
        <v>0</v>
      </c>
    </row>
    <row r="5" spans="1:5" x14ac:dyDescent="0.3">
      <c r="A5" t="s">
        <v>5</v>
      </c>
      <c r="B5" t="s">
        <v>3</v>
      </c>
      <c r="C5">
        <v>476</v>
      </c>
      <c r="D5">
        <v>5000</v>
      </c>
      <c r="E5">
        <f t="shared" si="0"/>
        <v>2380000</v>
      </c>
    </row>
    <row r="6" spans="1:5" hidden="1" x14ac:dyDescent="0.3">
      <c r="A6" t="s">
        <v>119</v>
      </c>
      <c r="B6" t="s">
        <v>3</v>
      </c>
      <c r="C6">
        <v>0</v>
      </c>
      <c r="E6">
        <f t="shared" si="0"/>
        <v>0</v>
      </c>
    </row>
    <row r="7" spans="1:5" x14ac:dyDescent="0.3">
      <c r="A7" t="s">
        <v>6</v>
      </c>
      <c r="B7" t="s">
        <v>3</v>
      </c>
      <c r="C7">
        <v>12</v>
      </c>
      <c r="D7">
        <v>9500</v>
      </c>
      <c r="E7">
        <f t="shared" si="0"/>
        <v>114000</v>
      </c>
    </row>
    <row r="8" spans="1:5" x14ac:dyDescent="0.3">
      <c r="A8" t="s">
        <v>7</v>
      </c>
      <c r="B8" t="s">
        <v>3</v>
      </c>
      <c r="C8">
        <v>255</v>
      </c>
      <c r="D8">
        <v>9000</v>
      </c>
      <c r="E8">
        <f t="shared" si="0"/>
        <v>2295000</v>
      </c>
    </row>
    <row r="9" spans="1:5" hidden="1" x14ac:dyDescent="0.3">
      <c r="A9" t="s">
        <v>111</v>
      </c>
      <c r="B9" t="s">
        <v>3</v>
      </c>
      <c r="C9">
        <v>0</v>
      </c>
      <c r="E9">
        <f t="shared" si="0"/>
        <v>0</v>
      </c>
    </row>
    <row r="10" spans="1:5" x14ac:dyDescent="0.3">
      <c r="A10" t="s">
        <v>8</v>
      </c>
      <c r="B10" t="s">
        <v>3</v>
      </c>
      <c r="C10">
        <v>115</v>
      </c>
      <c r="D10">
        <v>8000</v>
      </c>
      <c r="E10">
        <f t="shared" si="0"/>
        <v>920000</v>
      </c>
    </row>
    <row r="11" spans="1:5" hidden="1" x14ac:dyDescent="0.3">
      <c r="A11" t="s">
        <v>8</v>
      </c>
      <c r="B11" t="s">
        <v>9</v>
      </c>
      <c r="C11">
        <v>0</v>
      </c>
      <c r="E11">
        <f t="shared" si="0"/>
        <v>0</v>
      </c>
    </row>
    <row r="12" spans="1:5" x14ac:dyDescent="0.3">
      <c r="A12" t="s">
        <v>10</v>
      </c>
      <c r="B12" t="s">
        <v>3</v>
      </c>
      <c r="C12">
        <v>100</v>
      </c>
      <c r="D12">
        <v>16000</v>
      </c>
      <c r="E12">
        <f t="shared" si="0"/>
        <v>1600000</v>
      </c>
    </row>
    <row r="13" spans="1:5" hidden="1" x14ac:dyDescent="0.3">
      <c r="A13" t="s">
        <v>10</v>
      </c>
      <c r="B13" t="s">
        <v>9</v>
      </c>
      <c r="C13">
        <v>0</v>
      </c>
      <c r="E13">
        <f t="shared" si="0"/>
        <v>0</v>
      </c>
    </row>
    <row r="14" spans="1:5" hidden="1" x14ac:dyDescent="0.3">
      <c r="A14" t="s">
        <v>11</v>
      </c>
      <c r="B14" t="s">
        <v>3</v>
      </c>
      <c r="C14">
        <v>0</v>
      </c>
      <c r="E14">
        <f t="shared" si="0"/>
        <v>0</v>
      </c>
    </row>
    <row r="15" spans="1:5" hidden="1" x14ac:dyDescent="0.3">
      <c r="A15" t="s">
        <v>12</v>
      </c>
      <c r="B15" t="s">
        <v>3</v>
      </c>
      <c r="C15">
        <v>0</v>
      </c>
      <c r="E15">
        <f t="shared" si="0"/>
        <v>0</v>
      </c>
    </row>
    <row r="16" spans="1:5" x14ac:dyDescent="0.3">
      <c r="A16" t="s">
        <v>13</v>
      </c>
      <c r="B16" t="s">
        <v>3</v>
      </c>
      <c r="C16">
        <v>5</v>
      </c>
      <c r="D16">
        <v>12000</v>
      </c>
      <c r="E16">
        <f t="shared" si="0"/>
        <v>60000</v>
      </c>
    </row>
    <row r="17" spans="1:5" hidden="1" x14ac:dyDescent="0.3">
      <c r="A17" t="s">
        <v>14</v>
      </c>
      <c r="B17" t="s">
        <v>3</v>
      </c>
      <c r="C17">
        <v>0</v>
      </c>
      <c r="E17">
        <f t="shared" si="0"/>
        <v>0</v>
      </c>
    </row>
    <row r="18" spans="1:5" x14ac:dyDescent="0.3">
      <c r="A18" t="s">
        <v>15</v>
      </c>
      <c r="B18" t="s">
        <v>3</v>
      </c>
      <c r="C18">
        <v>52</v>
      </c>
      <c r="D18">
        <v>23000</v>
      </c>
      <c r="E18">
        <f t="shared" si="0"/>
        <v>1196000</v>
      </c>
    </row>
    <row r="19" spans="1:5" x14ac:dyDescent="0.3">
      <c r="A19" t="s">
        <v>16</v>
      </c>
      <c r="B19" t="s">
        <v>17</v>
      </c>
      <c r="C19">
        <v>12</v>
      </c>
      <c r="D19">
        <v>7000</v>
      </c>
      <c r="E19">
        <f t="shared" si="0"/>
        <v>84000</v>
      </c>
    </row>
    <row r="20" spans="1:5" x14ac:dyDescent="0.3">
      <c r="A20" t="s">
        <v>18</v>
      </c>
      <c r="B20" t="s">
        <v>3</v>
      </c>
      <c r="C20">
        <v>435</v>
      </c>
      <c r="D20">
        <v>19000</v>
      </c>
      <c r="E20">
        <f t="shared" si="0"/>
        <v>8265000</v>
      </c>
    </row>
    <row r="21" spans="1:5" hidden="1" x14ac:dyDescent="0.3">
      <c r="A21" t="s">
        <v>18</v>
      </c>
      <c r="B21" t="s">
        <v>17</v>
      </c>
      <c r="C21">
        <v>0</v>
      </c>
      <c r="E21">
        <f t="shared" si="0"/>
        <v>0</v>
      </c>
    </row>
    <row r="22" spans="1:5" hidden="1" x14ac:dyDescent="0.3">
      <c r="A22" t="s">
        <v>18</v>
      </c>
      <c r="B22" t="s">
        <v>19</v>
      </c>
      <c r="C22">
        <v>0</v>
      </c>
      <c r="E22">
        <f t="shared" si="0"/>
        <v>0</v>
      </c>
    </row>
    <row r="23" spans="1:5" x14ac:dyDescent="0.3">
      <c r="A23" t="s">
        <v>20</v>
      </c>
      <c r="B23" t="s">
        <v>3</v>
      </c>
      <c r="C23">
        <v>14</v>
      </c>
      <c r="D23">
        <v>16000</v>
      </c>
      <c r="E23">
        <f t="shared" si="0"/>
        <v>224000</v>
      </c>
    </row>
    <row r="24" spans="1:5" hidden="1" x14ac:dyDescent="0.3">
      <c r="A24" t="s">
        <v>20</v>
      </c>
      <c r="B24" t="s">
        <v>21</v>
      </c>
      <c r="C24">
        <v>0</v>
      </c>
      <c r="E24">
        <f t="shared" si="0"/>
        <v>0</v>
      </c>
    </row>
    <row r="25" spans="1:5" x14ac:dyDescent="0.3">
      <c r="A25" t="s">
        <v>22</v>
      </c>
      <c r="B25" t="s">
        <v>3</v>
      </c>
      <c r="C25">
        <v>24</v>
      </c>
      <c r="D25">
        <v>21000</v>
      </c>
      <c r="E25">
        <f t="shared" si="0"/>
        <v>504000</v>
      </c>
    </row>
    <row r="26" spans="1:5" x14ac:dyDescent="0.3">
      <c r="A26" t="s">
        <v>22</v>
      </c>
      <c r="B26" t="s">
        <v>23</v>
      </c>
      <c r="C26">
        <v>62</v>
      </c>
      <c r="D26">
        <v>6300</v>
      </c>
      <c r="E26">
        <f t="shared" si="0"/>
        <v>390600</v>
      </c>
    </row>
    <row r="27" spans="1:5" x14ac:dyDescent="0.3">
      <c r="A27" t="s">
        <v>24</v>
      </c>
      <c r="B27" t="s">
        <v>25</v>
      </c>
      <c r="C27">
        <v>4</v>
      </c>
      <c r="D27">
        <v>11100</v>
      </c>
      <c r="E27">
        <f t="shared" si="0"/>
        <v>44400</v>
      </c>
    </row>
    <row r="28" spans="1:5" hidden="1" x14ac:dyDescent="0.3">
      <c r="A28" t="s">
        <v>26</v>
      </c>
      <c r="B28" t="s">
        <v>3</v>
      </c>
      <c r="C28">
        <v>0</v>
      </c>
      <c r="E28">
        <f t="shared" si="0"/>
        <v>0</v>
      </c>
    </row>
    <row r="29" spans="1:5" x14ac:dyDescent="0.3">
      <c r="A29" t="s">
        <v>26</v>
      </c>
      <c r="B29" t="s">
        <v>23</v>
      </c>
      <c r="C29">
        <v>85</v>
      </c>
      <c r="D29">
        <v>8400</v>
      </c>
      <c r="E29">
        <f t="shared" si="0"/>
        <v>714000</v>
      </c>
    </row>
    <row r="30" spans="1:5" x14ac:dyDescent="0.3">
      <c r="A30" t="s">
        <v>26</v>
      </c>
      <c r="B30" t="s">
        <v>27</v>
      </c>
      <c r="C30">
        <v>108</v>
      </c>
      <c r="D30">
        <v>7000</v>
      </c>
      <c r="E30">
        <f t="shared" si="0"/>
        <v>756000</v>
      </c>
    </row>
    <row r="31" spans="1:5" x14ac:dyDescent="0.3">
      <c r="A31" t="s">
        <v>28</v>
      </c>
      <c r="B31" t="s">
        <v>3</v>
      </c>
      <c r="C31">
        <v>175</v>
      </c>
      <c r="D31">
        <v>10000</v>
      </c>
      <c r="E31">
        <f t="shared" si="0"/>
        <v>1750000</v>
      </c>
    </row>
    <row r="32" spans="1:5" hidden="1" x14ac:dyDescent="0.3">
      <c r="A32" t="s">
        <v>28</v>
      </c>
      <c r="B32" t="s">
        <v>17</v>
      </c>
      <c r="C32">
        <v>0</v>
      </c>
      <c r="E32">
        <f t="shared" si="0"/>
        <v>0</v>
      </c>
    </row>
    <row r="33" spans="1:5" x14ac:dyDescent="0.3">
      <c r="A33" t="s">
        <v>29</v>
      </c>
      <c r="B33" t="s">
        <v>30</v>
      </c>
      <c r="C33">
        <v>135</v>
      </c>
      <c r="D33">
        <v>6000</v>
      </c>
      <c r="E33">
        <f t="shared" si="0"/>
        <v>810000</v>
      </c>
    </row>
    <row r="34" spans="1:5" x14ac:dyDescent="0.3">
      <c r="A34" t="s">
        <v>31</v>
      </c>
      <c r="B34" t="s">
        <v>3</v>
      </c>
      <c r="C34">
        <v>305</v>
      </c>
      <c r="D34">
        <v>9500</v>
      </c>
      <c r="E34">
        <f t="shared" si="0"/>
        <v>2897500</v>
      </c>
    </row>
    <row r="35" spans="1:5" hidden="1" x14ac:dyDescent="0.3">
      <c r="A35" t="s">
        <v>31</v>
      </c>
      <c r="B35" t="s">
        <v>30</v>
      </c>
      <c r="C35">
        <v>0</v>
      </c>
      <c r="E35">
        <f t="shared" si="0"/>
        <v>0</v>
      </c>
    </row>
    <row r="36" spans="1:5" hidden="1" x14ac:dyDescent="0.3">
      <c r="A36" t="s">
        <v>32</v>
      </c>
      <c r="B36" t="s">
        <v>3</v>
      </c>
      <c r="C36">
        <v>0</v>
      </c>
      <c r="E36">
        <f t="shared" si="0"/>
        <v>0</v>
      </c>
    </row>
    <row r="37" spans="1:5" hidden="1" x14ac:dyDescent="0.3">
      <c r="A37" t="s">
        <v>32</v>
      </c>
      <c r="B37" t="s">
        <v>17</v>
      </c>
      <c r="C37">
        <v>0</v>
      </c>
      <c r="E37">
        <f t="shared" si="0"/>
        <v>0</v>
      </c>
    </row>
    <row r="38" spans="1:5" hidden="1" x14ac:dyDescent="0.3">
      <c r="A38" t="s">
        <v>33</v>
      </c>
      <c r="B38" t="s">
        <v>3</v>
      </c>
      <c r="C38">
        <v>0</v>
      </c>
      <c r="E38">
        <f t="shared" si="0"/>
        <v>0</v>
      </c>
    </row>
    <row r="39" spans="1:5" hidden="1" x14ac:dyDescent="0.3">
      <c r="A39" t="s">
        <v>33</v>
      </c>
      <c r="B39" t="s">
        <v>34</v>
      </c>
      <c r="C39">
        <v>0</v>
      </c>
      <c r="E39">
        <f t="shared" si="0"/>
        <v>0</v>
      </c>
    </row>
    <row r="40" spans="1:5" x14ac:dyDescent="0.3">
      <c r="A40" t="s">
        <v>35</v>
      </c>
      <c r="B40" t="s">
        <v>3</v>
      </c>
      <c r="C40">
        <v>25</v>
      </c>
      <c r="D40">
        <v>15000</v>
      </c>
      <c r="E40">
        <f t="shared" si="0"/>
        <v>375000</v>
      </c>
    </row>
    <row r="41" spans="1:5" hidden="1" x14ac:dyDescent="0.3">
      <c r="A41" t="s">
        <v>35</v>
      </c>
      <c r="B41" t="s">
        <v>30</v>
      </c>
      <c r="C41">
        <v>0</v>
      </c>
      <c r="E41">
        <f t="shared" si="0"/>
        <v>0</v>
      </c>
    </row>
    <row r="42" spans="1:5" hidden="1" x14ac:dyDescent="0.3">
      <c r="A42" t="s">
        <v>36</v>
      </c>
      <c r="B42" t="s">
        <v>3</v>
      </c>
      <c r="C42">
        <v>0</v>
      </c>
      <c r="E42">
        <f t="shared" si="0"/>
        <v>0</v>
      </c>
    </row>
    <row r="43" spans="1:5" hidden="1" x14ac:dyDescent="0.3">
      <c r="A43" t="s">
        <v>36</v>
      </c>
      <c r="B43" t="s">
        <v>30</v>
      </c>
      <c r="C43">
        <v>0</v>
      </c>
      <c r="E43">
        <f t="shared" si="0"/>
        <v>0</v>
      </c>
    </row>
    <row r="44" spans="1:5" hidden="1" x14ac:dyDescent="0.3">
      <c r="A44" t="s">
        <v>37</v>
      </c>
      <c r="B44" t="s">
        <v>3</v>
      </c>
      <c r="C44">
        <v>0</v>
      </c>
      <c r="E44">
        <f t="shared" si="0"/>
        <v>0</v>
      </c>
    </row>
    <row r="45" spans="1:5" x14ac:dyDescent="0.3">
      <c r="A45" t="s">
        <v>37</v>
      </c>
      <c r="B45" t="s">
        <v>30</v>
      </c>
      <c r="C45">
        <v>17</v>
      </c>
      <c r="D45">
        <v>4300</v>
      </c>
      <c r="E45">
        <f t="shared" si="0"/>
        <v>73100</v>
      </c>
    </row>
    <row r="46" spans="1:5" x14ac:dyDescent="0.3">
      <c r="A46" t="s">
        <v>38</v>
      </c>
      <c r="B46" t="s">
        <v>3</v>
      </c>
      <c r="C46">
        <v>1130</v>
      </c>
      <c r="D46">
        <v>5500</v>
      </c>
      <c r="E46">
        <f t="shared" si="0"/>
        <v>6215000</v>
      </c>
    </row>
    <row r="47" spans="1:5" hidden="1" x14ac:dyDescent="0.3">
      <c r="A47" t="s">
        <v>39</v>
      </c>
      <c r="B47" t="s">
        <v>40</v>
      </c>
      <c r="C47">
        <v>0</v>
      </c>
      <c r="E47">
        <f t="shared" si="0"/>
        <v>0</v>
      </c>
    </row>
    <row r="48" spans="1:5" hidden="1" x14ac:dyDescent="0.3">
      <c r="A48" t="s">
        <v>39</v>
      </c>
      <c r="B48" t="s">
        <v>3</v>
      </c>
      <c r="C48">
        <v>0</v>
      </c>
      <c r="E48">
        <f t="shared" si="0"/>
        <v>0</v>
      </c>
    </row>
    <row r="49" spans="1:5" hidden="1" x14ac:dyDescent="0.3">
      <c r="A49" t="s">
        <v>41</v>
      </c>
      <c r="B49" t="s">
        <v>3</v>
      </c>
      <c r="C49">
        <v>0</v>
      </c>
      <c r="E49">
        <f t="shared" si="0"/>
        <v>0</v>
      </c>
    </row>
    <row r="50" spans="1:5" x14ac:dyDescent="0.3">
      <c r="A50" t="s">
        <v>42</v>
      </c>
      <c r="B50" t="s">
        <v>25</v>
      </c>
      <c r="C50">
        <v>20</v>
      </c>
      <c r="D50">
        <v>11000</v>
      </c>
      <c r="E50">
        <f t="shared" si="0"/>
        <v>220000</v>
      </c>
    </row>
    <row r="51" spans="1:5" hidden="1" x14ac:dyDescent="0.3">
      <c r="A51" t="s">
        <v>42</v>
      </c>
      <c r="B51" t="s">
        <v>3</v>
      </c>
      <c r="C51">
        <v>0</v>
      </c>
      <c r="E51">
        <f t="shared" si="0"/>
        <v>0</v>
      </c>
    </row>
    <row r="52" spans="1:5" hidden="1" x14ac:dyDescent="0.3">
      <c r="A52" t="s">
        <v>44</v>
      </c>
      <c r="B52" t="s">
        <v>3</v>
      </c>
      <c r="C52">
        <v>0</v>
      </c>
      <c r="E52">
        <f t="shared" si="0"/>
        <v>0</v>
      </c>
    </row>
    <row r="53" spans="1:5" x14ac:dyDescent="0.3">
      <c r="A53" t="s">
        <v>45</v>
      </c>
      <c r="B53" t="s">
        <v>3</v>
      </c>
      <c r="C53">
        <v>50</v>
      </c>
      <c r="D53">
        <v>11000</v>
      </c>
      <c r="E53">
        <f t="shared" si="0"/>
        <v>550000</v>
      </c>
    </row>
    <row r="54" spans="1:5" hidden="1" x14ac:dyDescent="0.3">
      <c r="A54" t="s">
        <v>45</v>
      </c>
      <c r="B54" t="s">
        <v>30</v>
      </c>
      <c r="C54">
        <v>0</v>
      </c>
      <c r="E54">
        <f t="shared" si="0"/>
        <v>0</v>
      </c>
    </row>
    <row r="55" spans="1:5" x14ac:dyDescent="0.3">
      <c r="A55" t="s">
        <v>46</v>
      </c>
      <c r="B55" t="s">
        <v>3</v>
      </c>
      <c r="C55">
        <v>12</v>
      </c>
      <c r="D55">
        <v>17000</v>
      </c>
      <c r="E55">
        <f t="shared" si="0"/>
        <v>204000</v>
      </c>
    </row>
    <row r="56" spans="1:5" x14ac:dyDescent="0.3">
      <c r="A56" t="s">
        <v>47</v>
      </c>
      <c r="B56" t="s">
        <v>3</v>
      </c>
      <c r="C56">
        <v>230</v>
      </c>
      <c r="D56">
        <v>10000</v>
      </c>
      <c r="E56">
        <f t="shared" si="0"/>
        <v>2300000</v>
      </c>
    </row>
    <row r="57" spans="1:5" hidden="1" x14ac:dyDescent="0.3">
      <c r="A57" t="s">
        <v>47</v>
      </c>
      <c r="B57" t="s">
        <v>48</v>
      </c>
      <c r="C57">
        <v>0</v>
      </c>
      <c r="E57">
        <f t="shared" si="0"/>
        <v>0</v>
      </c>
    </row>
    <row r="58" spans="1:5" hidden="1" x14ac:dyDescent="0.3">
      <c r="A58" t="s">
        <v>49</v>
      </c>
      <c r="B58" t="s">
        <v>3</v>
      </c>
      <c r="C58">
        <v>0</v>
      </c>
      <c r="E58">
        <f t="shared" si="0"/>
        <v>0</v>
      </c>
    </row>
    <row r="59" spans="1:5" x14ac:dyDescent="0.3">
      <c r="A59" t="s">
        <v>50</v>
      </c>
      <c r="B59" t="s">
        <v>30</v>
      </c>
      <c r="C59">
        <v>266</v>
      </c>
      <c r="D59">
        <v>2400</v>
      </c>
      <c r="E59">
        <f t="shared" si="0"/>
        <v>638400</v>
      </c>
    </row>
    <row r="60" spans="1:5" x14ac:dyDescent="0.3">
      <c r="A60" t="s">
        <v>51</v>
      </c>
      <c r="B60" t="s">
        <v>3</v>
      </c>
      <c r="C60">
        <v>1160</v>
      </c>
      <c r="D60">
        <v>28000</v>
      </c>
      <c r="E60">
        <f t="shared" si="0"/>
        <v>32480000</v>
      </c>
    </row>
    <row r="61" spans="1:5" x14ac:dyDescent="0.3">
      <c r="A61" t="s">
        <v>52</v>
      </c>
      <c r="B61" t="s">
        <v>3</v>
      </c>
      <c r="C61">
        <v>1875</v>
      </c>
      <c r="D61">
        <v>27000</v>
      </c>
      <c r="E61">
        <f t="shared" si="0"/>
        <v>50625000</v>
      </c>
    </row>
    <row r="62" spans="1:5" hidden="1" x14ac:dyDescent="0.3">
      <c r="A62" t="s">
        <v>52</v>
      </c>
      <c r="B62" t="s">
        <v>30</v>
      </c>
      <c r="C62">
        <v>0</v>
      </c>
      <c r="E62">
        <f t="shared" si="0"/>
        <v>0</v>
      </c>
    </row>
    <row r="63" spans="1:5" x14ac:dyDescent="0.3">
      <c r="A63" t="s">
        <v>53</v>
      </c>
      <c r="B63" t="s">
        <v>3</v>
      </c>
      <c r="C63">
        <v>175</v>
      </c>
      <c r="D63">
        <v>23000</v>
      </c>
      <c r="E63">
        <f t="shared" si="0"/>
        <v>4025000</v>
      </c>
    </row>
    <row r="64" spans="1:5" x14ac:dyDescent="0.3">
      <c r="A64" t="s">
        <v>54</v>
      </c>
      <c r="B64" t="s">
        <v>3</v>
      </c>
      <c r="C64">
        <v>440</v>
      </c>
      <c r="D64">
        <v>15500</v>
      </c>
      <c r="E64">
        <f t="shared" si="0"/>
        <v>6820000</v>
      </c>
    </row>
    <row r="65" spans="1:5" x14ac:dyDescent="0.3">
      <c r="A65" t="s">
        <v>55</v>
      </c>
      <c r="B65" t="s">
        <v>3</v>
      </c>
      <c r="C65">
        <v>57</v>
      </c>
      <c r="D65">
        <v>23000</v>
      </c>
      <c r="E65">
        <f t="shared" si="0"/>
        <v>1311000</v>
      </c>
    </row>
    <row r="66" spans="1:5" hidden="1" x14ac:dyDescent="0.3">
      <c r="A66" t="s">
        <v>56</v>
      </c>
      <c r="B66" t="s">
        <v>3</v>
      </c>
      <c r="C66">
        <v>0</v>
      </c>
      <c r="E66">
        <f t="shared" si="0"/>
        <v>0</v>
      </c>
    </row>
    <row r="67" spans="1:5" hidden="1" x14ac:dyDescent="0.3">
      <c r="A67" t="s">
        <v>57</v>
      </c>
      <c r="B67" t="s">
        <v>3</v>
      </c>
      <c r="C67">
        <v>0</v>
      </c>
      <c r="E67">
        <f t="shared" si="0"/>
        <v>0</v>
      </c>
    </row>
    <row r="68" spans="1:5" hidden="1" x14ac:dyDescent="0.3">
      <c r="A68" t="s">
        <v>57</v>
      </c>
      <c r="B68" t="s">
        <v>30</v>
      </c>
      <c r="C68">
        <v>0</v>
      </c>
      <c r="E68">
        <f t="shared" ref="E68:E133" si="1">C68*D68</f>
        <v>0</v>
      </c>
    </row>
    <row r="69" spans="1:5" x14ac:dyDescent="0.3">
      <c r="A69" t="s">
        <v>58</v>
      </c>
      <c r="B69" t="s">
        <v>3</v>
      </c>
      <c r="C69">
        <v>60</v>
      </c>
      <c r="D69">
        <v>30000</v>
      </c>
      <c r="E69">
        <f t="shared" si="1"/>
        <v>1800000</v>
      </c>
    </row>
    <row r="70" spans="1:5" x14ac:dyDescent="0.3">
      <c r="A70" t="s">
        <v>59</v>
      </c>
      <c r="B70" t="s">
        <v>3</v>
      </c>
      <c r="C70">
        <v>366</v>
      </c>
      <c r="D70">
        <v>18000</v>
      </c>
      <c r="E70">
        <f t="shared" si="1"/>
        <v>6588000</v>
      </c>
    </row>
    <row r="71" spans="1:5" hidden="1" x14ac:dyDescent="0.3">
      <c r="A71" t="s">
        <v>59</v>
      </c>
      <c r="B71" t="s">
        <v>30</v>
      </c>
      <c r="C71">
        <v>0</v>
      </c>
      <c r="E71">
        <f t="shared" si="1"/>
        <v>0</v>
      </c>
    </row>
    <row r="72" spans="1:5" x14ac:dyDescent="0.3">
      <c r="A72" t="s">
        <v>60</v>
      </c>
      <c r="B72" t="s">
        <v>30</v>
      </c>
      <c r="C72">
        <v>50</v>
      </c>
      <c r="D72">
        <v>8000</v>
      </c>
      <c r="E72">
        <f t="shared" si="1"/>
        <v>400000</v>
      </c>
    </row>
    <row r="73" spans="1:5" hidden="1" x14ac:dyDescent="0.3">
      <c r="A73" t="s">
        <v>138</v>
      </c>
      <c r="B73" t="s">
        <v>3</v>
      </c>
      <c r="C73">
        <v>0</v>
      </c>
      <c r="E73">
        <f t="shared" si="1"/>
        <v>0</v>
      </c>
    </row>
    <row r="74" spans="1:5" x14ac:dyDescent="0.3">
      <c r="A74" t="s">
        <v>61</v>
      </c>
      <c r="B74" t="s">
        <v>3</v>
      </c>
      <c r="C74">
        <v>50</v>
      </c>
      <c r="D74">
        <v>11000</v>
      </c>
      <c r="E74">
        <f t="shared" si="1"/>
        <v>550000</v>
      </c>
    </row>
    <row r="75" spans="1:5" x14ac:dyDescent="0.3">
      <c r="A75" t="s">
        <v>62</v>
      </c>
      <c r="B75" t="s">
        <v>30</v>
      </c>
      <c r="C75">
        <v>12</v>
      </c>
      <c r="D75">
        <v>6000</v>
      </c>
      <c r="E75">
        <f t="shared" si="1"/>
        <v>72000</v>
      </c>
    </row>
    <row r="76" spans="1:5" hidden="1" x14ac:dyDescent="0.3">
      <c r="A76" t="s">
        <v>63</v>
      </c>
      <c r="B76" t="s">
        <v>3</v>
      </c>
      <c r="C76">
        <v>0</v>
      </c>
      <c r="E76">
        <f t="shared" si="1"/>
        <v>0</v>
      </c>
    </row>
    <row r="77" spans="1:5" x14ac:dyDescent="0.3">
      <c r="A77" t="s">
        <v>63</v>
      </c>
      <c r="B77" t="s">
        <v>64</v>
      </c>
      <c r="C77">
        <v>11</v>
      </c>
      <c r="D77">
        <v>9000</v>
      </c>
      <c r="E77">
        <f t="shared" si="1"/>
        <v>99000</v>
      </c>
    </row>
    <row r="78" spans="1:5" hidden="1" x14ac:dyDescent="0.3">
      <c r="A78" t="s">
        <v>65</v>
      </c>
      <c r="B78" t="s">
        <v>3</v>
      </c>
      <c r="C78">
        <v>0</v>
      </c>
      <c r="E78">
        <f t="shared" si="1"/>
        <v>0</v>
      </c>
    </row>
    <row r="79" spans="1:5" hidden="1" x14ac:dyDescent="0.3">
      <c r="A79" t="s">
        <v>112</v>
      </c>
      <c r="B79" t="s">
        <v>3</v>
      </c>
      <c r="C79">
        <v>0</v>
      </c>
      <c r="E79">
        <f t="shared" si="1"/>
        <v>0</v>
      </c>
    </row>
    <row r="80" spans="1:5" hidden="1" x14ac:dyDescent="0.3">
      <c r="A80" t="s">
        <v>66</v>
      </c>
      <c r="B80" t="s">
        <v>3</v>
      </c>
      <c r="C80">
        <v>0</v>
      </c>
      <c r="E80">
        <f t="shared" si="1"/>
        <v>0</v>
      </c>
    </row>
    <row r="81" spans="1:5" hidden="1" x14ac:dyDescent="0.3">
      <c r="A81" t="s">
        <v>67</v>
      </c>
      <c r="B81" t="s">
        <v>3</v>
      </c>
      <c r="C81">
        <v>0</v>
      </c>
      <c r="E81">
        <f t="shared" si="1"/>
        <v>0</v>
      </c>
    </row>
    <row r="82" spans="1:5" hidden="1" x14ac:dyDescent="0.3">
      <c r="A82" t="s">
        <v>68</v>
      </c>
      <c r="B82" t="s">
        <v>3</v>
      </c>
      <c r="C82">
        <v>0</v>
      </c>
      <c r="E82">
        <f t="shared" si="1"/>
        <v>0</v>
      </c>
    </row>
    <row r="83" spans="1:5" x14ac:dyDescent="0.3">
      <c r="A83" t="s">
        <v>68</v>
      </c>
      <c r="B83" t="s">
        <v>17</v>
      </c>
      <c r="C83">
        <v>700</v>
      </c>
      <c r="D83">
        <v>6000</v>
      </c>
      <c r="E83">
        <f t="shared" si="1"/>
        <v>4200000</v>
      </c>
    </row>
    <row r="84" spans="1:5" x14ac:dyDescent="0.3">
      <c r="A84" t="s">
        <v>69</v>
      </c>
      <c r="B84" t="s">
        <v>3</v>
      </c>
      <c r="C84">
        <v>9</v>
      </c>
      <c r="D84">
        <v>14000</v>
      </c>
      <c r="E84">
        <f t="shared" si="1"/>
        <v>126000</v>
      </c>
    </row>
    <row r="85" spans="1:5" x14ac:dyDescent="0.3">
      <c r="A85" t="s">
        <v>70</v>
      </c>
      <c r="B85" t="s">
        <v>3</v>
      </c>
      <c r="C85">
        <v>28</v>
      </c>
      <c r="D85">
        <v>8000</v>
      </c>
      <c r="E85">
        <f t="shared" si="1"/>
        <v>224000</v>
      </c>
    </row>
    <row r="86" spans="1:5" hidden="1" x14ac:dyDescent="0.3">
      <c r="A86" t="s">
        <v>71</v>
      </c>
      <c r="B86" t="s">
        <v>40</v>
      </c>
      <c r="C86">
        <v>0</v>
      </c>
      <c r="E86">
        <f t="shared" si="1"/>
        <v>0</v>
      </c>
    </row>
    <row r="87" spans="1:5" hidden="1" x14ac:dyDescent="0.3">
      <c r="A87" t="s">
        <v>71</v>
      </c>
      <c r="B87" t="s">
        <v>3</v>
      </c>
      <c r="C87">
        <v>0</v>
      </c>
      <c r="E87">
        <f t="shared" si="1"/>
        <v>0</v>
      </c>
    </row>
    <row r="88" spans="1:5" x14ac:dyDescent="0.3">
      <c r="A88" t="s">
        <v>72</v>
      </c>
      <c r="B88" t="s">
        <v>3</v>
      </c>
      <c r="C88">
        <v>2400</v>
      </c>
      <c r="D88">
        <v>27600</v>
      </c>
      <c r="E88">
        <f t="shared" si="1"/>
        <v>66240000</v>
      </c>
    </row>
    <row r="89" spans="1:5" hidden="1" x14ac:dyDescent="0.3">
      <c r="A89" t="s">
        <v>74</v>
      </c>
      <c r="B89" t="s">
        <v>30</v>
      </c>
      <c r="C89">
        <v>0</v>
      </c>
      <c r="E89">
        <f t="shared" si="1"/>
        <v>0</v>
      </c>
    </row>
    <row r="90" spans="1:5" x14ac:dyDescent="0.3">
      <c r="A90" t="s">
        <v>75</v>
      </c>
      <c r="B90" t="s">
        <v>3</v>
      </c>
      <c r="C90">
        <v>12</v>
      </c>
      <c r="D90">
        <v>14000</v>
      </c>
      <c r="E90">
        <f t="shared" si="1"/>
        <v>168000</v>
      </c>
    </row>
    <row r="91" spans="1:5" hidden="1" x14ac:dyDescent="0.3">
      <c r="A91" t="s">
        <v>76</v>
      </c>
      <c r="B91" t="s">
        <v>17</v>
      </c>
      <c r="C91">
        <v>0</v>
      </c>
      <c r="E91">
        <f t="shared" si="1"/>
        <v>0</v>
      </c>
    </row>
    <row r="92" spans="1:5" hidden="1" x14ac:dyDescent="0.3">
      <c r="A92" t="s">
        <v>77</v>
      </c>
      <c r="B92" t="s">
        <v>25</v>
      </c>
      <c r="C92">
        <v>0</v>
      </c>
      <c r="E92">
        <f t="shared" si="1"/>
        <v>0</v>
      </c>
    </row>
    <row r="93" spans="1:5" x14ac:dyDescent="0.3">
      <c r="A93" t="s">
        <v>77</v>
      </c>
      <c r="B93" t="s">
        <v>3</v>
      </c>
      <c r="C93">
        <v>16</v>
      </c>
      <c r="D93">
        <v>35000</v>
      </c>
      <c r="E93">
        <f t="shared" si="1"/>
        <v>560000</v>
      </c>
    </row>
    <row r="94" spans="1:5" x14ac:dyDescent="0.3">
      <c r="A94" t="s">
        <v>78</v>
      </c>
      <c r="B94" t="s">
        <v>3</v>
      </c>
      <c r="C94">
        <v>243</v>
      </c>
      <c r="D94">
        <v>28000</v>
      </c>
      <c r="E94">
        <f t="shared" si="1"/>
        <v>6804000</v>
      </c>
    </row>
    <row r="95" spans="1:5" hidden="1" x14ac:dyDescent="0.3">
      <c r="A95" t="s">
        <v>78</v>
      </c>
      <c r="B95" t="s">
        <v>9</v>
      </c>
      <c r="C95">
        <v>0</v>
      </c>
      <c r="E95">
        <f t="shared" si="1"/>
        <v>0</v>
      </c>
    </row>
    <row r="96" spans="1:5" x14ac:dyDescent="0.3">
      <c r="A96" t="s">
        <v>79</v>
      </c>
      <c r="B96" t="s">
        <v>3</v>
      </c>
      <c r="C96">
        <v>15</v>
      </c>
      <c r="D96">
        <v>23000</v>
      </c>
      <c r="E96">
        <f t="shared" si="1"/>
        <v>345000</v>
      </c>
    </row>
    <row r="97" spans="1:5" x14ac:dyDescent="0.3">
      <c r="A97" t="s">
        <v>80</v>
      </c>
      <c r="B97" t="s">
        <v>3</v>
      </c>
      <c r="C97">
        <v>140</v>
      </c>
      <c r="D97">
        <v>22000</v>
      </c>
      <c r="E97">
        <f t="shared" si="1"/>
        <v>3080000</v>
      </c>
    </row>
    <row r="98" spans="1:5" hidden="1" x14ac:dyDescent="0.3">
      <c r="A98" t="s">
        <v>80</v>
      </c>
      <c r="B98" t="s">
        <v>9</v>
      </c>
      <c r="C98">
        <v>0</v>
      </c>
      <c r="E98">
        <f t="shared" si="1"/>
        <v>0</v>
      </c>
    </row>
    <row r="99" spans="1:5" x14ac:dyDescent="0.3">
      <c r="A99" t="s">
        <v>81</v>
      </c>
      <c r="B99" t="s">
        <v>3</v>
      </c>
      <c r="C99">
        <v>15</v>
      </c>
      <c r="D99">
        <v>17000</v>
      </c>
      <c r="E99">
        <f t="shared" si="1"/>
        <v>255000</v>
      </c>
    </row>
    <row r="100" spans="1:5" x14ac:dyDescent="0.3">
      <c r="A100" t="s">
        <v>82</v>
      </c>
      <c r="B100" t="s">
        <v>3</v>
      </c>
      <c r="C100">
        <v>72</v>
      </c>
      <c r="D100">
        <v>34000</v>
      </c>
      <c r="E100">
        <f t="shared" si="1"/>
        <v>2448000</v>
      </c>
    </row>
    <row r="101" spans="1:5" hidden="1" x14ac:dyDescent="0.3">
      <c r="A101" t="s">
        <v>82</v>
      </c>
      <c r="B101" t="s">
        <v>9</v>
      </c>
      <c r="C101">
        <v>0</v>
      </c>
      <c r="E101">
        <f t="shared" si="1"/>
        <v>0</v>
      </c>
    </row>
    <row r="102" spans="1:5" x14ac:dyDescent="0.3">
      <c r="A102" t="s">
        <v>83</v>
      </c>
      <c r="B102" t="s">
        <v>3</v>
      </c>
      <c r="C102">
        <v>15</v>
      </c>
      <c r="D102">
        <v>29000</v>
      </c>
      <c r="E102">
        <f t="shared" si="1"/>
        <v>435000</v>
      </c>
    </row>
    <row r="103" spans="1:5" x14ac:dyDescent="0.3">
      <c r="A103" t="s">
        <v>84</v>
      </c>
      <c r="B103" t="s">
        <v>3</v>
      </c>
      <c r="C103">
        <v>15</v>
      </c>
      <c r="D103">
        <v>50000</v>
      </c>
      <c r="E103">
        <f t="shared" si="1"/>
        <v>750000</v>
      </c>
    </row>
    <row r="104" spans="1:5" x14ac:dyDescent="0.3">
      <c r="A104" t="s">
        <v>84</v>
      </c>
      <c r="B104" t="s">
        <v>30</v>
      </c>
      <c r="C104">
        <v>78</v>
      </c>
      <c r="D104">
        <v>18000</v>
      </c>
      <c r="E104">
        <f t="shared" si="1"/>
        <v>1404000</v>
      </c>
    </row>
    <row r="105" spans="1:5" hidden="1" x14ac:dyDescent="0.3">
      <c r="A105" t="s">
        <v>85</v>
      </c>
      <c r="B105" t="s">
        <v>30</v>
      </c>
      <c r="C105">
        <v>0</v>
      </c>
      <c r="E105">
        <f t="shared" si="1"/>
        <v>0</v>
      </c>
    </row>
    <row r="106" spans="1:5" x14ac:dyDescent="0.3">
      <c r="A106" t="s">
        <v>106</v>
      </c>
      <c r="B106" t="s">
        <v>9</v>
      </c>
      <c r="C106">
        <v>248</v>
      </c>
      <c r="D106">
        <v>8000</v>
      </c>
      <c r="E106">
        <f t="shared" si="1"/>
        <v>1984000</v>
      </c>
    </row>
    <row r="107" spans="1:5" x14ac:dyDescent="0.3">
      <c r="A107" t="s">
        <v>88</v>
      </c>
      <c r="B107" t="s">
        <v>9</v>
      </c>
      <c r="C107">
        <v>835</v>
      </c>
      <c r="D107">
        <v>11361</v>
      </c>
      <c r="E107">
        <f t="shared" si="1"/>
        <v>9486435</v>
      </c>
    </row>
    <row r="108" spans="1:5" x14ac:dyDescent="0.3">
      <c r="A108" t="s">
        <v>146</v>
      </c>
      <c r="B108" t="s">
        <v>9</v>
      </c>
      <c r="C108">
        <v>22</v>
      </c>
      <c r="D108">
        <v>90000</v>
      </c>
      <c r="E108">
        <f t="shared" si="1"/>
        <v>1980000</v>
      </c>
    </row>
    <row r="109" spans="1:5" x14ac:dyDescent="0.3">
      <c r="A109" t="s">
        <v>89</v>
      </c>
      <c r="B109" t="s">
        <v>3</v>
      </c>
      <c r="C109">
        <v>3300</v>
      </c>
      <c r="D109">
        <v>31000</v>
      </c>
      <c r="E109">
        <f t="shared" si="1"/>
        <v>102300000</v>
      </c>
    </row>
    <row r="110" spans="1:5" x14ac:dyDescent="0.3">
      <c r="A110" t="s">
        <v>90</v>
      </c>
      <c r="B110" t="s">
        <v>3</v>
      </c>
      <c r="C110">
        <v>23</v>
      </c>
      <c r="D110">
        <v>30000</v>
      </c>
      <c r="E110">
        <f t="shared" si="1"/>
        <v>690000</v>
      </c>
    </row>
    <row r="111" spans="1:5" hidden="1" x14ac:dyDescent="0.3">
      <c r="A111" t="s">
        <v>92</v>
      </c>
      <c r="B111" t="s">
        <v>3</v>
      </c>
      <c r="C111">
        <v>0</v>
      </c>
      <c r="E111">
        <f t="shared" si="1"/>
        <v>0</v>
      </c>
    </row>
    <row r="112" spans="1:5" x14ac:dyDescent="0.3">
      <c r="A112" t="s">
        <v>93</v>
      </c>
      <c r="B112" t="s">
        <v>3</v>
      </c>
      <c r="C112">
        <v>8</v>
      </c>
      <c r="D112">
        <v>33000</v>
      </c>
      <c r="E112">
        <f t="shared" si="1"/>
        <v>264000</v>
      </c>
    </row>
    <row r="113" spans="1:5" hidden="1" x14ac:dyDescent="0.3">
      <c r="A113" t="s">
        <v>94</v>
      </c>
      <c r="B113" t="s">
        <v>3</v>
      </c>
      <c r="C113">
        <v>0</v>
      </c>
      <c r="E113">
        <f t="shared" si="1"/>
        <v>0</v>
      </c>
    </row>
    <row r="114" spans="1:5" x14ac:dyDescent="0.3">
      <c r="A114" t="s">
        <v>95</v>
      </c>
      <c r="B114" t="s">
        <v>40</v>
      </c>
      <c r="C114">
        <v>100</v>
      </c>
      <c r="D114">
        <v>6800</v>
      </c>
      <c r="E114">
        <f t="shared" si="1"/>
        <v>680000</v>
      </c>
    </row>
    <row r="115" spans="1:5" hidden="1" x14ac:dyDescent="0.3">
      <c r="A115" t="s">
        <v>96</v>
      </c>
      <c r="B115" t="s">
        <v>3</v>
      </c>
      <c r="C115">
        <v>0</v>
      </c>
      <c r="E115">
        <f t="shared" si="1"/>
        <v>0</v>
      </c>
    </row>
    <row r="116" spans="1:5" hidden="1" x14ac:dyDescent="0.3">
      <c r="A116" t="s">
        <v>97</v>
      </c>
      <c r="B116" t="s">
        <v>40</v>
      </c>
      <c r="C116">
        <v>0</v>
      </c>
      <c r="E116">
        <f t="shared" si="1"/>
        <v>0</v>
      </c>
    </row>
    <row r="117" spans="1:5" hidden="1" x14ac:dyDescent="0.3">
      <c r="A117" t="s">
        <v>98</v>
      </c>
      <c r="B117" t="s">
        <v>3</v>
      </c>
      <c r="C117">
        <v>0</v>
      </c>
      <c r="E117">
        <f t="shared" si="1"/>
        <v>0</v>
      </c>
    </row>
    <row r="118" spans="1:5" hidden="1" x14ac:dyDescent="0.3">
      <c r="A118" t="s">
        <v>99</v>
      </c>
      <c r="B118" t="s">
        <v>3</v>
      </c>
      <c r="C118">
        <v>0</v>
      </c>
      <c r="E118">
        <f t="shared" si="1"/>
        <v>0</v>
      </c>
    </row>
    <row r="119" spans="1:5" hidden="1" x14ac:dyDescent="0.3">
      <c r="A119" t="s">
        <v>100</v>
      </c>
      <c r="B119" t="s">
        <v>40</v>
      </c>
      <c r="C119">
        <v>0</v>
      </c>
      <c r="E119">
        <f t="shared" si="1"/>
        <v>0</v>
      </c>
    </row>
    <row r="120" spans="1:5" x14ac:dyDescent="0.3">
      <c r="E120">
        <f>SUM(E5:E114)</f>
        <v>344773435</v>
      </c>
    </row>
    <row r="121" spans="1:5" x14ac:dyDescent="0.3">
      <c r="A121" t="s">
        <v>110</v>
      </c>
    </row>
    <row r="122" spans="1:5" ht="15.6" x14ac:dyDescent="0.3">
      <c r="A122" s="26" t="s">
        <v>0</v>
      </c>
      <c r="B122" s="26" t="s">
        <v>1</v>
      </c>
      <c r="C122" s="29" t="s">
        <v>107</v>
      </c>
      <c r="D122" s="29" t="s">
        <v>108</v>
      </c>
      <c r="E122" t="s">
        <v>109</v>
      </c>
    </row>
    <row r="123" spans="1:5" ht="15.6" hidden="1" x14ac:dyDescent="0.3">
      <c r="A123" s="27" t="s">
        <v>2</v>
      </c>
      <c r="B123" s="27" t="s">
        <v>3</v>
      </c>
      <c r="C123" s="28">
        <v>0</v>
      </c>
      <c r="D123" s="28"/>
      <c r="E123">
        <f t="shared" si="1"/>
        <v>0</v>
      </c>
    </row>
    <row r="124" spans="1:5" ht="15.6" x14ac:dyDescent="0.3">
      <c r="A124" s="27" t="s">
        <v>4</v>
      </c>
      <c r="B124" s="27" t="s">
        <v>3</v>
      </c>
      <c r="C124" s="30">
        <v>340</v>
      </c>
      <c r="D124" s="30">
        <v>5500</v>
      </c>
      <c r="E124">
        <f t="shared" si="1"/>
        <v>1870000</v>
      </c>
    </row>
    <row r="125" spans="1:5" ht="15.6" x14ac:dyDescent="0.3">
      <c r="A125" s="27" t="s">
        <v>5</v>
      </c>
      <c r="B125" s="27" t="s">
        <v>3</v>
      </c>
      <c r="C125" s="30">
        <v>110.00000000000001</v>
      </c>
      <c r="D125" s="30">
        <v>5500</v>
      </c>
      <c r="E125">
        <f t="shared" si="1"/>
        <v>605000.00000000012</v>
      </c>
    </row>
    <row r="126" spans="1:5" ht="15.6" x14ac:dyDescent="0.3">
      <c r="A126" s="27" t="s">
        <v>119</v>
      </c>
      <c r="B126" s="27" t="s">
        <v>3</v>
      </c>
      <c r="C126" s="30">
        <v>10</v>
      </c>
      <c r="D126" s="30">
        <v>22000</v>
      </c>
      <c r="E126">
        <f t="shared" si="1"/>
        <v>220000</v>
      </c>
    </row>
    <row r="127" spans="1:5" ht="15.6" x14ac:dyDescent="0.3">
      <c r="A127" s="27" t="s">
        <v>7</v>
      </c>
      <c r="B127" s="27" t="s">
        <v>3</v>
      </c>
      <c r="C127" s="30">
        <v>55.000000000000007</v>
      </c>
      <c r="D127" s="30">
        <v>9000</v>
      </c>
      <c r="E127">
        <f t="shared" si="1"/>
        <v>495000.00000000006</v>
      </c>
    </row>
    <row r="128" spans="1:5" ht="15.6" x14ac:dyDescent="0.3">
      <c r="A128" s="27" t="s">
        <v>8</v>
      </c>
      <c r="B128" s="27" t="s">
        <v>3</v>
      </c>
      <c r="C128" s="30">
        <v>20</v>
      </c>
      <c r="D128" s="30">
        <v>8000</v>
      </c>
      <c r="E128">
        <f t="shared" si="1"/>
        <v>160000</v>
      </c>
    </row>
    <row r="129" spans="1:5" ht="15.6" x14ac:dyDescent="0.3">
      <c r="A129" s="27" t="s">
        <v>102</v>
      </c>
      <c r="B129" s="27" t="s">
        <v>3</v>
      </c>
      <c r="C129" s="30">
        <v>77</v>
      </c>
      <c r="D129" s="30">
        <v>13000</v>
      </c>
      <c r="E129">
        <f t="shared" si="1"/>
        <v>1001000</v>
      </c>
    </row>
    <row r="130" spans="1:5" ht="15.6" x14ac:dyDescent="0.3">
      <c r="A130" s="27" t="s">
        <v>18</v>
      </c>
      <c r="B130" s="27" t="s">
        <v>3</v>
      </c>
      <c r="C130" s="30">
        <v>20</v>
      </c>
      <c r="D130" s="30">
        <v>19000</v>
      </c>
      <c r="E130">
        <f t="shared" si="1"/>
        <v>380000</v>
      </c>
    </row>
    <row r="131" spans="1:5" ht="15.6" x14ac:dyDescent="0.3">
      <c r="A131" s="27" t="s">
        <v>28</v>
      </c>
      <c r="B131" s="27" t="s">
        <v>3</v>
      </c>
      <c r="C131" s="30">
        <v>100</v>
      </c>
      <c r="D131" s="30">
        <v>10000</v>
      </c>
      <c r="E131">
        <f t="shared" si="1"/>
        <v>1000000</v>
      </c>
    </row>
    <row r="132" spans="1:5" ht="15.6" x14ac:dyDescent="0.3">
      <c r="A132" s="27" t="s">
        <v>31</v>
      </c>
      <c r="B132" s="27" t="s">
        <v>3</v>
      </c>
      <c r="C132" s="30">
        <v>100</v>
      </c>
      <c r="D132" s="30">
        <v>9500</v>
      </c>
      <c r="E132">
        <f t="shared" si="1"/>
        <v>950000</v>
      </c>
    </row>
    <row r="133" spans="1:5" ht="15.6" x14ac:dyDescent="0.3">
      <c r="A133" s="27" t="s">
        <v>33</v>
      </c>
      <c r="B133" s="27" t="s">
        <v>3</v>
      </c>
      <c r="C133" s="30">
        <v>60</v>
      </c>
      <c r="D133" s="30">
        <v>8000</v>
      </c>
      <c r="E133">
        <f t="shared" si="1"/>
        <v>480000</v>
      </c>
    </row>
    <row r="134" spans="1:5" ht="15.6" x14ac:dyDescent="0.3">
      <c r="A134" s="27" t="s">
        <v>38</v>
      </c>
      <c r="B134" s="27" t="s">
        <v>3</v>
      </c>
      <c r="C134" s="30">
        <v>100</v>
      </c>
      <c r="D134" s="30">
        <v>5500</v>
      </c>
      <c r="E134">
        <f t="shared" ref="E134:E160" si="2">C134*D134</f>
        <v>550000</v>
      </c>
    </row>
    <row r="135" spans="1:5" ht="15.6" x14ac:dyDescent="0.3">
      <c r="A135" s="27" t="s">
        <v>103</v>
      </c>
      <c r="B135" s="27" t="s">
        <v>3</v>
      </c>
      <c r="C135" s="30">
        <v>12</v>
      </c>
      <c r="D135" s="30">
        <v>14000</v>
      </c>
      <c r="E135">
        <f t="shared" si="2"/>
        <v>168000</v>
      </c>
    </row>
    <row r="136" spans="1:5" ht="15.6" x14ac:dyDescent="0.3">
      <c r="A136" s="27" t="s">
        <v>104</v>
      </c>
      <c r="B136" s="27" t="s">
        <v>3</v>
      </c>
      <c r="C136" s="30">
        <v>370</v>
      </c>
      <c r="D136" s="30">
        <v>4000</v>
      </c>
      <c r="E136">
        <f t="shared" si="2"/>
        <v>1480000</v>
      </c>
    </row>
    <row r="137" spans="1:5" ht="15.6" x14ac:dyDescent="0.3">
      <c r="A137" s="27" t="s">
        <v>39</v>
      </c>
      <c r="B137" s="27" t="s">
        <v>3</v>
      </c>
      <c r="C137" s="30">
        <v>23</v>
      </c>
      <c r="D137" s="30">
        <v>9000</v>
      </c>
      <c r="E137">
        <f t="shared" si="2"/>
        <v>207000</v>
      </c>
    </row>
    <row r="138" spans="1:5" ht="15.6" x14ac:dyDescent="0.3">
      <c r="A138" s="27" t="s">
        <v>105</v>
      </c>
      <c r="B138" s="27" t="s">
        <v>3</v>
      </c>
      <c r="C138" s="30">
        <v>20</v>
      </c>
      <c r="D138" s="30">
        <v>27000</v>
      </c>
      <c r="E138">
        <f t="shared" si="2"/>
        <v>540000</v>
      </c>
    </row>
    <row r="139" spans="1:5" ht="15.6" x14ac:dyDescent="0.3">
      <c r="A139" s="27" t="s">
        <v>41</v>
      </c>
      <c r="B139" s="27" t="s">
        <v>3</v>
      </c>
      <c r="C139" s="30">
        <v>20</v>
      </c>
      <c r="D139" s="30">
        <v>14000</v>
      </c>
      <c r="E139">
        <f t="shared" si="2"/>
        <v>280000</v>
      </c>
    </row>
    <row r="140" spans="1:5" ht="15.6" x14ac:dyDescent="0.3">
      <c r="A140" s="27" t="s">
        <v>44</v>
      </c>
      <c r="B140" s="27" t="s">
        <v>3</v>
      </c>
      <c r="C140" s="30">
        <v>19</v>
      </c>
      <c r="D140" s="30">
        <v>6000</v>
      </c>
      <c r="E140">
        <f t="shared" si="2"/>
        <v>114000</v>
      </c>
    </row>
    <row r="141" spans="1:5" ht="15.6" x14ac:dyDescent="0.3">
      <c r="A141" s="27" t="s">
        <v>45</v>
      </c>
      <c r="B141" s="27" t="s">
        <v>3</v>
      </c>
      <c r="C141" s="30">
        <v>10</v>
      </c>
      <c r="D141" s="30">
        <v>11000</v>
      </c>
      <c r="E141">
        <f t="shared" si="2"/>
        <v>110000</v>
      </c>
    </row>
    <row r="142" spans="1:5" ht="15.6" x14ac:dyDescent="0.3">
      <c r="A142" s="27" t="s">
        <v>47</v>
      </c>
      <c r="B142" s="27" t="s">
        <v>3</v>
      </c>
      <c r="C142" s="30">
        <v>40</v>
      </c>
      <c r="D142" s="30">
        <v>10000</v>
      </c>
      <c r="E142">
        <f t="shared" si="2"/>
        <v>400000</v>
      </c>
    </row>
    <row r="143" spans="1:5" ht="15.6" x14ac:dyDescent="0.3">
      <c r="A143" s="27" t="s">
        <v>54</v>
      </c>
      <c r="B143" s="27" t="s">
        <v>3</v>
      </c>
      <c r="C143" s="30">
        <v>50</v>
      </c>
      <c r="D143" s="30">
        <v>10000</v>
      </c>
      <c r="E143">
        <f t="shared" si="2"/>
        <v>500000</v>
      </c>
    </row>
    <row r="144" spans="1:5" ht="15.6" x14ac:dyDescent="0.3">
      <c r="A144" s="27" t="s">
        <v>59</v>
      </c>
      <c r="B144" s="27" t="s">
        <v>3</v>
      </c>
      <c r="C144" s="30">
        <v>30</v>
      </c>
      <c r="D144" s="30">
        <v>18000</v>
      </c>
      <c r="E144">
        <f t="shared" si="2"/>
        <v>540000</v>
      </c>
    </row>
    <row r="145" spans="1:5" ht="15.6" x14ac:dyDescent="0.3">
      <c r="A145" s="27" t="s">
        <v>61</v>
      </c>
      <c r="B145" s="27" t="s">
        <v>3</v>
      </c>
      <c r="C145" s="30">
        <v>5</v>
      </c>
      <c r="D145" s="30">
        <v>11000</v>
      </c>
      <c r="E145">
        <f t="shared" si="2"/>
        <v>55000</v>
      </c>
    </row>
    <row r="146" spans="1:5" ht="15.6" hidden="1" x14ac:dyDescent="0.3">
      <c r="A146" s="27" t="s">
        <v>62</v>
      </c>
      <c r="B146" s="27" t="s">
        <v>30</v>
      </c>
      <c r="C146" s="28">
        <v>0</v>
      </c>
      <c r="D146" s="28"/>
      <c r="E146">
        <f t="shared" si="2"/>
        <v>0</v>
      </c>
    </row>
    <row r="147" spans="1:5" ht="15.6" x14ac:dyDescent="0.3">
      <c r="A147" s="27" t="s">
        <v>63</v>
      </c>
      <c r="B147" s="27" t="s">
        <v>30</v>
      </c>
      <c r="C147" s="30">
        <v>15</v>
      </c>
      <c r="D147" s="30">
        <v>9000</v>
      </c>
      <c r="E147">
        <f t="shared" si="2"/>
        <v>135000</v>
      </c>
    </row>
    <row r="148" spans="1:5" ht="15.6" hidden="1" x14ac:dyDescent="0.3">
      <c r="A148" s="27" t="s">
        <v>68</v>
      </c>
      <c r="B148" s="27" t="s">
        <v>3</v>
      </c>
      <c r="C148" s="28">
        <v>0</v>
      </c>
      <c r="D148" s="28"/>
      <c r="E148">
        <f t="shared" si="2"/>
        <v>0</v>
      </c>
    </row>
    <row r="149" spans="1:5" ht="15.6" x14ac:dyDescent="0.3">
      <c r="A149" s="27" t="s">
        <v>68</v>
      </c>
      <c r="B149" s="27" t="s">
        <v>17</v>
      </c>
      <c r="C149" s="30">
        <v>105</v>
      </c>
      <c r="D149" s="30">
        <v>6000</v>
      </c>
      <c r="E149">
        <f t="shared" si="2"/>
        <v>630000</v>
      </c>
    </row>
    <row r="150" spans="1:5" ht="15.6" x14ac:dyDescent="0.3">
      <c r="A150" s="27" t="s">
        <v>71</v>
      </c>
      <c r="B150" s="27" t="s">
        <v>3</v>
      </c>
      <c r="C150" s="30">
        <v>19</v>
      </c>
      <c r="D150" s="30">
        <v>14000</v>
      </c>
      <c r="E150">
        <f t="shared" si="2"/>
        <v>266000</v>
      </c>
    </row>
    <row r="151" spans="1:5" ht="15.6" hidden="1" x14ac:dyDescent="0.3">
      <c r="A151" s="27" t="s">
        <v>72</v>
      </c>
      <c r="B151" s="27" t="s">
        <v>3</v>
      </c>
      <c r="C151" s="28">
        <v>0</v>
      </c>
      <c r="D151" s="28"/>
      <c r="E151">
        <f t="shared" si="2"/>
        <v>0</v>
      </c>
    </row>
    <row r="152" spans="1:5" ht="15.6" hidden="1" x14ac:dyDescent="0.3">
      <c r="A152" s="27" t="s">
        <v>73</v>
      </c>
      <c r="B152" s="27" t="s">
        <v>3</v>
      </c>
      <c r="C152" s="28">
        <v>0</v>
      </c>
      <c r="D152" s="28"/>
      <c r="E152">
        <f t="shared" si="2"/>
        <v>0</v>
      </c>
    </row>
    <row r="153" spans="1:5" ht="15.6" x14ac:dyDescent="0.3">
      <c r="A153" s="27" t="s">
        <v>78</v>
      </c>
      <c r="B153" s="27" t="s">
        <v>3</v>
      </c>
      <c r="C153" s="30">
        <v>5</v>
      </c>
      <c r="D153" s="30">
        <v>28000</v>
      </c>
      <c r="E153">
        <f t="shared" si="2"/>
        <v>140000</v>
      </c>
    </row>
    <row r="154" spans="1:5" ht="15.6" x14ac:dyDescent="0.3">
      <c r="A154" s="27" t="s">
        <v>80</v>
      </c>
      <c r="B154" s="27" t="s">
        <v>3</v>
      </c>
      <c r="C154" s="30">
        <v>5</v>
      </c>
      <c r="D154" s="30">
        <v>22000</v>
      </c>
      <c r="E154">
        <f t="shared" si="2"/>
        <v>110000</v>
      </c>
    </row>
    <row r="155" spans="1:5" ht="15.6" x14ac:dyDescent="0.3">
      <c r="A155" s="27" t="s">
        <v>82</v>
      </c>
      <c r="B155" s="27" t="s">
        <v>3</v>
      </c>
      <c r="C155" s="30">
        <v>5</v>
      </c>
      <c r="D155" s="30">
        <v>34000</v>
      </c>
      <c r="E155">
        <f t="shared" si="2"/>
        <v>170000</v>
      </c>
    </row>
    <row r="156" spans="1:5" ht="15.6" x14ac:dyDescent="0.3">
      <c r="A156" s="27" t="s">
        <v>92</v>
      </c>
      <c r="B156" s="27" t="s">
        <v>3</v>
      </c>
      <c r="C156" s="30">
        <v>265</v>
      </c>
      <c r="D156" s="30">
        <v>10000</v>
      </c>
      <c r="E156">
        <f t="shared" si="2"/>
        <v>2650000</v>
      </c>
    </row>
    <row r="157" spans="1:5" ht="15.6" hidden="1" x14ac:dyDescent="0.3">
      <c r="A157" s="27" t="s">
        <v>94</v>
      </c>
      <c r="B157" s="27" t="s">
        <v>40</v>
      </c>
      <c r="C157" s="28">
        <v>0</v>
      </c>
      <c r="D157" s="28"/>
      <c r="E157">
        <f t="shared" si="2"/>
        <v>0</v>
      </c>
    </row>
    <row r="158" spans="1:5" ht="15.6" hidden="1" x14ac:dyDescent="0.3">
      <c r="A158" s="27" t="s">
        <v>95</v>
      </c>
      <c r="B158" s="27" t="s">
        <v>40</v>
      </c>
      <c r="C158" s="28">
        <v>0</v>
      </c>
      <c r="D158" s="28"/>
      <c r="E158">
        <f t="shared" si="2"/>
        <v>0</v>
      </c>
    </row>
    <row r="159" spans="1:5" ht="15.6" hidden="1" x14ac:dyDescent="0.3">
      <c r="A159" s="27" t="s">
        <v>97</v>
      </c>
      <c r="B159" s="27" t="s">
        <v>40</v>
      </c>
      <c r="C159" s="28">
        <v>0</v>
      </c>
      <c r="D159" s="28"/>
      <c r="E159">
        <f t="shared" si="2"/>
        <v>0</v>
      </c>
    </row>
    <row r="160" spans="1:5" ht="15.6" hidden="1" x14ac:dyDescent="0.3">
      <c r="A160" s="27" t="s">
        <v>100</v>
      </c>
      <c r="B160" s="27" t="s">
        <v>40</v>
      </c>
      <c r="C160" s="28">
        <v>0</v>
      </c>
      <c r="D160" s="28"/>
      <c r="E160">
        <f t="shared" si="2"/>
        <v>0</v>
      </c>
    </row>
    <row r="161" spans="5:5" x14ac:dyDescent="0.3">
      <c r="E161">
        <f>SUM(E124:E156)</f>
        <v>16206000</v>
      </c>
    </row>
    <row r="162" spans="5:5" x14ac:dyDescent="0.3">
      <c r="E162">
        <f>SUM(E161,E120)</f>
        <v>360979435</v>
      </c>
    </row>
  </sheetData>
  <autoFilter ref="A2:E160" xr:uid="{00000000-0009-0000-0000-00000D000000}">
    <filterColumn colId="2">
      <filters>
        <filter val="10"/>
        <filter val="100"/>
        <filter val="105"/>
        <filter val="108"/>
        <filter val="11"/>
        <filter val="110"/>
        <filter val="1130"/>
        <filter val="115"/>
        <filter val="1160"/>
        <filter val="12"/>
        <filter val="135"/>
        <filter val="14"/>
        <filter val="140"/>
        <filter val="15"/>
        <filter val="16"/>
        <filter val="17"/>
        <filter val="175"/>
        <filter val="1875"/>
        <filter val="19"/>
        <filter val="20"/>
        <filter val="22"/>
        <filter val="23"/>
        <filter val="230"/>
        <filter val="24"/>
        <filter val="2400"/>
        <filter val="243"/>
        <filter val="248"/>
        <filter val="25"/>
        <filter val="255"/>
        <filter val="265"/>
        <filter val="266"/>
        <filter val="28"/>
        <filter val="30"/>
        <filter val="305"/>
        <filter val="3300"/>
        <filter val="340"/>
        <filter val="366"/>
        <filter val="370"/>
        <filter val="4"/>
        <filter val="40"/>
        <filter val="435"/>
        <filter val="440"/>
        <filter val="476"/>
        <filter val="5"/>
        <filter val="50"/>
        <filter val="52"/>
        <filter val="55"/>
        <filter val="57"/>
        <filter val="60"/>
        <filter val="62"/>
        <filter val="700"/>
        <filter val="72"/>
        <filter val="77"/>
        <filter val="78"/>
        <filter val="8"/>
        <filter val="835"/>
        <filter val="85"/>
        <filter val="9"/>
        <filter val="Tồn_x000a_ĐL_x000a__x000a_現在庫"/>
      </filters>
    </filterColumn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/>
  <dimension ref="A1:E145"/>
  <sheetViews>
    <sheetView workbookViewId="0">
      <selection activeCell="I19" sqref="A1:XFD1048576"/>
    </sheetView>
  </sheetViews>
  <sheetFormatPr defaultRowHeight="14.4" x14ac:dyDescent="0.3"/>
  <cols>
    <col min="1" max="1" width="26.6640625" customWidth="1"/>
    <col min="3" max="3" width="12.109375" customWidth="1"/>
    <col min="5" max="5" width="13.6640625" customWidth="1"/>
  </cols>
  <sheetData>
    <row r="1" spans="1:5" x14ac:dyDescent="0.3">
      <c r="A1" t="s">
        <v>151</v>
      </c>
    </row>
    <row r="2" spans="1:5" x14ac:dyDescent="0.3">
      <c r="A2" t="s">
        <v>0</v>
      </c>
      <c r="B2" t="s">
        <v>1</v>
      </c>
      <c r="C2" t="s">
        <v>107</v>
      </c>
      <c r="D2" t="s">
        <v>108</v>
      </c>
      <c r="E2" t="s">
        <v>109</v>
      </c>
    </row>
    <row r="3" spans="1:5" x14ac:dyDescent="0.3">
      <c r="A3" t="s">
        <v>31</v>
      </c>
      <c r="B3" t="s">
        <v>3</v>
      </c>
      <c r="C3">
        <v>380</v>
      </c>
      <c r="D3">
        <v>9500</v>
      </c>
      <c r="E3">
        <f>C3*D3</f>
        <v>3610000</v>
      </c>
    </row>
    <row r="4" spans="1:5" hidden="1" x14ac:dyDescent="0.3">
      <c r="A4" t="s">
        <v>31</v>
      </c>
      <c r="B4" t="s">
        <v>30</v>
      </c>
      <c r="C4">
        <v>0</v>
      </c>
      <c r="E4">
        <f t="shared" ref="E4:E67" si="0">C4*D4</f>
        <v>0</v>
      </c>
    </row>
    <row r="5" spans="1:5" hidden="1" x14ac:dyDescent="0.3">
      <c r="A5" t="s">
        <v>32</v>
      </c>
      <c r="B5" t="s">
        <v>17</v>
      </c>
      <c r="C5">
        <v>0</v>
      </c>
      <c r="E5">
        <f t="shared" si="0"/>
        <v>0</v>
      </c>
    </row>
    <row r="6" spans="1:5" x14ac:dyDescent="0.3">
      <c r="A6" t="s">
        <v>42</v>
      </c>
      <c r="B6" t="s">
        <v>25</v>
      </c>
      <c r="C6">
        <v>6</v>
      </c>
      <c r="D6">
        <v>11000</v>
      </c>
      <c r="E6">
        <f t="shared" si="0"/>
        <v>66000</v>
      </c>
    </row>
    <row r="7" spans="1:5" hidden="1" x14ac:dyDescent="0.3">
      <c r="A7" t="s">
        <v>42</v>
      </c>
      <c r="B7" t="s">
        <v>3</v>
      </c>
      <c r="C7">
        <v>0</v>
      </c>
      <c r="E7">
        <f t="shared" si="0"/>
        <v>0</v>
      </c>
    </row>
    <row r="8" spans="1:5" x14ac:dyDescent="0.3">
      <c r="A8" t="s">
        <v>45</v>
      </c>
      <c r="B8" t="s">
        <v>3</v>
      </c>
      <c r="C8">
        <v>30</v>
      </c>
      <c r="D8">
        <v>11000</v>
      </c>
      <c r="E8">
        <f t="shared" si="0"/>
        <v>330000</v>
      </c>
    </row>
    <row r="9" spans="1:5" hidden="1" x14ac:dyDescent="0.3">
      <c r="A9" t="s">
        <v>45</v>
      </c>
      <c r="B9" t="s">
        <v>30</v>
      </c>
      <c r="C9">
        <v>0</v>
      </c>
      <c r="E9">
        <f t="shared" si="0"/>
        <v>0</v>
      </c>
    </row>
    <row r="10" spans="1:5" x14ac:dyDescent="0.3">
      <c r="A10" t="s">
        <v>47</v>
      </c>
      <c r="B10" t="s">
        <v>3</v>
      </c>
      <c r="C10">
        <v>200</v>
      </c>
      <c r="D10">
        <v>10000</v>
      </c>
      <c r="E10">
        <f t="shared" si="0"/>
        <v>2000000</v>
      </c>
    </row>
    <row r="11" spans="1:5" hidden="1" x14ac:dyDescent="0.3">
      <c r="A11" t="s">
        <v>47</v>
      </c>
      <c r="B11" t="s">
        <v>48</v>
      </c>
      <c r="C11">
        <v>0</v>
      </c>
      <c r="E11">
        <f t="shared" si="0"/>
        <v>0</v>
      </c>
    </row>
    <row r="12" spans="1:5" x14ac:dyDescent="0.3">
      <c r="A12" t="s">
        <v>50</v>
      </c>
      <c r="B12" t="s">
        <v>30</v>
      </c>
      <c r="C12">
        <v>230</v>
      </c>
      <c r="D12">
        <v>2400</v>
      </c>
      <c r="E12">
        <f t="shared" si="0"/>
        <v>552000</v>
      </c>
    </row>
    <row r="13" spans="1:5" x14ac:dyDescent="0.3">
      <c r="A13" t="s">
        <v>52</v>
      </c>
      <c r="B13" t="s">
        <v>3</v>
      </c>
      <c r="C13">
        <v>1737</v>
      </c>
      <c r="D13">
        <v>27000</v>
      </c>
      <c r="E13">
        <f t="shared" si="0"/>
        <v>46899000</v>
      </c>
    </row>
    <row r="14" spans="1:5" hidden="1" x14ac:dyDescent="0.3">
      <c r="A14" t="s">
        <v>52</v>
      </c>
      <c r="B14" t="s">
        <v>30</v>
      </c>
      <c r="C14">
        <v>0</v>
      </c>
      <c r="E14">
        <f t="shared" si="0"/>
        <v>0</v>
      </c>
    </row>
    <row r="15" spans="1:5" x14ac:dyDescent="0.3">
      <c r="A15" t="s">
        <v>54</v>
      </c>
      <c r="B15" t="s">
        <v>3</v>
      </c>
      <c r="C15">
        <v>415</v>
      </c>
      <c r="D15">
        <v>15500</v>
      </c>
      <c r="E15">
        <f t="shared" si="0"/>
        <v>6432500</v>
      </c>
    </row>
    <row r="16" spans="1:5" x14ac:dyDescent="0.3">
      <c r="A16" t="s">
        <v>59</v>
      </c>
      <c r="B16" t="s">
        <v>3</v>
      </c>
      <c r="C16">
        <v>160</v>
      </c>
      <c r="D16">
        <v>18000</v>
      </c>
      <c r="E16">
        <f t="shared" si="0"/>
        <v>2880000</v>
      </c>
    </row>
    <row r="17" spans="1:5" hidden="1" x14ac:dyDescent="0.3">
      <c r="A17" t="s">
        <v>59</v>
      </c>
      <c r="B17" t="s">
        <v>30</v>
      </c>
      <c r="C17">
        <v>0</v>
      </c>
      <c r="E17">
        <f t="shared" si="0"/>
        <v>0</v>
      </c>
    </row>
    <row r="18" spans="1:5" x14ac:dyDescent="0.3">
      <c r="A18" t="s">
        <v>16</v>
      </c>
      <c r="B18" t="s">
        <v>17</v>
      </c>
      <c r="C18">
        <v>5</v>
      </c>
      <c r="D18">
        <v>7000</v>
      </c>
      <c r="E18">
        <f t="shared" si="0"/>
        <v>35000</v>
      </c>
    </row>
    <row r="19" spans="1:5" x14ac:dyDescent="0.3">
      <c r="A19" t="s">
        <v>5</v>
      </c>
      <c r="B19" t="s">
        <v>3</v>
      </c>
      <c r="C19">
        <v>457</v>
      </c>
      <c r="D19">
        <v>5000</v>
      </c>
      <c r="E19">
        <f t="shared" si="0"/>
        <v>2285000</v>
      </c>
    </row>
    <row r="20" spans="1:5" x14ac:dyDescent="0.3">
      <c r="A20" t="s">
        <v>35</v>
      </c>
      <c r="B20" t="s">
        <v>3</v>
      </c>
      <c r="C20">
        <v>12</v>
      </c>
      <c r="D20">
        <v>15000</v>
      </c>
      <c r="E20">
        <f t="shared" si="0"/>
        <v>180000</v>
      </c>
    </row>
    <row r="21" spans="1:5" hidden="1" x14ac:dyDescent="0.3">
      <c r="A21" t="s">
        <v>35</v>
      </c>
      <c r="B21" t="s">
        <v>30</v>
      </c>
      <c r="C21">
        <v>0</v>
      </c>
      <c r="E21">
        <f t="shared" si="0"/>
        <v>0</v>
      </c>
    </row>
    <row r="22" spans="1:5" x14ac:dyDescent="0.3">
      <c r="A22" t="s">
        <v>37</v>
      </c>
      <c r="B22" t="s">
        <v>30</v>
      </c>
      <c r="C22">
        <v>8</v>
      </c>
      <c r="D22">
        <v>4300</v>
      </c>
      <c r="E22">
        <f t="shared" si="0"/>
        <v>34400</v>
      </c>
    </row>
    <row r="23" spans="1:5" x14ac:dyDescent="0.3">
      <c r="A23" t="s">
        <v>38</v>
      </c>
      <c r="B23" t="s">
        <v>3</v>
      </c>
      <c r="C23">
        <v>1190</v>
      </c>
      <c r="D23">
        <v>5000</v>
      </c>
      <c r="E23">
        <f t="shared" si="0"/>
        <v>5950000</v>
      </c>
    </row>
    <row r="24" spans="1:5" hidden="1" x14ac:dyDescent="0.3">
      <c r="A24" t="s">
        <v>39</v>
      </c>
      <c r="B24" t="s">
        <v>40</v>
      </c>
      <c r="C24">
        <v>0</v>
      </c>
      <c r="E24">
        <f t="shared" si="0"/>
        <v>0</v>
      </c>
    </row>
    <row r="25" spans="1:5" x14ac:dyDescent="0.3">
      <c r="A25" t="s">
        <v>39</v>
      </c>
      <c r="B25" t="s">
        <v>3</v>
      </c>
      <c r="C25">
        <v>79</v>
      </c>
      <c r="D25">
        <v>9000</v>
      </c>
      <c r="E25">
        <f t="shared" si="0"/>
        <v>711000</v>
      </c>
    </row>
    <row r="26" spans="1:5" hidden="1" x14ac:dyDescent="0.3">
      <c r="A26" t="s">
        <v>94</v>
      </c>
      <c r="B26" t="s">
        <v>3</v>
      </c>
      <c r="C26">
        <v>0</v>
      </c>
      <c r="E26">
        <f t="shared" si="0"/>
        <v>0</v>
      </c>
    </row>
    <row r="27" spans="1:5" x14ac:dyDescent="0.3">
      <c r="A27" t="s">
        <v>7</v>
      </c>
      <c r="B27" t="s">
        <v>3</v>
      </c>
      <c r="C27">
        <v>46</v>
      </c>
      <c r="D27">
        <v>12000</v>
      </c>
      <c r="E27">
        <f t="shared" si="0"/>
        <v>552000</v>
      </c>
    </row>
    <row r="28" spans="1:5" x14ac:dyDescent="0.3">
      <c r="A28" t="s">
        <v>8</v>
      </c>
      <c r="B28" t="s">
        <v>3</v>
      </c>
      <c r="C28">
        <v>420</v>
      </c>
      <c r="D28">
        <v>8500</v>
      </c>
      <c r="E28">
        <f t="shared" si="0"/>
        <v>3570000</v>
      </c>
    </row>
    <row r="29" spans="1:5" hidden="1" x14ac:dyDescent="0.3">
      <c r="A29" t="s">
        <v>8</v>
      </c>
      <c r="B29" t="s">
        <v>9</v>
      </c>
      <c r="C29">
        <v>0</v>
      </c>
      <c r="E29">
        <f t="shared" si="0"/>
        <v>0</v>
      </c>
    </row>
    <row r="30" spans="1:5" x14ac:dyDescent="0.3">
      <c r="A30" t="s">
        <v>10</v>
      </c>
      <c r="B30" t="s">
        <v>3</v>
      </c>
      <c r="C30">
        <v>42</v>
      </c>
      <c r="D30">
        <v>14000</v>
      </c>
      <c r="E30">
        <f t="shared" si="0"/>
        <v>588000</v>
      </c>
    </row>
    <row r="31" spans="1:5" hidden="1" x14ac:dyDescent="0.3">
      <c r="A31" t="s">
        <v>10</v>
      </c>
      <c r="B31" t="s">
        <v>9</v>
      </c>
      <c r="C31">
        <v>0</v>
      </c>
      <c r="E31">
        <f t="shared" si="0"/>
        <v>0</v>
      </c>
    </row>
    <row r="32" spans="1:5" x14ac:dyDescent="0.3">
      <c r="A32" t="s">
        <v>18</v>
      </c>
      <c r="B32" t="s">
        <v>3</v>
      </c>
      <c r="C32">
        <v>460</v>
      </c>
      <c r="D32">
        <v>19000</v>
      </c>
      <c r="E32">
        <f t="shared" si="0"/>
        <v>8740000</v>
      </c>
    </row>
    <row r="33" spans="1:5" hidden="1" x14ac:dyDescent="0.3">
      <c r="A33" t="s">
        <v>18</v>
      </c>
      <c r="B33" t="s">
        <v>19</v>
      </c>
      <c r="C33">
        <v>0</v>
      </c>
      <c r="E33">
        <f t="shared" si="0"/>
        <v>0</v>
      </c>
    </row>
    <row r="34" spans="1:5" x14ac:dyDescent="0.3">
      <c r="A34" t="s">
        <v>28</v>
      </c>
      <c r="B34" t="s">
        <v>3</v>
      </c>
      <c r="C34">
        <v>430</v>
      </c>
      <c r="D34">
        <v>11000</v>
      </c>
      <c r="E34">
        <f t="shared" si="0"/>
        <v>4730000</v>
      </c>
    </row>
    <row r="35" spans="1:5" hidden="1" x14ac:dyDescent="0.3">
      <c r="A35" t="s">
        <v>28</v>
      </c>
      <c r="B35" t="s">
        <v>17</v>
      </c>
      <c r="C35">
        <v>0</v>
      </c>
      <c r="E35">
        <f t="shared" si="0"/>
        <v>0</v>
      </c>
    </row>
    <row r="36" spans="1:5" x14ac:dyDescent="0.3">
      <c r="A36" t="s">
        <v>29</v>
      </c>
      <c r="B36" t="s">
        <v>30</v>
      </c>
      <c r="C36">
        <v>90</v>
      </c>
      <c r="D36">
        <v>6000</v>
      </c>
      <c r="E36">
        <f t="shared" si="0"/>
        <v>540000</v>
      </c>
    </row>
    <row r="37" spans="1:5" hidden="1" x14ac:dyDescent="0.3">
      <c r="A37" t="s">
        <v>68</v>
      </c>
      <c r="B37" t="s">
        <v>3</v>
      </c>
      <c r="C37">
        <v>0</v>
      </c>
      <c r="E37">
        <f t="shared" si="0"/>
        <v>0</v>
      </c>
    </row>
    <row r="38" spans="1:5" x14ac:dyDescent="0.3">
      <c r="A38" t="s">
        <v>68</v>
      </c>
      <c r="B38" t="s">
        <v>17</v>
      </c>
      <c r="C38">
        <v>539</v>
      </c>
      <c r="D38">
        <v>6000</v>
      </c>
      <c r="E38">
        <f t="shared" si="0"/>
        <v>3234000</v>
      </c>
    </row>
    <row r="39" spans="1:5" x14ac:dyDescent="0.3">
      <c r="A39" t="s">
        <v>70</v>
      </c>
      <c r="B39" t="s">
        <v>3</v>
      </c>
      <c r="C39">
        <v>7</v>
      </c>
      <c r="D39">
        <v>8000</v>
      </c>
      <c r="E39">
        <f t="shared" si="0"/>
        <v>56000</v>
      </c>
    </row>
    <row r="40" spans="1:5" x14ac:dyDescent="0.3">
      <c r="A40" t="s">
        <v>78</v>
      </c>
      <c r="B40" t="s">
        <v>3</v>
      </c>
      <c r="C40">
        <v>125</v>
      </c>
      <c r="D40">
        <v>28000</v>
      </c>
      <c r="E40">
        <f t="shared" si="0"/>
        <v>3500000</v>
      </c>
    </row>
    <row r="41" spans="1:5" hidden="1" x14ac:dyDescent="0.3">
      <c r="A41" t="s">
        <v>78</v>
      </c>
      <c r="B41" t="s">
        <v>9</v>
      </c>
      <c r="C41">
        <v>0</v>
      </c>
      <c r="E41">
        <f t="shared" si="0"/>
        <v>0</v>
      </c>
    </row>
    <row r="42" spans="1:5" x14ac:dyDescent="0.3">
      <c r="A42" t="s">
        <v>80</v>
      </c>
      <c r="B42" t="s">
        <v>3</v>
      </c>
      <c r="C42">
        <v>145</v>
      </c>
      <c r="D42">
        <v>22000</v>
      </c>
      <c r="E42">
        <f t="shared" si="0"/>
        <v>3190000</v>
      </c>
    </row>
    <row r="43" spans="1:5" hidden="1" x14ac:dyDescent="0.3">
      <c r="A43" t="s">
        <v>80</v>
      </c>
      <c r="B43" t="s">
        <v>9</v>
      </c>
      <c r="C43">
        <v>0</v>
      </c>
      <c r="E43">
        <f t="shared" si="0"/>
        <v>0</v>
      </c>
    </row>
    <row r="44" spans="1:5" x14ac:dyDescent="0.3">
      <c r="A44" t="s">
        <v>82</v>
      </c>
      <c r="B44" t="s">
        <v>3</v>
      </c>
      <c r="C44">
        <v>25</v>
      </c>
      <c r="D44">
        <v>34000</v>
      </c>
      <c r="E44">
        <f t="shared" si="0"/>
        <v>850000</v>
      </c>
    </row>
    <row r="45" spans="1:5" hidden="1" x14ac:dyDescent="0.3">
      <c r="A45" t="s">
        <v>82</v>
      </c>
      <c r="B45" t="s">
        <v>9</v>
      </c>
      <c r="C45">
        <v>0</v>
      </c>
      <c r="E45">
        <f t="shared" si="0"/>
        <v>0</v>
      </c>
    </row>
    <row r="46" spans="1:5" hidden="1" x14ac:dyDescent="0.3">
      <c r="A46" t="s">
        <v>76</v>
      </c>
      <c r="B46" t="s">
        <v>17</v>
      </c>
      <c r="C46">
        <v>0</v>
      </c>
      <c r="E46">
        <f t="shared" si="0"/>
        <v>0</v>
      </c>
    </row>
    <row r="47" spans="1:5" x14ac:dyDescent="0.3">
      <c r="A47" t="s">
        <v>51</v>
      </c>
      <c r="B47" t="s">
        <v>3</v>
      </c>
      <c r="C47">
        <v>910</v>
      </c>
      <c r="D47">
        <v>28000</v>
      </c>
      <c r="E47">
        <f t="shared" si="0"/>
        <v>25480000</v>
      </c>
    </row>
    <row r="48" spans="1:5" x14ac:dyDescent="0.3">
      <c r="A48" t="s">
        <v>22</v>
      </c>
      <c r="B48" t="s">
        <v>3</v>
      </c>
      <c r="C48">
        <v>10</v>
      </c>
      <c r="D48">
        <v>21000</v>
      </c>
      <c r="E48">
        <f t="shared" si="0"/>
        <v>210000</v>
      </c>
    </row>
    <row r="49" spans="1:5" x14ac:dyDescent="0.3">
      <c r="A49" t="s">
        <v>22</v>
      </c>
      <c r="B49" t="s">
        <v>23</v>
      </c>
      <c r="C49">
        <v>55</v>
      </c>
      <c r="D49">
        <v>6300</v>
      </c>
      <c r="E49">
        <f t="shared" si="0"/>
        <v>346500</v>
      </c>
    </row>
    <row r="50" spans="1:5" x14ac:dyDescent="0.3">
      <c r="A50" t="s">
        <v>72</v>
      </c>
      <c r="B50" t="s">
        <v>3</v>
      </c>
      <c r="C50">
        <v>2390</v>
      </c>
      <c r="D50">
        <v>27600</v>
      </c>
      <c r="E50">
        <f t="shared" si="0"/>
        <v>65964000</v>
      </c>
    </row>
    <row r="51" spans="1:5" x14ac:dyDescent="0.3">
      <c r="A51" t="s">
        <v>2</v>
      </c>
      <c r="B51" t="s">
        <v>3</v>
      </c>
      <c r="C51">
        <v>7</v>
      </c>
      <c r="D51">
        <v>12000</v>
      </c>
      <c r="E51">
        <f t="shared" si="0"/>
        <v>84000</v>
      </c>
    </row>
    <row r="52" spans="1:5" x14ac:dyDescent="0.3">
      <c r="A52" t="s">
        <v>4</v>
      </c>
      <c r="B52" t="s">
        <v>3</v>
      </c>
      <c r="C52">
        <v>89</v>
      </c>
      <c r="D52">
        <v>6000</v>
      </c>
      <c r="E52">
        <f t="shared" si="0"/>
        <v>534000</v>
      </c>
    </row>
    <row r="53" spans="1:5" x14ac:dyDescent="0.3">
      <c r="A53" t="s">
        <v>12</v>
      </c>
      <c r="B53" t="s">
        <v>3</v>
      </c>
      <c r="C53">
        <v>13</v>
      </c>
      <c r="D53">
        <v>12000</v>
      </c>
      <c r="E53">
        <f t="shared" si="0"/>
        <v>156000</v>
      </c>
    </row>
    <row r="54" spans="1:5" x14ac:dyDescent="0.3">
      <c r="A54" t="s">
        <v>13</v>
      </c>
      <c r="B54" t="s">
        <v>3</v>
      </c>
      <c r="C54">
        <v>93</v>
      </c>
      <c r="D54">
        <v>12000</v>
      </c>
      <c r="E54">
        <f t="shared" si="0"/>
        <v>1116000</v>
      </c>
    </row>
    <row r="55" spans="1:5" hidden="1" x14ac:dyDescent="0.3">
      <c r="A55" t="s">
        <v>20</v>
      </c>
      <c r="B55" t="s">
        <v>3</v>
      </c>
      <c r="C55">
        <v>0</v>
      </c>
      <c r="E55">
        <f t="shared" si="0"/>
        <v>0</v>
      </c>
    </row>
    <row r="56" spans="1:5" hidden="1" x14ac:dyDescent="0.3">
      <c r="A56" t="s">
        <v>20</v>
      </c>
      <c r="B56" t="s">
        <v>21</v>
      </c>
      <c r="C56">
        <v>0</v>
      </c>
      <c r="E56">
        <f t="shared" si="0"/>
        <v>0</v>
      </c>
    </row>
    <row r="57" spans="1:5" x14ac:dyDescent="0.3">
      <c r="A57" t="s">
        <v>24</v>
      </c>
      <c r="B57" t="s">
        <v>25</v>
      </c>
      <c r="C57">
        <v>16</v>
      </c>
      <c r="D57">
        <v>11100</v>
      </c>
      <c r="E57">
        <f t="shared" si="0"/>
        <v>177600</v>
      </c>
    </row>
    <row r="58" spans="1:5" hidden="1" x14ac:dyDescent="0.3">
      <c r="A58" t="s">
        <v>26</v>
      </c>
      <c r="B58" t="s">
        <v>3</v>
      </c>
      <c r="C58">
        <v>0</v>
      </c>
      <c r="E58">
        <f t="shared" si="0"/>
        <v>0</v>
      </c>
    </row>
    <row r="59" spans="1:5" x14ac:dyDescent="0.3">
      <c r="A59" t="s">
        <v>26</v>
      </c>
      <c r="B59" t="s">
        <v>23</v>
      </c>
      <c r="C59">
        <v>72</v>
      </c>
      <c r="D59">
        <v>8400</v>
      </c>
      <c r="E59">
        <f t="shared" si="0"/>
        <v>604800</v>
      </c>
    </row>
    <row r="60" spans="1:5" x14ac:dyDescent="0.3">
      <c r="A60" t="s">
        <v>26</v>
      </c>
      <c r="B60" t="s">
        <v>27</v>
      </c>
      <c r="C60">
        <v>176</v>
      </c>
      <c r="D60">
        <v>7000</v>
      </c>
      <c r="E60">
        <f t="shared" si="0"/>
        <v>1232000</v>
      </c>
    </row>
    <row r="61" spans="1:5" x14ac:dyDescent="0.3">
      <c r="A61" t="s">
        <v>33</v>
      </c>
      <c r="B61" t="s">
        <v>3</v>
      </c>
      <c r="C61">
        <v>50</v>
      </c>
      <c r="D61">
        <v>17000</v>
      </c>
      <c r="E61">
        <f t="shared" si="0"/>
        <v>850000</v>
      </c>
    </row>
    <row r="62" spans="1:5" hidden="1" x14ac:dyDescent="0.3">
      <c r="A62" t="s">
        <v>33</v>
      </c>
      <c r="B62" t="s">
        <v>34</v>
      </c>
      <c r="C62">
        <v>0</v>
      </c>
      <c r="E62">
        <f t="shared" si="0"/>
        <v>0</v>
      </c>
    </row>
    <row r="63" spans="1:5" x14ac:dyDescent="0.3">
      <c r="A63" t="s">
        <v>36</v>
      </c>
      <c r="B63" t="s">
        <v>30</v>
      </c>
      <c r="C63">
        <v>11</v>
      </c>
      <c r="D63">
        <v>6000</v>
      </c>
      <c r="E63">
        <f t="shared" si="0"/>
        <v>66000</v>
      </c>
    </row>
    <row r="64" spans="1:5" x14ac:dyDescent="0.3">
      <c r="A64" t="s">
        <v>55</v>
      </c>
      <c r="B64" t="s">
        <v>3</v>
      </c>
      <c r="C64">
        <v>26</v>
      </c>
      <c r="D64">
        <v>23000</v>
      </c>
      <c r="E64">
        <f t="shared" si="0"/>
        <v>598000</v>
      </c>
    </row>
    <row r="65" spans="1:5" x14ac:dyDescent="0.3">
      <c r="A65" t="s">
        <v>41</v>
      </c>
      <c r="B65" t="s">
        <v>3</v>
      </c>
      <c r="C65">
        <v>12</v>
      </c>
      <c r="D65">
        <v>14000</v>
      </c>
      <c r="E65">
        <f t="shared" si="0"/>
        <v>168000</v>
      </c>
    </row>
    <row r="66" spans="1:5" x14ac:dyDescent="0.3">
      <c r="A66" t="s">
        <v>44</v>
      </c>
      <c r="B66" t="s">
        <v>3</v>
      </c>
      <c r="C66">
        <v>15</v>
      </c>
      <c r="D66">
        <v>6000</v>
      </c>
      <c r="E66">
        <f t="shared" si="0"/>
        <v>90000</v>
      </c>
    </row>
    <row r="67" spans="1:5" x14ac:dyDescent="0.3">
      <c r="A67" t="s">
        <v>46</v>
      </c>
      <c r="B67" t="s">
        <v>3</v>
      </c>
      <c r="C67">
        <v>8</v>
      </c>
      <c r="D67">
        <v>17000</v>
      </c>
      <c r="E67">
        <f t="shared" si="0"/>
        <v>136000</v>
      </c>
    </row>
    <row r="68" spans="1:5" x14ac:dyDescent="0.3">
      <c r="A68" t="s">
        <v>61</v>
      </c>
      <c r="B68" t="s">
        <v>3</v>
      </c>
      <c r="C68">
        <v>55</v>
      </c>
      <c r="D68">
        <v>11000</v>
      </c>
      <c r="E68">
        <f t="shared" ref="E68:E133" si="1">C68*D68</f>
        <v>605000</v>
      </c>
    </row>
    <row r="69" spans="1:5" x14ac:dyDescent="0.3">
      <c r="A69" t="s">
        <v>62</v>
      </c>
      <c r="B69" t="s">
        <v>30</v>
      </c>
      <c r="C69">
        <v>10</v>
      </c>
      <c r="D69">
        <v>6000</v>
      </c>
      <c r="E69">
        <f t="shared" si="1"/>
        <v>60000</v>
      </c>
    </row>
    <row r="70" spans="1:5" x14ac:dyDescent="0.3">
      <c r="A70" t="s">
        <v>63</v>
      </c>
      <c r="B70" t="s">
        <v>3</v>
      </c>
      <c r="C70">
        <v>20</v>
      </c>
      <c r="D70">
        <v>23000</v>
      </c>
      <c r="E70">
        <f t="shared" si="1"/>
        <v>460000</v>
      </c>
    </row>
    <row r="71" spans="1:5" x14ac:dyDescent="0.3">
      <c r="A71" t="s">
        <v>63</v>
      </c>
      <c r="B71" t="s">
        <v>64</v>
      </c>
      <c r="C71">
        <v>83</v>
      </c>
      <c r="D71">
        <v>11500</v>
      </c>
      <c r="E71">
        <f t="shared" si="1"/>
        <v>954500</v>
      </c>
    </row>
    <row r="72" spans="1:5" hidden="1" x14ac:dyDescent="0.3">
      <c r="A72" t="s">
        <v>71</v>
      </c>
      <c r="B72" t="s">
        <v>40</v>
      </c>
      <c r="C72">
        <v>0</v>
      </c>
      <c r="E72">
        <f t="shared" si="1"/>
        <v>0</v>
      </c>
    </row>
    <row r="73" spans="1:5" x14ac:dyDescent="0.3">
      <c r="A73" t="s">
        <v>90</v>
      </c>
      <c r="B73" t="s">
        <v>3</v>
      </c>
      <c r="C73">
        <v>32</v>
      </c>
      <c r="D73">
        <v>30000</v>
      </c>
      <c r="E73">
        <f t="shared" si="1"/>
        <v>960000</v>
      </c>
    </row>
    <row r="74" spans="1:5" hidden="1" x14ac:dyDescent="0.3">
      <c r="A74" t="s">
        <v>74</v>
      </c>
      <c r="B74" t="s">
        <v>30</v>
      </c>
      <c r="C74">
        <v>0</v>
      </c>
      <c r="E74">
        <f t="shared" si="1"/>
        <v>0</v>
      </c>
    </row>
    <row r="75" spans="1:5" hidden="1" x14ac:dyDescent="0.3">
      <c r="A75" t="s">
        <v>75</v>
      </c>
      <c r="B75" t="s">
        <v>3</v>
      </c>
      <c r="C75">
        <v>0</v>
      </c>
      <c r="E75">
        <f t="shared" si="1"/>
        <v>0</v>
      </c>
    </row>
    <row r="76" spans="1:5" hidden="1" x14ac:dyDescent="0.3">
      <c r="A76" t="s">
        <v>77</v>
      </c>
      <c r="B76" t="s">
        <v>25</v>
      </c>
      <c r="C76">
        <v>0</v>
      </c>
      <c r="E76">
        <f t="shared" si="1"/>
        <v>0</v>
      </c>
    </row>
    <row r="77" spans="1:5" x14ac:dyDescent="0.3">
      <c r="A77" t="s">
        <v>77</v>
      </c>
      <c r="B77" t="s">
        <v>3</v>
      </c>
      <c r="C77">
        <v>13</v>
      </c>
      <c r="D77">
        <v>35000</v>
      </c>
      <c r="E77">
        <f t="shared" si="1"/>
        <v>455000</v>
      </c>
    </row>
    <row r="78" spans="1:5" x14ac:dyDescent="0.3">
      <c r="A78" t="s">
        <v>84</v>
      </c>
      <c r="B78" t="s">
        <v>3</v>
      </c>
      <c r="C78">
        <v>15</v>
      </c>
      <c r="D78">
        <v>50000</v>
      </c>
      <c r="E78">
        <f t="shared" si="1"/>
        <v>750000</v>
      </c>
    </row>
    <row r="79" spans="1:5" x14ac:dyDescent="0.3">
      <c r="A79" t="s">
        <v>84</v>
      </c>
      <c r="B79" t="s">
        <v>30</v>
      </c>
      <c r="C79">
        <v>35</v>
      </c>
      <c r="D79">
        <v>18000</v>
      </c>
      <c r="E79">
        <f t="shared" si="1"/>
        <v>630000</v>
      </c>
    </row>
    <row r="80" spans="1:5" x14ac:dyDescent="0.3">
      <c r="A80" t="s">
        <v>92</v>
      </c>
      <c r="B80" t="s">
        <v>3</v>
      </c>
      <c r="C80">
        <v>219</v>
      </c>
      <c r="D80">
        <v>10000</v>
      </c>
      <c r="E80">
        <f t="shared" si="1"/>
        <v>2190000</v>
      </c>
    </row>
    <row r="81" spans="1:5" x14ac:dyDescent="0.3">
      <c r="A81" t="s">
        <v>106</v>
      </c>
      <c r="B81" t="s">
        <v>9</v>
      </c>
      <c r="C81">
        <v>228</v>
      </c>
      <c r="D81">
        <v>8000</v>
      </c>
      <c r="E81">
        <f t="shared" si="1"/>
        <v>1824000</v>
      </c>
    </row>
    <row r="82" spans="1:5" x14ac:dyDescent="0.3">
      <c r="A82" t="s">
        <v>89</v>
      </c>
      <c r="B82" t="s">
        <v>3</v>
      </c>
      <c r="C82">
        <v>4043</v>
      </c>
      <c r="D82">
        <v>31000</v>
      </c>
      <c r="E82">
        <f t="shared" si="1"/>
        <v>125333000</v>
      </c>
    </row>
    <row r="83" spans="1:5" x14ac:dyDescent="0.3">
      <c r="A83" t="s">
        <v>96</v>
      </c>
      <c r="B83" t="s">
        <v>3</v>
      </c>
      <c r="C83">
        <v>20</v>
      </c>
      <c r="D83">
        <v>26000</v>
      </c>
      <c r="E83">
        <f t="shared" si="1"/>
        <v>520000</v>
      </c>
    </row>
    <row r="84" spans="1:5" hidden="1" x14ac:dyDescent="0.3">
      <c r="A84" t="s">
        <v>99</v>
      </c>
      <c r="B84" t="s">
        <v>3</v>
      </c>
      <c r="C84">
        <v>0</v>
      </c>
      <c r="E84">
        <f t="shared" si="1"/>
        <v>0</v>
      </c>
    </row>
    <row r="85" spans="1:5" hidden="1" x14ac:dyDescent="0.3">
      <c r="A85" t="s">
        <v>138</v>
      </c>
      <c r="B85" t="s">
        <v>3</v>
      </c>
      <c r="C85">
        <v>0</v>
      </c>
      <c r="E85">
        <f t="shared" si="1"/>
        <v>0</v>
      </c>
    </row>
    <row r="86" spans="1:5" hidden="1" x14ac:dyDescent="0.3">
      <c r="A86" t="s">
        <v>15</v>
      </c>
      <c r="B86" t="s">
        <v>3</v>
      </c>
      <c r="C86">
        <v>0</v>
      </c>
      <c r="E86">
        <f t="shared" si="1"/>
        <v>0</v>
      </c>
    </row>
    <row r="87" spans="1:5" hidden="1" x14ac:dyDescent="0.3">
      <c r="A87" t="s">
        <v>6</v>
      </c>
      <c r="B87" t="s">
        <v>3</v>
      </c>
      <c r="C87">
        <v>0</v>
      </c>
      <c r="E87">
        <f t="shared" si="1"/>
        <v>0</v>
      </c>
    </row>
    <row r="88" spans="1:5" hidden="1" x14ac:dyDescent="0.3">
      <c r="A88" t="s">
        <v>85</v>
      </c>
      <c r="B88" t="s">
        <v>30</v>
      </c>
      <c r="C88">
        <v>0</v>
      </c>
      <c r="E88">
        <f t="shared" si="1"/>
        <v>0</v>
      </c>
    </row>
    <row r="89" spans="1:5" hidden="1" x14ac:dyDescent="0.3">
      <c r="A89" t="s">
        <v>95</v>
      </c>
      <c r="B89" t="s">
        <v>40</v>
      </c>
      <c r="C89">
        <v>0</v>
      </c>
      <c r="E89">
        <f t="shared" si="1"/>
        <v>0</v>
      </c>
    </row>
    <row r="90" spans="1:5" hidden="1" x14ac:dyDescent="0.3">
      <c r="A90" t="s">
        <v>100</v>
      </c>
      <c r="B90" t="s">
        <v>40</v>
      </c>
      <c r="C90">
        <v>0</v>
      </c>
      <c r="E90">
        <f t="shared" si="1"/>
        <v>0</v>
      </c>
    </row>
    <row r="91" spans="1:5" hidden="1" x14ac:dyDescent="0.3">
      <c r="A91" t="s">
        <v>97</v>
      </c>
      <c r="B91" t="s">
        <v>40</v>
      </c>
      <c r="C91">
        <v>0</v>
      </c>
      <c r="E91">
        <f t="shared" si="1"/>
        <v>0</v>
      </c>
    </row>
    <row r="92" spans="1:5" x14ac:dyDescent="0.3">
      <c r="A92" t="s">
        <v>60</v>
      </c>
      <c r="B92" t="s">
        <v>30</v>
      </c>
      <c r="C92">
        <v>100</v>
      </c>
      <c r="D92">
        <v>8000</v>
      </c>
      <c r="E92">
        <f t="shared" si="1"/>
        <v>800000</v>
      </c>
    </row>
    <row r="93" spans="1:5" hidden="1" x14ac:dyDescent="0.3">
      <c r="A93" t="s">
        <v>120</v>
      </c>
      <c r="B93" t="s">
        <v>3</v>
      </c>
      <c r="C93">
        <v>0</v>
      </c>
      <c r="E93">
        <f t="shared" si="1"/>
        <v>0</v>
      </c>
    </row>
    <row r="94" spans="1:5" hidden="1" x14ac:dyDescent="0.3">
      <c r="A94" t="s">
        <v>121</v>
      </c>
      <c r="B94" t="s">
        <v>3</v>
      </c>
      <c r="C94">
        <v>0</v>
      </c>
      <c r="E94">
        <f t="shared" si="1"/>
        <v>0</v>
      </c>
    </row>
    <row r="95" spans="1:5" hidden="1" x14ac:dyDescent="0.3">
      <c r="A95" t="s">
        <v>14</v>
      </c>
      <c r="B95" t="s">
        <v>3</v>
      </c>
      <c r="C95">
        <v>0</v>
      </c>
      <c r="E95">
        <f t="shared" si="1"/>
        <v>0</v>
      </c>
    </row>
    <row r="96" spans="1:5" x14ac:dyDescent="0.3">
      <c r="A96" t="s">
        <v>93</v>
      </c>
      <c r="B96" t="s">
        <v>3</v>
      </c>
      <c r="C96">
        <v>10</v>
      </c>
      <c r="D96">
        <v>13000</v>
      </c>
      <c r="E96">
        <f t="shared" si="1"/>
        <v>130000</v>
      </c>
    </row>
    <row r="97" spans="1:5" x14ac:dyDescent="0.3">
      <c r="A97" t="s">
        <v>69</v>
      </c>
      <c r="B97" t="s">
        <v>3</v>
      </c>
      <c r="C97">
        <v>4</v>
      </c>
      <c r="D97">
        <v>16000</v>
      </c>
      <c r="E97">
        <f t="shared" si="1"/>
        <v>64000</v>
      </c>
    </row>
    <row r="98" spans="1:5" x14ac:dyDescent="0.3">
      <c r="A98" t="s">
        <v>81</v>
      </c>
      <c r="B98" t="s">
        <v>30</v>
      </c>
      <c r="C98">
        <v>20</v>
      </c>
      <c r="D98">
        <v>17000</v>
      </c>
      <c r="E98">
        <f t="shared" si="1"/>
        <v>340000</v>
      </c>
    </row>
    <row r="99" spans="1:5" x14ac:dyDescent="0.3">
      <c r="A99" t="s">
        <v>43</v>
      </c>
      <c r="B99" t="s">
        <v>3</v>
      </c>
      <c r="C99">
        <v>2</v>
      </c>
      <c r="D99">
        <v>16000</v>
      </c>
      <c r="E99">
        <f t="shared" si="1"/>
        <v>32000</v>
      </c>
    </row>
    <row r="100" spans="1:5" x14ac:dyDescent="0.3">
      <c r="A100" t="s">
        <v>49</v>
      </c>
      <c r="B100" t="s">
        <v>3</v>
      </c>
      <c r="C100">
        <v>15</v>
      </c>
      <c r="D100">
        <v>20000</v>
      </c>
      <c r="E100">
        <f t="shared" si="1"/>
        <v>300000</v>
      </c>
    </row>
    <row r="101" spans="1:5" x14ac:dyDescent="0.3">
      <c r="A101" t="s">
        <v>53</v>
      </c>
      <c r="B101" t="s">
        <v>3</v>
      </c>
      <c r="C101">
        <v>170</v>
      </c>
      <c r="D101">
        <v>23000</v>
      </c>
      <c r="E101">
        <f t="shared" si="1"/>
        <v>3910000</v>
      </c>
    </row>
    <row r="102" spans="1:5" x14ac:dyDescent="0.3">
      <c r="A102" t="s">
        <v>150</v>
      </c>
      <c r="B102" t="s">
        <v>3</v>
      </c>
      <c r="C102">
        <v>3150</v>
      </c>
      <c r="D102">
        <v>27000</v>
      </c>
      <c r="E102">
        <f t="shared" si="1"/>
        <v>85050000</v>
      </c>
    </row>
    <row r="103" spans="1:5" x14ac:dyDescent="0.3">
      <c r="A103" t="s">
        <v>58</v>
      </c>
      <c r="B103" t="s">
        <v>3</v>
      </c>
      <c r="C103">
        <v>60</v>
      </c>
      <c r="D103">
        <v>30000</v>
      </c>
      <c r="E103">
        <f t="shared" si="1"/>
        <v>1800000</v>
      </c>
    </row>
    <row r="104" spans="1:5" x14ac:dyDescent="0.3">
      <c r="A104" t="s">
        <v>79</v>
      </c>
      <c r="B104" t="s">
        <v>3</v>
      </c>
      <c r="C104">
        <v>25</v>
      </c>
      <c r="D104">
        <v>23000</v>
      </c>
      <c r="E104">
        <f t="shared" si="1"/>
        <v>575000</v>
      </c>
    </row>
    <row r="105" spans="1:5" x14ac:dyDescent="0.3">
      <c r="A105" t="s">
        <v>83</v>
      </c>
      <c r="B105" t="s">
        <v>3</v>
      </c>
      <c r="C105">
        <v>30</v>
      </c>
      <c r="D105">
        <v>29000</v>
      </c>
      <c r="E105">
        <f t="shared" si="1"/>
        <v>870000</v>
      </c>
    </row>
    <row r="106" spans="1:5" x14ac:dyDescent="0.3">
      <c r="A106" t="s">
        <v>88</v>
      </c>
      <c r="B106" t="s">
        <v>9</v>
      </c>
      <c r="C106">
        <v>835</v>
      </c>
      <c r="D106">
        <v>11361</v>
      </c>
      <c r="E106">
        <f t="shared" si="1"/>
        <v>9486435</v>
      </c>
    </row>
    <row r="107" spans="1:5" x14ac:dyDescent="0.3">
      <c r="A107" t="s">
        <v>146</v>
      </c>
      <c r="B107" t="s">
        <v>9</v>
      </c>
      <c r="C107">
        <v>22</v>
      </c>
      <c r="D107">
        <v>90000</v>
      </c>
      <c r="E107">
        <f t="shared" si="1"/>
        <v>1980000</v>
      </c>
    </row>
    <row r="108" spans="1:5" x14ac:dyDescent="0.3">
      <c r="E108">
        <f>SUM(E3:E107)</f>
        <v>439406735</v>
      </c>
    </row>
    <row r="109" spans="1:5" x14ac:dyDescent="0.3">
      <c r="A109" t="s">
        <v>110</v>
      </c>
    </row>
    <row r="110" spans="1:5" x14ac:dyDescent="0.3">
      <c r="A110" t="s">
        <v>0</v>
      </c>
      <c r="B110" t="s">
        <v>1</v>
      </c>
      <c r="C110" t="s">
        <v>107</v>
      </c>
      <c r="D110" t="s">
        <v>108</v>
      </c>
      <c r="E110" t="s">
        <v>109</v>
      </c>
    </row>
    <row r="111" spans="1:5" x14ac:dyDescent="0.3">
      <c r="A111" t="s">
        <v>31</v>
      </c>
      <c r="B111" t="s">
        <v>3</v>
      </c>
      <c r="C111">
        <v>100</v>
      </c>
      <c r="D111">
        <v>9500</v>
      </c>
      <c r="E111">
        <f t="shared" si="1"/>
        <v>950000</v>
      </c>
    </row>
    <row r="112" spans="1:5" x14ac:dyDescent="0.3">
      <c r="A112" t="s">
        <v>44</v>
      </c>
      <c r="B112" t="s">
        <v>3</v>
      </c>
      <c r="C112">
        <v>30</v>
      </c>
      <c r="D112">
        <v>6500</v>
      </c>
      <c r="E112">
        <f t="shared" si="1"/>
        <v>195000</v>
      </c>
    </row>
    <row r="113" spans="1:5" x14ac:dyDescent="0.3">
      <c r="A113" t="s">
        <v>45</v>
      </c>
      <c r="B113" t="s">
        <v>3</v>
      </c>
      <c r="C113">
        <v>10</v>
      </c>
      <c r="D113">
        <v>11000</v>
      </c>
      <c r="E113">
        <f t="shared" si="1"/>
        <v>110000</v>
      </c>
    </row>
    <row r="114" spans="1:5" x14ac:dyDescent="0.3">
      <c r="A114" t="s">
        <v>47</v>
      </c>
      <c r="B114" t="s">
        <v>3</v>
      </c>
      <c r="C114">
        <v>50</v>
      </c>
      <c r="D114">
        <v>10000</v>
      </c>
      <c r="E114">
        <f t="shared" si="1"/>
        <v>500000</v>
      </c>
    </row>
    <row r="115" spans="1:5" hidden="1" x14ac:dyDescent="0.3">
      <c r="A115" t="s">
        <v>54</v>
      </c>
      <c r="B115" t="s">
        <v>3</v>
      </c>
      <c r="C115">
        <v>0</v>
      </c>
      <c r="E115">
        <f t="shared" si="1"/>
        <v>0</v>
      </c>
    </row>
    <row r="116" spans="1:5" x14ac:dyDescent="0.3">
      <c r="A116" t="s">
        <v>59</v>
      </c>
      <c r="B116" t="s">
        <v>3</v>
      </c>
      <c r="C116">
        <v>30</v>
      </c>
      <c r="D116">
        <v>18000</v>
      </c>
      <c r="E116">
        <f t="shared" si="1"/>
        <v>540000</v>
      </c>
    </row>
    <row r="117" spans="1:5" x14ac:dyDescent="0.3">
      <c r="A117" t="s">
        <v>61</v>
      </c>
      <c r="B117" t="s">
        <v>3</v>
      </c>
      <c r="C117">
        <v>5</v>
      </c>
      <c r="D117">
        <v>11000</v>
      </c>
      <c r="E117">
        <f t="shared" si="1"/>
        <v>55000</v>
      </c>
    </row>
    <row r="118" spans="1:5" x14ac:dyDescent="0.3">
      <c r="A118" t="s">
        <v>102</v>
      </c>
      <c r="B118" t="s">
        <v>3</v>
      </c>
      <c r="C118">
        <v>26</v>
      </c>
      <c r="D118">
        <v>13000</v>
      </c>
      <c r="E118">
        <f t="shared" si="1"/>
        <v>338000</v>
      </c>
    </row>
    <row r="119" spans="1:5" x14ac:dyDescent="0.3">
      <c r="A119" t="s">
        <v>2</v>
      </c>
      <c r="B119" t="s">
        <v>3</v>
      </c>
      <c r="C119">
        <v>6</v>
      </c>
      <c r="D119">
        <v>12000</v>
      </c>
      <c r="E119">
        <f t="shared" si="1"/>
        <v>72000</v>
      </c>
    </row>
    <row r="120" spans="1:5" x14ac:dyDescent="0.3">
      <c r="A120" t="s">
        <v>4</v>
      </c>
      <c r="B120" t="s">
        <v>3</v>
      </c>
      <c r="C120">
        <v>375</v>
      </c>
      <c r="D120">
        <v>6000</v>
      </c>
      <c r="E120">
        <f t="shared" si="1"/>
        <v>2250000</v>
      </c>
    </row>
    <row r="121" spans="1:5" x14ac:dyDescent="0.3">
      <c r="A121" t="s">
        <v>5</v>
      </c>
      <c r="B121" t="s">
        <v>3</v>
      </c>
      <c r="C121">
        <v>165</v>
      </c>
      <c r="D121">
        <v>5500</v>
      </c>
      <c r="E121">
        <f t="shared" si="1"/>
        <v>907500</v>
      </c>
    </row>
    <row r="122" spans="1:5" x14ac:dyDescent="0.3">
      <c r="A122" t="s">
        <v>38</v>
      </c>
      <c r="B122" t="s">
        <v>3</v>
      </c>
      <c r="C122">
        <v>100</v>
      </c>
      <c r="D122">
        <v>5500</v>
      </c>
      <c r="E122">
        <f t="shared" si="1"/>
        <v>550000</v>
      </c>
    </row>
    <row r="123" spans="1:5" x14ac:dyDescent="0.3">
      <c r="A123" t="s">
        <v>39</v>
      </c>
      <c r="B123" t="s">
        <v>3</v>
      </c>
      <c r="C123">
        <v>25</v>
      </c>
      <c r="D123">
        <v>9000</v>
      </c>
      <c r="E123">
        <f t="shared" si="1"/>
        <v>225000</v>
      </c>
    </row>
    <row r="124" spans="1:5" x14ac:dyDescent="0.3">
      <c r="A124" t="s">
        <v>71</v>
      </c>
      <c r="B124" t="s">
        <v>3</v>
      </c>
      <c r="C124">
        <v>10</v>
      </c>
      <c r="D124">
        <v>14000</v>
      </c>
      <c r="E124">
        <f t="shared" si="1"/>
        <v>140000</v>
      </c>
    </row>
    <row r="125" spans="1:5" hidden="1" x14ac:dyDescent="0.3">
      <c r="A125" t="s">
        <v>95</v>
      </c>
      <c r="B125" t="s">
        <v>40</v>
      </c>
      <c r="C125">
        <v>0</v>
      </c>
      <c r="E125">
        <f t="shared" si="1"/>
        <v>0</v>
      </c>
    </row>
    <row r="126" spans="1:5" hidden="1" x14ac:dyDescent="0.3">
      <c r="A126" t="s">
        <v>97</v>
      </c>
      <c r="B126" t="s">
        <v>40</v>
      </c>
      <c r="C126">
        <v>0</v>
      </c>
      <c r="E126">
        <f t="shared" si="1"/>
        <v>0</v>
      </c>
    </row>
    <row r="127" spans="1:5" hidden="1" x14ac:dyDescent="0.3">
      <c r="A127" t="s">
        <v>100</v>
      </c>
      <c r="B127" t="s">
        <v>40</v>
      </c>
      <c r="C127">
        <v>0</v>
      </c>
      <c r="E127">
        <f t="shared" si="1"/>
        <v>0</v>
      </c>
    </row>
    <row r="128" spans="1:5" x14ac:dyDescent="0.3">
      <c r="A128" t="s">
        <v>119</v>
      </c>
      <c r="B128" t="s">
        <v>3</v>
      </c>
      <c r="C128">
        <v>10</v>
      </c>
      <c r="D128">
        <v>22000</v>
      </c>
      <c r="E128">
        <f t="shared" si="1"/>
        <v>220000</v>
      </c>
    </row>
    <row r="129" spans="1:5" x14ac:dyDescent="0.3">
      <c r="A129" t="s">
        <v>7</v>
      </c>
      <c r="B129" t="s">
        <v>3</v>
      </c>
      <c r="C129">
        <v>44</v>
      </c>
      <c r="D129">
        <v>12000</v>
      </c>
      <c r="E129">
        <f t="shared" si="1"/>
        <v>528000</v>
      </c>
    </row>
    <row r="130" spans="1:5" x14ac:dyDescent="0.3">
      <c r="A130" t="s">
        <v>8</v>
      </c>
      <c r="B130" t="s">
        <v>3</v>
      </c>
      <c r="C130">
        <v>10</v>
      </c>
      <c r="D130">
        <v>8500</v>
      </c>
      <c r="E130">
        <f t="shared" si="1"/>
        <v>85000</v>
      </c>
    </row>
    <row r="131" spans="1:5" x14ac:dyDescent="0.3">
      <c r="A131" t="s">
        <v>18</v>
      </c>
      <c r="B131" t="s">
        <v>3</v>
      </c>
      <c r="C131">
        <v>30</v>
      </c>
      <c r="D131">
        <v>19000</v>
      </c>
      <c r="E131">
        <f t="shared" si="1"/>
        <v>570000</v>
      </c>
    </row>
    <row r="132" spans="1:5" x14ac:dyDescent="0.3">
      <c r="A132" t="s">
        <v>28</v>
      </c>
      <c r="B132" t="s">
        <v>3</v>
      </c>
      <c r="C132">
        <v>100</v>
      </c>
      <c r="D132">
        <v>11000</v>
      </c>
      <c r="E132">
        <f t="shared" si="1"/>
        <v>1100000</v>
      </c>
    </row>
    <row r="133" spans="1:5" x14ac:dyDescent="0.3">
      <c r="A133" t="s">
        <v>33</v>
      </c>
      <c r="B133" t="s">
        <v>3</v>
      </c>
      <c r="C133">
        <v>5</v>
      </c>
      <c r="D133">
        <v>17000</v>
      </c>
      <c r="E133">
        <f t="shared" si="1"/>
        <v>85000</v>
      </c>
    </row>
    <row r="134" spans="1:5" x14ac:dyDescent="0.3">
      <c r="A134" t="s">
        <v>78</v>
      </c>
      <c r="B134" t="s">
        <v>3</v>
      </c>
      <c r="C134">
        <v>5</v>
      </c>
      <c r="D134">
        <v>28000</v>
      </c>
      <c r="E134">
        <f t="shared" ref="E134:E143" si="2">C134*D134</f>
        <v>140000</v>
      </c>
    </row>
    <row r="135" spans="1:5" x14ac:dyDescent="0.3">
      <c r="A135" t="s">
        <v>80</v>
      </c>
      <c r="B135" t="s">
        <v>3</v>
      </c>
      <c r="C135">
        <v>5</v>
      </c>
      <c r="D135">
        <v>22000</v>
      </c>
      <c r="E135">
        <f t="shared" si="2"/>
        <v>110000</v>
      </c>
    </row>
    <row r="136" spans="1:5" x14ac:dyDescent="0.3">
      <c r="A136" t="s">
        <v>82</v>
      </c>
      <c r="B136" t="s">
        <v>3</v>
      </c>
      <c r="C136">
        <v>5</v>
      </c>
      <c r="D136">
        <v>34000</v>
      </c>
      <c r="E136">
        <f t="shared" si="2"/>
        <v>170000</v>
      </c>
    </row>
    <row r="137" spans="1:5" x14ac:dyDescent="0.3">
      <c r="A137" t="s">
        <v>92</v>
      </c>
      <c r="B137" t="s">
        <v>3</v>
      </c>
      <c r="C137">
        <v>20</v>
      </c>
      <c r="D137">
        <v>10000</v>
      </c>
      <c r="E137">
        <f t="shared" si="2"/>
        <v>200000</v>
      </c>
    </row>
    <row r="138" spans="1:5" x14ac:dyDescent="0.3">
      <c r="A138" t="s">
        <v>41</v>
      </c>
      <c r="B138" t="s">
        <v>3</v>
      </c>
      <c r="C138">
        <v>15</v>
      </c>
      <c r="D138">
        <v>14000</v>
      </c>
      <c r="E138">
        <f t="shared" si="2"/>
        <v>210000</v>
      </c>
    </row>
    <row r="139" spans="1:5" x14ac:dyDescent="0.3">
      <c r="A139" t="s">
        <v>105</v>
      </c>
      <c r="B139" t="s">
        <v>3</v>
      </c>
      <c r="C139">
        <v>2</v>
      </c>
      <c r="D139">
        <v>27000</v>
      </c>
      <c r="E139">
        <f t="shared" si="2"/>
        <v>54000</v>
      </c>
    </row>
    <row r="140" spans="1:5" x14ac:dyDescent="0.3">
      <c r="A140" t="s">
        <v>103</v>
      </c>
      <c r="B140" t="s">
        <v>3</v>
      </c>
      <c r="C140">
        <v>8</v>
      </c>
      <c r="D140">
        <v>14000</v>
      </c>
      <c r="E140">
        <f t="shared" si="2"/>
        <v>112000</v>
      </c>
    </row>
    <row r="141" spans="1:5" x14ac:dyDescent="0.3">
      <c r="A141" t="s">
        <v>68</v>
      </c>
      <c r="B141" t="s">
        <v>3</v>
      </c>
      <c r="C141">
        <v>114</v>
      </c>
      <c r="D141">
        <v>6000</v>
      </c>
      <c r="E141">
        <f t="shared" si="2"/>
        <v>684000</v>
      </c>
    </row>
    <row r="142" spans="1:5" hidden="1" x14ac:dyDescent="0.3">
      <c r="A142" t="s">
        <v>68</v>
      </c>
      <c r="B142" t="s">
        <v>17</v>
      </c>
      <c r="C142">
        <v>0</v>
      </c>
      <c r="E142">
        <f t="shared" si="2"/>
        <v>0</v>
      </c>
    </row>
    <row r="143" spans="1:5" x14ac:dyDescent="0.3">
      <c r="A143" t="s">
        <v>104</v>
      </c>
      <c r="B143" t="s">
        <v>3</v>
      </c>
      <c r="C143">
        <v>680</v>
      </c>
      <c r="D143">
        <v>5000</v>
      </c>
      <c r="E143">
        <f t="shared" si="2"/>
        <v>3400000</v>
      </c>
    </row>
    <row r="144" spans="1:5" x14ac:dyDescent="0.3">
      <c r="E144">
        <f>SUM(E111:E143)</f>
        <v>14500500</v>
      </c>
    </row>
    <row r="145" spans="5:5" x14ac:dyDescent="0.3">
      <c r="E145" s="2">
        <f>SUM(E144,E108)</f>
        <v>453907235</v>
      </c>
    </row>
  </sheetData>
  <autoFilter ref="A2:E143" xr:uid="{00000000-0009-0000-0000-00000E000000}">
    <filterColumn colId="2">
      <filters>
        <filter val="10"/>
        <filter val="100"/>
        <filter val="11"/>
        <filter val="114"/>
        <filter val="1190"/>
        <filter val="12"/>
        <filter val="125"/>
        <filter val="13"/>
        <filter val="145"/>
        <filter val="15"/>
        <filter val="16"/>
        <filter val="160"/>
        <filter val="165"/>
        <filter val="170"/>
        <filter val="1737"/>
        <filter val="176"/>
        <filter val="2"/>
        <filter val="20"/>
        <filter val="200"/>
        <filter val="219"/>
        <filter val="22"/>
        <filter val="228"/>
        <filter val="230"/>
        <filter val="2390"/>
        <filter val="25"/>
        <filter val="26"/>
        <filter val="30"/>
        <filter val="32"/>
        <filter val="3450"/>
        <filter val="35"/>
        <filter val="375"/>
        <filter val="380"/>
        <filter val="4"/>
        <filter val="4043"/>
        <filter val="415"/>
        <filter val="42"/>
        <filter val="420"/>
        <filter val="430"/>
        <filter val="44"/>
        <filter val="457"/>
        <filter val="46"/>
        <filter val="460"/>
        <filter val="5"/>
        <filter val="50"/>
        <filter val="539"/>
        <filter val="55"/>
        <filter val="6"/>
        <filter val="60"/>
        <filter val="680"/>
        <filter val="7"/>
        <filter val="72"/>
        <filter val="79"/>
        <filter val="8"/>
        <filter val="83"/>
        <filter val="835"/>
        <filter val="89"/>
        <filter val="90"/>
        <filter val="910"/>
        <filter val="93"/>
        <filter val="Tồn_x000a_ĐL_x000a__x000a_現在庫"/>
      </filters>
    </filterColumn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/>
  <dimension ref="A1:E168"/>
  <sheetViews>
    <sheetView zoomScaleNormal="100" workbookViewId="0">
      <pane xSplit="1" ySplit="1" topLeftCell="B77" activePane="bottomRight" state="frozen"/>
      <selection pane="topRight" activeCell="B1" sqref="B1"/>
      <selection pane="bottomLeft" activeCell="A2" sqref="A2"/>
      <selection pane="bottomRight" activeCell="C108" sqref="C108"/>
    </sheetView>
  </sheetViews>
  <sheetFormatPr defaultRowHeight="15.6" x14ac:dyDescent="0.3"/>
  <cols>
    <col min="1" max="1" width="27.21875" style="32" bestFit="1" customWidth="1"/>
    <col min="2" max="2" width="12.21875" style="32" customWidth="1"/>
    <col min="3" max="3" width="16.5546875" style="32" customWidth="1"/>
    <col min="4" max="4" width="16.5546875" style="38" customWidth="1"/>
    <col min="5" max="5" width="20.44140625" style="32" customWidth="1"/>
    <col min="6" max="16384" width="8.88671875" style="32"/>
  </cols>
  <sheetData>
    <row r="1" spans="1:5" ht="62.4" x14ac:dyDescent="0.3">
      <c r="A1" s="35" t="s">
        <v>127</v>
      </c>
      <c r="B1" s="16" t="s">
        <v>1</v>
      </c>
      <c r="C1" s="15" t="s">
        <v>137</v>
      </c>
      <c r="D1" s="31" t="s">
        <v>140</v>
      </c>
      <c r="E1" s="31" t="s">
        <v>141</v>
      </c>
    </row>
    <row r="2" spans="1:5" x14ac:dyDescent="0.3">
      <c r="A2" s="12" t="s">
        <v>2</v>
      </c>
      <c r="B2" s="12" t="s">
        <v>3</v>
      </c>
      <c r="C2" s="33">
        <v>23</v>
      </c>
      <c r="D2" s="37">
        <v>10000</v>
      </c>
      <c r="E2" s="36">
        <f>+D2*C2</f>
        <v>230000</v>
      </c>
    </row>
    <row r="3" spans="1:5" hidden="1" x14ac:dyDescent="0.3">
      <c r="A3" s="12" t="s">
        <v>4</v>
      </c>
      <c r="B3" s="12" t="s">
        <v>3</v>
      </c>
      <c r="C3" s="33">
        <v>0</v>
      </c>
      <c r="D3" s="34"/>
      <c r="E3" s="34"/>
    </row>
    <row r="4" spans="1:5" x14ac:dyDescent="0.3">
      <c r="A4" s="12" t="s">
        <v>5</v>
      </c>
      <c r="B4" s="12" t="s">
        <v>3</v>
      </c>
      <c r="C4" s="33">
        <v>505</v>
      </c>
      <c r="D4" s="37">
        <v>5500</v>
      </c>
      <c r="E4" s="36">
        <f>+D4*C4</f>
        <v>2777500</v>
      </c>
    </row>
    <row r="5" spans="1:5" hidden="1" x14ac:dyDescent="0.3">
      <c r="A5" s="12" t="s">
        <v>119</v>
      </c>
      <c r="B5" s="12" t="s">
        <v>3</v>
      </c>
      <c r="C5" s="33">
        <v>0</v>
      </c>
      <c r="D5" s="34"/>
      <c r="E5" s="34"/>
    </row>
    <row r="6" spans="1:5" hidden="1" x14ac:dyDescent="0.3">
      <c r="A6" s="12" t="s">
        <v>6</v>
      </c>
      <c r="B6" s="12" t="s">
        <v>3</v>
      </c>
      <c r="C6" s="33">
        <v>0</v>
      </c>
      <c r="D6" s="34"/>
      <c r="E6" s="34"/>
    </row>
    <row r="7" spans="1:5" x14ac:dyDescent="0.3">
      <c r="A7" s="12" t="s">
        <v>7</v>
      </c>
      <c r="B7" s="12" t="s">
        <v>3</v>
      </c>
      <c r="C7" s="33">
        <v>1825</v>
      </c>
      <c r="D7" s="37">
        <v>8000</v>
      </c>
      <c r="E7" s="36">
        <f>+D7*C7</f>
        <v>14600000</v>
      </c>
    </row>
    <row r="8" spans="1:5" hidden="1" x14ac:dyDescent="0.3">
      <c r="A8" s="12" t="s">
        <v>111</v>
      </c>
      <c r="B8" s="12" t="s">
        <v>3</v>
      </c>
      <c r="C8" s="33">
        <v>0</v>
      </c>
      <c r="D8" s="34"/>
      <c r="E8" s="34"/>
    </row>
    <row r="9" spans="1:5" x14ac:dyDescent="0.3">
      <c r="A9" s="12" t="s">
        <v>8</v>
      </c>
      <c r="B9" s="12" t="s">
        <v>3</v>
      </c>
      <c r="C9" s="33">
        <v>239</v>
      </c>
      <c r="D9" s="37">
        <v>8500</v>
      </c>
      <c r="E9" s="36">
        <f>+D9*C9</f>
        <v>2031500</v>
      </c>
    </row>
    <row r="10" spans="1:5" hidden="1" x14ac:dyDescent="0.3">
      <c r="A10" s="12" t="s">
        <v>8</v>
      </c>
      <c r="B10" s="12" t="s">
        <v>9</v>
      </c>
      <c r="C10" s="33">
        <v>0</v>
      </c>
      <c r="D10" s="34"/>
      <c r="E10" s="34"/>
    </row>
    <row r="11" spans="1:5" x14ac:dyDescent="0.3">
      <c r="A11" s="12" t="s">
        <v>10</v>
      </c>
      <c r="B11" s="12" t="s">
        <v>3</v>
      </c>
      <c r="C11" s="33">
        <v>67</v>
      </c>
      <c r="D11" s="37">
        <v>10000</v>
      </c>
      <c r="E11" s="36">
        <f>+D11*C11</f>
        <v>670000</v>
      </c>
    </row>
    <row r="12" spans="1:5" hidden="1" x14ac:dyDescent="0.3">
      <c r="A12" s="12" t="s">
        <v>10</v>
      </c>
      <c r="B12" s="12" t="s">
        <v>9</v>
      </c>
      <c r="C12" s="33">
        <v>0</v>
      </c>
      <c r="D12" s="34"/>
      <c r="E12" s="34"/>
    </row>
    <row r="13" spans="1:5" hidden="1" x14ac:dyDescent="0.3">
      <c r="A13" s="12" t="s">
        <v>124</v>
      </c>
      <c r="B13" s="12" t="s">
        <v>3</v>
      </c>
      <c r="C13" s="33">
        <v>0</v>
      </c>
      <c r="D13" s="34"/>
      <c r="E13" s="34"/>
    </row>
    <row r="14" spans="1:5" hidden="1" x14ac:dyDescent="0.3">
      <c r="A14" s="12" t="s">
        <v>11</v>
      </c>
      <c r="B14" s="12" t="s">
        <v>3</v>
      </c>
      <c r="C14" s="33">
        <v>0</v>
      </c>
      <c r="D14" s="34"/>
      <c r="E14" s="34"/>
    </row>
    <row r="15" spans="1:5" hidden="1" x14ac:dyDescent="0.3">
      <c r="A15" s="12" t="s">
        <v>12</v>
      </c>
      <c r="B15" s="12" t="s">
        <v>3</v>
      </c>
      <c r="C15" s="33">
        <v>0</v>
      </c>
      <c r="D15" s="34"/>
      <c r="E15" s="34"/>
    </row>
    <row r="16" spans="1:5" hidden="1" x14ac:dyDescent="0.3">
      <c r="A16" s="12" t="s">
        <v>13</v>
      </c>
      <c r="B16" s="12" t="s">
        <v>3</v>
      </c>
      <c r="C16" s="33">
        <v>0</v>
      </c>
      <c r="D16" s="34"/>
      <c r="E16" s="34"/>
    </row>
    <row r="17" spans="1:5" x14ac:dyDescent="0.3">
      <c r="A17" s="12" t="s">
        <v>14</v>
      </c>
      <c r="B17" s="12" t="s">
        <v>3</v>
      </c>
      <c r="C17" s="33">
        <v>10</v>
      </c>
      <c r="D17" s="37">
        <v>10000</v>
      </c>
      <c r="E17" s="36">
        <f t="shared" ref="E17:E20" si="0">+D17*C17</f>
        <v>100000</v>
      </c>
    </row>
    <row r="18" spans="1:5" x14ac:dyDescent="0.3">
      <c r="A18" s="12" t="s">
        <v>15</v>
      </c>
      <c r="B18" s="12" t="s">
        <v>3</v>
      </c>
      <c r="C18" s="33">
        <v>37</v>
      </c>
      <c r="D18" s="37">
        <v>21000</v>
      </c>
      <c r="E18" s="36">
        <f t="shared" si="0"/>
        <v>777000</v>
      </c>
    </row>
    <row r="19" spans="1:5" x14ac:dyDescent="0.3">
      <c r="A19" s="12" t="s">
        <v>16</v>
      </c>
      <c r="B19" s="12" t="s">
        <v>17</v>
      </c>
      <c r="C19" s="33">
        <v>18</v>
      </c>
      <c r="D19" s="37">
        <v>7000</v>
      </c>
      <c r="E19" s="36">
        <f t="shared" si="0"/>
        <v>126000</v>
      </c>
    </row>
    <row r="20" spans="1:5" x14ac:dyDescent="0.3">
      <c r="A20" s="12" t="s">
        <v>18</v>
      </c>
      <c r="B20" s="12" t="s">
        <v>3</v>
      </c>
      <c r="C20" s="33">
        <v>335</v>
      </c>
      <c r="D20" s="37">
        <v>18000</v>
      </c>
      <c r="E20" s="36">
        <f t="shared" si="0"/>
        <v>6030000</v>
      </c>
    </row>
    <row r="21" spans="1:5" hidden="1" x14ac:dyDescent="0.3">
      <c r="A21" s="12" t="s">
        <v>18</v>
      </c>
      <c r="B21" s="12" t="s">
        <v>17</v>
      </c>
      <c r="C21" s="33">
        <v>0</v>
      </c>
      <c r="D21" s="34"/>
      <c r="E21" s="34"/>
    </row>
    <row r="22" spans="1:5" x14ac:dyDescent="0.3">
      <c r="A22" s="12" t="s">
        <v>18</v>
      </c>
      <c r="B22" s="12" t="s">
        <v>19</v>
      </c>
      <c r="C22" s="33">
        <v>70</v>
      </c>
      <c r="D22" s="37">
        <v>13650</v>
      </c>
      <c r="E22" s="36">
        <f t="shared" ref="E22:E27" si="1">+D22*C22</f>
        <v>955500</v>
      </c>
    </row>
    <row r="23" spans="1:5" x14ac:dyDescent="0.3">
      <c r="A23" s="12" t="s">
        <v>20</v>
      </c>
      <c r="B23" s="12" t="s">
        <v>3</v>
      </c>
      <c r="C23" s="33">
        <v>5</v>
      </c>
      <c r="D23" s="37">
        <v>14000</v>
      </c>
      <c r="E23" s="36">
        <f t="shared" si="1"/>
        <v>70000</v>
      </c>
    </row>
    <row r="24" spans="1:5" x14ac:dyDescent="0.3">
      <c r="A24" s="12" t="s">
        <v>20</v>
      </c>
      <c r="B24" s="12" t="s">
        <v>21</v>
      </c>
      <c r="C24" s="33">
        <v>70</v>
      </c>
      <c r="D24" s="37">
        <v>8000</v>
      </c>
      <c r="E24" s="36">
        <f t="shared" si="1"/>
        <v>560000</v>
      </c>
    </row>
    <row r="25" spans="1:5" x14ac:dyDescent="0.3">
      <c r="A25" s="12" t="s">
        <v>22</v>
      </c>
      <c r="B25" s="12" t="s">
        <v>3</v>
      </c>
      <c r="C25" s="33">
        <v>13</v>
      </c>
      <c r="D25" s="37">
        <v>21000</v>
      </c>
      <c r="E25" s="36">
        <f t="shared" si="1"/>
        <v>273000</v>
      </c>
    </row>
    <row r="26" spans="1:5" x14ac:dyDescent="0.3">
      <c r="A26" s="12" t="s">
        <v>22</v>
      </c>
      <c r="B26" s="12" t="s">
        <v>23</v>
      </c>
      <c r="C26" s="33">
        <v>94</v>
      </c>
      <c r="D26" s="37">
        <v>6300</v>
      </c>
      <c r="E26" s="36">
        <f t="shared" si="1"/>
        <v>592200</v>
      </c>
    </row>
    <row r="27" spans="1:5" x14ac:dyDescent="0.3">
      <c r="A27" s="12" t="s">
        <v>24</v>
      </c>
      <c r="B27" s="12" t="s">
        <v>25</v>
      </c>
      <c r="C27" s="33">
        <v>18</v>
      </c>
      <c r="D27" s="37">
        <v>11100</v>
      </c>
      <c r="E27" s="36">
        <f t="shared" si="1"/>
        <v>199800</v>
      </c>
    </row>
    <row r="28" spans="1:5" hidden="1" x14ac:dyDescent="0.3">
      <c r="A28" s="12" t="s">
        <v>26</v>
      </c>
      <c r="B28" s="12" t="s">
        <v>3</v>
      </c>
      <c r="C28" s="33">
        <v>0</v>
      </c>
      <c r="D28" s="34"/>
      <c r="E28" s="34"/>
    </row>
    <row r="29" spans="1:5" x14ac:dyDescent="0.3">
      <c r="A29" s="12" t="s">
        <v>26</v>
      </c>
      <c r="B29" s="12" t="s">
        <v>23</v>
      </c>
      <c r="C29" s="33">
        <v>60</v>
      </c>
      <c r="D29" s="37">
        <v>9750</v>
      </c>
      <c r="E29" s="36">
        <f t="shared" ref="E29:E31" si="2">+D29*C29</f>
        <v>585000</v>
      </c>
    </row>
    <row r="30" spans="1:5" x14ac:dyDescent="0.3">
      <c r="A30" s="12" t="s">
        <v>26</v>
      </c>
      <c r="B30" s="12" t="s">
        <v>27</v>
      </c>
      <c r="C30" s="33">
        <v>40</v>
      </c>
      <c r="D30" s="37">
        <v>7000</v>
      </c>
      <c r="E30" s="36">
        <f t="shared" si="2"/>
        <v>280000</v>
      </c>
    </row>
    <row r="31" spans="1:5" x14ac:dyDescent="0.3">
      <c r="A31" s="12" t="s">
        <v>28</v>
      </c>
      <c r="B31" s="12" t="s">
        <v>3</v>
      </c>
      <c r="C31" s="33">
        <v>290</v>
      </c>
      <c r="D31" s="37">
        <v>10000</v>
      </c>
      <c r="E31" s="36">
        <f t="shared" si="2"/>
        <v>2900000</v>
      </c>
    </row>
    <row r="32" spans="1:5" hidden="1" x14ac:dyDescent="0.3">
      <c r="A32" s="12" t="s">
        <v>28</v>
      </c>
      <c r="B32" s="12" t="s">
        <v>17</v>
      </c>
      <c r="C32" s="33">
        <v>0</v>
      </c>
      <c r="D32" s="34"/>
      <c r="E32" s="34"/>
    </row>
    <row r="33" spans="1:5" x14ac:dyDescent="0.3">
      <c r="A33" s="12" t="s">
        <v>29</v>
      </c>
      <c r="B33" s="12" t="s">
        <v>30</v>
      </c>
      <c r="C33" s="33">
        <v>90</v>
      </c>
      <c r="D33" s="37">
        <v>6000</v>
      </c>
      <c r="E33" s="36">
        <f t="shared" ref="E33:E34" si="3">+D33*C33</f>
        <v>540000</v>
      </c>
    </row>
    <row r="34" spans="1:5" x14ac:dyDescent="0.3">
      <c r="A34" s="12" t="s">
        <v>31</v>
      </c>
      <c r="B34" s="12" t="s">
        <v>3</v>
      </c>
      <c r="C34" s="33">
        <v>455</v>
      </c>
      <c r="D34" s="37">
        <v>8500</v>
      </c>
      <c r="E34" s="36">
        <f t="shared" si="3"/>
        <v>3867500</v>
      </c>
    </row>
    <row r="35" spans="1:5" hidden="1" x14ac:dyDescent="0.3">
      <c r="A35" s="12" t="s">
        <v>31</v>
      </c>
      <c r="B35" s="12" t="s">
        <v>30</v>
      </c>
      <c r="C35" s="33">
        <v>0</v>
      </c>
      <c r="D35" s="34"/>
      <c r="E35" s="34"/>
    </row>
    <row r="36" spans="1:5" hidden="1" x14ac:dyDescent="0.3">
      <c r="A36" s="12" t="s">
        <v>32</v>
      </c>
      <c r="B36" s="12" t="s">
        <v>3</v>
      </c>
      <c r="C36" s="33">
        <v>0</v>
      </c>
      <c r="D36" s="34"/>
      <c r="E36" s="34"/>
    </row>
    <row r="37" spans="1:5" hidden="1" x14ac:dyDescent="0.3">
      <c r="A37" s="12" t="s">
        <v>32</v>
      </c>
      <c r="B37" s="12" t="s">
        <v>17</v>
      </c>
      <c r="C37" s="33">
        <v>0</v>
      </c>
      <c r="D37" s="34"/>
      <c r="E37" s="34"/>
    </row>
    <row r="38" spans="1:5" x14ac:dyDescent="0.3">
      <c r="A38" s="12" t="s">
        <v>33</v>
      </c>
      <c r="B38" s="12" t="s">
        <v>3</v>
      </c>
      <c r="C38" s="33">
        <v>84</v>
      </c>
      <c r="D38" s="37">
        <v>8000</v>
      </c>
      <c r="E38" s="36">
        <f>+D38*C38</f>
        <v>672000</v>
      </c>
    </row>
    <row r="39" spans="1:5" hidden="1" x14ac:dyDescent="0.3">
      <c r="A39" s="12" t="s">
        <v>33</v>
      </c>
      <c r="B39" s="12" t="s">
        <v>34</v>
      </c>
      <c r="C39" s="33">
        <v>0</v>
      </c>
      <c r="D39" s="34"/>
      <c r="E39" s="34"/>
    </row>
    <row r="40" spans="1:5" x14ac:dyDescent="0.3">
      <c r="A40" s="12" t="s">
        <v>35</v>
      </c>
      <c r="B40" s="12" t="s">
        <v>3</v>
      </c>
      <c r="C40" s="33">
        <v>3</v>
      </c>
      <c r="D40" s="37">
        <v>26000</v>
      </c>
      <c r="E40" s="36">
        <f>+D40*C40</f>
        <v>78000</v>
      </c>
    </row>
    <row r="41" spans="1:5" hidden="1" x14ac:dyDescent="0.3">
      <c r="A41" s="12" t="s">
        <v>35</v>
      </c>
      <c r="B41" s="12" t="s">
        <v>30</v>
      </c>
      <c r="C41" s="33">
        <v>0</v>
      </c>
      <c r="D41" s="34"/>
      <c r="E41" s="34"/>
    </row>
    <row r="42" spans="1:5" hidden="1" x14ac:dyDescent="0.3">
      <c r="A42" s="12" t="s">
        <v>36</v>
      </c>
      <c r="B42" s="12" t="s">
        <v>3</v>
      </c>
      <c r="C42" s="33">
        <v>0</v>
      </c>
      <c r="D42" s="34"/>
      <c r="E42" s="34"/>
    </row>
    <row r="43" spans="1:5" x14ac:dyDescent="0.3">
      <c r="A43" s="12" t="s">
        <v>36</v>
      </c>
      <c r="B43" s="12" t="s">
        <v>30</v>
      </c>
      <c r="C43" s="33">
        <v>10</v>
      </c>
      <c r="D43" s="37">
        <v>6000</v>
      </c>
      <c r="E43" s="36">
        <f>+D43*C43</f>
        <v>60000</v>
      </c>
    </row>
    <row r="44" spans="1:5" hidden="1" x14ac:dyDescent="0.3">
      <c r="A44" s="12" t="s">
        <v>37</v>
      </c>
      <c r="B44" s="12" t="s">
        <v>30</v>
      </c>
      <c r="C44" s="33">
        <v>0</v>
      </c>
      <c r="D44" s="34"/>
      <c r="E44" s="34"/>
    </row>
    <row r="45" spans="1:5" x14ac:dyDescent="0.3">
      <c r="A45" s="12" t="s">
        <v>38</v>
      </c>
      <c r="B45" s="12" t="s">
        <v>3</v>
      </c>
      <c r="C45" s="33">
        <v>1005</v>
      </c>
      <c r="D45" s="37">
        <v>5000</v>
      </c>
      <c r="E45" s="36">
        <f>+D45*C45</f>
        <v>5025000</v>
      </c>
    </row>
    <row r="46" spans="1:5" hidden="1" x14ac:dyDescent="0.3">
      <c r="A46" s="12" t="s">
        <v>103</v>
      </c>
      <c r="B46" s="12" t="s">
        <v>3</v>
      </c>
      <c r="C46" s="33">
        <v>0</v>
      </c>
      <c r="D46" s="34"/>
      <c r="E46" s="34"/>
    </row>
    <row r="47" spans="1:5" hidden="1" x14ac:dyDescent="0.3">
      <c r="A47" s="12" t="s">
        <v>39</v>
      </c>
      <c r="B47" s="12" t="s">
        <v>40</v>
      </c>
      <c r="C47" s="33">
        <v>0</v>
      </c>
      <c r="D47" s="34"/>
      <c r="E47" s="34"/>
    </row>
    <row r="48" spans="1:5" x14ac:dyDescent="0.3">
      <c r="A48" s="12" t="s">
        <v>39</v>
      </c>
      <c r="B48" s="12" t="s">
        <v>3</v>
      </c>
      <c r="C48" s="33">
        <v>68</v>
      </c>
      <c r="D48" s="37">
        <v>12000</v>
      </c>
      <c r="E48" s="36">
        <f t="shared" ref="E48:E50" si="4">+D48*C48</f>
        <v>816000</v>
      </c>
    </row>
    <row r="49" spans="1:5" x14ac:dyDescent="0.3">
      <c r="A49" s="12" t="s">
        <v>41</v>
      </c>
      <c r="B49" s="12" t="s">
        <v>3</v>
      </c>
      <c r="C49" s="33">
        <v>22</v>
      </c>
      <c r="D49" s="37">
        <v>9000</v>
      </c>
      <c r="E49" s="36">
        <f t="shared" si="4"/>
        <v>198000</v>
      </c>
    </row>
    <row r="50" spans="1:5" x14ac:dyDescent="0.3">
      <c r="A50" s="12" t="s">
        <v>42</v>
      </c>
      <c r="B50" s="12" t="s">
        <v>25</v>
      </c>
      <c r="C50" s="33">
        <v>6</v>
      </c>
      <c r="D50" s="37">
        <v>11000</v>
      </c>
      <c r="E50" s="36">
        <f t="shared" si="4"/>
        <v>66000</v>
      </c>
    </row>
    <row r="51" spans="1:5" hidden="1" x14ac:dyDescent="0.3">
      <c r="A51" s="12" t="s">
        <v>42</v>
      </c>
      <c r="B51" s="12" t="s">
        <v>3</v>
      </c>
      <c r="C51" s="33">
        <v>0</v>
      </c>
      <c r="D51" s="34"/>
      <c r="E51" s="34"/>
    </row>
    <row r="52" spans="1:5" x14ac:dyDescent="0.3">
      <c r="A52" s="12" t="s">
        <v>43</v>
      </c>
      <c r="B52" s="12" t="s">
        <v>3</v>
      </c>
      <c r="C52" s="33">
        <v>2</v>
      </c>
      <c r="D52" s="37">
        <v>16000</v>
      </c>
      <c r="E52" s="36">
        <f t="shared" ref="E52:E54" si="5">+D52*C52</f>
        <v>32000</v>
      </c>
    </row>
    <row r="53" spans="1:5" x14ac:dyDescent="0.3">
      <c r="A53" s="12" t="s">
        <v>44</v>
      </c>
      <c r="B53" s="12" t="s">
        <v>3</v>
      </c>
      <c r="C53" s="33">
        <v>38</v>
      </c>
      <c r="D53" s="37">
        <v>6000</v>
      </c>
      <c r="E53" s="36">
        <f t="shared" si="5"/>
        <v>228000</v>
      </c>
    </row>
    <row r="54" spans="1:5" x14ac:dyDescent="0.3">
      <c r="A54" s="12" t="s">
        <v>45</v>
      </c>
      <c r="B54" s="12" t="s">
        <v>3</v>
      </c>
      <c r="C54" s="33">
        <v>30</v>
      </c>
      <c r="D54" s="37">
        <v>11000</v>
      </c>
      <c r="E54" s="36">
        <f t="shared" si="5"/>
        <v>330000</v>
      </c>
    </row>
    <row r="55" spans="1:5" hidden="1" x14ac:dyDescent="0.3">
      <c r="A55" s="12" t="s">
        <v>45</v>
      </c>
      <c r="B55" s="12" t="s">
        <v>30</v>
      </c>
      <c r="C55" s="33">
        <v>0</v>
      </c>
      <c r="D55" s="34"/>
      <c r="E55" s="34"/>
    </row>
    <row r="56" spans="1:5" x14ac:dyDescent="0.3">
      <c r="A56" s="12" t="s">
        <v>46</v>
      </c>
      <c r="B56" s="12" t="s">
        <v>3</v>
      </c>
      <c r="C56" s="33">
        <v>15</v>
      </c>
      <c r="D56" s="37">
        <v>17000</v>
      </c>
      <c r="E56" s="36">
        <f t="shared" ref="E56:E57" si="6">+D56*C56</f>
        <v>255000</v>
      </c>
    </row>
    <row r="57" spans="1:5" x14ac:dyDescent="0.3">
      <c r="A57" s="12" t="s">
        <v>47</v>
      </c>
      <c r="B57" s="12" t="s">
        <v>3</v>
      </c>
      <c r="C57" s="33">
        <v>110</v>
      </c>
      <c r="D57" s="37">
        <v>9000</v>
      </c>
      <c r="E57" s="36">
        <f t="shared" si="6"/>
        <v>990000</v>
      </c>
    </row>
    <row r="58" spans="1:5" hidden="1" x14ac:dyDescent="0.3">
      <c r="A58" s="12" t="s">
        <v>47</v>
      </c>
      <c r="B58" s="12" t="s">
        <v>48</v>
      </c>
      <c r="C58" s="33">
        <v>0</v>
      </c>
      <c r="D58" s="34"/>
      <c r="E58" s="34"/>
    </row>
    <row r="59" spans="1:5" x14ac:dyDescent="0.3">
      <c r="A59" s="12" t="s">
        <v>49</v>
      </c>
      <c r="B59" s="12" t="s">
        <v>3</v>
      </c>
      <c r="C59" s="33">
        <v>15</v>
      </c>
      <c r="D59" s="37">
        <v>20000</v>
      </c>
      <c r="E59" s="36">
        <f t="shared" ref="E59:E61" si="7">+D59*C59</f>
        <v>300000</v>
      </c>
    </row>
    <row r="60" spans="1:5" x14ac:dyDescent="0.3">
      <c r="A60" s="12" t="s">
        <v>50</v>
      </c>
      <c r="B60" s="12" t="s">
        <v>30</v>
      </c>
      <c r="C60" s="33">
        <v>150</v>
      </c>
      <c r="D60" s="37">
        <v>2400</v>
      </c>
      <c r="E60" s="36">
        <f t="shared" si="7"/>
        <v>360000</v>
      </c>
    </row>
    <row r="61" spans="1:5" x14ac:dyDescent="0.3">
      <c r="A61" s="12" t="s">
        <v>51</v>
      </c>
      <c r="B61" s="12" t="s">
        <v>3</v>
      </c>
      <c r="C61" s="33">
        <v>1280</v>
      </c>
      <c r="D61" s="37">
        <v>28000</v>
      </c>
      <c r="E61" s="36">
        <f t="shared" si="7"/>
        <v>35840000</v>
      </c>
    </row>
    <row r="62" spans="1:5" x14ac:dyDescent="0.3">
      <c r="A62" s="12" t="s">
        <v>52</v>
      </c>
      <c r="B62" s="12" t="s">
        <v>3</v>
      </c>
      <c r="C62" s="33">
        <v>4500</v>
      </c>
      <c r="D62" s="37">
        <v>27000</v>
      </c>
      <c r="E62" s="36">
        <f>+D62*C62</f>
        <v>121500000</v>
      </c>
    </row>
    <row r="63" spans="1:5" hidden="1" x14ac:dyDescent="0.3">
      <c r="A63" s="12" t="s">
        <v>52</v>
      </c>
      <c r="B63" s="12" t="s">
        <v>30</v>
      </c>
      <c r="C63" s="33">
        <v>0</v>
      </c>
      <c r="D63" s="34"/>
      <c r="E63" s="34"/>
    </row>
    <row r="64" spans="1:5" x14ac:dyDescent="0.3">
      <c r="A64" s="12" t="s">
        <v>54</v>
      </c>
      <c r="B64" s="12" t="s">
        <v>3</v>
      </c>
      <c r="C64" s="33">
        <v>280</v>
      </c>
      <c r="D64" s="37">
        <v>15000</v>
      </c>
      <c r="E64" s="36">
        <f t="shared" ref="E64:E65" si="8">+D64*C64</f>
        <v>4200000</v>
      </c>
    </row>
    <row r="65" spans="1:5" x14ac:dyDescent="0.3">
      <c r="A65" s="12" t="s">
        <v>55</v>
      </c>
      <c r="B65" s="12" t="s">
        <v>3</v>
      </c>
      <c r="C65" s="33">
        <v>30</v>
      </c>
      <c r="D65" s="37">
        <v>23000</v>
      </c>
      <c r="E65" s="36">
        <f t="shared" si="8"/>
        <v>690000</v>
      </c>
    </row>
    <row r="66" spans="1:5" hidden="1" x14ac:dyDescent="0.3">
      <c r="A66" s="12" t="s">
        <v>56</v>
      </c>
      <c r="B66" s="12" t="s">
        <v>3</v>
      </c>
      <c r="C66" s="33">
        <v>0</v>
      </c>
      <c r="D66" s="34"/>
      <c r="E66" s="34"/>
    </row>
    <row r="67" spans="1:5" hidden="1" x14ac:dyDescent="0.3">
      <c r="A67" s="12" t="s">
        <v>57</v>
      </c>
      <c r="B67" s="12" t="s">
        <v>3</v>
      </c>
      <c r="C67" s="33">
        <v>0</v>
      </c>
      <c r="D67" s="34"/>
      <c r="E67" s="34"/>
    </row>
    <row r="68" spans="1:5" hidden="1" x14ac:dyDescent="0.3">
      <c r="A68" s="12" t="s">
        <v>57</v>
      </c>
      <c r="B68" s="12" t="s">
        <v>30</v>
      </c>
      <c r="C68" s="33">
        <v>0</v>
      </c>
      <c r="D68" s="34"/>
      <c r="E68" s="34"/>
    </row>
    <row r="69" spans="1:5" hidden="1" x14ac:dyDescent="0.3">
      <c r="A69" s="12" t="s">
        <v>58</v>
      </c>
      <c r="B69" s="12" t="s">
        <v>3</v>
      </c>
      <c r="C69" s="33">
        <v>0</v>
      </c>
      <c r="D69" s="34"/>
      <c r="E69" s="34"/>
    </row>
    <row r="70" spans="1:5" x14ac:dyDescent="0.3">
      <c r="A70" s="12" t="s">
        <v>59</v>
      </c>
      <c r="B70" s="12" t="s">
        <v>3</v>
      </c>
      <c r="C70" s="33">
        <v>190</v>
      </c>
      <c r="D70" s="37">
        <v>15000</v>
      </c>
      <c r="E70" s="36">
        <f>+D70*C70</f>
        <v>2850000</v>
      </c>
    </row>
    <row r="71" spans="1:5" hidden="1" x14ac:dyDescent="0.3">
      <c r="A71" s="12" t="s">
        <v>59</v>
      </c>
      <c r="B71" s="12" t="s">
        <v>30</v>
      </c>
      <c r="C71" s="33">
        <v>0</v>
      </c>
      <c r="D71" s="34"/>
      <c r="E71" s="34"/>
    </row>
    <row r="72" spans="1:5" x14ac:dyDescent="0.3">
      <c r="A72" s="12" t="s">
        <v>60</v>
      </c>
      <c r="B72" s="12" t="s">
        <v>30</v>
      </c>
      <c r="C72" s="33">
        <v>170</v>
      </c>
      <c r="D72" s="37">
        <v>16000</v>
      </c>
      <c r="E72" s="36">
        <f>+D72*C72</f>
        <v>2720000</v>
      </c>
    </row>
    <row r="73" spans="1:5" hidden="1" x14ac:dyDescent="0.3">
      <c r="A73" s="12" t="s">
        <v>138</v>
      </c>
      <c r="B73" s="12" t="s">
        <v>3</v>
      </c>
      <c r="C73" s="33">
        <v>0</v>
      </c>
      <c r="D73" s="34"/>
      <c r="E73" s="34"/>
    </row>
    <row r="74" spans="1:5" x14ac:dyDescent="0.3">
      <c r="A74" s="12" t="s">
        <v>61</v>
      </c>
      <c r="B74" s="12" t="s">
        <v>3</v>
      </c>
      <c r="C74" s="33">
        <v>47</v>
      </c>
      <c r="D74" s="37">
        <v>11000</v>
      </c>
      <c r="E74" s="36">
        <f t="shared" ref="E74:E75" si="9">+D74*C74</f>
        <v>517000</v>
      </c>
    </row>
    <row r="75" spans="1:5" x14ac:dyDescent="0.3">
      <c r="A75" s="12" t="s">
        <v>62</v>
      </c>
      <c r="B75" s="12" t="s">
        <v>30</v>
      </c>
      <c r="C75" s="33">
        <v>12</v>
      </c>
      <c r="D75" s="37">
        <v>6000</v>
      </c>
      <c r="E75" s="36">
        <f t="shared" si="9"/>
        <v>72000</v>
      </c>
    </row>
    <row r="76" spans="1:5" hidden="1" x14ac:dyDescent="0.3">
      <c r="A76" s="12" t="s">
        <v>63</v>
      </c>
      <c r="B76" s="12" t="s">
        <v>3</v>
      </c>
      <c r="C76" s="33">
        <v>0</v>
      </c>
      <c r="D76" s="34"/>
      <c r="E76" s="34"/>
    </row>
    <row r="77" spans="1:5" x14ac:dyDescent="0.3">
      <c r="A77" s="12" t="s">
        <v>63</v>
      </c>
      <c r="B77" s="12" t="s">
        <v>64</v>
      </c>
      <c r="C77" s="33">
        <v>40</v>
      </c>
      <c r="D77" s="37">
        <v>8000</v>
      </c>
      <c r="E77" s="36">
        <f>+D77*C77</f>
        <v>320000</v>
      </c>
    </row>
    <row r="78" spans="1:5" hidden="1" x14ac:dyDescent="0.3">
      <c r="A78" s="12" t="s">
        <v>65</v>
      </c>
      <c r="B78" s="12" t="s">
        <v>3</v>
      </c>
      <c r="C78" s="33">
        <v>0</v>
      </c>
      <c r="D78" s="34"/>
      <c r="E78" s="34"/>
    </row>
    <row r="79" spans="1:5" hidden="1" x14ac:dyDescent="0.3">
      <c r="A79" s="12" t="s">
        <v>112</v>
      </c>
      <c r="B79" s="12" t="s">
        <v>3</v>
      </c>
      <c r="C79" s="33">
        <v>0</v>
      </c>
      <c r="D79" s="34"/>
      <c r="E79" s="34"/>
    </row>
    <row r="80" spans="1:5" hidden="1" x14ac:dyDescent="0.3">
      <c r="A80" s="12" t="s">
        <v>66</v>
      </c>
      <c r="B80" s="12" t="s">
        <v>3</v>
      </c>
      <c r="C80" s="33">
        <v>0</v>
      </c>
      <c r="D80" s="34"/>
      <c r="E80" s="34"/>
    </row>
    <row r="81" spans="1:5" hidden="1" x14ac:dyDescent="0.3">
      <c r="A81" s="12" t="s">
        <v>67</v>
      </c>
      <c r="B81" s="12" t="s">
        <v>3</v>
      </c>
      <c r="C81" s="33">
        <v>0</v>
      </c>
      <c r="D81" s="34"/>
      <c r="E81" s="34"/>
    </row>
    <row r="82" spans="1:5" hidden="1" x14ac:dyDescent="0.3">
      <c r="A82" s="12" t="s">
        <v>152</v>
      </c>
      <c r="B82" s="12" t="s">
        <v>30</v>
      </c>
      <c r="C82" s="33">
        <v>0</v>
      </c>
      <c r="D82" s="34"/>
      <c r="E82" s="34"/>
    </row>
    <row r="83" spans="1:5" hidden="1" x14ac:dyDescent="0.3">
      <c r="A83" s="12" t="s">
        <v>68</v>
      </c>
      <c r="B83" s="12" t="s">
        <v>3</v>
      </c>
      <c r="C83" s="33">
        <v>0</v>
      </c>
      <c r="D83" s="34"/>
      <c r="E83" s="34"/>
    </row>
    <row r="84" spans="1:5" x14ac:dyDescent="0.3">
      <c r="A84" s="12" t="s">
        <v>68</v>
      </c>
      <c r="B84" s="12" t="s">
        <v>17</v>
      </c>
      <c r="C84" s="33">
        <v>1000</v>
      </c>
      <c r="D84" s="37">
        <v>5500</v>
      </c>
      <c r="E84" s="36">
        <f t="shared" ref="E84:E86" si="10">+D84*C84</f>
        <v>5500000</v>
      </c>
    </row>
    <row r="85" spans="1:5" x14ac:dyDescent="0.3">
      <c r="A85" s="12" t="s">
        <v>69</v>
      </c>
      <c r="B85" s="12" t="s">
        <v>3</v>
      </c>
      <c r="C85" s="33">
        <v>4</v>
      </c>
      <c r="D85" s="37">
        <v>14000</v>
      </c>
      <c r="E85" s="36">
        <f t="shared" si="10"/>
        <v>56000</v>
      </c>
    </row>
    <row r="86" spans="1:5" x14ac:dyDescent="0.3">
      <c r="A86" s="12" t="s">
        <v>70</v>
      </c>
      <c r="B86" s="12" t="s">
        <v>3</v>
      </c>
      <c r="C86" s="33">
        <v>10</v>
      </c>
      <c r="D86" s="37">
        <v>10000</v>
      </c>
      <c r="E86" s="36">
        <f t="shared" si="10"/>
        <v>100000</v>
      </c>
    </row>
    <row r="87" spans="1:5" hidden="1" x14ac:dyDescent="0.3">
      <c r="A87" s="12" t="s">
        <v>71</v>
      </c>
      <c r="B87" s="12" t="s">
        <v>40</v>
      </c>
      <c r="C87" s="33">
        <v>0</v>
      </c>
      <c r="D87" s="34"/>
      <c r="E87" s="34"/>
    </row>
    <row r="88" spans="1:5" hidden="1" x14ac:dyDescent="0.3">
      <c r="A88" s="12" t="s">
        <v>71</v>
      </c>
      <c r="B88" s="12" t="s">
        <v>3</v>
      </c>
      <c r="C88" s="33">
        <v>0</v>
      </c>
      <c r="D88" s="34"/>
      <c r="E88" s="34"/>
    </row>
    <row r="89" spans="1:5" hidden="1" x14ac:dyDescent="0.3">
      <c r="A89" s="12" t="s">
        <v>72</v>
      </c>
      <c r="B89" s="12" t="s">
        <v>3</v>
      </c>
      <c r="C89" s="33">
        <v>0</v>
      </c>
      <c r="D89" s="34"/>
      <c r="E89" s="34"/>
    </row>
    <row r="90" spans="1:5" hidden="1" x14ac:dyDescent="0.3">
      <c r="A90" s="12" t="s">
        <v>73</v>
      </c>
      <c r="B90" s="12" t="s">
        <v>3</v>
      </c>
      <c r="C90" s="33">
        <v>0</v>
      </c>
      <c r="D90" s="34"/>
      <c r="E90" s="34"/>
    </row>
    <row r="91" spans="1:5" x14ac:dyDescent="0.3">
      <c r="A91" s="12" t="s">
        <v>74</v>
      </c>
      <c r="B91" s="12" t="s">
        <v>30</v>
      </c>
      <c r="C91" s="33">
        <v>63</v>
      </c>
      <c r="D91" s="37">
        <v>3500</v>
      </c>
      <c r="E91" s="36">
        <f t="shared" ref="E91:E92" si="11">+D91*C91</f>
        <v>220500</v>
      </c>
    </row>
    <row r="92" spans="1:5" x14ac:dyDescent="0.3">
      <c r="A92" s="12" t="s">
        <v>75</v>
      </c>
      <c r="B92" s="12" t="s">
        <v>3</v>
      </c>
      <c r="C92" s="33">
        <v>20</v>
      </c>
      <c r="D92" s="37">
        <v>14000</v>
      </c>
      <c r="E92" s="36">
        <f t="shared" si="11"/>
        <v>280000</v>
      </c>
    </row>
    <row r="93" spans="1:5" hidden="1" x14ac:dyDescent="0.3">
      <c r="A93" s="12" t="s">
        <v>76</v>
      </c>
      <c r="B93" s="12" t="s">
        <v>17</v>
      </c>
      <c r="C93" s="33">
        <v>0</v>
      </c>
      <c r="D93" s="34"/>
      <c r="E93" s="34"/>
    </row>
    <row r="94" spans="1:5" hidden="1" x14ac:dyDescent="0.3">
      <c r="A94" s="12" t="s">
        <v>77</v>
      </c>
      <c r="B94" s="12" t="s">
        <v>25</v>
      </c>
      <c r="C94" s="33">
        <v>0</v>
      </c>
      <c r="D94" s="34"/>
      <c r="E94" s="34"/>
    </row>
    <row r="95" spans="1:5" x14ac:dyDescent="0.3">
      <c r="A95" s="12" t="s">
        <v>77</v>
      </c>
      <c r="B95" s="12" t="s">
        <v>3</v>
      </c>
      <c r="C95" s="33">
        <v>12</v>
      </c>
      <c r="D95" s="37">
        <v>35000</v>
      </c>
      <c r="E95" s="36">
        <f t="shared" ref="E95:E96" si="12">+D95*C95</f>
        <v>420000</v>
      </c>
    </row>
    <row r="96" spans="1:5" x14ac:dyDescent="0.3">
      <c r="A96" s="12" t="s">
        <v>78</v>
      </c>
      <c r="B96" s="12" t="s">
        <v>3</v>
      </c>
      <c r="C96" s="33">
        <v>70</v>
      </c>
      <c r="D96" s="37">
        <v>30000</v>
      </c>
      <c r="E96" s="36">
        <f t="shared" si="12"/>
        <v>2100000</v>
      </c>
    </row>
    <row r="97" spans="1:5" hidden="1" x14ac:dyDescent="0.3">
      <c r="A97" s="12" t="s">
        <v>78</v>
      </c>
      <c r="B97" s="12" t="s">
        <v>9</v>
      </c>
      <c r="C97" s="33">
        <v>0</v>
      </c>
      <c r="D97" s="34"/>
      <c r="E97" s="34"/>
    </row>
    <row r="98" spans="1:5" x14ac:dyDescent="0.3">
      <c r="A98" s="12" t="s">
        <v>79</v>
      </c>
      <c r="B98" s="12" t="s">
        <v>3</v>
      </c>
      <c r="C98" s="33">
        <v>12</v>
      </c>
      <c r="D98" s="37">
        <v>25000</v>
      </c>
      <c r="E98" s="36">
        <f t="shared" ref="E98:E99" si="13">+D98*C98</f>
        <v>300000</v>
      </c>
    </row>
    <row r="99" spans="1:5" x14ac:dyDescent="0.3">
      <c r="A99" s="12" t="s">
        <v>80</v>
      </c>
      <c r="B99" s="12" t="s">
        <v>3</v>
      </c>
      <c r="C99" s="33">
        <v>15</v>
      </c>
      <c r="D99" s="37">
        <v>19000</v>
      </c>
      <c r="E99" s="36">
        <f t="shared" si="13"/>
        <v>285000</v>
      </c>
    </row>
    <row r="100" spans="1:5" hidden="1" x14ac:dyDescent="0.3">
      <c r="A100" s="12" t="s">
        <v>80</v>
      </c>
      <c r="B100" s="12" t="s">
        <v>9</v>
      </c>
      <c r="C100" s="33">
        <v>0</v>
      </c>
      <c r="D100" s="34"/>
      <c r="E100" s="34"/>
    </row>
    <row r="101" spans="1:5" x14ac:dyDescent="0.3">
      <c r="A101" s="12" t="s">
        <v>81</v>
      </c>
      <c r="B101" s="12" t="s">
        <v>3</v>
      </c>
      <c r="C101" s="33">
        <v>5</v>
      </c>
      <c r="D101" s="37">
        <v>14000</v>
      </c>
      <c r="E101" s="36">
        <f t="shared" ref="E101:E102" si="14">+D101*C101</f>
        <v>70000</v>
      </c>
    </row>
    <row r="102" spans="1:5" x14ac:dyDescent="0.3">
      <c r="A102" s="12" t="s">
        <v>82</v>
      </c>
      <c r="B102" s="12" t="s">
        <v>3</v>
      </c>
      <c r="C102" s="33">
        <v>50</v>
      </c>
      <c r="D102" s="37">
        <v>28000</v>
      </c>
      <c r="E102" s="36">
        <f t="shared" si="14"/>
        <v>1400000</v>
      </c>
    </row>
    <row r="103" spans="1:5" hidden="1" x14ac:dyDescent="0.3">
      <c r="A103" s="12" t="s">
        <v>82</v>
      </c>
      <c r="B103" s="12" t="s">
        <v>9</v>
      </c>
      <c r="C103" s="33">
        <v>0</v>
      </c>
      <c r="D103" s="34"/>
      <c r="E103" s="34"/>
    </row>
    <row r="104" spans="1:5" x14ac:dyDescent="0.3">
      <c r="A104" s="12" t="s">
        <v>84</v>
      </c>
      <c r="B104" s="12" t="s">
        <v>3</v>
      </c>
      <c r="C104" s="33">
        <v>65</v>
      </c>
      <c r="D104" s="37">
        <v>50000</v>
      </c>
      <c r="E104" s="36">
        <f t="shared" ref="E104:E105" si="15">+D104*C104</f>
        <v>3250000</v>
      </c>
    </row>
    <row r="105" spans="1:5" x14ac:dyDescent="0.3">
      <c r="A105" s="12" t="s">
        <v>84</v>
      </c>
      <c r="B105" s="12" t="s">
        <v>30</v>
      </c>
      <c r="C105" s="33">
        <v>6</v>
      </c>
      <c r="D105" s="37">
        <v>16000</v>
      </c>
      <c r="E105" s="36">
        <f t="shared" si="15"/>
        <v>96000</v>
      </c>
    </row>
    <row r="106" spans="1:5" hidden="1" x14ac:dyDescent="0.3">
      <c r="A106" s="12" t="s">
        <v>85</v>
      </c>
      <c r="B106" s="12" t="s">
        <v>30</v>
      </c>
      <c r="C106" s="33">
        <v>0</v>
      </c>
      <c r="D106" s="34"/>
      <c r="E106" s="34"/>
    </row>
    <row r="107" spans="1:5" hidden="1" x14ac:dyDescent="0.3">
      <c r="A107" s="12" t="s">
        <v>123</v>
      </c>
      <c r="B107" s="12" t="s">
        <v>3</v>
      </c>
      <c r="C107" s="33">
        <v>0</v>
      </c>
      <c r="D107" s="34"/>
      <c r="E107" s="34"/>
    </row>
    <row r="108" spans="1:5" x14ac:dyDescent="0.3">
      <c r="A108" s="12" t="s">
        <v>106</v>
      </c>
      <c r="B108" s="12" t="s">
        <v>9</v>
      </c>
      <c r="C108" s="33">
        <v>208</v>
      </c>
      <c r="D108" s="37">
        <v>8000</v>
      </c>
      <c r="E108" s="36">
        <f t="shared" ref="E108:E112" si="16">+D108*C108</f>
        <v>1664000</v>
      </c>
    </row>
    <row r="109" spans="1:5" x14ac:dyDescent="0.3">
      <c r="A109" s="12" t="s">
        <v>88</v>
      </c>
      <c r="B109" s="12" t="s">
        <v>9</v>
      </c>
      <c r="C109" s="33">
        <v>815</v>
      </c>
      <c r="D109" s="37">
        <v>11361</v>
      </c>
      <c r="E109" s="36">
        <f t="shared" si="16"/>
        <v>9259215</v>
      </c>
    </row>
    <row r="110" spans="1:5" x14ac:dyDescent="0.3">
      <c r="A110" s="12" t="s">
        <v>146</v>
      </c>
      <c r="B110" s="12" t="s">
        <v>9</v>
      </c>
      <c r="C110" s="33">
        <v>22</v>
      </c>
      <c r="D110" s="37">
        <v>90000</v>
      </c>
      <c r="E110" s="36">
        <f t="shared" si="16"/>
        <v>1980000</v>
      </c>
    </row>
    <row r="111" spans="1:5" x14ac:dyDescent="0.3">
      <c r="A111" s="12" t="s">
        <v>89</v>
      </c>
      <c r="B111" s="12" t="s">
        <v>3</v>
      </c>
      <c r="C111" s="33">
        <v>3667</v>
      </c>
      <c r="D111" s="37">
        <v>31000</v>
      </c>
      <c r="E111" s="36">
        <f t="shared" si="16"/>
        <v>113677000</v>
      </c>
    </row>
    <row r="112" spans="1:5" x14ac:dyDescent="0.3">
      <c r="A112" s="12" t="s">
        <v>90</v>
      </c>
      <c r="B112" s="12" t="s">
        <v>3</v>
      </c>
      <c r="C112" s="33">
        <v>25</v>
      </c>
      <c r="D112" s="37">
        <v>20000</v>
      </c>
      <c r="E112" s="36">
        <f t="shared" si="16"/>
        <v>500000</v>
      </c>
    </row>
    <row r="113" spans="1:5" hidden="1" x14ac:dyDescent="0.3">
      <c r="A113" s="12" t="s">
        <v>91</v>
      </c>
      <c r="B113" s="12" t="s">
        <v>25</v>
      </c>
      <c r="C113" s="33">
        <v>0</v>
      </c>
      <c r="D113" s="34"/>
      <c r="E113" s="34"/>
    </row>
    <row r="114" spans="1:5" x14ac:dyDescent="0.3">
      <c r="A114" s="12" t="s">
        <v>92</v>
      </c>
      <c r="B114" s="12" t="s">
        <v>3</v>
      </c>
      <c r="C114" s="33">
        <v>195</v>
      </c>
      <c r="D114" s="37">
        <v>9000</v>
      </c>
      <c r="E114" s="36">
        <f>+D114*C114</f>
        <v>1755000</v>
      </c>
    </row>
    <row r="115" spans="1:5" hidden="1" x14ac:dyDescent="0.3">
      <c r="A115" s="12" t="s">
        <v>114</v>
      </c>
      <c r="B115" s="12" t="s">
        <v>3</v>
      </c>
      <c r="C115" s="33">
        <v>0</v>
      </c>
      <c r="D115" s="34"/>
      <c r="E115" s="34"/>
    </row>
    <row r="116" spans="1:5" x14ac:dyDescent="0.3">
      <c r="A116" s="12" t="s">
        <v>93</v>
      </c>
      <c r="B116" s="12" t="s">
        <v>3</v>
      </c>
      <c r="C116" s="33">
        <v>20</v>
      </c>
      <c r="D116" s="37">
        <v>13000</v>
      </c>
      <c r="E116" s="36">
        <f>+D116*C116</f>
        <v>260000</v>
      </c>
    </row>
    <row r="117" spans="1:5" hidden="1" x14ac:dyDescent="0.3">
      <c r="A117" s="12" t="s">
        <v>94</v>
      </c>
      <c r="B117" s="12" t="s">
        <v>3</v>
      </c>
      <c r="C117" s="33">
        <v>0</v>
      </c>
      <c r="D117" s="34"/>
      <c r="E117" s="34"/>
    </row>
    <row r="118" spans="1:5" hidden="1" x14ac:dyDescent="0.3">
      <c r="A118" s="12" t="s">
        <v>95</v>
      </c>
      <c r="B118" s="12" t="s">
        <v>40</v>
      </c>
      <c r="C118" s="33">
        <v>0</v>
      </c>
      <c r="D118" s="34"/>
      <c r="E118" s="34"/>
    </row>
    <row r="119" spans="1:5" x14ac:dyDescent="0.3">
      <c r="A119" s="12" t="s">
        <v>96</v>
      </c>
      <c r="B119" s="12" t="s">
        <v>3</v>
      </c>
      <c r="C119" s="33">
        <v>30</v>
      </c>
      <c r="D119" s="37">
        <v>28000</v>
      </c>
      <c r="E119" s="36">
        <f t="shared" ref="E119:E120" si="17">+D119*C119</f>
        <v>840000</v>
      </c>
    </row>
    <row r="120" spans="1:5" x14ac:dyDescent="0.3">
      <c r="A120" s="12" t="s">
        <v>97</v>
      </c>
      <c r="B120" s="12" t="s">
        <v>40</v>
      </c>
      <c r="C120" s="33">
        <v>45</v>
      </c>
      <c r="D120" s="37">
        <v>6800</v>
      </c>
      <c r="E120" s="36">
        <f t="shared" si="17"/>
        <v>306000</v>
      </c>
    </row>
    <row r="121" spans="1:5" hidden="1" x14ac:dyDescent="0.3">
      <c r="A121" s="12" t="s">
        <v>98</v>
      </c>
      <c r="B121" s="12" t="s">
        <v>3</v>
      </c>
      <c r="C121" s="33">
        <v>0</v>
      </c>
      <c r="D121" s="34"/>
      <c r="E121" s="34"/>
    </row>
    <row r="122" spans="1:5" hidden="1" x14ac:dyDescent="0.3">
      <c r="A122" s="12" t="s">
        <v>99</v>
      </c>
      <c r="B122" s="12" t="s">
        <v>3</v>
      </c>
      <c r="C122" s="33">
        <v>0</v>
      </c>
      <c r="D122" s="34"/>
      <c r="E122" s="34"/>
    </row>
    <row r="123" spans="1:5" hidden="1" x14ac:dyDescent="0.3">
      <c r="A123" s="12" t="s">
        <v>100</v>
      </c>
      <c r="B123" s="12" t="s">
        <v>40</v>
      </c>
      <c r="C123" s="33">
        <v>0</v>
      </c>
      <c r="D123" s="34"/>
      <c r="E123" s="34"/>
    </row>
    <row r="124" spans="1:5" x14ac:dyDescent="0.3">
      <c r="A124" s="19" t="e">
        <v>#N/A</v>
      </c>
      <c r="B124" s="19">
        <v>0</v>
      </c>
      <c r="C124" s="41">
        <v>18730</v>
      </c>
      <c r="D124" s="39" t="e">
        <v>#N/A</v>
      </c>
      <c r="E124" s="42">
        <f>SUBTOTAL(9,E2:E120)</f>
        <v>360602715</v>
      </c>
    </row>
    <row r="125" spans="1:5" ht="62.4" x14ac:dyDescent="0.3">
      <c r="A125" s="35" t="s">
        <v>130</v>
      </c>
      <c r="B125" s="16" t="s">
        <v>1</v>
      </c>
      <c r="C125" s="15" t="s">
        <v>137</v>
      </c>
      <c r="D125" s="31" t="s">
        <v>140</v>
      </c>
      <c r="E125" s="31" t="s">
        <v>141</v>
      </c>
    </row>
    <row r="126" spans="1:5" x14ac:dyDescent="0.3">
      <c r="A126" s="12" t="s">
        <v>2</v>
      </c>
      <c r="B126" s="12" t="s">
        <v>3</v>
      </c>
      <c r="C126" s="13">
        <v>7</v>
      </c>
      <c r="D126" s="37">
        <v>10000</v>
      </c>
      <c r="E126" s="36">
        <f t="shared" ref="E126:E146" si="18">+D126*C126</f>
        <v>70000</v>
      </c>
    </row>
    <row r="127" spans="1:5" x14ac:dyDescent="0.3">
      <c r="A127" s="12" t="s">
        <v>4</v>
      </c>
      <c r="B127" s="12" t="s">
        <v>3</v>
      </c>
      <c r="C127" s="13">
        <v>330</v>
      </c>
      <c r="D127" s="37">
        <v>6000</v>
      </c>
      <c r="E127" s="36">
        <f t="shared" si="18"/>
        <v>1980000</v>
      </c>
    </row>
    <row r="128" spans="1:5" x14ac:dyDescent="0.3">
      <c r="A128" s="12" t="s">
        <v>5</v>
      </c>
      <c r="B128" s="12" t="s">
        <v>3</v>
      </c>
      <c r="C128" s="13">
        <v>165</v>
      </c>
      <c r="D128" s="37">
        <v>5000</v>
      </c>
      <c r="E128" s="36">
        <f t="shared" si="18"/>
        <v>825000</v>
      </c>
    </row>
    <row r="129" spans="1:5" x14ac:dyDescent="0.3">
      <c r="A129" s="12" t="s">
        <v>119</v>
      </c>
      <c r="B129" s="12" t="s">
        <v>3</v>
      </c>
      <c r="C129" s="13">
        <v>21</v>
      </c>
      <c r="D129" s="37">
        <v>20000</v>
      </c>
      <c r="E129" s="36">
        <f t="shared" si="18"/>
        <v>420000</v>
      </c>
    </row>
    <row r="130" spans="1:5" x14ac:dyDescent="0.3">
      <c r="A130" s="12" t="s">
        <v>7</v>
      </c>
      <c r="B130" s="12" t="s">
        <v>3</v>
      </c>
      <c r="C130" s="13">
        <v>55.000000000000007</v>
      </c>
      <c r="D130" s="37">
        <v>8000</v>
      </c>
      <c r="E130" s="36">
        <f t="shared" si="18"/>
        <v>440000.00000000006</v>
      </c>
    </row>
    <row r="131" spans="1:5" x14ac:dyDescent="0.3">
      <c r="A131" s="12" t="s">
        <v>8</v>
      </c>
      <c r="B131" s="12" t="s">
        <v>3</v>
      </c>
      <c r="C131" s="13">
        <v>11</v>
      </c>
      <c r="D131" s="37">
        <v>8500</v>
      </c>
      <c r="E131" s="36">
        <f t="shared" si="18"/>
        <v>93500</v>
      </c>
    </row>
    <row r="132" spans="1:5" x14ac:dyDescent="0.3">
      <c r="A132" s="12" t="s">
        <v>102</v>
      </c>
      <c r="B132" s="12" t="s">
        <v>3</v>
      </c>
      <c r="C132" s="13">
        <v>20</v>
      </c>
      <c r="D132" s="37">
        <v>10000</v>
      </c>
      <c r="E132" s="36">
        <f t="shared" si="18"/>
        <v>200000</v>
      </c>
    </row>
    <row r="133" spans="1:5" x14ac:dyDescent="0.3">
      <c r="A133" s="12" t="s">
        <v>18</v>
      </c>
      <c r="B133" s="12" t="s">
        <v>3</v>
      </c>
      <c r="C133" s="13">
        <v>30</v>
      </c>
      <c r="D133" s="37">
        <v>13650</v>
      </c>
      <c r="E133" s="36">
        <f t="shared" si="18"/>
        <v>409500</v>
      </c>
    </row>
    <row r="134" spans="1:5" x14ac:dyDescent="0.3">
      <c r="A134" s="12" t="s">
        <v>28</v>
      </c>
      <c r="B134" s="12" t="s">
        <v>3</v>
      </c>
      <c r="C134" s="13">
        <v>110.00000000000001</v>
      </c>
      <c r="D134" s="37">
        <v>10000</v>
      </c>
      <c r="E134" s="36">
        <f t="shared" si="18"/>
        <v>1100000.0000000002</v>
      </c>
    </row>
    <row r="135" spans="1:5" x14ac:dyDescent="0.3">
      <c r="A135" s="12" t="s">
        <v>31</v>
      </c>
      <c r="B135" s="12" t="s">
        <v>3</v>
      </c>
      <c r="C135" s="13">
        <v>110.00000000000001</v>
      </c>
      <c r="D135" s="37">
        <v>8500</v>
      </c>
      <c r="E135" s="36">
        <f t="shared" si="18"/>
        <v>935000.00000000012</v>
      </c>
    </row>
    <row r="136" spans="1:5" x14ac:dyDescent="0.3">
      <c r="A136" s="12" t="s">
        <v>33</v>
      </c>
      <c r="B136" s="12" t="s">
        <v>3</v>
      </c>
      <c r="C136" s="13">
        <v>6</v>
      </c>
      <c r="D136" s="37">
        <v>8000</v>
      </c>
      <c r="E136" s="36">
        <f t="shared" si="18"/>
        <v>48000</v>
      </c>
    </row>
    <row r="137" spans="1:5" x14ac:dyDescent="0.3">
      <c r="A137" s="12" t="s">
        <v>38</v>
      </c>
      <c r="B137" s="12" t="s">
        <v>3</v>
      </c>
      <c r="C137" s="13">
        <v>100</v>
      </c>
      <c r="D137" s="37">
        <v>5500</v>
      </c>
      <c r="E137" s="36">
        <f t="shared" si="18"/>
        <v>550000</v>
      </c>
    </row>
    <row r="138" spans="1:5" x14ac:dyDescent="0.3">
      <c r="A138" s="12" t="s">
        <v>103</v>
      </c>
      <c r="B138" s="12" t="s">
        <v>3</v>
      </c>
      <c r="C138" s="13">
        <v>2</v>
      </c>
      <c r="D138" s="37">
        <v>12000</v>
      </c>
      <c r="E138" s="36">
        <f t="shared" si="18"/>
        <v>24000</v>
      </c>
    </row>
    <row r="139" spans="1:5" x14ac:dyDescent="0.3">
      <c r="A139" s="12" t="s">
        <v>104</v>
      </c>
      <c r="B139" s="12" t="s">
        <v>3</v>
      </c>
      <c r="C139" s="13">
        <v>1090</v>
      </c>
      <c r="D139" s="37">
        <v>5000</v>
      </c>
      <c r="E139" s="36">
        <f t="shared" si="18"/>
        <v>5450000</v>
      </c>
    </row>
    <row r="140" spans="1:5" x14ac:dyDescent="0.3">
      <c r="A140" s="12" t="s">
        <v>39</v>
      </c>
      <c r="B140" s="12" t="s">
        <v>3</v>
      </c>
      <c r="C140" s="13">
        <v>22</v>
      </c>
      <c r="D140" s="37">
        <v>12000</v>
      </c>
      <c r="E140" s="36">
        <f t="shared" si="18"/>
        <v>264000</v>
      </c>
    </row>
    <row r="141" spans="1:5" x14ac:dyDescent="0.3">
      <c r="A141" s="12" t="s">
        <v>105</v>
      </c>
      <c r="B141" s="12" t="s">
        <v>3</v>
      </c>
      <c r="C141" s="13">
        <v>14</v>
      </c>
      <c r="D141" s="37">
        <v>27000</v>
      </c>
      <c r="E141" s="36">
        <f t="shared" si="18"/>
        <v>378000</v>
      </c>
    </row>
    <row r="142" spans="1:5" x14ac:dyDescent="0.3">
      <c r="A142" s="12" t="s">
        <v>41</v>
      </c>
      <c r="B142" s="12" t="s">
        <v>3</v>
      </c>
      <c r="C142" s="13">
        <v>22</v>
      </c>
      <c r="D142" s="37">
        <v>9000</v>
      </c>
      <c r="E142" s="36">
        <f t="shared" si="18"/>
        <v>198000</v>
      </c>
    </row>
    <row r="143" spans="1:5" x14ac:dyDescent="0.3">
      <c r="A143" s="12" t="s">
        <v>44</v>
      </c>
      <c r="B143" s="12" t="s">
        <v>3</v>
      </c>
      <c r="C143" s="13">
        <v>25</v>
      </c>
      <c r="D143" s="37">
        <v>6000</v>
      </c>
      <c r="E143" s="36">
        <f t="shared" si="18"/>
        <v>150000</v>
      </c>
    </row>
    <row r="144" spans="1:5" x14ac:dyDescent="0.3">
      <c r="A144" s="12" t="s">
        <v>45</v>
      </c>
      <c r="B144" s="12" t="s">
        <v>3</v>
      </c>
      <c r="C144" s="13">
        <v>5</v>
      </c>
      <c r="D144" s="37">
        <v>11000</v>
      </c>
      <c r="E144" s="36">
        <f t="shared" si="18"/>
        <v>55000</v>
      </c>
    </row>
    <row r="145" spans="1:5" x14ac:dyDescent="0.3">
      <c r="A145" s="12" t="s">
        <v>47</v>
      </c>
      <c r="B145" s="12" t="s">
        <v>3</v>
      </c>
      <c r="C145" s="13">
        <v>55.000000000000007</v>
      </c>
      <c r="D145" s="37">
        <v>9000</v>
      </c>
      <c r="E145" s="36">
        <f t="shared" si="18"/>
        <v>495000.00000000006</v>
      </c>
    </row>
    <row r="146" spans="1:5" x14ac:dyDescent="0.3">
      <c r="A146" s="12" t="s">
        <v>54</v>
      </c>
      <c r="B146" s="12" t="s">
        <v>3</v>
      </c>
      <c r="C146" s="13">
        <v>50</v>
      </c>
      <c r="D146" s="37">
        <v>15000</v>
      </c>
      <c r="E146" s="36">
        <f t="shared" si="18"/>
        <v>750000</v>
      </c>
    </row>
    <row r="147" spans="1:5" hidden="1" x14ac:dyDescent="0.3">
      <c r="A147" s="12" t="s">
        <v>57</v>
      </c>
      <c r="B147" s="12" t="s">
        <v>30</v>
      </c>
      <c r="C147" s="13">
        <v>0</v>
      </c>
      <c r="D147" s="34"/>
      <c r="E147" s="34"/>
    </row>
    <row r="148" spans="1:5" hidden="1" x14ac:dyDescent="0.3">
      <c r="A148" s="12" t="s">
        <v>59</v>
      </c>
      <c r="B148" s="12" t="s">
        <v>3</v>
      </c>
      <c r="C148" s="13">
        <v>0</v>
      </c>
      <c r="D148" s="34"/>
      <c r="E148" s="34"/>
    </row>
    <row r="149" spans="1:5" x14ac:dyDescent="0.3">
      <c r="A149" s="12" t="s">
        <v>61</v>
      </c>
      <c r="B149" s="12" t="s">
        <v>3</v>
      </c>
      <c r="C149" s="13">
        <v>5</v>
      </c>
      <c r="D149" s="37">
        <v>11000</v>
      </c>
      <c r="E149" s="36">
        <f>+D149*C149</f>
        <v>55000</v>
      </c>
    </row>
    <row r="150" spans="1:5" hidden="1" x14ac:dyDescent="0.3">
      <c r="A150" s="12" t="s">
        <v>62</v>
      </c>
      <c r="B150" s="12" t="s">
        <v>30</v>
      </c>
      <c r="C150" s="13">
        <v>0</v>
      </c>
      <c r="D150" s="34"/>
      <c r="E150" s="34"/>
    </row>
    <row r="151" spans="1:5" x14ac:dyDescent="0.3">
      <c r="A151" s="12" t="s">
        <v>63</v>
      </c>
      <c r="B151" s="12" t="s">
        <v>30</v>
      </c>
      <c r="C151" s="13">
        <v>15</v>
      </c>
      <c r="D151" s="37">
        <v>8000</v>
      </c>
      <c r="E151" s="36">
        <f>+D151*C151</f>
        <v>120000</v>
      </c>
    </row>
    <row r="152" spans="1:5" hidden="1" x14ac:dyDescent="0.3">
      <c r="A152" s="12" t="s">
        <v>68</v>
      </c>
      <c r="B152" s="12" t="s">
        <v>3</v>
      </c>
      <c r="C152" s="13">
        <v>0</v>
      </c>
      <c r="D152" s="34"/>
      <c r="E152" s="34"/>
    </row>
    <row r="153" spans="1:5" hidden="1" x14ac:dyDescent="0.3">
      <c r="A153" s="12" t="s">
        <v>68</v>
      </c>
      <c r="B153" s="12" t="s">
        <v>17</v>
      </c>
      <c r="C153" s="13">
        <v>0</v>
      </c>
      <c r="D153" s="34"/>
      <c r="E153" s="34"/>
    </row>
    <row r="154" spans="1:5" hidden="1" x14ac:dyDescent="0.3">
      <c r="A154" s="12" t="s">
        <v>71</v>
      </c>
      <c r="B154" s="12" t="s">
        <v>3</v>
      </c>
      <c r="C154" s="13">
        <v>0</v>
      </c>
      <c r="D154" s="34"/>
      <c r="E154" s="34"/>
    </row>
    <row r="155" spans="1:5" x14ac:dyDescent="0.3">
      <c r="A155" s="12" t="s">
        <v>72</v>
      </c>
      <c r="B155" s="12" t="s">
        <v>3</v>
      </c>
      <c r="C155" s="13">
        <v>2370</v>
      </c>
      <c r="D155" s="34">
        <v>26700</v>
      </c>
      <c r="E155" s="34">
        <f>C155*D155</f>
        <v>63279000</v>
      </c>
    </row>
    <row r="156" spans="1:5" hidden="1" x14ac:dyDescent="0.3">
      <c r="A156" s="12" t="s">
        <v>73</v>
      </c>
      <c r="B156" s="12" t="s">
        <v>3</v>
      </c>
      <c r="C156" s="13">
        <v>0</v>
      </c>
      <c r="D156" s="34"/>
      <c r="E156" s="34"/>
    </row>
    <row r="157" spans="1:5" hidden="1" x14ac:dyDescent="0.3">
      <c r="A157" s="12" t="s">
        <v>125</v>
      </c>
      <c r="B157" s="12" t="s">
        <v>25</v>
      </c>
      <c r="C157" s="13">
        <v>0</v>
      </c>
      <c r="D157" s="34"/>
      <c r="E157" s="34"/>
    </row>
    <row r="158" spans="1:5" x14ac:dyDescent="0.3">
      <c r="A158" s="12" t="s">
        <v>78</v>
      </c>
      <c r="B158" s="12" t="s">
        <v>3</v>
      </c>
      <c r="C158" s="13">
        <v>5</v>
      </c>
      <c r="D158" s="37">
        <v>30000</v>
      </c>
      <c r="E158" s="36">
        <f t="shared" ref="E158:E160" si="19">+D158*C158</f>
        <v>150000</v>
      </c>
    </row>
    <row r="159" spans="1:5" x14ac:dyDescent="0.3">
      <c r="A159" s="12" t="s">
        <v>80</v>
      </c>
      <c r="B159" s="12" t="s">
        <v>3</v>
      </c>
      <c r="C159" s="13">
        <v>5</v>
      </c>
      <c r="D159" s="37">
        <v>19000</v>
      </c>
      <c r="E159" s="36">
        <f t="shared" si="19"/>
        <v>95000</v>
      </c>
    </row>
    <row r="160" spans="1:5" x14ac:dyDescent="0.3">
      <c r="A160" s="12" t="s">
        <v>82</v>
      </c>
      <c r="B160" s="12" t="s">
        <v>3</v>
      </c>
      <c r="C160" s="13">
        <v>5</v>
      </c>
      <c r="D160" s="37">
        <v>28000</v>
      </c>
      <c r="E160" s="36">
        <f t="shared" si="19"/>
        <v>140000</v>
      </c>
    </row>
    <row r="161" spans="1:5" hidden="1" x14ac:dyDescent="0.3">
      <c r="A161" s="12" t="s">
        <v>106</v>
      </c>
      <c r="B161" s="12" t="s">
        <v>9</v>
      </c>
      <c r="C161" s="13">
        <v>0</v>
      </c>
      <c r="D161" s="34"/>
      <c r="E161" s="34"/>
    </row>
    <row r="162" spans="1:5" x14ac:dyDescent="0.3">
      <c r="A162" s="12" t="s">
        <v>92</v>
      </c>
      <c r="B162" s="12" t="s">
        <v>3</v>
      </c>
      <c r="C162" s="13">
        <v>20</v>
      </c>
      <c r="D162" s="37">
        <v>9000</v>
      </c>
      <c r="E162" s="36">
        <f>+D162*C162</f>
        <v>180000</v>
      </c>
    </row>
    <row r="163" spans="1:5" hidden="1" x14ac:dyDescent="0.3">
      <c r="A163" s="12" t="s">
        <v>94</v>
      </c>
      <c r="B163" s="12" t="s">
        <v>40</v>
      </c>
      <c r="C163" s="13">
        <v>0</v>
      </c>
      <c r="D163" s="34"/>
      <c r="E163" s="34"/>
    </row>
    <row r="164" spans="1:5" hidden="1" x14ac:dyDescent="0.3">
      <c r="A164" s="12" t="s">
        <v>95</v>
      </c>
      <c r="B164" s="12" t="s">
        <v>40</v>
      </c>
      <c r="C164" s="13">
        <v>0</v>
      </c>
      <c r="D164" s="34"/>
      <c r="E164" s="34"/>
    </row>
    <row r="165" spans="1:5" hidden="1" x14ac:dyDescent="0.3">
      <c r="A165" s="12" t="s">
        <v>97</v>
      </c>
      <c r="B165" s="12" t="s">
        <v>40</v>
      </c>
      <c r="C165" s="13">
        <v>0</v>
      </c>
      <c r="D165" s="34"/>
      <c r="E165" s="34"/>
    </row>
    <row r="166" spans="1:5" hidden="1" x14ac:dyDescent="0.3">
      <c r="A166" s="12" t="s">
        <v>100</v>
      </c>
      <c r="B166" s="12" t="s">
        <v>40</v>
      </c>
      <c r="C166" s="13">
        <v>0</v>
      </c>
      <c r="D166" s="34"/>
      <c r="E166" s="34"/>
    </row>
    <row r="167" spans="1:5" x14ac:dyDescent="0.3">
      <c r="A167" s="19" t="e">
        <v>#N/A</v>
      </c>
      <c r="B167" s="19">
        <v>0</v>
      </c>
      <c r="C167" s="20">
        <v>2305</v>
      </c>
      <c r="D167" s="39"/>
      <c r="E167" s="40">
        <f>SUBTOTAL(9,E126:E162)</f>
        <v>78854000</v>
      </c>
    </row>
    <row r="168" spans="1:5" x14ac:dyDescent="0.3">
      <c r="E168" s="43">
        <f>+E167+E124</f>
        <v>439456715</v>
      </c>
    </row>
  </sheetData>
  <autoFilter ref="A1:E168" xr:uid="{00000000-0009-0000-0000-00000F000000}">
    <filterColumn colId="4">
      <customFilters>
        <customFilter operator="notEqual" val=" "/>
      </customFilters>
    </filterColumn>
  </autoFilter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filterMode="1"/>
  <dimension ref="A1:F155"/>
  <sheetViews>
    <sheetView topLeftCell="A118" workbookViewId="0">
      <selection activeCell="E155" sqref="E155"/>
    </sheetView>
  </sheetViews>
  <sheetFormatPr defaultRowHeight="14.4" x14ac:dyDescent="0.3"/>
  <cols>
    <col min="1" max="1" width="27" customWidth="1"/>
    <col min="3" max="3" width="11.5546875" customWidth="1"/>
    <col min="4" max="4" width="13.5546875" customWidth="1"/>
    <col min="5" max="5" width="16.109375" customWidth="1"/>
  </cols>
  <sheetData>
    <row r="1" spans="1:6" x14ac:dyDescent="0.3">
      <c r="A1" t="s">
        <v>155</v>
      </c>
    </row>
    <row r="2" spans="1:6" x14ac:dyDescent="0.3">
      <c r="A2" t="s">
        <v>0</v>
      </c>
      <c r="B2" t="s">
        <v>1</v>
      </c>
      <c r="C2" t="s">
        <v>107</v>
      </c>
      <c r="D2" t="s">
        <v>108</v>
      </c>
      <c r="E2" t="s">
        <v>109</v>
      </c>
    </row>
    <row r="3" spans="1:6" x14ac:dyDescent="0.3">
      <c r="A3" t="s">
        <v>2</v>
      </c>
      <c r="B3" t="s">
        <v>3</v>
      </c>
      <c r="C3">
        <v>10</v>
      </c>
      <c r="D3" s="2">
        <v>10000</v>
      </c>
      <c r="E3" s="2">
        <f>C3*D3</f>
        <v>100000</v>
      </c>
    </row>
    <row r="4" spans="1:6" x14ac:dyDescent="0.3">
      <c r="A4" t="s">
        <v>4</v>
      </c>
      <c r="B4" t="s">
        <v>3</v>
      </c>
      <c r="C4">
        <v>150</v>
      </c>
      <c r="D4">
        <v>6000</v>
      </c>
      <c r="E4">
        <f t="shared" ref="E4:E67" si="0">C4*D4</f>
        <v>900000</v>
      </c>
      <c r="F4" t="s">
        <v>156</v>
      </c>
    </row>
    <row r="5" spans="1:6" x14ac:dyDescent="0.3">
      <c r="A5" t="s">
        <v>5</v>
      </c>
      <c r="B5" t="s">
        <v>3</v>
      </c>
      <c r="C5">
        <v>150</v>
      </c>
      <c r="D5" s="2">
        <v>5000</v>
      </c>
      <c r="E5" s="2">
        <f t="shared" si="0"/>
        <v>750000</v>
      </c>
      <c r="F5" t="s">
        <v>156</v>
      </c>
    </row>
    <row r="6" spans="1:6" hidden="1" x14ac:dyDescent="0.3">
      <c r="A6" t="s">
        <v>6</v>
      </c>
      <c r="B6" t="s">
        <v>3</v>
      </c>
      <c r="C6">
        <v>0</v>
      </c>
      <c r="E6">
        <f t="shared" si="0"/>
        <v>0</v>
      </c>
    </row>
    <row r="7" spans="1:6" x14ac:dyDescent="0.3">
      <c r="A7" t="s">
        <v>7</v>
      </c>
      <c r="B7" t="s">
        <v>3</v>
      </c>
      <c r="C7">
        <v>1505</v>
      </c>
      <c r="D7" s="2">
        <v>8000</v>
      </c>
      <c r="E7" s="2">
        <f t="shared" si="0"/>
        <v>12040000</v>
      </c>
    </row>
    <row r="8" spans="1:6" x14ac:dyDescent="0.3">
      <c r="A8" t="s">
        <v>111</v>
      </c>
      <c r="B8" t="s">
        <v>3</v>
      </c>
      <c r="C8">
        <v>2</v>
      </c>
      <c r="D8" s="2">
        <v>9000</v>
      </c>
      <c r="E8" s="2">
        <f t="shared" si="0"/>
        <v>18000</v>
      </c>
    </row>
    <row r="9" spans="1:6" x14ac:dyDescent="0.3">
      <c r="A9" t="s">
        <v>8</v>
      </c>
      <c r="B9" t="s">
        <v>3</v>
      </c>
      <c r="C9">
        <v>225</v>
      </c>
      <c r="D9" s="2">
        <v>8500</v>
      </c>
      <c r="E9" s="2">
        <f t="shared" si="0"/>
        <v>1912500</v>
      </c>
    </row>
    <row r="10" spans="1:6" hidden="1" x14ac:dyDescent="0.3">
      <c r="A10" t="s">
        <v>8</v>
      </c>
      <c r="B10" t="s">
        <v>9</v>
      </c>
      <c r="C10">
        <v>0</v>
      </c>
      <c r="E10">
        <f t="shared" si="0"/>
        <v>0</v>
      </c>
    </row>
    <row r="11" spans="1:6" x14ac:dyDescent="0.3">
      <c r="A11" t="s">
        <v>10</v>
      </c>
      <c r="B11" t="s">
        <v>3</v>
      </c>
      <c r="C11">
        <v>52</v>
      </c>
      <c r="D11" s="2">
        <v>10000</v>
      </c>
      <c r="E11" s="2">
        <f t="shared" si="0"/>
        <v>520000</v>
      </c>
    </row>
    <row r="12" spans="1:6" hidden="1" x14ac:dyDescent="0.3">
      <c r="A12" t="s">
        <v>10</v>
      </c>
      <c r="B12" t="s">
        <v>9</v>
      </c>
      <c r="C12">
        <v>0</v>
      </c>
      <c r="E12">
        <f t="shared" si="0"/>
        <v>0</v>
      </c>
    </row>
    <row r="13" spans="1:6" hidden="1" x14ac:dyDescent="0.3">
      <c r="A13" t="s">
        <v>11</v>
      </c>
      <c r="B13" t="s">
        <v>3</v>
      </c>
      <c r="C13">
        <v>0</v>
      </c>
      <c r="E13">
        <f t="shared" si="0"/>
        <v>0</v>
      </c>
    </row>
    <row r="14" spans="1:6" x14ac:dyDescent="0.3">
      <c r="A14" t="s">
        <v>12</v>
      </c>
      <c r="B14" t="s">
        <v>3</v>
      </c>
      <c r="C14">
        <v>16</v>
      </c>
      <c r="D14" s="2">
        <v>12000</v>
      </c>
      <c r="E14" s="2">
        <f t="shared" si="0"/>
        <v>192000</v>
      </c>
    </row>
    <row r="15" spans="1:6" x14ac:dyDescent="0.3">
      <c r="A15" t="s">
        <v>13</v>
      </c>
      <c r="B15" t="s">
        <v>3</v>
      </c>
      <c r="C15">
        <v>10</v>
      </c>
      <c r="D15" s="2">
        <v>12000</v>
      </c>
      <c r="E15" s="2">
        <f t="shared" si="0"/>
        <v>120000</v>
      </c>
    </row>
    <row r="16" spans="1:6" x14ac:dyDescent="0.3">
      <c r="A16" t="s">
        <v>14</v>
      </c>
      <c r="B16" t="s">
        <v>3</v>
      </c>
      <c r="C16">
        <v>25</v>
      </c>
      <c r="D16" s="2">
        <v>10000</v>
      </c>
      <c r="E16" s="2">
        <f t="shared" si="0"/>
        <v>250000</v>
      </c>
    </row>
    <row r="17" spans="1:5" x14ac:dyDescent="0.3">
      <c r="A17" t="s">
        <v>15</v>
      </c>
      <c r="B17" t="s">
        <v>3</v>
      </c>
      <c r="C17">
        <v>43</v>
      </c>
      <c r="D17" s="2">
        <v>21000</v>
      </c>
      <c r="E17" s="2">
        <f t="shared" si="0"/>
        <v>903000</v>
      </c>
    </row>
    <row r="18" spans="1:5" x14ac:dyDescent="0.3">
      <c r="A18" t="s">
        <v>16</v>
      </c>
      <c r="B18" t="s">
        <v>17</v>
      </c>
      <c r="C18">
        <v>9</v>
      </c>
      <c r="D18" s="2">
        <v>7000</v>
      </c>
      <c r="E18" s="2">
        <f t="shared" si="0"/>
        <v>63000</v>
      </c>
    </row>
    <row r="19" spans="1:5" x14ac:dyDescent="0.3">
      <c r="A19" t="s">
        <v>18</v>
      </c>
      <c r="B19" t="s">
        <v>3</v>
      </c>
      <c r="C19">
        <v>265</v>
      </c>
      <c r="D19" s="2">
        <v>19000</v>
      </c>
      <c r="E19" s="2">
        <f t="shared" si="0"/>
        <v>5035000</v>
      </c>
    </row>
    <row r="20" spans="1:5" hidden="1" x14ac:dyDescent="0.3">
      <c r="A20" t="s">
        <v>18</v>
      </c>
      <c r="B20" t="s">
        <v>17</v>
      </c>
      <c r="C20">
        <v>0</v>
      </c>
      <c r="E20">
        <f t="shared" si="0"/>
        <v>0</v>
      </c>
    </row>
    <row r="21" spans="1:5" hidden="1" x14ac:dyDescent="0.3">
      <c r="A21" t="s">
        <v>18</v>
      </c>
      <c r="B21" t="s">
        <v>19</v>
      </c>
      <c r="C21">
        <v>0</v>
      </c>
      <c r="E21">
        <f t="shared" si="0"/>
        <v>0</v>
      </c>
    </row>
    <row r="22" spans="1:5" x14ac:dyDescent="0.3">
      <c r="A22" t="s">
        <v>20</v>
      </c>
      <c r="B22" t="s">
        <v>3</v>
      </c>
      <c r="C22">
        <v>15</v>
      </c>
      <c r="D22" s="2">
        <v>16000</v>
      </c>
      <c r="E22" s="2">
        <f t="shared" si="0"/>
        <v>240000</v>
      </c>
    </row>
    <row r="23" spans="1:5" x14ac:dyDescent="0.3">
      <c r="A23" t="s">
        <v>20</v>
      </c>
      <c r="B23" t="s">
        <v>21</v>
      </c>
      <c r="C23">
        <v>45</v>
      </c>
      <c r="D23" s="2">
        <v>8500</v>
      </c>
      <c r="E23" s="2">
        <f t="shared" si="0"/>
        <v>382500</v>
      </c>
    </row>
    <row r="24" spans="1:5" x14ac:dyDescent="0.3">
      <c r="A24" t="s">
        <v>22</v>
      </c>
      <c r="B24" t="s">
        <v>3</v>
      </c>
      <c r="C24">
        <v>4</v>
      </c>
      <c r="D24" s="2">
        <v>21000</v>
      </c>
      <c r="E24" s="2">
        <f t="shared" si="0"/>
        <v>84000</v>
      </c>
    </row>
    <row r="25" spans="1:5" x14ac:dyDescent="0.3">
      <c r="A25" t="s">
        <v>22</v>
      </c>
      <c r="B25" t="s">
        <v>23</v>
      </c>
      <c r="C25">
        <v>70</v>
      </c>
      <c r="D25" s="2">
        <v>6300</v>
      </c>
      <c r="E25" s="2">
        <f t="shared" si="0"/>
        <v>441000</v>
      </c>
    </row>
    <row r="26" spans="1:5" x14ac:dyDescent="0.3">
      <c r="A26" t="s">
        <v>24</v>
      </c>
      <c r="B26" t="s">
        <v>25</v>
      </c>
      <c r="C26">
        <v>5</v>
      </c>
      <c r="D26" s="2">
        <v>11100</v>
      </c>
      <c r="E26" s="2">
        <f t="shared" si="0"/>
        <v>55500</v>
      </c>
    </row>
    <row r="27" spans="1:5" hidden="1" x14ac:dyDescent="0.3">
      <c r="A27" t="s">
        <v>26</v>
      </c>
      <c r="B27" t="s">
        <v>3</v>
      </c>
      <c r="C27">
        <v>0</v>
      </c>
      <c r="E27">
        <f t="shared" si="0"/>
        <v>0</v>
      </c>
    </row>
    <row r="28" spans="1:5" x14ac:dyDescent="0.3">
      <c r="A28" t="s">
        <v>26</v>
      </c>
      <c r="B28" t="s">
        <v>23</v>
      </c>
      <c r="C28">
        <v>141</v>
      </c>
      <c r="D28" s="2">
        <v>8400</v>
      </c>
      <c r="E28" s="2">
        <f t="shared" si="0"/>
        <v>1184400</v>
      </c>
    </row>
    <row r="29" spans="1:5" x14ac:dyDescent="0.3">
      <c r="A29" t="s">
        <v>26</v>
      </c>
      <c r="B29" t="s">
        <v>27</v>
      </c>
      <c r="C29">
        <v>28</v>
      </c>
      <c r="D29" s="2">
        <v>7000</v>
      </c>
      <c r="E29" s="2">
        <f t="shared" si="0"/>
        <v>196000</v>
      </c>
    </row>
    <row r="30" spans="1:5" hidden="1" x14ac:dyDescent="0.3">
      <c r="A30" t="s">
        <v>28</v>
      </c>
      <c r="B30" t="s">
        <v>3</v>
      </c>
      <c r="C30">
        <v>0</v>
      </c>
      <c r="E30">
        <f t="shared" si="0"/>
        <v>0</v>
      </c>
    </row>
    <row r="31" spans="1:5" hidden="1" x14ac:dyDescent="0.3">
      <c r="A31" t="s">
        <v>28</v>
      </c>
      <c r="B31" t="s">
        <v>17</v>
      </c>
      <c r="C31">
        <v>0</v>
      </c>
      <c r="E31">
        <f t="shared" si="0"/>
        <v>0</v>
      </c>
    </row>
    <row r="32" spans="1:5" x14ac:dyDescent="0.3">
      <c r="A32" t="s">
        <v>29</v>
      </c>
      <c r="B32" t="s">
        <v>30</v>
      </c>
      <c r="C32">
        <v>70</v>
      </c>
      <c r="D32" s="2">
        <v>6000</v>
      </c>
      <c r="E32" s="2">
        <f t="shared" si="0"/>
        <v>420000</v>
      </c>
    </row>
    <row r="33" spans="1:5" x14ac:dyDescent="0.3">
      <c r="A33" t="s">
        <v>31</v>
      </c>
      <c r="B33" t="s">
        <v>3</v>
      </c>
      <c r="C33">
        <v>120</v>
      </c>
      <c r="D33" s="2">
        <v>10000</v>
      </c>
      <c r="E33" s="2">
        <f t="shared" si="0"/>
        <v>1200000</v>
      </c>
    </row>
    <row r="34" spans="1:5" hidden="1" x14ac:dyDescent="0.3">
      <c r="A34" t="s">
        <v>31</v>
      </c>
      <c r="B34" t="s">
        <v>30</v>
      </c>
      <c r="C34">
        <v>0</v>
      </c>
      <c r="E34">
        <f t="shared" si="0"/>
        <v>0</v>
      </c>
    </row>
    <row r="35" spans="1:5" hidden="1" x14ac:dyDescent="0.3">
      <c r="A35" t="s">
        <v>32</v>
      </c>
      <c r="B35" t="s">
        <v>17</v>
      </c>
      <c r="C35">
        <v>0</v>
      </c>
      <c r="E35">
        <f t="shared" si="0"/>
        <v>0</v>
      </c>
    </row>
    <row r="36" spans="1:5" x14ac:dyDescent="0.3">
      <c r="A36" t="s">
        <v>33</v>
      </c>
      <c r="B36" t="s">
        <v>3</v>
      </c>
      <c r="C36">
        <v>57</v>
      </c>
      <c r="D36" s="2">
        <v>8000</v>
      </c>
      <c r="E36" s="2">
        <f t="shared" si="0"/>
        <v>456000</v>
      </c>
    </row>
    <row r="37" spans="1:5" hidden="1" x14ac:dyDescent="0.3">
      <c r="A37" t="s">
        <v>33</v>
      </c>
      <c r="B37" t="s">
        <v>34</v>
      </c>
      <c r="C37">
        <v>0</v>
      </c>
      <c r="E37">
        <f t="shared" si="0"/>
        <v>0</v>
      </c>
    </row>
    <row r="38" spans="1:5" hidden="1" x14ac:dyDescent="0.3">
      <c r="A38" t="s">
        <v>35</v>
      </c>
      <c r="B38" t="s">
        <v>3</v>
      </c>
      <c r="C38">
        <v>0</v>
      </c>
      <c r="E38">
        <f t="shared" si="0"/>
        <v>0</v>
      </c>
    </row>
    <row r="39" spans="1:5" hidden="1" x14ac:dyDescent="0.3">
      <c r="A39" t="s">
        <v>35</v>
      </c>
      <c r="B39" t="s">
        <v>30</v>
      </c>
      <c r="C39">
        <v>0</v>
      </c>
      <c r="E39">
        <f t="shared" si="0"/>
        <v>0</v>
      </c>
    </row>
    <row r="40" spans="1:5" x14ac:dyDescent="0.3">
      <c r="A40" t="s">
        <v>36</v>
      </c>
      <c r="B40" t="s">
        <v>30</v>
      </c>
      <c r="C40">
        <v>8</v>
      </c>
      <c r="D40" s="2">
        <v>6000</v>
      </c>
      <c r="E40" s="2">
        <f t="shared" si="0"/>
        <v>48000</v>
      </c>
    </row>
    <row r="41" spans="1:5" x14ac:dyDescent="0.3">
      <c r="A41" t="s">
        <v>37</v>
      </c>
      <c r="B41" t="s">
        <v>30</v>
      </c>
      <c r="C41">
        <v>8</v>
      </c>
      <c r="D41" s="2">
        <v>4300</v>
      </c>
      <c r="E41" s="2">
        <f t="shared" si="0"/>
        <v>34400</v>
      </c>
    </row>
    <row r="42" spans="1:5" x14ac:dyDescent="0.3">
      <c r="A42" t="s">
        <v>38</v>
      </c>
      <c r="B42" t="s">
        <v>3</v>
      </c>
      <c r="C42">
        <v>2380</v>
      </c>
      <c r="D42" s="2">
        <v>5000</v>
      </c>
      <c r="E42" s="2">
        <f t="shared" si="0"/>
        <v>11900000</v>
      </c>
    </row>
    <row r="43" spans="1:5" x14ac:dyDescent="0.3">
      <c r="A43" t="s">
        <v>103</v>
      </c>
      <c r="B43" t="s">
        <v>3</v>
      </c>
      <c r="C43">
        <v>5</v>
      </c>
      <c r="D43" s="2">
        <v>14000</v>
      </c>
      <c r="E43" s="2">
        <f t="shared" si="0"/>
        <v>70000</v>
      </c>
    </row>
    <row r="44" spans="1:5" hidden="1" x14ac:dyDescent="0.3">
      <c r="A44" t="s">
        <v>39</v>
      </c>
      <c r="B44" t="s">
        <v>40</v>
      </c>
      <c r="C44">
        <v>0</v>
      </c>
      <c r="E44">
        <f t="shared" si="0"/>
        <v>0</v>
      </c>
    </row>
    <row r="45" spans="1:5" x14ac:dyDescent="0.3">
      <c r="A45" t="s">
        <v>39</v>
      </c>
      <c r="B45" t="s">
        <v>3</v>
      </c>
      <c r="C45">
        <v>12</v>
      </c>
      <c r="D45" s="2">
        <v>9000</v>
      </c>
      <c r="E45" s="2">
        <f t="shared" si="0"/>
        <v>108000</v>
      </c>
    </row>
    <row r="46" spans="1:5" hidden="1" x14ac:dyDescent="0.3">
      <c r="A46" t="s">
        <v>41</v>
      </c>
      <c r="B46" t="s">
        <v>3</v>
      </c>
      <c r="C46">
        <v>0</v>
      </c>
      <c r="E46">
        <f t="shared" si="0"/>
        <v>0</v>
      </c>
    </row>
    <row r="47" spans="1:5" x14ac:dyDescent="0.3">
      <c r="A47" t="s">
        <v>42</v>
      </c>
      <c r="B47" t="s">
        <v>25</v>
      </c>
      <c r="C47">
        <v>5</v>
      </c>
      <c r="D47" s="2">
        <v>11000</v>
      </c>
      <c r="E47" s="2">
        <f t="shared" si="0"/>
        <v>55000</v>
      </c>
    </row>
    <row r="48" spans="1:5" x14ac:dyDescent="0.3">
      <c r="A48" t="s">
        <v>43</v>
      </c>
      <c r="B48" t="s">
        <v>3</v>
      </c>
      <c r="C48">
        <v>2</v>
      </c>
      <c r="D48" s="2">
        <v>16000</v>
      </c>
      <c r="E48" s="2">
        <f t="shared" si="0"/>
        <v>32000</v>
      </c>
    </row>
    <row r="49" spans="1:5" x14ac:dyDescent="0.3">
      <c r="A49" t="s">
        <v>44</v>
      </c>
      <c r="B49" t="s">
        <v>3</v>
      </c>
      <c r="C49">
        <v>25</v>
      </c>
      <c r="D49" s="2">
        <v>6000</v>
      </c>
      <c r="E49" s="2">
        <f t="shared" si="0"/>
        <v>150000</v>
      </c>
    </row>
    <row r="50" spans="1:5" hidden="1" x14ac:dyDescent="0.3">
      <c r="A50" t="s">
        <v>45</v>
      </c>
      <c r="B50" t="s">
        <v>3</v>
      </c>
      <c r="C50">
        <v>0</v>
      </c>
      <c r="E50">
        <f t="shared" si="0"/>
        <v>0</v>
      </c>
    </row>
    <row r="51" spans="1:5" hidden="1" x14ac:dyDescent="0.3">
      <c r="A51" t="s">
        <v>45</v>
      </c>
      <c r="B51" t="s">
        <v>30</v>
      </c>
      <c r="C51">
        <v>0</v>
      </c>
      <c r="E51">
        <f t="shared" si="0"/>
        <v>0</v>
      </c>
    </row>
    <row r="52" spans="1:5" hidden="1" x14ac:dyDescent="0.3">
      <c r="A52" t="s">
        <v>46</v>
      </c>
      <c r="B52" t="s">
        <v>3</v>
      </c>
      <c r="C52">
        <v>0</v>
      </c>
      <c r="E52">
        <f t="shared" si="0"/>
        <v>0</v>
      </c>
    </row>
    <row r="53" spans="1:5" x14ac:dyDescent="0.3">
      <c r="A53" t="s">
        <v>47</v>
      </c>
      <c r="B53" t="s">
        <v>3</v>
      </c>
      <c r="C53">
        <v>125</v>
      </c>
      <c r="D53" s="2">
        <v>10000</v>
      </c>
      <c r="E53" s="2">
        <f t="shared" si="0"/>
        <v>1250000</v>
      </c>
    </row>
    <row r="54" spans="1:5" hidden="1" x14ac:dyDescent="0.3">
      <c r="A54" t="s">
        <v>47</v>
      </c>
      <c r="B54" t="s">
        <v>48</v>
      </c>
      <c r="C54">
        <v>0</v>
      </c>
      <c r="E54">
        <f t="shared" si="0"/>
        <v>0</v>
      </c>
    </row>
    <row r="55" spans="1:5" x14ac:dyDescent="0.3">
      <c r="A55" t="s">
        <v>50</v>
      </c>
      <c r="B55" t="s">
        <v>30</v>
      </c>
      <c r="C55">
        <v>110</v>
      </c>
      <c r="D55" s="2">
        <v>2400</v>
      </c>
      <c r="E55" s="2">
        <f t="shared" si="0"/>
        <v>264000</v>
      </c>
    </row>
    <row r="56" spans="1:5" x14ac:dyDescent="0.3">
      <c r="A56" t="s">
        <v>51</v>
      </c>
      <c r="B56" t="s">
        <v>3</v>
      </c>
      <c r="C56">
        <v>1050</v>
      </c>
      <c r="D56" s="2">
        <v>28000</v>
      </c>
      <c r="E56" s="2">
        <f t="shared" si="0"/>
        <v>29400000</v>
      </c>
    </row>
    <row r="57" spans="1:5" x14ac:dyDescent="0.3">
      <c r="A57" t="s">
        <v>52</v>
      </c>
      <c r="B57" t="s">
        <v>3</v>
      </c>
      <c r="C57">
        <v>4460</v>
      </c>
      <c r="D57" s="2">
        <v>27000</v>
      </c>
      <c r="E57" s="2">
        <f t="shared" si="0"/>
        <v>120420000</v>
      </c>
    </row>
    <row r="58" spans="1:5" x14ac:dyDescent="0.3">
      <c r="A58" t="s">
        <v>153</v>
      </c>
      <c r="B58" t="s">
        <v>3</v>
      </c>
      <c r="C58">
        <v>800</v>
      </c>
      <c r="D58" s="2">
        <v>27000</v>
      </c>
      <c r="E58" s="2">
        <f t="shared" si="0"/>
        <v>21600000</v>
      </c>
    </row>
    <row r="59" spans="1:5" x14ac:dyDescent="0.3">
      <c r="A59" t="s">
        <v>54</v>
      </c>
      <c r="B59" t="s">
        <v>3</v>
      </c>
      <c r="C59">
        <v>220</v>
      </c>
      <c r="D59" s="2">
        <v>15500</v>
      </c>
      <c r="E59" s="2">
        <f t="shared" si="0"/>
        <v>3410000</v>
      </c>
    </row>
    <row r="60" spans="1:5" hidden="1" x14ac:dyDescent="0.3">
      <c r="A60" t="s">
        <v>55</v>
      </c>
      <c r="B60" t="s">
        <v>3</v>
      </c>
      <c r="C60">
        <v>0</v>
      </c>
      <c r="E60">
        <f t="shared" si="0"/>
        <v>0</v>
      </c>
    </row>
    <row r="61" spans="1:5" hidden="1" x14ac:dyDescent="0.3">
      <c r="A61" t="s">
        <v>56</v>
      </c>
      <c r="B61" t="s">
        <v>3</v>
      </c>
      <c r="C61">
        <v>0</v>
      </c>
      <c r="E61">
        <f t="shared" si="0"/>
        <v>0</v>
      </c>
    </row>
    <row r="62" spans="1:5" hidden="1" x14ac:dyDescent="0.3">
      <c r="A62" t="s">
        <v>57</v>
      </c>
      <c r="B62" t="s">
        <v>30</v>
      </c>
      <c r="C62">
        <v>0</v>
      </c>
      <c r="E62">
        <f t="shared" si="0"/>
        <v>0</v>
      </c>
    </row>
    <row r="63" spans="1:5" x14ac:dyDescent="0.3">
      <c r="A63" t="s">
        <v>59</v>
      </c>
      <c r="B63" t="s">
        <v>3</v>
      </c>
      <c r="C63">
        <v>20</v>
      </c>
      <c r="D63" s="2">
        <v>18000</v>
      </c>
      <c r="E63" s="2">
        <f t="shared" si="0"/>
        <v>360000</v>
      </c>
    </row>
    <row r="64" spans="1:5" hidden="1" x14ac:dyDescent="0.3">
      <c r="A64" t="s">
        <v>59</v>
      </c>
      <c r="B64" t="s">
        <v>30</v>
      </c>
      <c r="C64">
        <v>0</v>
      </c>
      <c r="E64">
        <f t="shared" si="0"/>
        <v>0</v>
      </c>
    </row>
    <row r="65" spans="1:5" x14ac:dyDescent="0.3">
      <c r="A65" t="s">
        <v>60</v>
      </c>
      <c r="B65" t="s">
        <v>30</v>
      </c>
      <c r="C65">
        <v>166</v>
      </c>
      <c r="D65" s="2">
        <v>8000</v>
      </c>
      <c r="E65" s="2">
        <f t="shared" si="0"/>
        <v>1328000</v>
      </c>
    </row>
    <row r="66" spans="1:5" hidden="1" x14ac:dyDescent="0.3">
      <c r="A66" t="s">
        <v>138</v>
      </c>
      <c r="B66" t="s">
        <v>3</v>
      </c>
      <c r="C66">
        <v>0</v>
      </c>
      <c r="E66">
        <f t="shared" si="0"/>
        <v>0</v>
      </c>
    </row>
    <row r="67" spans="1:5" x14ac:dyDescent="0.3">
      <c r="A67" t="s">
        <v>61</v>
      </c>
      <c r="B67" t="s">
        <v>3</v>
      </c>
      <c r="C67">
        <v>30</v>
      </c>
      <c r="D67" s="2">
        <v>11000</v>
      </c>
      <c r="E67" s="2">
        <f t="shared" si="0"/>
        <v>330000</v>
      </c>
    </row>
    <row r="68" spans="1:5" x14ac:dyDescent="0.3">
      <c r="A68" t="s">
        <v>62</v>
      </c>
      <c r="B68" t="s">
        <v>30</v>
      </c>
      <c r="C68">
        <v>20</v>
      </c>
      <c r="D68" s="2">
        <v>6000</v>
      </c>
      <c r="E68" s="2">
        <f t="shared" ref="E68:E133" si="1">C68*D68</f>
        <v>120000</v>
      </c>
    </row>
    <row r="69" spans="1:5" hidden="1" x14ac:dyDescent="0.3">
      <c r="A69" t="s">
        <v>63</v>
      </c>
      <c r="B69" t="s">
        <v>3</v>
      </c>
      <c r="C69">
        <v>0</v>
      </c>
      <c r="E69">
        <f t="shared" si="1"/>
        <v>0</v>
      </c>
    </row>
    <row r="70" spans="1:5" x14ac:dyDescent="0.3">
      <c r="A70" t="s">
        <v>63</v>
      </c>
      <c r="B70" t="s">
        <v>64</v>
      </c>
      <c r="C70">
        <v>36</v>
      </c>
      <c r="D70" s="2">
        <v>11000</v>
      </c>
      <c r="E70" s="2">
        <f t="shared" si="1"/>
        <v>396000</v>
      </c>
    </row>
    <row r="71" spans="1:5" x14ac:dyDescent="0.3">
      <c r="A71" t="s">
        <v>65</v>
      </c>
      <c r="B71" t="s">
        <v>3</v>
      </c>
      <c r="C71">
        <v>1</v>
      </c>
      <c r="D71" s="2">
        <v>80000</v>
      </c>
      <c r="E71" s="2">
        <f t="shared" si="1"/>
        <v>80000</v>
      </c>
    </row>
    <row r="72" spans="1:5" x14ac:dyDescent="0.3">
      <c r="A72" t="s">
        <v>66</v>
      </c>
      <c r="B72" t="s">
        <v>3</v>
      </c>
      <c r="C72">
        <v>1.5</v>
      </c>
      <c r="D72" s="2">
        <v>70000</v>
      </c>
      <c r="E72" s="2">
        <f t="shared" si="1"/>
        <v>105000</v>
      </c>
    </row>
    <row r="73" spans="1:5" x14ac:dyDescent="0.3">
      <c r="A73" t="s">
        <v>67</v>
      </c>
      <c r="B73" t="s">
        <v>3</v>
      </c>
      <c r="C73">
        <v>1.5</v>
      </c>
      <c r="D73" s="2">
        <v>70000</v>
      </c>
      <c r="E73" s="2">
        <f t="shared" si="1"/>
        <v>105000</v>
      </c>
    </row>
    <row r="74" spans="1:5" hidden="1" x14ac:dyDescent="0.3">
      <c r="A74" t="s">
        <v>68</v>
      </c>
      <c r="B74" t="s">
        <v>3</v>
      </c>
      <c r="C74">
        <v>0</v>
      </c>
      <c r="E74">
        <f t="shared" si="1"/>
        <v>0</v>
      </c>
    </row>
    <row r="75" spans="1:5" x14ac:dyDescent="0.3">
      <c r="A75" t="s">
        <v>68</v>
      </c>
      <c r="B75" t="s">
        <v>17</v>
      </c>
      <c r="C75">
        <v>1096</v>
      </c>
      <c r="D75" s="2">
        <v>6000</v>
      </c>
      <c r="E75" s="2">
        <f t="shared" si="1"/>
        <v>6576000</v>
      </c>
    </row>
    <row r="76" spans="1:5" x14ac:dyDescent="0.3">
      <c r="A76" t="s">
        <v>69</v>
      </c>
      <c r="B76" t="s">
        <v>3</v>
      </c>
      <c r="C76">
        <v>7</v>
      </c>
      <c r="D76" s="2">
        <v>14000</v>
      </c>
      <c r="E76" s="2">
        <f t="shared" si="1"/>
        <v>98000</v>
      </c>
    </row>
    <row r="77" spans="1:5" x14ac:dyDescent="0.3">
      <c r="A77" t="s">
        <v>70</v>
      </c>
      <c r="B77" t="s">
        <v>3</v>
      </c>
      <c r="C77">
        <v>4</v>
      </c>
      <c r="D77" s="2">
        <v>16000</v>
      </c>
      <c r="E77" s="2">
        <f t="shared" si="1"/>
        <v>64000</v>
      </c>
    </row>
    <row r="78" spans="1:5" hidden="1" x14ac:dyDescent="0.3">
      <c r="A78" t="s">
        <v>71</v>
      </c>
      <c r="B78" t="s">
        <v>40</v>
      </c>
      <c r="C78">
        <v>0</v>
      </c>
      <c r="E78">
        <f t="shared" si="1"/>
        <v>0</v>
      </c>
    </row>
    <row r="79" spans="1:5" x14ac:dyDescent="0.3">
      <c r="A79" t="s">
        <v>71</v>
      </c>
      <c r="B79" t="s">
        <v>3</v>
      </c>
      <c r="C79">
        <v>34</v>
      </c>
      <c r="D79" s="2">
        <v>14000</v>
      </c>
      <c r="E79" s="2">
        <f t="shared" si="1"/>
        <v>476000</v>
      </c>
    </row>
    <row r="80" spans="1:5" x14ac:dyDescent="0.3">
      <c r="A80" t="s">
        <v>72</v>
      </c>
      <c r="B80" t="s">
        <v>3</v>
      </c>
      <c r="C80">
        <v>2340</v>
      </c>
      <c r="D80" s="2">
        <v>27600</v>
      </c>
      <c r="E80" s="2">
        <f t="shared" si="1"/>
        <v>64584000</v>
      </c>
    </row>
    <row r="81" spans="1:6" hidden="1" x14ac:dyDescent="0.3">
      <c r="A81" t="s">
        <v>125</v>
      </c>
      <c r="B81" t="s">
        <v>25</v>
      </c>
      <c r="C81">
        <v>0</v>
      </c>
      <c r="E81">
        <f t="shared" si="1"/>
        <v>0</v>
      </c>
    </row>
    <row r="82" spans="1:6" x14ac:dyDescent="0.3">
      <c r="A82" t="s">
        <v>74</v>
      </c>
      <c r="B82" t="s">
        <v>30</v>
      </c>
      <c r="C82">
        <v>44</v>
      </c>
      <c r="D82" s="2">
        <v>3500</v>
      </c>
      <c r="E82">
        <f t="shared" si="1"/>
        <v>154000</v>
      </c>
      <c r="F82" t="s">
        <v>156</v>
      </c>
    </row>
    <row r="83" spans="1:6" x14ac:dyDescent="0.3">
      <c r="A83" t="s">
        <v>75</v>
      </c>
      <c r="B83" t="s">
        <v>3</v>
      </c>
      <c r="C83">
        <v>13</v>
      </c>
      <c r="D83" s="2">
        <v>14000</v>
      </c>
      <c r="E83" s="2">
        <f t="shared" si="1"/>
        <v>182000</v>
      </c>
    </row>
    <row r="84" spans="1:6" hidden="1" x14ac:dyDescent="0.3">
      <c r="A84" t="s">
        <v>76</v>
      </c>
      <c r="B84" t="s">
        <v>17</v>
      </c>
      <c r="C84">
        <v>0</v>
      </c>
      <c r="E84">
        <f t="shared" si="1"/>
        <v>0</v>
      </c>
    </row>
    <row r="85" spans="1:6" hidden="1" x14ac:dyDescent="0.3">
      <c r="A85" t="s">
        <v>77</v>
      </c>
      <c r="B85" t="s">
        <v>25</v>
      </c>
      <c r="C85">
        <v>0</v>
      </c>
      <c r="E85">
        <f t="shared" si="1"/>
        <v>0</v>
      </c>
    </row>
    <row r="86" spans="1:6" x14ac:dyDescent="0.3">
      <c r="A86" t="s">
        <v>77</v>
      </c>
      <c r="B86" t="s">
        <v>3</v>
      </c>
      <c r="C86">
        <v>3</v>
      </c>
      <c r="D86" s="2">
        <v>35000</v>
      </c>
      <c r="E86" s="2">
        <f t="shared" si="1"/>
        <v>105000</v>
      </c>
    </row>
    <row r="87" spans="1:6" x14ac:dyDescent="0.3">
      <c r="A87" t="s">
        <v>78</v>
      </c>
      <c r="B87" t="s">
        <v>3</v>
      </c>
      <c r="C87">
        <v>45</v>
      </c>
      <c r="D87" s="2">
        <v>32000</v>
      </c>
      <c r="E87" s="2">
        <f t="shared" si="1"/>
        <v>1440000</v>
      </c>
    </row>
    <row r="88" spans="1:6" hidden="1" x14ac:dyDescent="0.3">
      <c r="A88" t="s">
        <v>78</v>
      </c>
      <c r="B88" t="s">
        <v>9</v>
      </c>
      <c r="C88">
        <v>0</v>
      </c>
      <c r="E88">
        <f t="shared" si="1"/>
        <v>0</v>
      </c>
    </row>
    <row r="89" spans="1:6" x14ac:dyDescent="0.3">
      <c r="A89" t="s">
        <v>79</v>
      </c>
      <c r="B89" t="s">
        <v>3</v>
      </c>
      <c r="C89">
        <v>29</v>
      </c>
      <c r="D89" s="2">
        <v>27000</v>
      </c>
      <c r="E89" s="2">
        <f t="shared" si="1"/>
        <v>783000</v>
      </c>
    </row>
    <row r="90" spans="1:6" x14ac:dyDescent="0.3">
      <c r="A90" t="s">
        <v>80</v>
      </c>
      <c r="B90" t="s">
        <v>3</v>
      </c>
      <c r="C90">
        <v>135</v>
      </c>
      <c r="D90" s="2">
        <v>24000</v>
      </c>
      <c r="E90" s="2">
        <f t="shared" si="1"/>
        <v>3240000</v>
      </c>
    </row>
    <row r="91" spans="1:6" hidden="1" x14ac:dyDescent="0.3">
      <c r="A91" t="s">
        <v>80</v>
      </c>
      <c r="B91" t="s">
        <v>9</v>
      </c>
      <c r="C91">
        <v>0</v>
      </c>
      <c r="E91">
        <f t="shared" si="1"/>
        <v>0</v>
      </c>
    </row>
    <row r="92" spans="1:6" x14ac:dyDescent="0.3">
      <c r="A92" t="s">
        <v>81</v>
      </c>
      <c r="B92" t="s">
        <v>3</v>
      </c>
      <c r="C92">
        <v>23</v>
      </c>
      <c r="D92" s="2">
        <v>19000</v>
      </c>
      <c r="E92" s="2">
        <f t="shared" si="1"/>
        <v>437000</v>
      </c>
    </row>
    <row r="93" spans="1:6" x14ac:dyDescent="0.3">
      <c r="A93" t="s">
        <v>82</v>
      </c>
      <c r="B93" t="s">
        <v>3</v>
      </c>
      <c r="C93">
        <v>22</v>
      </c>
      <c r="D93" s="2">
        <v>30000</v>
      </c>
      <c r="E93" s="2">
        <f t="shared" si="1"/>
        <v>660000</v>
      </c>
    </row>
    <row r="94" spans="1:6" hidden="1" x14ac:dyDescent="0.3">
      <c r="A94" t="s">
        <v>82</v>
      </c>
      <c r="B94" t="s">
        <v>9</v>
      </c>
      <c r="C94">
        <v>0</v>
      </c>
      <c r="E94">
        <f t="shared" si="1"/>
        <v>0</v>
      </c>
    </row>
    <row r="95" spans="1:6" x14ac:dyDescent="0.3">
      <c r="A95" t="s">
        <v>84</v>
      </c>
      <c r="B95" t="s">
        <v>3</v>
      </c>
      <c r="C95">
        <v>30</v>
      </c>
      <c r="D95" s="2">
        <v>50000</v>
      </c>
      <c r="E95" s="2">
        <f t="shared" si="1"/>
        <v>1500000</v>
      </c>
    </row>
    <row r="96" spans="1:6" x14ac:dyDescent="0.3">
      <c r="A96" t="s">
        <v>84</v>
      </c>
      <c r="B96" t="s">
        <v>30</v>
      </c>
      <c r="C96">
        <v>10</v>
      </c>
      <c r="D96" s="2">
        <v>18000</v>
      </c>
      <c r="E96" s="2">
        <f t="shared" si="1"/>
        <v>180000</v>
      </c>
    </row>
    <row r="97" spans="1:5" hidden="1" x14ac:dyDescent="0.3">
      <c r="A97" t="s">
        <v>85</v>
      </c>
      <c r="B97" t="s">
        <v>30</v>
      </c>
      <c r="C97">
        <v>0</v>
      </c>
      <c r="E97">
        <f t="shared" si="1"/>
        <v>0</v>
      </c>
    </row>
    <row r="98" spans="1:5" x14ac:dyDescent="0.3">
      <c r="A98" t="s">
        <v>106</v>
      </c>
      <c r="B98" t="s">
        <v>9</v>
      </c>
      <c r="C98">
        <v>2332</v>
      </c>
      <c r="D98" s="2">
        <v>8000</v>
      </c>
      <c r="E98" s="2">
        <f t="shared" si="1"/>
        <v>18656000</v>
      </c>
    </row>
    <row r="99" spans="1:5" x14ac:dyDescent="0.3">
      <c r="A99" t="s">
        <v>88</v>
      </c>
      <c r="B99" t="s">
        <v>9</v>
      </c>
      <c r="C99">
        <v>805</v>
      </c>
      <c r="D99" s="2">
        <v>11361</v>
      </c>
      <c r="E99" s="2">
        <f t="shared" si="1"/>
        <v>9145605</v>
      </c>
    </row>
    <row r="100" spans="1:5" x14ac:dyDescent="0.3">
      <c r="A100" t="s">
        <v>146</v>
      </c>
      <c r="B100" t="s">
        <v>9</v>
      </c>
      <c r="C100">
        <v>22</v>
      </c>
      <c r="D100" s="2">
        <v>90000</v>
      </c>
      <c r="E100" s="2">
        <f t="shared" si="1"/>
        <v>1980000</v>
      </c>
    </row>
    <row r="101" spans="1:5" x14ac:dyDescent="0.3">
      <c r="A101" t="s">
        <v>89</v>
      </c>
      <c r="B101" t="s">
        <v>3</v>
      </c>
      <c r="C101">
        <v>3400</v>
      </c>
      <c r="D101" s="2">
        <v>31000</v>
      </c>
      <c r="E101" s="2">
        <f t="shared" si="1"/>
        <v>105400000</v>
      </c>
    </row>
    <row r="102" spans="1:5" x14ac:dyDescent="0.3">
      <c r="A102" t="s">
        <v>90</v>
      </c>
      <c r="B102" t="s">
        <v>3</v>
      </c>
      <c r="C102">
        <v>30</v>
      </c>
      <c r="D102" s="2">
        <v>20000</v>
      </c>
      <c r="E102" s="2">
        <f t="shared" si="1"/>
        <v>600000</v>
      </c>
    </row>
    <row r="103" spans="1:5" x14ac:dyDescent="0.3">
      <c r="A103" t="s">
        <v>154</v>
      </c>
      <c r="B103" t="s">
        <v>9</v>
      </c>
      <c r="C103">
        <v>500</v>
      </c>
      <c r="D103" s="2">
        <v>40000</v>
      </c>
      <c r="E103" s="2">
        <f t="shared" si="1"/>
        <v>20000000</v>
      </c>
    </row>
    <row r="104" spans="1:5" x14ac:dyDescent="0.3">
      <c r="A104" t="s">
        <v>92</v>
      </c>
      <c r="B104" t="s">
        <v>3</v>
      </c>
      <c r="C104">
        <v>85</v>
      </c>
      <c r="D104" s="2">
        <v>10000</v>
      </c>
      <c r="E104" s="2">
        <f t="shared" si="1"/>
        <v>850000</v>
      </c>
    </row>
    <row r="105" spans="1:5" hidden="1" x14ac:dyDescent="0.3">
      <c r="A105" t="s">
        <v>93</v>
      </c>
      <c r="B105" t="s">
        <v>3</v>
      </c>
      <c r="C105">
        <v>0</v>
      </c>
      <c r="E105">
        <f t="shared" si="1"/>
        <v>0</v>
      </c>
    </row>
    <row r="106" spans="1:5" hidden="1" x14ac:dyDescent="0.3">
      <c r="A106" t="s">
        <v>94</v>
      </c>
      <c r="B106" t="s">
        <v>3</v>
      </c>
      <c r="C106">
        <v>0</v>
      </c>
      <c r="E106">
        <f t="shared" si="1"/>
        <v>0</v>
      </c>
    </row>
    <row r="107" spans="1:5" hidden="1" x14ac:dyDescent="0.3">
      <c r="A107" t="s">
        <v>95</v>
      </c>
      <c r="B107" t="s">
        <v>40</v>
      </c>
      <c r="C107">
        <v>0</v>
      </c>
      <c r="E107">
        <f t="shared" si="1"/>
        <v>0</v>
      </c>
    </row>
    <row r="108" spans="1:5" x14ac:dyDescent="0.3">
      <c r="A108" t="s">
        <v>96</v>
      </c>
      <c r="B108" t="s">
        <v>3</v>
      </c>
      <c r="C108">
        <v>4</v>
      </c>
      <c r="D108" s="2">
        <v>28000</v>
      </c>
      <c r="E108" s="2">
        <f t="shared" si="1"/>
        <v>112000</v>
      </c>
    </row>
    <row r="109" spans="1:5" hidden="1" x14ac:dyDescent="0.3">
      <c r="A109" t="s">
        <v>97</v>
      </c>
      <c r="B109" t="s">
        <v>40</v>
      </c>
      <c r="C109">
        <v>0</v>
      </c>
      <c r="E109">
        <f t="shared" si="1"/>
        <v>0</v>
      </c>
    </row>
    <row r="110" spans="1:5" hidden="1" x14ac:dyDescent="0.3">
      <c r="A110" t="s">
        <v>98</v>
      </c>
      <c r="B110" t="s">
        <v>3</v>
      </c>
      <c r="C110">
        <v>0</v>
      </c>
      <c r="E110">
        <f t="shared" si="1"/>
        <v>0</v>
      </c>
    </row>
    <row r="111" spans="1:5" hidden="1" x14ac:dyDescent="0.3">
      <c r="A111" t="s">
        <v>99</v>
      </c>
      <c r="B111" t="s">
        <v>3</v>
      </c>
      <c r="C111">
        <v>0</v>
      </c>
      <c r="E111">
        <f t="shared" si="1"/>
        <v>0</v>
      </c>
    </row>
    <row r="112" spans="1:5" x14ac:dyDescent="0.3">
      <c r="A112" t="s">
        <v>100</v>
      </c>
      <c r="B112" t="s">
        <v>40</v>
      </c>
      <c r="C112">
        <v>135</v>
      </c>
      <c r="D112" s="2">
        <v>7500</v>
      </c>
      <c r="E112" s="2">
        <f t="shared" si="1"/>
        <v>1012500</v>
      </c>
    </row>
    <row r="113" spans="1:5" x14ac:dyDescent="0.3">
      <c r="E113" s="2">
        <f>SUM(E3:E112)</f>
        <v>457263405</v>
      </c>
    </row>
    <row r="114" spans="1:5" x14ac:dyDescent="0.3">
      <c r="A114" t="s">
        <v>110</v>
      </c>
    </row>
    <row r="115" spans="1:5" x14ac:dyDescent="0.3">
      <c r="A115" t="s">
        <v>0</v>
      </c>
      <c r="B115" t="s">
        <v>1</v>
      </c>
      <c r="C115" t="s">
        <v>107</v>
      </c>
      <c r="D115" t="s">
        <v>108</v>
      </c>
      <c r="E115" t="s">
        <v>109</v>
      </c>
    </row>
    <row r="116" spans="1:5" x14ac:dyDescent="0.3">
      <c r="A116" t="s">
        <v>2</v>
      </c>
      <c r="B116" t="s">
        <v>3</v>
      </c>
      <c r="C116">
        <v>8</v>
      </c>
      <c r="D116" s="2">
        <v>10000</v>
      </c>
      <c r="E116" s="2">
        <f t="shared" si="1"/>
        <v>80000</v>
      </c>
    </row>
    <row r="117" spans="1:5" x14ac:dyDescent="0.3">
      <c r="A117" t="s">
        <v>4</v>
      </c>
      <c r="B117" t="s">
        <v>3</v>
      </c>
      <c r="C117">
        <v>210</v>
      </c>
      <c r="D117" s="2">
        <v>6000</v>
      </c>
      <c r="E117" s="2">
        <f t="shared" si="1"/>
        <v>1260000</v>
      </c>
    </row>
    <row r="118" spans="1:5" x14ac:dyDescent="0.3">
      <c r="A118" t="s">
        <v>5</v>
      </c>
      <c r="B118" t="s">
        <v>3</v>
      </c>
      <c r="C118">
        <v>220.00000000000003</v>
      </c>
      <c r="D118" s="2">
        <v>5500</v>
      </c>
      <c r="E118" s="2">
        <f t="shared" si="1"/>
        <v>1210000.0000000002</v>
      </c>
    </row>
    <row r="119" spans="1:5" x14ac:dyDescent="0.3">
      <c r="A119" t="s">
        <v>119</v>
      </c>
      <c r="B119" t="s">
        <v>3</v>
      </c>
      <c r="C119">
        <v>10</v>
      </c>
      <c r="D119" s="2">
        <v>10000</v>
      </c>
      <c r="E119" s="2">
        <f t="shared" si="1"/>
        <v>100000</v>
      </c>
    </row>
    <row r="120" spans="1:5" x14ac:dyDescent="0.3">
      <c r="A120" t="s">
        <v>7</v>
      </c>
      <c r="B120" t="s">
        <v>3</v>
      </c>
      <c r="C120">
        <v>55.000000000000007</v>
      </c>
      <c r="D120" s="2">
        <v>8000</v>
      </c>
      <c r="E120" s="2">
        <f t="shared" si="1"/>
        <v>440000.00000000006</v>
      </c>
    </row>
    <row r="121" spans="1:5" x14ac:dyDescent="0.3">
      <c r="A121" t="s">
        <v>8</v>
      </c>
      <c r="B121" t="s">
        <v>3</v>
      </c>
      <c r="C121">
        <v>10</v>
      </c>
      <c r="D121" s="2">
        <v>8500</v>
      </c>
      <c r="E121" s="2">
        <f t="shared" si="1"/>
        <v>85000</v>
      </c>
    </row>
    <row r="122" spans="1:5" hidden="1" x14ac:dyDescent="0.3">
      <c r="A122" t="s">
        <v>102</v>
      </c>
      <c r="B122" t="s">
        <v>3</v>
      </c>
      <c r="C122">
        <v>0</v>
      </c>
      <c r="E122">
        <f t="shared" si="1"/>
        <v>0</v>
      </c>
    </row>
    <row r="123" spans="1:5" x14ac:dyDescent="0.3">
      <c r="A123" t="s">
        <v>18</v>
      </c>
      <c r="B123" t="s">
        <v>3</v>
      </c>
      <c r="C123">
        <v>50</v>
      </c>
      <c r="D123" s="2">
        <v>19000</v>
      </c>
      <c r="E123" s="2">
        <f t="shared" si="1"/>
        <v>950000</v>
      </c>
    </row>
    <row r="124" spans="1:5" x14ac:dyDescent="0.3">
      <c r="A124" t="s">
        <v>28</v>
      </c>
      <c r="B124" t="s">
        <v>3</v>
      </c>
      <c r="C124">
        <v>170</v>
      </c>
      <c r="D124" s="2">
        <v>9000</v>
      </c>
      <c r="E124" s="2">
        <f t="shared" si="1"/>
        <v>1530000</v>
      </c>
    </row>
    <row r="125" spans="1:5" x14ac:dyDescent="0.3">
      <c r="A125" t="s">
        <v>31</v>
      </c>
      <c r="B125" t="s">
        <v>3</v>
      </c>
      <c r="C125">
        <v>160</v>
      </c>
      <c r="D125" s="2">
        <v>10000</v>
      </c>
      <c r="E125" s="2">
        <f t="shared" si="1"/>
        <v>1600000</v>
      </c>
    </row>
    <row r="126" spans="1:5" x14ac:dyDescent="0.3">
      <c r="A126" t="s">
        <v>33</v>
      </c>
      <c r="B126" t="s">
        <v>3</v>
      </c>
      <c r="C126">
        <v>10</v>
      </c>
      <c r="D126" s="2">
        <v>8000</v>
      </c>
      <c r="E126" s="2">
        <f t="shared" si="1"/>
        <v>80000</v>
      </c>
    </row>
    <row r="127" spans="1:5" x14ac:dyDescent="0.3">
      <c r="A127" t="s">
        <v>38</v>
      </c>
      <c r="B127" t="s">
        <v>3</v>
      </c>
      <c r="C127">
        <v>100</v>
      </c>
      <c r="D127" s="2">
        <v>5500</v>
      </c>
      <c r="E127" s="2">
        <f t="shared" si="1"/>
        <v>550000</v>
      </c>
    </row>
    <row r="128" spans="1:5" hidden="1" x14ac:dyDescent="0.3">
      <c r="A128" t="s">
        <v>103</v>
      </c>
      <c r="B128" t="s">
        <v>3</v>
      </c>
      <c r="C128">
        <v>0</v>
      </c>
      <c r="E128">
        <f t="shared" si="1"/>
        <v>0</v>
      </c>
    </row>
    <row r="129" spans="1:5" x14ac:dyDescent="0.3">
      <c r="A129" t="s">
        <v>104</v>
      </c>
      <c r="B129" t="s">
        <v>3</v>
      </c>
      <c r="C129">
        <v>1470</v>
      </c>
      <c r="D129" s="2">
        <v>5000</v>
      </c>
      <c r="E129" s="2">
        <f t="shared" si="1"/>
        <v>7350000</v>
      </c>
    </row>
    <row r="130" spans="1:5" x14ac:dyDescent="0.3">
      <c r="A130" t="s">
        <v>39</v>
      </c>
      <c r="B130" t="s">
        <v>3</v>
      </c>
      <c r="C130">
        <v>33</v>
      </c>
      <c r="D130" s="2">
        <v>9000</v>
      </c>
      <c r="E130" s="2">
        <f t="shared" si="1"/>
        <v>297000</v>
      </c>
    </row>
    <row r="131" spans="1:5" hidden="1" x14ac:dyDescent="0.3">
      <c r="A131" t="s">
        <v>105</v>
      </c>
      <c r="B131" t="s">
        <v>3</v>
      </c>
      <c r="C131">
        <v>0</v>
      </c>
      <c r="E131">
        <f t="shared" si="1"/>
        <v>0</v>
      </c>
    </row>
    <row r="132" spans="1:5" x14ac:dyDescent="0.3">
      <c r="A132" t="s">
        <v>41</v>
      </c>
      <c r="B132" t="s">
        <v>3</v>
      </c>
      <c r="C132">
        <v>20</v>
      </c>
      <c r="D132" s="2">
        <v>14000</v>
      </c>
      <c r="E132" s="2">
        <f t="shared" si="1"/>
        <v>280000</v>
      </c>
    </row>
    <row r="133" spans="1:5" x14ac:dyDescent="0.3">
      <c r="A133" t="s">
        <v>44</v>
      </c>
      <c r="B133" t="s">
        <v>3</v>
      </c>
      <c r="C133">
        <v>30</v>
      </c>
      <c r="D133" s="2">
        <v>6000</v>
      </c>
      <c r="E133" s="2">
        <f t="shared" si="1"/>
        <v>180000</v>
      </c>
    </row>
    <row r="134" spans="1:5" x14ac:dyDescent="0.3">
      <c r="A134" t="s">
        <v>45</v>
      </c>
      <c r="B134" t="s">
        <v>3</v>
      </c>
      <c r="C134">
        <v>45</v>
      </c>
      <c r="D134" s="2">
        <v>11000</v>
      </c>
      <c r="E134" s="2">
        <f t="shared" ref="E134:E153" si="2">C134*D134</f>
        <v>495000</v>
      </c>
    </row>
    <row r="135" spans="1:5" x14ac:dyDescent="0.3">
      <c r="A135" t="s">
        <v>47</v>
      </c>
      <c r="B135" t="s">
        <v>3</v>
      </c>
      <c r="C135">
        <v>50</v>
      </c>
      <c r="D135" s="2">
        <v>10000</v>
      </c>
      <c r="E135" s="2">
        <f t="shared" si="2"/>
        <v>500000</v>
      </c>
    </row>
    <row r="136" spans="1:5" x14ac:dyDescent="0.3">
      <c r="A136" t="s">
        <v>54</v>
      </c>
      <c r="B136" t="s">
        <v>3</v>
      </c>
      <c r="C136">
        <v>50</v>
      </c>
      <c r="D136" s="2">
        <v>15500</v>
      </c>
      <c r="E136" s="2">
        <f t="shared" si="2"/>
        <v>775000</v>
      </c>
    </row>
    <row r="137" spans="1:5" hidden="1" x14ac:dyDescent="0.3">
      <c r="A137" t="s">
        <v>59</v>
      </c>
      <c r="B137" t="s">
        <v>3</v>
      </c>
      <c r="C137">
        <v>0</v>
      </c>
      <c r="E137">
        <f t="shared" si="2"/>
        <v>0</v>
      </c>
    </row>
    <row r="138" spans="1:5" x14ac:dyDescent="0.3">
      <c r="A138" t="s">
        <v>61</v>
      </c>
      <c r="B138" t="s">
        <v>3</v>
      </c>
      <c r="C138">
        <v>5</v>
      </c>
      <c r="D138" s="2">
        <v>11000</v>
      </c>
      <c r="E138" s="2">
        <f t="shared" si="2"/>
        <v>55000</v>
      </c>
    </row>
    <row r="139" spans="1:5" hidden="1" x14ac:dyDescent="0.3">
      <c r="A139" t="s">
        <v>62</v>
      </c>
      <c r="B139" t="s">
        <v>30</v>
      </c>
      <c r="C139">
        <v>0</v>
      </c>
      <c r="E139">
        <f t="shared" si="2"/>
        <v>0</v>
      </c>
    </row>
    <row r="140" spans="1:5" x14ac:dyDescent="0.3">
      <c r="A140" t="s">
        <v>63</v>
      </c>
      <c r="B140" t="s">
        <v>30</v>
      </c>
      <c r="C140">
        <v>20</v>
      </c>
      <c r="D140" s="2">
        <v>11000</v>
      </c>
      <c r="E140" s="2">
        <f t="shared" si="2"/>
        <v>220000</v>
      </c>
    </row>
    <row r="141" spans="1:5" hidden="1" x14ac:dyDescent="0.3">
      <c r="A141" t="s">
        <v>68</v>
      </c>
      <c r="B141" t="s">
        <v>3</v>
      </c>
      <c r="C141">
        <v>0</v>
      </c>
      <c r="E141">
        <f t="shared" si="2"/>
        <v>0</v>
      </c>
    </row>
    <row r="142" spans="1:5" hidden="1" x14ac:dyDescent="0.3">
      <c r="A142" t="s">
        <v>68</v>
      </c>
      <c r="B142" t="s">
        <v>17</v>
      </c>
      <c r="C142">
        <v>0</v>
      </c>
      <c r="E142">
        <f t="shared" si="2"/>
        <v>0</v>
      </c>
    </row>
    <row r="143" spans="1:5" x14ac:dyDescent="0.3">
      <c r="A143" t="s">
        <v>71</v>
      </c>
      <c r="B143" t="s">
        <v>3</v>
      </c>
      <c r="C143">
        <v>11</v>
      </c>
      <c r="D143" s="2">
        <v>14000</v>
      </c>
      <c r="E143" s="2">
        <f t="shared" si="2"/>
        <v>154000</v>
      </c>
    </row>
    <row r="144" spans="1:5" hidden="1" x14ac:dyDescent="0.3">
      <c r="A144" t="s">
        <v>72</v>
      </c>
      <c r="B144" t="s">
        <v>3</v>
      </c>
      <c r="C144">
        <v>0</v>
      </c>
      <c r="E144">
        <f t="shared" si="2"/>
        <v>0</v>
      </c>
    </row>
    <row r="145" spans="1:5" hidden="1" x14ac:dyDescent="0.3">
      <c r="A145" t="s">
        <v>73</v>
      </c>
      <c r="B145" t="s">
        <v>3</v>
      </c>
      <c r="C145">
        <v>0</v>
      </c>
      <c r="E145">
        <f t="shared" si="2"/>
        <v>0</v>
      </c>
    </row>
    <row r="146" spans="1:5" x14ac:dyDescent="0.3">
      <c r="A146" t="s">
        <v>78</v>
      </c>
      <c r="B146" t="s">
        <v>3</v>
      </c>
      <c r="C146">
        <v>5</v>
      </c>
      <c r="D146" s="2">
        <v>32000</v>
      </c>
      <c r="E146" s="2">
        <f t="shared" si="2"/>
        <v>160000</v>
      </c>
    </row>
    <row r="147" spans="1:5" x14ac:dyDescent="0.3">
      <c r="A147" t="s">
        <v>80</v>
      </c>
      <c r="B147" t="s">
        <v>3</v>
      </c>
      <c r="C147">
        <v>5</v>
      </c>
      <c r="D147" s="2">
        <v>24000</v>
      </c>
      <c r="E147" s="2">
        <f t="shared" si="2"/>
        <v>120000</v>
      </c>
    </row>
    <row r="148" spans="1:5" x14ac:dyDescent="0.3">
      <c r="A148" t="s">
        <v>82</v>
      </c>
      <c r="B148" t="s">
        <v>3</v>
      </c>
      <c r="C148">
        <v>5</v>
      </c>
      <c r="D148" s="2">
        <v>30000</v>
      </c>
      <c r="E148" s="2">
        <f t="shared" si="2"/>
        <v>150000</v>
      </c>
    </row>
    <row r="149" spans="1:5" x14ac:dyDescent="0.3">
      <c r="A149" t="s">
        <v>92</v>
      </c>
      <c r="B149" t="s">
        <v>3</v>
      </c>
      <c r="C149">
        <v>30</v>
      </c>
      <c r="D149" s="2">
        <v>10000</v>
      </c>
      <c r="E149" s="2">
        <f t="shared" si="2"/>
        <v>300000</v>
      </c>
    </row>
    <row r="150" spans="1:5" hidden="1" x14ac:dyDescent="0.3">
      <c r="A150" t="s">
        <v>94</v>
      </c>
      <c r="B150" t="s">
        <v>40</v>
      </c>
      <c r="C150">
        <v>0</v>
      </c>
      <c r="E150">
        <f t="shared" si="2"/>
        <v>0</v>
      </c>
    </row>
    <row r="151" spans="1:5" hidden="1" x14ac:dyDescent="0.3">
      <c r="A151" t="s">
        <v>95</v>
      </c>
      <c r="B151" t="s">
        <v>40</v>
      </c>
      <c r="C151">
        <v>0</v>
      </c>
      <c r="E151">
        <f t="shared" si="2"/>
        <v>0</v>
      </c>
    </row>
    <row r="152" spans="1:5" hidden="1" x14ac:dyDescent="0.3">
      <c r="A152" t="s">
        <v>97</v>
      </c>
      <c r="B152" t="s">
        <v>40</v>
      </c>
      <c r="C152">
        <v>0</v>
      </c>
      <c r="E152">
        <f t="shared" si="2"/>
        <v>0</v>
      </c>
    </row>
    <row r="153" spans="1:5" hidden="1" x14ac:dyDescent="0.3">
      <c r="A153" t="s">
        <v>100</v>
      </c>
      <c r="B153" t="s">
        <v>40</v>
      </c>
      <c r="C153">
        <v>0</v>
      </c>
      <c r="E153">
        <f t="shared" si="2"/>
        <v>0</v>
      </c>
    </row>
    <row r="154" spans="1:5" x14ac:dyDescent="0.3">
      <c r="D154" s="2"/>
      <c r="E154" s="2">
        <f>SUM(E116:E149)</f>
        <v>18921000</v>
      </c>
    </row>
    <row r="155" spans="1:5" x14ac:dyDescent="0.3">
      <c r="E155" s="3">
        <f>E154+E113</f>
        <v>476184405</v>
      </c>
    </row>
  </sheetData>
  <autoFilter ref="A2:E154" xr:uid="{00000000-0009-0000-0000-000010000000}">
    <filterColumn colId="2">
      <filters blank="1">
        <filter val="1"/>
        <filter val="1.5"/>
        <filter val="10"/>
        <filter val="100"/>
        <filter val="1050"/>
        <filter val="1096"/>
        <filter val="11"/>
        <filter val="110"/>
        <filter val="12"/>
        <filter val="120"/>
        <filter val="125"/>
        <filter val="13"/>
        <filter val="135"/>
        <filter val="141"/>
        <filter val="1470"/>
        <filter val="15"/>
        <filter val="150"/>
        <filter val="1505"/>
        <filter val="16"/>
        <filter val="160"/>
        <filter val="166"/>
        <filter val="170"/>
        <filter val="2"/>
        <filter val="20"/>
        <filter val="210"/>
        <filter val="22"/>
        <filter val="220"/>
        <filter val="225"/>
        <filter val="23"/>
        <filter val="2332"/>
        <filter val="2340"/>
        <filter val="2380"/>
        <filter val="25"/>
        <filter val="265"/>
        <filter val="28"/>
        <filter val="29"/>
        <filter val="3"/>
        <filter val="30"/>
        <filter val="33"/>
        <filter val="34"/>
        <filter val="3400"/>
        <filter val="36"/>
        <filter val="4"/>
        <filter val="43"/>
        <filter val="44"/>
        <filter val="4460"/>
        <filter val="45"/>
        <filter val="5"/>
        <filter val="50"/>
        <filter val="500"/>
        <filter val="52"/>
        <filter val="55"/>
        <filter val="57"/>
        <filter val="7"/>
        <filter val="70"/>
        <filter val="8"/>
        <filter val="800"/>
        <filter val="805"/>
        <filter val="85"/>
        <filter val="9"/>
        <filter val="tồn"/>
      </filters>
    </filterColumn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/>
  <dimension ref="A1:E154"/>
  <sheetViews>
    <sheetView topLeftCell="A142" workbookViewId="0">
      <selection activeCell="E154" sqref="E154"/>
    </sheetView>
  </sheetViews>
  <sheetFormatPr defaultRowHeight="14.4" x14ac:dyDescent="0.3"/>
  <cols>
    <col min="1" max="1" width="29.21875" customWidth="1"/>
    <col min="2" max="2" width="7.88671875" customWidth="1"/>
    <col min="4" max="4" width="11.5546875" customWidth="1"/>
    <col min="5" max="5" width="17.6640625" customWidth="1"/>
  </cols>
  <sheetData>
    <row r="1" spans="1:5" x14ac:dyDescent="0.3">
      <c r="A1" t="s">
        <v>157</v>
      </c>
    </row>
    <row r="2" spans="1:5" x14ac:dyDescent="0.3">
      <c r="A2" t="s">
        <v>127</v>
      </c>
      <c r="B2" t="s">
        <v>1</v>
      </c>
      <c r="C2" t="s">
        <v>107</v>
      </c>
      <c r="D2" t="s">
        <v>108</v>
      </c>
      <c r="E2" t="s">
        <v>109</v>
      </c>
    </row>
    <row r="3" spans="1:5" x14ac:dyDescent="0.3">
      <c r="A3" t="s">
        <v>2</v>
      </c>
      <c r="B3" t="s">
        <v>3</v>
      </c>
      <c r="C3">
        <v>24</v>
      </c>
      <c r="D3">
        <v>10000</v>
      </c>
      <c r="E3">
        <f>C3*D3</f>
        <v>240000</v>
      </c>
    </row>
    <row r="4" spans="1:5" x14ac:dyDescent="0.3">
      <c r="A4" t="s">
        <v>4</v>
      </c>
      <c r="B4" t="s">
        <v>3</v>
      </c>
      <c r="C4">
        <v>624</v>
      </c>
      <c r="D4">
        <v>6000</v>
      </c>
      <c r="E4">
        <f t="shared" ref="E4:E67" si="0">C4*D4</f>
        <v>3744000</v>
      </c>
    </row>
    <row r="5" spans="1:5" x14ac:dyDescent="0.3">
      <c r="A5" t="s">
        <v>5</v>
      </c>
      <c r="B5" t="s">
        <v>3</v>
      </c>
      <c r="C5">
        <v>255</v>
      </c>
      <c r="D5">
        <v>5500</v>
      </c>
      <c r="E5">
        <f t="shared" si="0"/>
        <v>1402500</v>
      </c>
    </row>
    <row r="6" spans="1:5" hidden="1" x14ac:dyDescent="0.3">
      <c r="A6" t="s">
        <v>6</v>
      </c>
      <c r="B6" t="s">
        <v>3</v>
      </c>
      <c r="C6">
        <v>0</v>
      </c>
      <c r="E6">
        <f t="shared" si="0"/>
        <v>0</v>
      </c>
    </row>
    <row r="7" spans="1:5" x14ac:dyDescent="0.3">
      <c r="A7" t="s">
        <v>7</v>
      </c>
      <c r="B7" t="s">
        <v>3</v>
      </c>
      <c r="C7">
        <v>1235</v>
      </c>
      <c r="D7">
        <v>8000</v>
      </c>
      <c r="E7">
        <f t="shared" si="0"/>
        <v>9880000</v>
      </c>
    </row>
    <row r="8" spans="1:5" x14ac:dyDescent="0.3">
      <c r="A8" t="s">
        <v>111</v>
      </c>
      <c r="B8" t="s">
        <v>3</v>
      </c>
      <c r="C8">
        <v>2</v>
      </c>
      <c r="D8">
        <v>9000</v>
      </c>
      <c r="E8">
        <f t="shared" si="0"/>
        <v>18000</v>
      </c>
    </row>
    <row r="9" spans="1:5" x14ac:dyDescent="0.3">
      <c r="A9" t="s">
        <v>8</v>
      </c>
      <c r="B9" t="s">
        <v>3</v>
      </c>
      <c r="C9">
        <v>154</v>
      </c>
      <c r="D9">
        <v>8500</v>
      </c>
      <c r="E9">
        <f t="shared" si="0"/>
        <v>1309000</v>
      </c>
    </row>
    <row r="10" spans="1:5" hidden="1" x14ac:dyDescent="0.3">
      <c r="A10" t="s">
        <v>8</v>
      </c>
      <c r="B10" t="s">
        <v>9</v>
      </c>
      <c r="C10">
        <v>0</v>
      </c>
      <c r="E10">
        <f t="shared" si="0"/>
        <v>0</v>
      </c>
    </row>
    <row r="11" spans="1:5" x14ac:dyDescent="0.3">
      <c r="A11" t="s">
        <v>10</v>
      </c>
      <c r="B11" t="s">
        <v>3</v>
      </c>
      <c r="C11">
        <v>65</v>
      </c>
      <c r="D11">
        <v>14000</v>
      </c>
      <c r="E11">
        <f t="shared" si="0"/>
        <v>910000</v>
      </c>
    </row>
    <row r="12" spans="1:5" hidden="1" x14ac:dyDescent="0.3">
      <c r="A12" t="s">
        <v>10</v>
      </c>
      <c r="B12" t="s">
        <v>9</v>
      </c>
      <c r="C12">
        <v>0</v>
      </c>
      <c r="E12">
        <f t="shared" si="0"/>
        <v>0</v>
      </c>
    </row>
    <row r="13" spans="1:5" hidden="1" x14ac:dyDescent="0.3">
      <c r="A13" t="s">
        <v>11</v>
      </c>
      <c r="B13" t="s">
        <v>3</v>
      </c>
      <c r="C13">
        <v>0</v>
      </c>
      <c r="E13">
        <f t="shared" si="0"/>
        <v>0</v>
      </c>
    </row>
    <row r="14" spans="1:5" hidden="1" x14ac:dyDescent="0.3">
      <c r="A14" t="s">
        <v>12</v>
      </c>
      <c r="B14" t="s">
        <v>3</v>
      </c>
      <c r="C14">
        <v>0</v>
      </c>
      <c r="E14">
        <f t="shared" si="0"/>
        <v>0</v>
      </c>
    </row>
    <row r="15" spans="1:5" x14ac:dyDescent="0.3">
      <c r="A15" t="s">
        <v>13</v>
      </c>
      <c r="B15" t="s">
        <v>3</v>
      </c>
      <c r="C15">
        <v>35</v>
      </c>
      <c r="D15">
        <v>12000</v>
      </c>
      <c r="E15">
        <f t="shared" si="0"/>
        <v>420000</v>
      </c>
    </row>
    <row r="16" spans="1:5" hidden="1" x14ac:dyDescent="0.3">
      <c r="A16" t="s">
        <v>14</v>
      </c>
      <c r="B16" t="s">
        <v>3</v>
      </c>
      <c r="C16">
        <v>0</v>
      </c>
      <c r="E16">
        <f t="shared" si="0"/>
        <v>0</v>
      </c>
    </row>
    <row r="17" spans="1:5" x14ac:dyDescent="0.3">
      <c r="A17" t="s">
        <v>15</v>
      </c>
      <c r="B17" t="s">
        <v>3</v>
      </c>
      <c r="C17">
        <v>40</v>
      </c>
      <c r="D17">
        <v>21000</v>
      </c>
      <c r="E17">
        <f t="shared" si="0"/>
        <v>840000</v>
      </c>
    </row>
    <row r="18" spans="1:5" x14ac:dyDescent="0.3">
      <c r="A18" t="s">
        <v>16</v>
      </c>
      <c r="B18" t="s">
        <v>17</v>
      </c>
      <c r="C18">
        <v>10</v>
      </c>
      <c r="D18">
        <v>7000</v>
      </c>
      <c r="E18">
        <f t="shared" si="0"/>
        <v>70000</v>
      </c>
    </row>
    <row r="19" spans="1:5" x14ac:dyDescent="0.3">
      <c r="A19" t="s">
        <v>18</v>
      </c>
      <c r="B19" t="s">
        <v>3</v>
      </c>
      <c r="C19">
        <v>195</v>
      </c>
      <c r="D19">
        <v>19000</v>
      </c>
      <c r="E19">
        <f t="shared" si="0"/>
        <v>3705000</v>
      </c>
    </row>
    <row r="20" spans="1:5" hidden="1" x14ac:dyDescent="0.3">
      <c r="A20" t="s">
        <v>18</v>
      </c>
      <c r="B20" t="s">
        <v>17</v>
      </c>
      <c r="C20">
        <v>0</v>
      </c>
      <c r="E20">
        <f t="shared" si="0"/>
        <v>0</v>
      </c>
    </row>
    <row r="21" spans="1:5" hidden="1" x14ac:dyDescent="0.3">
      <c r="A21" t="s">
        <v>18</v>
      </c>
      <c r="B21" t="s">
        <v>19</v>
      </c>
      <c r="C21">
        <v>0</v>
      </c>
      <c r="E21">
        <f t="shared" si="0"/>
        <v>0</v>
      </c>
    </row>
    <row r="22" spans="1:5" x14ac:dyDescent="0.3">
      <c r="A22" t="s">
        <v>20</v>
      </c>
      <c r="B22" t="s">
        <v>3</v>
      </c>
      <c r="C22">
        <v>20</v>
      </c>
      <c r="D22">
        <v>14000</v>
      </c>
      <c r="E22">
        <f t="shared" si="0"/>
        <v>280000</v>
      </c>
    </row>
    <row r="23" spans="1:5" x14ac:dyDescent="0.3">
      <c r="A23" t="s">
        <v>20</v>
      </c>
      <c r="B23" t="s">
        <v>21</v>
      </c>
      <c r="C23">
        <v>33</v>
      </c>
      <c r="D23">
        <v>8000</v>
      </c>
      <c r="E23">
        <f t="shared" si="0"/>
        <v>264000</v>
      </c>
    </row>
    <row r="24" spans="1:5" hidden="1" x14ac:dyDescent="0.3">
      <c r="A24" t="s">
        <v>22</v>
      </c>
      <c r="B24" t="s">
        <v>3</v>
      </c>
      <c r="C24">
        <v>0</v>
      </c>
      <c r="E24">
        <f t="shared" si="0"/>
        <v>0</v>
      </c>
    </row>
    <row r="25" spans="1:5" x14ac:dyDescent="0.3">
      <c r="A25" t="s">
        <v>22</v>
      </c>
      <c r="B25" t="s">
        <v>23</v>
      </c>
      <c r="C25">
        <v>89</v>
      </c>
      <c r="D25">
        <v>6300</v>
      </c>
      <c r="E25">
        <f t="shared" si="0"/>
        <v>560700</v>
      </c>
    </row>
    <row r="26" spans="1:5" x14ac:dyDescent="0.3">
      <c r="A26" t="s">
        <v>24</v>
      </c>
      <c r="B26" t="s">
        <v>25</v>
      </c>
      <c r="C26">
        <v>10</v>
      </c>
      <c r="D26">
        <v>11100</v>
      </c>
      <c r="E26">
        <f t="shared" si="0"/>
        <v>111000</v>
      </c>
    </row>
    <row r="27" spans="1:5" hidden="1" x14ac:dyDescent="0.3">
      <c r="A27" t="s">
        <v>26</v>
      </c>
      <c r="B27" t="s">
        <v>3</v>
      </c>
      <c r="C27">
        <v>0</v>
      </c>
      <c r="E27">
        <f t="shared" si="0"/>
        <v>0</v>
      </c>
    </row>
    <row r="28" spans="1:5" x14ac:dyDescent="0.3">
      <c r="A28" t="s">
        <v>26</v>
      </c>
      <c r="B28" t="s">
        <v>27</v>
      </c>
      <c r="C28">
        <v>60</v>
      </c>
      <c r="D28">
        <v>7000</v>
      </c>
      <c r="E28">
        <f t="shared" si="0"/>
        <v>420000</v>
      </c>
    </row>
    <row r="29" spans="1:5" x14ac:dyDescent="0.3">
      <c r="A29" t="s">
        <v>28</v>
      </c>
      <c r="B29" t="s">
        <v>3</v>
      </c>
      <c r="C29">
        <v>470</v>
      </c>
      <c r="D29">
        <v>10000</v>
      </c>
      <c r="E29">
        <f t="shared" si="0"/>
        <v>4700000</v>
      </c>
    </row>
    <row r="30" spans="1:5" hidden="1" x14ac:dyDescent="0.3">
      <c r="A30" t="s">
        <v>28</v>
      </c>
      <c r="B30" t="s">
        <v>17</v>
      </c>
      <c r="C30">
        <v>0</v>
      </c>
      <c r="E30">
        <f t="shared" si="0"/>
        <v>0</v>
      </c>
    </row>
    <row r="31" spans="1:5" x14ac:dyDescent="0.3">
      <c r="A31" t="s">
        <v>29</v>
      </c>
      <c r="B31" t="s">
        <v>30</v>
      </c>
      <c r="C31">
        <v>130</v>
      </c>
      <c r="D31">
        <v>6000</v>
      </c>
      <c r="E31">
        <f t="shared" si="0"/>
        <v>780000</v>
      </c>
    </row>
    <row r="32" spans="1:5" x14ac:dyDescent="0.3">
      <c r="A32" t="s">
        <v>31</v>
      </c>
      <c r="B32" t="s">
        <v>3</v>
      </c>
      <c r="C32">
        <v>143</v>
      </c>
      <c r="D32">
        <v>8500</v>
      </c>
      <c r="E32">
        <f t="shared" si="0"/>
        <v>1215500</v>
      </c>
    </row>
    <row r="33" spans="1:5" hidden="1" x14ac:dyDescent="0.3">
      <c r="A33" t="s">
        <v>31</v>
      </c>
      <c r="B33" t="s">
        <v>30</v>
      </c>
      <c r="C33">
        <v>0</v>
      </c>
      <c r="E33">
        <f t="shared" si="0"/>
        <v>0</v>
      </c>
    </row>
    <row r="34" spans="1:5" x14ac:dyDescent="0.3">
      <c r="A34" t="s">
        <v>32</v>
      </c>
      <c r="B34" t="s">
        <v>17</v>
      </c>
      <c r="C34">
        <v>16</v>
      </c>
      <c r="D34">
        <v>7000</v>
      </c>
      <c r="E34">
        <f t="shared" si="0"/>
        <v>112000</v>
      </c>
    </row>
    <row r="35" spans="1:5" x14ac:dyDescent="0.3">
      <c r="A35" t="s">
        <v>33</v>
      </c>
      <c r="B35" t="s">
        <v>3</v>
      </c>
      <c r="C35">
        <v>89</v>
      </c>
      <c r="D35">
        <v>8000</v>
      </c>
      <c r="E35">
        <f t="shared" si="0"/>
        <v>712000</v>
      </c>
    </row>
    <row r="36" spans="1:5" hidden="1" x14ac:dyDescent="0.3">
      <c r="A36" t="s">
        <v>33</v>
      </c>
      <c r="B36" t="s">
        <v>34</v>
      </c>
      <c r="C36">
        <v>0</v>
      </c>
      <c r="E36">
        <f t="shared" si="0"/>
        <v>0</v>
      </c>
    </row>
    <row r="37" spans="1:5" hidden="1" x14ac:dyDescent="0.3">
      <c r="A37" t="s">
        <v>35</v>
      </c>
      <c r="B37" t="s">
        <v>3</v>
      </c>
      <c r="C37">
        <v>0</v>
      </c>
      <c r="E37">
        <f t="shared" si="0"/>
        <v>0</v>
      </c>
    </row>
    <row r="38" spans="1:5" hidden="1" x14ac:dyDescent="0.3">
      <c r="A38" t="s">
        <v>35</v>
      </c>
      <c r="B38" t="s">
        <v>30</v>
      </c>
      <c r="C38">
        <v>0</v>
      </c>
      <c r="E38">
        <f t="shared" si="0"/>
        <v>0</v>
      </c>
    </row>
    <row r="39" spans="1:5" x14ac:dyDescent="0.3">
      <c r="A39" t="s">
        <v>36</v>
      </c>
      <c r="B39" t="s">
        <v>30</v>
      </c>
      <c r="C39">
        <v>6</v>
      </c>
      <c r="D39">
        <v>6000</v>
      </c>
      <c r="E39">
        <f t="shared" si="0"/>
        <v>36000</v>
      </c>
    </row>
    <row r="40" spans="1:5" x14ac:dyDescent="0.3">
      <c r="A40" t="s">
        <v>37</v>
      </c>
      <c r="B40" t="s">
        <v>30</v>
      </c>
      <c r="C40">
        <v>15</v>
      </c>
      <c r="D40">
        <v>4300</v>
      </c>
      <c r="E40">
        <f t="shared" si="0"/>
        <v>64500</v>
      </c>
    </row>
    <row r="41" spans="1:5" x14ac:dyDescent="0.3">
      <c r="A41" t="s">
        <v>38</v>
      </c>
      <c r="B41" t="s">
        <v>3</v>
      </c>
      <c r="C41">
        <v>4068</v>
      </c>
      <c r="D41">
        <v>5500</v>
      </c>
      <c r="E41">
        <f t="shared" si="0"/>
        <v>22374000</v>
      </c>
    </row>
    <row r="42" spans="1:5" hidden="1" x14ac:dyDescent="0.3">
      <c r="A42" t="s">
        <v>39</v>
      </c>
      <c r="B42" t="s">
        <v>40</v>
      </c>
      <c r="C42">
        <v>0</v>
      </c>
      <c r="E42">
        <f t="shared" si="0"/>
        <v>0</v>
      </c>
    </row>
    <row r="43" spans="1:5" hidden="1" x14ac:dyDescent="0.3">
      <c r="A43" t="s">
        <v>39</v>
      </c>
      <c r="B43" t="s">
        <v>3</v>
      </c>
      <c r="C43">
        <v>0</v>
      </c>
      <c r="E43">
        <f t="shared" si="0"/>
        <v>0</v>
      </c>
    </row>
    <row r="44" spans="1:5" x14ac:dyDescent="0.3">
      <c r="A44" t="s">
        <v>105</v>
      </c>
      <c r="B44" t="s">
        <v>3</v>
      </c>
      <c r="C44">
        <v>19</v>
      </c>
      <c r="D44">
        <v>27000</v>
      </c>
      <c r="E44">
        <f t="shared" si="0"/>
        <v>513000</v>
      </c>
    </row>
    <row r="45" spans="1:5" x14ac:dyDescent="0.3">
      <c r="A45" t="s">
        <v>41</v>
      </c>
      <c r="B45" t="s">
        <v>3</v>
      </c>
      <c r="C45">
        <v>13</v>
      </c>
      <c r="D45">
        <v>14000</v>
      </c>
      <c r="E45">
        <f t="shared" si="0"/>
        <v>182000</v>
      </c>
    </row>
    <row r="46" spans="1:5" x14ac:dyDescent="0.3">
      <c r="A46" t="s">
        <v>42</v>
      </c>
      <c r="B46" t="s">
        <v>25</v>
      </c>
      <c r="C46">
        <v>12</v>
      </c>
      <c r="D46">
        <v>11000</v>
      </c>
      <c r="E46">
        <f t="shared" si="0"/>
        <v>132000</v>
      </c>
    </row>
    <row r="47" spans="1:5" x14ac:dyDescent="0.3">
      <c r="A47" t="s">
        <v>43</v>
      </c>
      <c r="B47" t="s">
        <v>3</v>
      </c>
      <c r="C47">
        <v>3</v>
      </c>
      <c r="D47">
        <v>16000</v>
      </c>
      <c r="E47">
        <f t="shared" si="0"/>
        <v>48000</v>
      </c>
    </row>
    <row r="48" spans="1:5" x14ac:dyDescent="0.3">
      <c r="A48" t="s">
        <v>44</v>
      </c>
      <c r="B48" t="s">
        <v>3</v>
      </c>
      <c r="C48">
        <v>60</v>
      </c>
      <c r="D48">
        <v>6000</v>
      </c>
      <c r="E48">
        <f t="shared" si="0"/>
        <v>360000</v>
      </c>
    </row>
    <row r="49" spans="1:5" x14ac:dyDescent="0.3">
      <c r="A49" t="s">
        <v>45</v>
      </c>
      <c r="B49" t="s">
        <v>3</v>
      </c>
      <c r="C49">
        <v>49</v>
      </c>
      <c r="D49">
        <v>11000</v>
      </c>
      <c r="E49">
        <f t="shared" si="0"/>
        <v>539000</v>
      </c>
    </row>
    <row r="50" spans="1:5" hidden="1" x14ac:dyDescent="0.3">
      <c r="A50" t="s">
        <v>45</v>
      </c>
      <c r="B50" t="s">
        <v>30</v>
      </c>
      <c r="C50">
        <v>0</v>
      </c>
      <c r="E50">
        <f t="shared" si="0"/>
        <v>0</v>
      </c>
    </row>
    <row r="51" spans="1:5" x14ac:dyDescent="0.3">
      <c r="A51" t="s">
        <v>46</v>
      </c>
      <c r="B51" t="s">
        <v>3</v>
      </c>
      <c r="C51">
        <v>17</v>
      </c>
      <c r="D51">
        <v>17000</v>
      </c>
      <c r="E51">
        <f t="shared" si="0"/>
        <v>289000</v>
      </c>
    </row>
    <row r="52" spans="1:5" x14ac:dyDescent="0.3">
      <c r="A52" t="s">
        <v>47</v>
      </c>
      <c r="B52" t="s">
        <v>3</v>
      </c>
      <c r="C52">
        <v>216</v>
      </c>
      <c r="D52">
        <v>9000</v>
      </c>
      <c r="E52">
        <f t="shared" si="0"/>
        <v>1944000</v>
      </c>
    </row>
    <row r="53" spans="1:5" hidden="1" x14ac:dyDescent="0.3">
      <c r="A53" t="s">
        <v>47</v>
      </c>
      <c r="B53" t="s">
        <v>48</v>
      </c>
      <c r="C53">
        <v>0</v>
      </c>
      <c r="E53">
        <f t="shared" si="0"/>
        <v>0</v>
      </c>
    </row>
    <row r="54" spans="1:5" x14ac:dyDescent="0.3">
      <c r="A54" t="s">
        <v>49</v>
      </c>
      <c r="B54" t="s">
        <v>3</v>
      </c>
      <c r="C54">
        <v>15</v>
      </c>
      <c r="D54">
        <v>20000</v>
      </c>
      <c r="E54">
        <f t="shared" si="0"/>
        <v>300000</v>
      </c>
    </row>
    <row r="55" spans="1:5" x14ac:dyDescent="0.3">
      <c r="A55" t="s">
        <v>50</v>
      </c>
      <c r="B55" t="s">
        <v>30</v>
      </c>
      <c r="C55">
        <v>210</v>
      </c>
      <c r="D55">
        <v>2400</v>
      </c>
      <c r="E55">
        <f t="shared" si="0"/>
        <v>504000</v>
      </c>
    </row>
    <row r="56" spans="1:5" x14ac:dyDescent="0.3">
      <c r="A56" t="s">
        <v>51</v>
      </c>
      <c r="B56" t="s">
        <v>3</v>
      </c>
      <c r="C56">
        <v>1025</v>
      </c>
      <c r="D56">
        <v>28000</v>
      </c>
      <c r="E56">
        <f t="shared" si="0"/>
        <v>28700000</v>
      </c>
    </row>
    <row r="57" spans="1:5" x14ac:dyDescent="0.3">
      <c r="A57" t="s">
        <v>52</v>
      </c>
      <c r="B57" t="s">
        <v>3</v>
      </c>
      <c r="C57">
        <v>3725</v>
      </c>
      <c r="D57">
        <v>27000</v>
      </c>
      <c r="E57">
        <f t="shared" si="0"/>
        <v>100575000</v>
      </c>
    </row>
    <row r="58" spans="1:5" x14ac:dyDescent="0.3">
      <c r="A58" t="s">
        <v>150</v>
      </c>
      <c r="B58" t="s">
        <v>3</v>
      </c>
      <c r="C58">
        <v>800</v>
      </c>
      <c r="D58">
        <v>27000</v>
      </c>
      <c r="E58">
        <f t="shared" si="0"/>
        <v>21600000</v>
      </c>
    </row>
    <row r="59" spans="1:5" x14ac:dyDescent="0.3">
      <c r="A59" t="s">
        <v>54</v>
      </c>
      <c r="B59" t="s">
        <v>3</v>
      </c>
      <c r="C59">
        <v>296</v>
      </c>
      <c r="D59">
        <v>15500</v>
      </c>
      <c r="E59">
        <f t="shared" si="0"/>
        <v>4588000</v>
      </c>
    </row>
    <row r="60" spans="1:5" x14ac:dyDescent="0.3">
      <c r="A60" t="s">
        <v>55</v>
      </c>
      <c r="B60" t="s">
        <v>3</v>
      </c>
      <c r="C60">
        <v>5</v>
      </c>
      <c r="D60">
        <v>23000</v>
      </c>
      <c r="E60">
        <f t="shared" si="0"/>
        <v>115000</v>
      </c>
    </row>
    <row r="61" spans="1:5" hidden="1" x14ac:dyDescent="0.3">
      <c r="A61" t="s">
        <v>56</v>
      </c>
      <c r="B61" t="s">
        <v>3</v>
      </c>
      <c r="C61">
        <v>0</v>
      </c>
      <c r="E61">
        <f t="shared" si="0"/>
        <v>0</v>
      </c>
    </row>
    <row r="62" spans="1:5" hidden="1" x14ac:dyDescent="0.3">
      <c r="A62" t="s">
        <v>57</v>
      </c>
      <c r="B62" t="s">
        <v>30</v>
      </c>
      <c r="C62">
        <v>0</v>
      </c>
      <c r="E62">
        <f t="shared" si="0"/>
        <v>0</v>
      </c>
    </row>
    <row r="63" spans="1:5" x14ac:dyDescent="0.3">
      <c r="A63" t="s">
        <v>59</v>
      </c>
      <c r="B63" t="s">
        <v>3</v>
      </c>
      <c r="C63">
        <v>1190</v>
      </c>
      <c r="D63">
        <v>15000</v>
      </c>
      <c r="E63">
        <f t="shared" si="0"/>
        <v>17850000</v>
      </c>
    </row>
    <row r="64" spans="1:5" hidden="1" x14ac:dyDescent="0.3">
      <c r="A64" t="s">
        <v>59</v>
      </c>
      <c r="B64" t="s">
        <v>30</v>
      </c>
      <c r="C64">
        <v>0</v>
      </c>
      <c r="E64">
        <f t="shared" si="0"/>
        <v>0</v>
      </c>
    </row>
    <row r="65" spans="1:5" x14ac:dyDescent="0.3">
      <c r="A65" t="s">
        <v>60</v>
      </c>
      <c r="B65" t="s">
        <v>30</v>
      </c>
      <c r="C65">
        <v>110</v>
      </c>
      <c r="D65">
        <v>8000</v>
      </c>
      <c r="E65">
        <f t="shared" si="0"/>
        <v>880000</v>
      </c>
    </row>
    <row r="66" spans="1:5" hidden="1" x14ac:dyDescent="0.3">
      <c r="A66" t="s">
        <v>138</v>
      </c>
      <c r="B66" t="s">
        <v>3</v>
      </c>
      <c r="C66">
        <v>0</v>
      </c>
      <c r="E66">
        <f t="shared" si="0"/>
        <v>0</v>
      </c>
    </row>
    <row r="67" spans="1:5" x14ac:dyDescent="0.3">
      <c r="A67" t="s">
        <v>61</v>
      </c>
      <c r="B67" t="s">
        <v>3</v>
      </c>
      <c r="C67">
        <v>65</v>
      </c>
      <c r="D67">
        <v>11000</v>
      </c>
      <c r="E67">
        <f t="shared" si="0"/>
        <v>715000</v>
      </c>
    </row>
    <row r="68" spans="1:5" x14ac:dyDescent="0.3">
      <c r="A68" t="s">
        <v>62</v>
      </c>
      <c r="B68" t="s">
        <v>30</v>
      </c>
      <c r="C68">
        <v>17</v>
      </c>
      <c r="D68">
        <v>6000</v>
      </c>
      <c r="E68">
        <f t="shared" ref="E68:E133" si="1">C68*D68</f>
        <v>102000</v>
      </c>
    </row>
    <row r="69" spans="1:5" hidden="1" x14ac:dyDescent="0.3">
      <c r="A69" t="s">
        <v>63</v>
      </c>
      <c r="B69" t="s">
        <v>3</v>
      </c>
      <c r="C69">
        <v>0</v>
      </c>
      <c r="E69">
        <f t="shared" si="1"/>
        <v>0</v>
      </c>
    </row>
    <row r="70" spans="1:5" x14ac:dyDescent="0.3">
      <c r="A70" t="s">
        <v>63</v>
      </c>
      <c r="B70" t="s">
        <v>64</v>
      </c>
      <c r="C70">
        <v>3</v>
      </c>
      <c r="D70">
        <v>8500</v>
      </c>
      <c r="E70">
        <f t="shared" si="1"/>
        <v>25500</v>
      </c>
    </row>
    <row r="71" spans="1:5" hidden="1" x14ac:dyDescent="0.3">
      <c r="A71" t="s">
        <v>65</v>
      </c>
      <c r="B71" t="s">
        <v>3</v>
      </c>
      <c r="C71">
        <v>0</v>
      </c>
      <c r="E71">
        <f t="shared" si="1"/>
        <v>0</v>
      </c>
    </row>
    <row r="72" spans="1:5" hidden="1" x14ac:dyDescent="0.3">
      <c r="A72" t="s">
        <v>66</v>
      </c>
      <c r="B72" t="s">
        <v>3</v>
      </c>
      <c r="C72">
        <v>0</v>
      </c>
      <c r="E72">
        <f t="shared" si="1"/>
        <v>0</v>
      </c>
    </row>
    <row r="73" spans="1:5" hidden="1" x14ac:dyDescent="0.3">
      <c r="A73" t="s">
        <v>67</v>
      </c>
      <c r="B73" t="s">
        <v>3</v>
      </c>
      <c r="C73">
        <v>0</v>
      </c>
      <c r="E73">
        <f t="shared" si="1"/>
        <v>0</v>
      </c>
    </row>
    <row r="74" spans="1:5" hidden="1" x14ac:dyDescent="0.3">
      <c r="A74" t="s">
        <v>68</v>
      </c>
      <c r="B74" t="s">
        <v>3</v>
      </c>
      <c r="C74">
        <v>0</v>
      </c>
      <c r="E74">
        <f t="shared" si="1"/>
        <v>0</v>
      </c>
    </row>
    <row r="75" spans="1:5" x14ac:dyDescent="0.3">
      <c r="A75" t="s">
        <v>68</v>
      </c>
      <c r="B75" t="s">
        <v>17</v>
      </c>
      <c r="C75">
        <v>1170</v>
      </c>
      <c r="D75">
        <v>6000</v>
      </c>
      <c r="E75">
        <f t="shared" si="1"/>
        <v>7020000</v>
      </c>
    </row>
    <row r="76" spans="1:5" x14ac:dyDescent="0.3">
      <c r="A76" t="s">
        <v>69</v>
      </c>
      <c r="B76" t="s">
        <v>3</v>
      </c>
      <c r="C76">
        <v>5</v>
      </c>
      <c r="D76">
        <v>16000</v>
      </c>
      <c r="E76">
        <f t="shared" si="1"/>
        <v>80000</v>
      </c>
    </row>
    <row r="77" spans="1:5" x14ac:dyDescent="0.3">
      <c r="A77" t="s">
        <v>70</v>
      </c>
      <c r="B77" t="s">
        <v>3</v>
      </c>
      <c r="C77">
        <v>10</v>
      </c>
      <c r="D77">
        <v>12000</v>
      </c>
      <c r="E77">
        <f t="shared" si="1"/>
        <v>120000</v>
      </c>
    </row>
    <row r="78" spans="1:5" hidden="1" x14ac:dyDescent="0.3">
      <c r="A78" t="s">
        <v>71</v>
      </c>
      <c r="B78" t="s">
        <v>40</v>
      </c>
      <c r="C78">
        <v>0</v>
      </c>
      <c r="E78">
        <f t="shared" si="1"/>
        <v>0</v>
      </c>
    </row>
    <row r="79" spans="1:5" x14ac:dyDescent="0.3">
      <c r="A79" t="s">
        <v>71</v>
      </c>
      <c r="B79" t="s">
        <v>3</v>
      </c>
      <c r="C79">
        <v>19</v>
      </c>
      <c r="D79">
        <v>14000</v>
      </c>
      <c r="E79">
        <f t="shared" si="1"/>
        <v>266000</v>
      </c>
    </row>
    <row r="80" spans="1:5" x14ac:dyDescent="0.3">
      <c r="A80" t="s">
        <v>72</v>
      </c>
      <c r="B80" t="s">
        <v>3</v>
      </c>
      <c r="C80">
        <v>2330</v>
      </c>
      <c r="D80">
        <v>27600</v>
      </c>
      <c r="E80">
        <f t="shared" si="1"/>
        <v>64308000</v>
      </c>
    </row>
    <row r="81" spans="1:5" hidden="1" x14ac:dyDescent="0.3">
      <c r="A81" t="s">
        <v>125</v>
      </c>
      <c r="B81" t="s">
        <v>25</v>
      </c>
      <c r="C81">
        <v>0</v>
      </c>
      <c r="E81">
        <f t="shared" si="1"/>
        <v>0</v>
      </c>
    </row>
    <row r="82" spans="1:5" x14ac:dyDescent="0.3">
      <c r="A82" t="s">
        <v>74</v>
      </c>
      <c r="B82" t="s">
        <v>30</v>
      </c>
      <c r="C82">
        <v>15</v>
      </c>
      <c r="D82">
        <v>3400</v>
      </c>
      <c r="E82">
        <f t="shared" si="1"/>
        <v>51000</v>
      </c>
    </row>
    <row r="83" spans="1:5" x14ac:dyDescent="0.3">
      <c r="A83" t="s">
        <v>75</v>
      </c>
      <c r="B83" t="s">
        <v>3</v>
      </c>
      <c r="C83">
        <v>20</v>
      </c>
      <c r="D83">
        <v>14000</v>
      </c>
      <c r="E83">
        <f t="shared" si="1"/>
        <v>280000</v>
      </c>
    </row>
    <row r="84" spans="1:5" x14ac:dyDescent="0.3">
      <c r="A84" t="s">
        <v>76</v>
      </c>
      <c r="B84" t="s">
        <v>17</v>
      </c>
      <c r="C84">
        <v>8</v>
      </c>
      <c r="D84">
        <v>12000</v>
      </c>
      <c r="E84">
        <f t="shared" si="1"/>
        <v>96000</v>
      </c>
    </row>
    <row r="85" spans="1:5" hidden="1" x14ac:dyDescent="0.3">
      <c r="A85" t="s">
        <v>77</v>
      </c>
      <c r="B85" t="s">
        <v>25</v>
      </c>
      <c r="C85">
        <v>0</v>
      </c>
      <c r="E85">
        <f t="shared" si="1"/>
        <v>0</v>
      </c>
    </row>
    <row r="86" spans="1:5" x14ac:dyDescent="0.3">
      <c r="A86" t="s">
        <v>77</v>
      </c>
      <c r="B86" t="s">
        <v>3</v>
      </c>
      <c r="C86">
        <v>10</v>
      </c>
      <c r="D86">
        <v>38000</v>
      </c>
      <c r="E86">
        <f t="shared" si="1"/>
        <v>380000</v>
      </c>
    </row>
    <row r="87" spans="1:5" x14ac:dyDescent="0.3">
      <c r="A87" t="s">
        <v>78</v>
      </c>
      <c r="B87" t="s">
        <v>3</v>
      </c>
      <c r="C87">
        <v>65</v>
      </c>
      <c r="D87">
        <v>34000</v>
      </c>
      <c r="E87">
        <f t="shared" si="1"/>
        <v>2210000</v>
      </c>
    </row>
    <row r="88" spans="1:5" hidden="1" x14ac:dyDescent="0.3">
      <c r="A88" t="s">
        <v>78</v>
      </c>
      <c r="B88" t="s">
        <v>9</v>
      </c>
      <c r="C88">
        <v>0</v>
      </c>
      <c r="E88">
        <f t="shared" si="1"/>
        <v>0</v>
      </c>
    </row>
    <row r="89" spans="1:5" x14ac:dyDescent="0.3">
      <c r="A89" t="s">
        <v>79</v>
      </c>
      <c r="B89" t="s">
        <v>3</v>
      </c>
      <c r="C89">
        <v>35</v>
      </c>
      <c r="D89">
        <v>29000</v>
      </c>
      <c r="E89">
        <f t="shared" si="1"/>
        <v>1015000</v>
      </c>
    </row>
    <row r="90" spans="1:5" x14ac:dyDescent="0.3">
      <c r="A90" t="s">
        <v>80</v>
      </c>
      <c r="B90" t="s">
        <v>3</v>
      </c>
      <c r="C90">
        <v>75</v>
      </c>
      <c r="D90">
        <v>25000</v>
      </c>
      <c r="E90">
        <f t="shared" si="1"/>
        <v>1875000</v>
      </c>
    </row>
    <row r="91" spans="1:5" hidden="1" x14ac:dyDescent="0.3">
      <c r="A91" t="s">
        <v>80</v>
      </c>
      <c r="B91" t="s">
        <v>9</v>
      </c>
      <c r="C91">
        <v>0</v>
      </c>
      <c r="E91">
        <f t="shared" si="1"/>
        <v>0</v>
      </c>
    </row>
    <row r="92" spans="1:5" x14ac:dyDescent="0.3">
      <c r="A92" t="s">
        <v>82</v>
      </c>
      <c r="B92" t="s">
        <v>3</v>
      </c>
      <c r="C92">
        <v>45</v>
      </c>
      <c r="D92">
        <v>30000</v>
      </c>
      <c r="E92">
        <f t="shared" si="1"/>
        <v>1350000</v>
      </c>
    </row>
    <row r="93" spans="1:5" hidden="1" x14ac:dyDescent="0.3">
      <c r="A93" t="s">
        <v>82</v>
      </c>
      <c r="B93" t="s">
        <v>9</v>
      </c>
      <c r="C93">
        <v>0</v>
      </c>
      <c r="E93">
        <f t="shared" si="1"/>
        <v>0</v>
      </c>
    </row>
    <row r="94" spans="1:5" x14ac:dyDescent="0.3">
      <c r="A94" t="s">
        <v>84</v>
      </c>
      <c r="B94" t="s">
        <v>3</v>
      </c>
      <c r="C94">
        <v>25</v>
      </c>
      <c r="D94">
        <v>50000</v>
      </c>
      <c r="E94">
        <f t="shared" si="1"/>
        <v>1250000</v>
      </c>
    </row>
    <row r="95" spans="1:5" x14ac:dyDescent="0.3">
      <c r="A95" t="s">
        <v>84</v>
      </c>
      <c r="B95" t="s">
        <v>30</v>
      </c>
      <c r="C95">
        <v>8</v>
      </c>
      <c r="D95">
        <v>18000</v>
      </c>
      <c r="E95">
        <f t="shared" si="1"/>
        <v>144000</v>
      </c>
    </row>
    <row r="96" spans="1:5" hidden="1" x14ac:dyDescent="0.3">
      <c r="A96" t="s">
        <v>85</v>
      </c>
      <c r="B96" t="s">
        <v>30</v>
      </c>
      <c r="C96">
        <v>0</v>
      </c>
      <c r="E96">
        <f t="shared" si="1"/>
        <v>0</v>
      </c>
    </row>
    <row r="97" spans="1:5" x14ac:dyDescent="0.3">
      <c r="A97" t="s">
        <v>106</v>
      </c>
      <c r="B97" t="s">
        <v>9</v>
      </c>
      <c r="C97">
        <v>2307</v>
      </c>
      <c r="D97">
        <v>8000</v>
      </c>
      <c r="E97">
        <f t="shared" si="1"/>
        <v>18456000</v>
      </c>
    </row>
    <row r="98" spans="1:5" x14ac:dyDescent="0.3">
      <c r="A98" t="s">
        <v>88</v>
      </c>
      <c r="B98" t="s">
        <v>9</v>
      </c>
      <c r="C98">
        <v>805</v>
      </c>
      <c r="D98">
        <v>11361</v>
      </c>
      <c r="E98">
        <f t="shared" si="1"/>
        <v>9145605</v>
      </c>
    </row>
    <row r="99" spans="1:5" x14ac:dyDescent="0.3">
      <c r="A99" t="s">
        <v>146</v>
      </c>
      <c r="B99" t="s">
        <v>9</v>
      </c>
      <c r="C99">
        <v>482</v>
      </c>
      <c r="D99">
        <v>90000</v>
      </c>
      <c r="E99">
        <f t="shared" si="1"/>
        <v>43380000</v>
      </c>
    </row>
    <row r="100" spans="1:5" x14ac:dyDescent="0.3">
      <c r="A100" t="s">
        <v>89</v>
      </c>
      <c r="B100" t="s">
        <v>3</v>
      </c>
      <c r="C100">
        <v>3190</v>
      </c>
      <c r="D100">
        <v>31000</v>
      </c>
      <c r="E100">
        <f t="shared" si="1"/>
        <v>98890000</v>
      </c>
    </row>
    <row r="101" spans="1:5" x14ac:dyDescent="0.3">
      <c r="A101" t="s">
        <v>90</v>
      </c>
      <c r="B101" t="s">
        <v>3</v>
      </c>
      <c r="C101">
        <v>31</v>
      </c>
      <c r="D101">
        <v>20000</v>
      </c>
      <c r="E101">
        <f t="shared" si="1"/>
        <v>620000</v>
      </c>
    </row>
    <row r="102" spans="1:5" x14ac:dyDescent="0.3">
      <c r="A102" t="s">
        <v>154</v>
      </c>
      <c r="B102" t="s">
        <v>9</v>
      </c>
      <c r="C102">
        <v>500</v>
      </c>
      <c r="D102">
        <v>40000</v>
      </c>
      <c r="E102">
        <f t="shared" si="1"/>
        <v>20000000</v>
      </c>
    </row>
    <row r="103" spans="1:5" x14ac:dyDescent="0.3">
      <c r="A103" t="s">
        <v>92</v>
      </c>
      <c r="B103" t="s">
        <v>3</v>
      </c>
      <c r="C103">
        <v>160</v>
      </c>
      <c r="D103">
        <v>10000</v>
      </c>
      <c r="E103">
        <f t="shared" si="1"/>
        <v>1600000</v>
      </c>
    </row>
    <row r="104" spans="1:5" x14ac:dyDescent="0.3">
      <c r="A104" t="s">
        <v>93</v>
      </c>
      <c r="B104" t="s">
        <v>3</v>
      </c>
      <c r="C104">
        <v>9</v>
      </c>
      <c r="D104">
        <v>13000</v>
      </c>
      <c r="E104">
        <f t="shared" si="1"/>
        <v>117000</v>
      </c>
    </row>
    <row r="105" spans="1:5" hidden="1" x14ac:dyDescent="0.3">
      <c r="A105" t="s">
        <v>94</v>
      </c>
      <c r="B105" t="s">
        <v>3</v>
      </c>
      <c r="C105">
        <v>0</v>
      </c>
      <c r="E105">
        <f t="shared" si="1"/>
        <v>0</v>
      </c>
    </row>
    <row r="106" spans="1:5" hidden="1" x14ac:dyDescent="0.3">
      <c r="A106" t="s">
        <v>95</v>
      </c>
      <c r="B106" t="s">
        <v>40</v>
      </c>
      <c r="C106">
        <v>0</v>
      </c>
      <c r="E106">
        <f t="shared" si="1"/>
        <v>0</v>
      </c>
    </row>
    <row r="107" spans="1:5" hidden="1" x14ac:dyDescent="0.3">
      <c r="A107" t="s">
        <v>96</v>
      </c>
      <c r="B107" t="s">
        <v>3</v>
      </c>
      <c r="C107">
        <v>0</v>
      </c>
      <c r="E107">
        <f t="shared" si="1"/>
        <v>0</v>
      </c>
    </row>
    <row r="108" spans="1:5" hidden="1" x14ac:dyDescent="0.3">
      <c r="A108" t="s">
        <v>97</v>
      </c>
      <c r="B108" t="s">
        <v>40</v>
      </c>
      <c r="C108">
        <v>0</v>
      </c>
      <c r="E108">
        <f t="shared" si="1"/>
        <v>0</v>
      </c>
    </row>
    <row r="109" spans="1:5" hidden="1" x14ac:dyDescent="0.3">
      <c r="A109" t="s">
        <v>98</v>
      </c>
      <c r="B109" t="s">
        <v>3</v>
      </c>
      <c r="C109">
        <v>0</v>
      </c>
      <c r="E109">
        <f t="shared" si="1"/>
        <v>0</v>
      </c>
    </row>
    <row r="110" spans="1:5" x14ac:dyDescent="0.3">
      <c r="A110" t="s">
        <v>99</v>
      </c>
      <c r="B110" t="s">
        <v>3</v>
      </c>
      <c r="C110">
        <v>26</v>
      </c>
      <c r="D110">
        <v>300000</v>
      </c>
      <c r="E110">
        <f t="shared" si="1"/>
        <v>7800000</v>
      </c>
    </row>
    <row r="111" spans="1:5" hidden="1" x14ac:dyDescent="0.3">
      <c r="A111" t="s">
        <v>100</v>
      </c>
      <c r="B111" t="s">
        <v>40</v>
      </c>
      <c r="C111">
        <v>0</v>
      </c>
      <c r="E111">
        <f t="shared" si="1"/>
        <v>0</v>
      </c>
    </row>
    <row r="112" spans="1:5" x14ac:dyDescent="0.3">
      <c r="E112">
        <f>SUM(E3:E110)</f>
        <v>514583305</v>
      </c>
    </row>
    <row r="113" spans="1:5" x14ac:dyDescent="0.3">
      <c r="A113" t="s">
        <v>110</v>
      </c>
    </row>
    <row r="114" spans="1:5" x14ac:dyDescent="0.3">
      <c r="A114" t="s">
        <v>0</v>
      </c>
      <c r="B114" t="s">
        <v>1</v>
      </c>
      <c r="C114" t="s">
        <v>107</v>
      </c>
      <c r="D114" t="s">
        <v>108</v>
      </c>
      <c r="E114" t="s">
        <v>109</v>
      </c>
    </row>
    <row r="115" spans="1:5" x14ac:dyDescent="0.3">
      <c r="A115" t="s">
        <v>2</v>
      </c>
      <c r="B115" t="s">
        <v>3</v>
      </c>
      <c r="C115">
        <v>6</v>
      </c>
      <c r="D115">
        <v>10000</v>
      </c>
      <c r="E115">
        <f t="shared" si="1"/>
        <v>60000</v>
      </c>
    </row>
    <row r="116" spans="1:5" hidden="1" x14ac:dyDescent="0.3">
      <c r="A116" t="s">
        <v>4</v>
      </c>
      <c r="B116" t="s">
        <v>3</v>
      </c>
      <c r="C116">
        <v>0</v>
      </c>
      <c r="E116">
        <f t="shared" si="1"/>
        <v>0</v>
      </c>
    </row>
    <row r="117" spans="1:5" x14ac:dyDescent="0.3">
      <c r="A117" t="s">
        <v>5</v>
      </c>
      <c r="B117" t="s">
        <v>3</v>
      </c>
      <c r="C117">
        <v>165</v>
      </c>
      <c r="D117">
        <v>6000</v>
      </c>
      <c r="E117">
        <f t="shared" si="1"/>
        <v>990000</v>
      </c>
    </row>
    <row r="118" spans="1:5" x14ac:dyDescent="0.3">
      <c r="A118" t="s">
        <v>119</v>
      </c>
      <c r="B118" t="s">
        <v>3</v>
      </c>
      <c r="C118">
        <v>20</v>
      </c>
      <c r="D118">
        <v>10000</v>
      </c>
      <c r="E118">
        <f t="shared" si="1"/>
        <v>200000</v>
      </c>
    </row>
    <row r="119" spans="1:5" x14ac:dyDescent="0.3">
      <c r="A119" t="s">
        <v>7</v>
      </c>
      <c r="B119" t="s">
        <v>3</v>
      </c>
      <c r="C119">
        <v>55.000000000000007</v>
      </c>
      <c r="D119">
        <v>8000</v>
      </c>
      <c r="E119">
        <f t="shared" si="1"/>
        <v>440000.00000000006</v>
      </c>
    </row>
    <row r="120" spans="1:5" x14ac:dyDescent="0.3">
      <c r="A120" t="s">
        <v>8</v>
      </c>
      <c r="B120" t="s">
        <v>3</v>
      </c>
      <c r="C120">
        <v>11</v>
      </c>
      <c r="D120">
        <v>8500</v>
      </c>
      <c r="E120">
        <f t="shared" si="1"/>
        <v>93500</v>
      </c>
    </row>
    <row r="121" spans="1:5" x14ac:dyDescent="0.3">
      <c r="A121" t="s">
        <v>102</v>
      </c>
      <c r="B121" t="s">
        <v>3</v>
      </c>
      <c r="C121">
        <v>15</v>
      </c>
      <c r="D121">
        <v>11000</v>
      </c>
      <c r="E121">
        <f t="shared" si="1"/>
        <v>165000</v>
      </c>
    </row>
    <row r="122" spans="1:5" x14ac:dyDescent="0.3">
      <c r="A122" t="s">
        <v>18</v>
      </c>
      <c r="B122" t="s">
        <v>3</v>
      </c>
      <c r="C122">
        <v>30</v>
      </c>
      <c r="D122">
        <v>19000</v>
      </c>
      <c r="E122">
        <f t="shared" si="1"/>
        <v>570000</v>
      </c>
    </row>
    <row r="123" spans="1:5" x14ac:dyDescent="0.3">
      <c r="A123" t="s">
        <v>28</v>
      </c>
      <c r="B123" t="s">
        <v>3</v>
      </c>
      <c r="C123">
        <v>110.00000000000001</v>
      </c>
      <c r="D123">
        <v>10000</v>
      </c>
      <c r="E123">
        <f t="shared" si="1"/>
        <v>1100000.0000000002</v>
      </c>
    </row>
    <row r="124" spans="1:5" x14ac:dyDescent="0.3">
      <c r="A124" t="s">
        <v>31</v>
      </c>
      <c r="B124" t="s">
        <v>3</v>
      </c>
      <c r="C124">
        <v>145</v>
      </c>
      <c r="D124">
        <v>9000</v>
      </c>
      <c r="E124">
        <f t="shared" si="1"/>
        <v>1305000</v>
      </c>
    </row>
    <row r="125" spans="1:5" x14ac:dyDescent="0.3">
      <c r="A125" t="s">
        <v>33</v>
      </c>
      <c r="B125" t="s">
        <v>3</v>
      </c>
      <c r="C125">
        <v>6</v>
      </c>
      <c r="D125">
        <v>8000</v>
      </c>
      <c r="E125">
        <f t="shared" si="1"/>
        <v>48000</v>
      </c>
    </row>
    <row r="126" spans="1:5" x14ac:dyDescent="0.3">
      <c r="A126" t="s">
        <v>38</v>
      </c>
      <c r="B126" t="s">
        <v>3</v>
      </c>
      <c r="C126">
        <v>132</v>
      </c>
      <c r="D126">
        <v>5500</v>
      </c>
      <c r="E126">
        <f t="shared" si="1"/>
        <v>726000</v>
      </c>
    </row>
    <row r="127" spans="1:5" x14ac:dyDescent="0.3">
      <c r="A127" t="s">
        <v>103</v>
      </c>
      <c r="B127" t="s">
        <v>3</v>
      </c>
      <c r="C127">
        <v>8</v>
      </c>
      <c r="D127">
        <v>14000</v>
      </c>
      <c r="E127">
        <f t="shared" si="1"/>
        <v>112000</v>
      </c>
    </row>
    <row r="128" spans="1:5" x14ac:dyDescent="0.3">
      <c r="A128" t="s">
        <v>104</v>
      </c>
      <c r="B128" t="s">
        <v>3</v>
      </c>
      <c r="C128">
        <v>350</v>
      </c>
      <c r="D128">
        <v>4000</v>
      </c>
      <c r="E128">
        <f t="shared" si="1"/>
        <v>1400000</v>
      </c>
    </row>
    <row r="129" spans="1:5" x14ac:dyDescent="0.3">
      <c r="A129" t="s">
        <v>39</v>
      </c>
      <c r="B129" t="s">
        <v>3</v>
      </c>
      <c r="C129">
        <v>26</v>
      </c>
      <c r="D129">
        <v>10000</v>
      </c>
      <c r="E129">
        <f t="shared" si="1"/>
        <v>260000</v>
      </c>
    </row>
    <row r="130" spans="1:5" hidden="1" x14ac:dyDescent="0.3">
      <c r="A130" t="s">
        <v>105</v>
      </c>
      <c r="B130" t="s">
        <v>3</v>
      </c>
      <c r="C130">
        <v>0</v>
      </c>
      <c r="E130">
        <f t="shared" si="1"/>
        <v>0</v>
      </c>
    </row>
    <row r="131" spans="1:5" x14ac:dyDescent="0.3">
      <c r="A131" t="s">
        <v>41</v>
      </c>
      <c r="B131" t="s">
        <v>3</v>
      </c>
      <c r="C131">
        <v>17</v>
      </c>
      <c r="D131">
        <v>14000</v>
      </c>
      <c r="E131">
        <f t="shared" si="1"/>
        <v>238000</v>
      </c>
    </row>
    <row r="132" spans="1:5" x14ac:dyDescent="0.3">
      <c r="A132" t="s">
        <v>44</v>
      </c>
      <c r="B132" t="s">
        <v>3</v>
      </c>
      <c r="C132">
        <v>30</v>
      </c>
      <c r="D132">
        <v>6000</v>
      </c>
      <c r="E132">
        <f t="shared" si="1"/>
        <v>180000</v>
      </c>
    </row>
    <row r="133" spans="1:5" x14ac:dyDescent="0.3">
      <c r="A133" t="s">
        <v>45</v>
      </c>
      <c r="B133" t="s">
        <v>3</v>
      </c>
      <c r="C133">
        <v>11</v>
      </c>
      <c r="D133">
        <v>11000</v>
      </c>
      <c r="E133">
        <f t="shared" si="1"/>
        <v>121000</v>
      </c>
    </row>
    <row r="134" spans="1:5" x14ac:dyDescent="0.3">
      <c r="A134" t="s">
        <v>47</v>
      </c>
      <c r="B134" t="s">
        <v>3</v>
      </c>
      <c r="C134">
        <v>44</v>
      </c>
      <c r="D134">
        <v>9000</v>
      </c>
      <c r="E134">
        <f t="shared" ref="E134:E152" si="2">C134*D134</f>
        <v>396000</v>
      </c>
    </row>
    <row r="135" spans="1:5" x14ac:dyDescent="0.3">
      <c r="A135" t="s">
        <v>54</v>
      </c>
      <c r="B135" t="s">
        <v>3</v>
      </c>
      <c r="C135">
        <v>44</v>
      </c>
      <c r="D135">
        <v>15500</v>
      </c>
      <c r="E135">
        <f t="shared" si="2"/>
        <v>682000</v>
      </c>
    </row>
    <row r="136" spans="1:5" x14ac:dyDescent="0.3">
      <c r="A136" t="s">
        <v>59</v>
      </c>
      <c r="B136" t="s">
        <v>3</v>
      </c>
      <c r="C136">
        <v>40</v>
      </c>
      <c r="D136">
        <v>15000</v>
      </c>
      <c r="E136">
        <f t="shared" si="2"/>
        <v>600000</v>
      </c>
    </row>
    <row r="137" spans="1:5" x14ac:dyDescent="0.3">
      <c r="A137" t="s">
        <v>61</v>
      </c>
      <c r="B137" t="s">
        <v>3</v>
      </c>
      <c r="C137">
        <v>5</v>
      </c>
      <c r="D137">
        <v>11000</v>
      </c>
      <c r="E137">
        <f t="shared" si="2"/>
        <v>55000</v>
      </c>
    </row>
    <row r="138" spans="1:5" hidden="1" x14ac:dyDescent="0.3">
      <c r="A138" t="s">
        <v>62</v>
      </c>
      <c r="B138" t="s">
        <v>30</v>
      </c>
      <c r="C138">
        <v>0</v>
      </c>
      <c r="E138">
        <f t="shared" si="2"/>
        <v>0</v>
      </c>
    </row>
    <row r="139" spans="1:5" hidden="1" x14ac:dyDescent="0.3">
      <c r="A139" t="s">
        <v>63</v>
      </c>
      <c r="B139" t="s">
        <v>30</v>
      </c>
      <c r="C139">
        <v>0</v>
      </c>
      <c r="E139">
        <f t="shared" si="2"/>
        <v>0</v>
      </c>
    </row>
    <row r="140" spans="1:5" hidden="1" x14ac:dyDescent="0.3">
      <c r="A140" t="s">
        <v>68</v>
      </c>
      <c r="B140" t="s">
        <v>3</v>
      </c>
      <c r="C140">
        <v>0</v>
      </c>
      <c r="E140">
        <f t="shared" si="2"/>
        <v>0</v>
      </c>
    </row>
    <row r="141" spans="1:5" hidden="1" x14ac:dyDescent="0.3">
      <c r="A141" t="s">
        <v>68</v>
      </c>
      <c r="B141" t="s">
        <v>17</v>
      </c>
      <c r="C141">
        <v>0</v>
      </c>
      <c r="E141">
        <f t="shared" si="2"/>
        <v>0</v>
      </c>
    </row>
    <row r="142" spans="1:5" x14ac:dyDescent="0.3">
      <c r="A142" t="s">
        <v>71</v>
      </c>
      <c r="B142" t="s">
        <v>3</v>
      </c>
      <c r="C142">
        <v>11</v>
      </c>
      <c r="D142">
        <v>14000</v>
      </c>
      <c r="E142">
        <f t="shared" si="2"/>
        <v>154000</v>
      </c>
    </row>
    <row r="143" spans="1:5" hidden="1" x14ac:dyDescent="0.3">
      <c r="A143" t="s">
        <v>72</v>
      </c>
      <c r="B143" t="s">
        <v>3</v>
      </c>
      <c r="C143">
        <v>0</v>
      </c>
      <c r="E143">
        <f t="shared" si="2"/>
        <v>0</v>
      </c>
    </row>
    <row r="144" spans="1:5" hidden="1" x14ac:dyDescent="0.3">
      <c r="A144" t="s">
        <v>73</v>
      </c>
      <c r="B144" t="s">
        <v>3</v>
      </c>
      <c r="C144">
        <v>0</v>
      </c>
      <c r="E144">
        <f t="shared" si="2"/>
        <v>0</v>
      </c>
    </row>
    <row r="145" spans="1:5" x14ac:dyDescent="0.3">
      <c r="A145" t="s">
        <v>78</v>
      </c>
      <c r="B145" t="s">
        <v>3</v>
      </c>
      <c r="C145">
        <v>5</v>
      </c>
      <c r="D145">
        <v>34000</v>
      </c>
      <c r="E145">
        <f t="shared" si="2"/>
        <v>170000</v>
      </c>
    </row>
    <row r="146" spans="1:5" x14ac:dyDescent="0.3">
      <c r="A146" t="s">
        <v>80</v>
      </c>
      <c r="B146" t="s">
        <v>3</v>
      </c>
      <c r="C146">
        <v>5</v>
      </c>
      <c r="D146">
        <v>25000</v>
      </c>
      <c r="E146">
        <f t="shared" si="2"/>
        <v>125000</v>
      </c>
    </row>
    <row r="147" spans="1:5" x14ac:dyDescent="0.3">
      <c r="A147" t="s">
        <v>82</v>
      </c>
      <c r="B147" t="s">
        <v>3</v>
      </c>
      <c r="C147">
        <v>5</v>
      </c>
      <c r="D147">
        <v>30000</v>
      </c>
      <c r="E147">
        <f t="shared" si="2"/>
        <v>150000</v>
      </c>
    </row>
    <row r="148" spans="1:5" x14ac:dyDescent="0.3">
      <c r="A148" t="s">
        <v>92</v>
      </c>
      <c r="B148" t="s">
        <v>3</v>
      </c>
      <c r="C148">
        <v>25</v>
      </c>
      <c r="D148">
        <v>10000</v>
      </c>
      <c r="E148">
        <f t="shared" si="2"/>
        <v>250000</v>
      </c>
    </row>
    <row r="149" spans="1:5" hidden="1" x14ac:dyDescent="0.3">
      <c r="A149" t="s">
        <v>94</v>
      </c>
      <c r="B149" t="s">
        <v>40</v>
      </c>
      <c r="C149">
        <v>0</v>
      </c>
      <c r="E149">
        <f t="shared" si="2"/>
        <v>0</v>
      </c>
    </row>
    <row r="150" spans="1:5" hidden="1" x14ac:dyDescent="0.3">
      <c r="A150" t="s">
        <v>95</v>
      </c>
      <c r="B150" t="s">
        <v>40</v>
      </c>
      <c r="C150">
        <v>0</v>
      </c>
      <c r="E150">
        <f t="shared" si="2"/>
        <v>0</v>
      </c>
    </row>
    <row r="151" spans="1:5" hidden="1" x14ac:dyDescent="0.3">
      <c r="A151" t="s">
        <v>97</v>
      </c>
      <c r="B151" t="s">
        <v>40</v>
      </c>
      <c r="C151">
        <v>0</v>
      </c>
      <c r="E151">
        <f t="shared" si="2"/>
        <v>0</v>
      </c>
    </row>
    <row r="152" spans="1:5" hidden="1" x14ac:dyDescent="0.3">
      <c r="A152" t="s">
        <v>100</v>
      </c>
      <c r="B152" t="s">
        <v>40</v>
      </c>
      <c r="C152">
        <v>0</v>
      </c>
      <c r="E152">
        <f t="shared" si="2"/>
        <v>0</v>
      </c>
    </row>
    <row r="153" spans="1:5" x14ac:dyDescent="0.3">
      <c r="E153">
        <f>SUM(E115:E148)</f>
        <v>10590500</v>
      </c>
    </row>
    <row r="154" spans="1:5" x14ac:dyDescent="0.3">
      <c r="E154">
        <f>E153+E112</f>
        <v>525173805</v>
      </c>
    </row>
  </sheetData>
  <autoFilter ref="A2:E152" xr:uid="{00000000-0009-0000-0000-000011000000}">
    <filterColumn colId="2">
      <filters>
        <filter val="10"/>
        <filter val="1025"/>
        <filter val="11"/>
        <filter val="110"/>
        <filter val="1170"/>
        <filter val="1190"/>
        <filter val="12"/>
        <filter val="1235"/>
        <filter val="13"/>
        <filter val="130"/>
        <filter val="132"/>
        <filter val="143"/>
        <filter val="145"/>
        <filter val="15"/>
        <filter val="154"/>
        <filter val="16"/>
        <filter val="160"/>
        <filter val="165"/>
        <filter val="17"/>
        <filter val="19"/>
        <filter val="195"/>
        <filter val="2"/>
        <filter val="20"/>
        <filter val="210"/>
        <filter val="216"/>
        <filter val="2307"/>
        <filter val="2330"/>
        <filter val="24"/>
        <filter val="25"/>
        <filter val="255"/>
        <filter val="26"/>
        <filter val="296"/>
        <filter val="3"/>
        <filter val="30"/>
        <filter val="31"/>
        <filter val="3190"/>
        <filter val="33"/>
        <filter val="35"/>
        <filter val="350"/>
        <filter val="3725"/>
        <filter val="40"/>
        <filter val="4068"/>
        <filter val="44"/>
        <filter val="45"/>
        <filter val="470"/>
        <filter val="482"/>
        <filter val="49"/>
        <filter val="5"/>
        <filter val="500"/>
        <filter val="55"/>
        <filter val="6"/>
        <filter val="60"/>
        <filter val="624"/>
        <filter val="65"/>
        <filter val="75"/>
        <filter val="8"/>
        <filter val="800"/>
        <filter val="805"/>
        <filter val="89"/>
        <filter val="9"/>
        <filter val="Tồn_x000a_ĐL_x000a__x000a_現在庫"/>
      </filters>
    </filterColumn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filterMode="1"/>
  <dimension ref="A1:E162"/>
  <sheetViews>
    <sheetView workbookViewId="0">
      <pane xSplit="1" ySplit="1" topLeftCell="B144" activePane="bottomRight" state="frozen"/>
      <selection pane="topRight" activeCell="B1" sqref="B1"/>
      <selection pane="bottomLeft" activeCell="A2" sqref="A2"/>
      <selection pane="bottomRight" activeCell="E162" sqref="E162"/>
    </sheetView>
  </sheetViews>
  <sheetFormatPr defaultRowHeight="15.6" x14ac:dyDescent="0.3"/>
  <cols>
    <col min="1" max="1" width="26.44140625" style="32" bestFit="1" customWidth="1"/>
    <col min="2" max="2" width="11" style="32" customWidth="1"/>
    <col min="3" max="3" width="15.33203125" style="32" customWidth="1"/>
    <col min="4" max="4" width="18.109375" style="38" customWidth="1"/>
    <col min="5" max="5" width="15.44140625" style="38" customWidth="1"/>
    <col min="6" max="16384" width="8.88671875" style="32"/>
  </cols>
  <sheetData>
    <row r="1" spans="1:5" ht="62.4" x14ac:dyDescent="0.3">
      <c r="A1" s="35" t="s">
        <v>127</v>
      </c>
      <c r="B1" s="16" t="s">
        <v>1</v>
      </c>
      <c r="C1" s="15" t="s">
        <v>137</v>
      </c>
      <c r="D1" s="31" t="s">
        <v>140</v>
      </c>
      <c r="E1" s="31" t="s">
        <v>141</v>
      </c>
    </row>
    <row r="2" spans="1:5" x14ac:dyDescent="0.3">
      <c r="A2" s="12" t="s">
        <v>2</v>
      </c>
      <c r="B2" s="12" t="s">
        <v>3</v>
      </c>
      <c r="C2" s="33">
        <v>27</v>
      </c>
      <c r="D2" s="37">
        <v>11000</v>
      </c>
      <c r="E2" s="37">
        <f>+D2*C2</f>
        <v>297000</v>
      </c>
    </row>
    <row r="3" spans="1:5" hidden="1" x14ac:dyDescent="0.3">
      <c r="A3" s="12" t="s">
        <v>4</v>
      </c>
      <c r="B3" s="12" t="s">
        <v>3</v>
      </c>
      <c r="C3" s="33">
        <v>0</v>
      </c>
      <c r="D3" s="34"/>
      <c r="E3" s="34"/>
    </row>
    <row r="4" spans="1:5" x14ac:dyDescent="0.3">
      <c r="A4" s="12" t="s">
        <v>5</v>
      </c>
      <c r="B4" s="12" t="s">
        <v>3</v>
      </c>
      <c r="C4" s="33">
        <v>354</v>
      </c>
      <c r="D4" s="37">
        <v>5500</v>
      </c>
      <c r="E4" s="37">
        <f>+D4*C4</f>
        <v>1947000</v>
      </c>
    </row>
    <row r="5" spans="1:5" hidden="1" x14ac:dyDescent="0.3">
      <c r="A5" s="12" t="s">
        <v>119</v>
      </c>
      <c r="B5" s="12" t="s">
        <v>3</v>
      </c>
      <c r="C5" s="33">
        <v>0</v>
      </c>
      <c r="D5" s="34"/>
      <c r="E5" s="34"/>
    </row>
    <row r="6" spans="1:5" hidden="1" x14ac:dyDescent="0.3">
      <c r="A6" s="12" t="s">
        <v>6</v>
      </c>
      <c r="B6" s="12" t="s">
        <v>3</v>
      </c>
      <c r="C6" s="33">
        <v>0</v>
      </c>
      <c r="D6" s="34"/>
      <c r="E6" s="34"/>
    </row>
    <row r="7" spans="1:5" x14ac:dyDescent="0.3">
      <c r="A7" s="12" t="s">
        <v>7</v>
      </c>
      <c r="B7" s="12" t="s">
        <v>3</v>
      </c>
      <c r="C7" s="33">
        <v>996</v>
      </c>
      <c r="D7" s="37">
        <v>8000</v>
      </c>
      <c r="E7" s="37">
        <f t="shared" ref="E7:E9" si="0">+D7*C7</f>
        <v>7968000</v>
      </c>
    </row>
    <row r="8" spans="1:5" x14ac:dyDescent="0.3">
      <c r="A8" s="12" t="s">
        <v>111</v>
      </c>
      <c r="B8" s="12" t="s">
        <v>3</v>
      </c>
      <c r="C8" s="33">
        <v>2.5</v>
      </c>
      <c r="D8" s="37">
        <v>9000</v>
      </c>
      <c r="E8" s="37">
        <f t="shared" si="0"/>
        <v>22500</v>
      </c>
    </row>
    <row r="9" spans="1:5" x14ac:dyDescent="0.3">
      <c r="A9" s="12" t="s">
        <v>8</v>
      </c>
      <c r="B9" s="12" t="s">
        <v>3</v>
      </c>
      <c r="C9" s="33">
        <v>87</v>
      </c>
      <c r="D9" s="37">
        <v>10000</v>
      </c>
      <c r="E9" s="37">
        <f t="shared" si="0"/>
        <v>870000</v>
      </c>
    </row>
    <row r="10" spans="1:5" hidden="1" x14ac:dyDescent="0.3">
      <c r="A10" s="12" t="s">
        <v>8</v>
      </c>
      <c r="B10" s="12" t="s">
        <v>9</v>
      </c>
      <c r="C10" s="33">
        <v>0</v>
      </c>
      <c r="D10" s="34"/>
      <c r="E10" s="34"/>
    </row>
    <row r="11" spans="1:5" x14ac:dyDescent="0.3">
      <c r="A11" s="12" t="s">
        <v>10</v>
      </c>
      <c r="B11" s="12" t="s">
        <v>3</v>
      </c>
      <c r="C11" s="33">
        <v>33</v>
      </c>
      <c r="D11" s="37">
        <v>10000</v>
      </c>
      <c r="E11" s="37">
        <f>+D11*C11</f>
        <v>330000</v>
      </c>
    </row>
    <row r="12" spans="1:5" hidden="1" x14ac:dyDescent="0.3">
      <c r="A12" s="12" t="s">
        <v>10</v>
      </c>
      <c r="B12" s="12" t="s">
        <v>9</v>
      </c>
      <c r="C12" s="33">
        <v>0</v>
      </c>
      <c r="D12" s="34"/>
      <c r="E12" s="34"/>
    </row>
    <row r="13" spans="1:5" hidden="1" x14ac:dyDescent="0.3">
      <c r="A13" s="12" t="s">
        <v>11</v>
      </c>
      <c r="B13" s="12" t="s">
        <v>3</v>
      </c>
      <c r="C13" s="33">
        <v>0</v>
      </c>
      <c r="D13" s="34"/>
      <c r="E13" s="34"/>
    </row>
    <row r="14" spans="1:5" x14ac:dyDescent="0.3">
      <c r="A14" s="12" t="s">
        <v>12</v>
      </c>
      <c r="B14" s="12" t="s">
        <v>3</v>
      </c>
      <c r="C14" s="33">
        <v>10</v>
      </c>
      <c r="D14" s="37">
        <v>12000</v>
      </c>
      <c r="E14" s="37">
        <f t="shared" ref="E14:E15" si="1">+D14*C14</f>
        <v>120000</v>
      </c>
    </row>
    <row r="15" spans="1:5" x14ac:dyDescent="0.3">
      <c r="A15" s="12" t="s">
        <v>13</v>
      </c>
      <c r="B15" s="12" t="s">
        <v>3</v>
      </c>
      <c r="C15" s="33">
        <v>10</v>
      </c>
      <c r="D15" s="37">
        <v>12000</v>
      </c>
      <c r="E15" s="37">
        <f t="shared" si="1"/>
        <v>120000</v>
      </c>
    </row>
    <row r="16" spans="1:5" hidden="1" x14ac:dyDescent="0.3">
      <c r="A16" s="12" t="s">
        <v>14</v>
      </c>
      <c r="B16" s="12" t="s">
        <v>3</v>
      </c>
      <c r="C16" s="33">
        <v>0</v>
      </c>
      <c r="D16" s="34"/>
      <c r="E16" s="34"/>
    </row>
    <row r="17" spans="1:5" x14ac:dyDescent="0.3">
      <c r="A17" s="12" t="s">
        <v>15</v>
      </c>
      <c r="B17" s="12" t="s">
        <v>3</v>
      </c>
      <c r="C17" s="33">
        <v>12</v>
      </c>
      <c r="D17" s="37">
        <v>17000</v>
      </c>
      <c r="E17" s="37">
        <f t="shared" ref="E17:E19" si="2">+D17*C17</f>
        <v>204000</v>
      </c>
    </row>
    <row r="18" spans="1:5" x14ac:dyDescent="0.3">
      <c r="A18" s="12" t="s">
        <v>16</v>
      </c>
      <c r="B18" s="12" t="s">
        <v>17</v>
      </c>
      <c r="C18" s="33">
        <v>7</v>
      </c>
      <c r="D18" s="37">
        <v>7000</v>
      </c>
      <c r="E18" s="37">
        <f t="shared" si="2"/>
        <v>49000</v>
      </c>
    </row>
    <row r="19" spans="1:5" x14ac:dyDescent="0.3">
      <c r="A19" s="12" t="s">
        <v>18</v>
      </c>
      <c r="B19" s="12" t="s">
        <v>3</v>
      </c>
      <c r="C19" s="33">
        <v>297</v>
      </c>
      <c r="D19" s="37">
        <v>15000</v>
      </c>
      <c r="E19" s="37">
        <f t="shared" si="2"/>
        <v>4455000</v>
      </c>
    </row>
    <row r="20" spans="1:5" hidden="1" x14ac:dyDescent="0.3">
      <c r="A20" s="12" t="s">
        <v>18</v>
      </c>
      <c r="B20" s="12" t="s">
        <v>17</v>
      </c>
      <c r="C20" s="33">
        <v>0</v>
      </c>
      <c r="D20" s="34"/>
      <c r="E20" s="34"/>
    </row>
    <row r="21" spans="1:5" hidden="1" x14ac:dyDescent="0.3">
      <c r="A21" s="12" t="s">
        <v>18</v>
      </c>
      <c r="B21" s="12" t="s">
        <v>19</v>
      </c>
      <c r="C21" s="33">
        <v>0</v>
      </c>
      <c r="D21" s="34"/>
      <c r="E21" s="34"/>
    </row>
    <row r="22" spans="1:5" x14ac:dyDescent="0.3">
      <c r="A22" s="12" t="s">
        <v>20</v>
      </c>
      <c r="B22" s="12" t="s">
        <v>3</v>
      </c>
      <c r="C22" s="33">
        <v>10</v>
      </c>
      <c r="D22" s="37">
        <v>8000</v>
      </c>
      <c r="E22" s="37">
        <f>+D22*C22</f>
        <v>80000</v>
      </c>
    </row>
    <row r="23" spans="1:5" hidden="1" x14ac:dyDescent="0.3">
      <c r="A23" s="12" t="s">
        <v>20</v>
      </c>
      <c r="B23" s="12" t="s">
        <v>21</v>
      </c>
      <c r="C23" s="33">
        <v>0</v>
      </c>
      <c r="D23" s="34"/>
      <c r="E23" s="34"/>
    </row>
    <row r="24" spans="1:5" x14ac:dyDescent="0.3">
      <c r="A24" s="12" t="s">
        <v>22</v>
      </c>
      <c r="B24" s="12" t="s">
        <v>3</v>
      </c>
      <c r="C24" s="33">
        <v>5</v>
      </c>
      <c r="D24" s="37">
        <v>6300</v>
      </c>
      <c r="E24" s="37">
        <f t="shared" ref="E24:E26" si="3">+D24*C24</f>
        <v>31500</v>
      </c>
    </row>
    <row r="25" spans="1:5" x14ac:dyDescent="0.3">
      <c r="A25" s="12" t="s">
        <v>22</v>
      </c>
      <c r="B25" s="12" t="s">
        <v>23</v>
      </c>
      <c r="C25" s="33">
        <v>116</v>
      </c>
      <c r="D25" s="37">
        <v>6300</v>
      </c>
      <c r="E25" s="37">
        <f t="shared" si="3"/>
        <v>730800</v>
      </c>
    </row>
    <row r="26" spans="1:5" x14ac:dyDescent="0.3">
      <c r="A26" s="12" t="s">
        <v>24</v>
      </c>
      <c r="B26" s="12" t="s">
        <v>25</v>
      </c>
      <c r="C26" s="33">
        <v>4</v>
      </c>
      <c r="D26" s="37">
        <v>10500</v>
      </c>
      <c r="E26" s="37">
        <f t="shared" si="3"/>
        <v>42000</v>
      </c>
    </row>
    <row r="27" spans="1:5" hidden="1" x14ac:dyDescent="0.3">
      <c r="A27" s="12" t="s">
        <v>26</v>
      </c>
      <c r="B27" s="12" t="s">
        <v>3</v>
      </c>
      <c r="C27" s="33">
        <v>0</v>
      </c>
      <c r="D27" s="34"/>
      <c r="E27" s="34"/>
    </row>
    <row r="28" spans="1:5" hidden="1" x14ac:dyDescent="0.3">
      <c r="A28" s="12" t="s">
        <v>26</v>
      </c>
      <c r="B28" s="12" t="s">
        <v>27</v>
      </c>
      <c r="C28" s="33">
        <v>0</v>
      </c>
      <c r="D28" s="34"/>
      <c r="E28" s="34"/>
    </row>
    <row r="29" spans="1:5" x14ac:dyDescent="0.3">
      <c r="A29" s="12" t="s">
        <v>28</v>
      </c>
      <c r="B29" s="12" t="s">
        <v>3</v>
      </c>
      <c r="C29" s="33">
        <v>200</v>
      </c>
      <c r="D29" s="37">
        <v>10000</v>
      </c>
      <c r="E29" s="37">
        <f>+D29*C29</f>
        <v>2000000</v>
      </c>
    </row>
    <row r="30" spans="1:5" hidden="1" x14ac:dyDescent="0.3">
      <c r="A30" s="12" t="s">
        <v>28</v>
      </c>
      <c r="B30" s="12" t="s">
        <v>17</v>
      </c>
      <c r="C30" s="33">
        <v>0</v>
      </c>
      <c r="D30" s="34"/>
      <c r="E30" s="34"/>
    </row>
    <row r="31" spans="1:5" x14ac:dyDescent="0.3">
      <c r="A31" s="12" t="s">
        <v>29</v>
      </c>
      <c r="B31" s="12" t="s">
        <v>30</v>
      </c>
      <c r="C31" s="33">
        <v>100</v>
      </c>
      <c r="D31" s="37">
        <v>7000</v>
      </c>
      <c r="E31" s="37">
        <f t="shared" ref="E31:E32" si="4">+D31*C31</f>
        <v>700000</v>
      </c>
    </row>
    <row r="32" spans="1:5" x14ac:dyDescent="0.3">
      <c r="A32" s="12" t="s">
        <v>31</v>
      </c>
      <c r="B32" s="12" t="s">
        <v>3</v>
      </c>
      <c r="C32" s="33">
        <v>191</v>
      </c>
      <c r="D32" s="37">
        <v>8500</v>
      </c>
      <c r="E32" s="37">
        <f t="shared" si="4"/>
        <v>1623500</v>
      </c>
    </row>
    <row r="33" spans="1:5" hidden="1" x14ac:dyDescent="0.3">
      <c r="A33" s="12" t="s">
        <v>31</v>
      </c>
      <c r="B33" s="12" t="s">
        <v>30</v>
      </c>
      <c r="C33" s="33">
        <v>0</v>
      </c>
      <c r="D33" s="34"/>
      <c r="E33" s="34"/>
    </row>
    <row r="34" spans="1:5" hidden="1" x14ac:dyDescent="0.3">
      <c r="A34" s="12" t="s">
        <v>32</v>
      </c>
      <c r="B34" s="12" t="s">
        <v>3</v>
      </c>
      <c r="C34" s="33">
        <v>0</v>
      </c>
      <c r="D34" s="34"/>
      <c r="E34" s="34"/>
    </row>
    <row r="35" spans="1:5" hidden="1" x14ac:dyDescent="0.3">
      <c r="A35" s="12" t="s">
        <v>32</v>
      </c>
      <c r="B35" s="12" t="s">
        <v>17</v>
      </c>
      <c r="C35" s="33">
        <v>0</v>
      </c>
      <c r="D35" s="34"/>
      <c r="E35" s="34"/>
    </row>
    <row r="36" spans="1:5" x14ac:dyDescent="0.3">
      <c r="A36" s="12" t="s">
        <v>33</v>
      </c>
      <c r="B36" s="12" t="s">
        <v>3</v>
      </c>
      <c r="C36" s="33">
        <v>32</v>
      </c>
      <c r="D36" s="37">
        <v>8000</v>
      </c>
      <c r="E36" s="37">
        <f>+D36*C36</f>
        <v>256000</v>
      </c>
    </row>
    <row r="37" spans="1:5" hidden="1" x14ac:dyDescent="0.3">
      <c r="A37" s="12" t="s">
        <v>33</v>
      </c>
      <c r="B37" s="12" t="s">
        <v>34</v>
      </c>
      <c r="C37" s="33">
        <v>0</v>
      </c>
      <c r="D37" s="34"/>
      <c r="E37" s="34"/>
    </row>
    <row r="38" spans="1:5" x14ac:dyDescent="0.3">
      <c r="A38" s="12" t="s">
        <v>35</v>
      </c>
      <c r="B38" s="12" t="s">
        <v>3</v>
      </c>
      <c r="C38" s="33">
        <v>27</v>
      </c>
      <c r="D38" s="37">
        <v>26000</v>
      </c>
      <c r="E38" s="37">
        <f>+D38*C38</f>
        <v>702000</v>
      </c>
    </row>
    <row r="39" spans="1:5" hidden="1" x14ac:dyDescent="0.3">
      <c r="A39" s="12" t="s">
        <v>35</v>
      </c>
      <c r="B39" s="12" t="s">
        <v>30</v>
      </c>
      <c r="C39" s="33">
        <v>0</v>
      </c>
      <c r="D39" s="34"/>
      <c r="E39" s="34"/>
    </row>
    <row r="40" spans="1:5" hidden="1" x14ac:dyDescent="0.3">
      <c r="A40" s="12" t="s">
        <v>36</v>
      </c>
      <c r="B40" s="12" t="s">
        <v>3</v>
      </c>
      <c r="C40" s="33">
        <v>0</v>
      </c>
      <c r="D40" s="34"/>
      <c r="E40" s="34"/>
    </row>
    <row r="41" spans="1:5" x14ac:dyDescent="0.3">
      <c r="A41" s="12" t="s">
        <v>36</v>
      </c>
      <c r="B41" s="12" t="s">
        <v>30</v>
      </c>
      <c r="C41" s="33">
        <v>9</v>
      </c>
      <c r="D41" s="37">
        <v>6000</v>
      </c>
      <c r="E41" s="37">
        <f t="shared" ref="E41:E44" si="5">+D41*C41</f>
        <v>54000</v>
      </c>
    </row>
    <row r="42" spans="1:5" x14ac:dyDescent="0.3">
      <c r="A42" s="12" t="s">
        <v>37</v>
      </c>
      <c r="B42" s="12" t="s">
        <v>30</v>
      </c>
      <c r="C42" s="33">
        <v>8</v>
      </c>
      <c r="D42" s="37">
        <v>4200</v>
      </c>
      <c r="E42" s="37">
        <f t="shared" si="5"/>
        <v>33600</v>
      </c>
    </row>
    <row r="43" spans="1:5" x14ac:dyDescent="0.3">
      <c r="A43" s="12" t="s">
        <v>38</v>
      </c>
      <c r="B43" s="12" t="s">
        <v>3</v>
      </c>
      <c r="C43" s="33">
        <v>3250</v>
      </c>
      <c r="D43" s="37">
        <v>5500</v>
      </c>
      <c r="E43" s="37">
        <f t="shared" si="5"/>
        <v>17875000</v>
      </c>
    </row>
    <row r="44" spans="1:5" x14ac:dyDescent="0.3">
      <c r="A44" s="12" t="s">
        <v>103</v>
      </c>
      <c r="B44" s="12" t="s">
        <v>3</v>
      </c>
      <c r="C44" s="33">
        <v>6</v>
      </c>
      <c r="D44" s="37">
        <v>14000</v>
      </c>
      <c r="E44" s="37">
        <f t="shared" si="5"/>
        <v>84000</v>
      </c>
    </row>
    <row r="45" spans="1:5" hidden="1" x14ac:dyDescent="0.3">
      <c r="A45" s="12" t="s">
        <v>39</v>
      </c>
      <c r="B45" s="12" t="s">
        <v>40</v>
      </c>
      <c r="C45" s="33">
        <v>0</v>
      </c>
      <c r="D45" s="34"/>
      <c r="E45" s="34"/>
    </row>
    <row r="46" spans="1:5" hidden="1" x14ac:dyDescent="0.3">
      <c r="A46" s="12" t="s">
        <v>39</v>
      </c>
      <c r="B46" s="12" t="s">
        <v>3</v>
      </c>
      <c r="C46" s="33">
        <v>0</v>
      </c>
      <c r="D46" s="34"/>
      <c r="E46" s="34"/>
    </row>
    <row r="47" spans="1:5" x14ac:dyDescent="0.3">
      <c r="A47" s="12" t="s">
        <v>105</v>
      </c>
      <c r="B47" s="12" t="s">
        <v>3</v>
      </c>
      <c r="C47" s="33">
        <v>30</v>
      </c>
      <c r="D47" s="37">
        <v>27000</v>
      </c>
      <c r="E47" s="37">
        <f t="shared" ref="E47:E48" si="6">+D47*C47</f>
        <v>810000</v>
      </c>
    </row>
    <row r="48" spans="1:5" x14ac:dyDescent="0.3">
      <c r="A48" s="12" t="s">
        <v>41</v>
      </c>
      <c r="B48" s="12" t="s">
        <v>3</v>
      </c>
      <c r="C48" s="33">
        <v>9</v>
      </c>
      <c r="D48" s="37">
        <v>14000</v>
      </c>
      <c r="E48" s="37">
        <f t="shared" si="6"/>
        <v>126000</v>
      </c>
    </row>
    <row r="49" spans="1:5" hidden="1" x14ac:dyDescent="0.3">
      <c r="A49" s="12" t="s">
        <v>42</v>
      </c>
      <c r="B49" s="12" t="s">
        <v>25</v>
      </c>
      <c r="C49" s="33">
        <v>0</v>
      </c>
      <c r="D49" s="34"/>
      <c r="E49" s="34"/>
    </row>
    <row r="50" spans="1:5" hidden="1" x14ac:dyDescent="0.3">
      <c r="A50" s="12" t="s">
        <v>42</v>
      </c>
      <c r="B50" s="12" t="s">
        <v>3</v>
      </c>
      <c r="C50" s="33">
        <v>0</v>
      </c>
      <c r="D50" s="34"/>
      <c r="E50" s="34"/>
    </row>
    <row r="51" spans="1:5" x14ac:dyDescent="0.3">
      <c r="A51" s="12" t="s">
        <v>43</v>
      </c>
      <c r="B51" s="12" t="s">
        <v>3</v>
      </c>
      <c r="C51" s="33">
        <v>2</v>
      </c>
      <c r="D51" s="37">
        <v>16000</v>
      </c>
      <c r="E51" s="37">
        <f t="shared" ref="E51:E53" si="7">+D51*C51</f>
        <v>32000</v>
      </c>
    </row>
    <row r="52" spans="1:5" x14ac:dyDescent="0.3">
      <c r="A52" s="12" t="s">
        <v>44</v>
      </c>
      <c r="B52" s="12" t="s">
        <v>3</v>
      </c>
      <c r="C52" s="33">
        <v>50</v>
      </c>
      <c r="D52" s="37">
        <v>6000</v>
      </c>
      <c r="E52" s="37">
        <f t="shared" si="7"/>
        <v>300000</v>
      </c>
    </row>
    <row r="53" spans="1:5" x14ac:dyDescent="0.3">
      <c r="A53" s="12" t="s">
        <v>45</v>
      </c>
      <c r="B53" s="12" t="s">
        <v>3</v>
      </c>
      <c r="C53" s="33">
        <v>54</v>
      </c>
      <c r="D53" s="37">
        <v>11000</v>
      </c>
      <c r="E53" s="37">
        <f t="shared" si="7"/>
        <v>594000</v>
      </c>
    </row>
    <row r="54" spans="1:5" hidden="1" x14ac:dyDescent="0.3">
      <c r="A54" s="12" t="s">
        <v>45</v>
      </c>
      <c r="B54" s="12" t="s">
        <v>30</v>
      </c>
      <c r="C54" s="33">
        <v>0</v>
      </c>
      <c r="D54" s="34"/>
      <c r="E54" s="34"/>
    </row>
    <row r="55" spans="1:5" hidden="1" x14ac:dyDescent="0.3">
      <c r="A55" s="12" t="s">
        <v>46</v>
      </c>
      <c r="B55" s="12" t="s">
        <v>3</v>
      </c>
      <c r="C55" s="33">
        <v>0</v>
      </c>
      <c r="D55" s="34"/>
      <c r="E55" s="34"/>
    </row>
    <row r="56" spans="1:5" x14ac:dyDescent="0.3">
      <c r="A56" s="12" t="s">
        <v>47</v>
      </c>
      <c r="B56" s="12" t="s">
        <v>3</v>
      </c>
      <c r="C56" s="33">
        <v>76</v>
      </c>
      <c r="D56" s="37">
        <v>9000</v>
      </c>
      <c r="E56" s="37">
        <f>+D56*C56</f>
        <v>684000</v>
      </c>
    </row>
    <row r="57" spans="1:5" hidden="1" x14ac:dyDescent="0.3">
      <c r="A57" s="12" t="s">
        <v>47</v>
      </c>
      <c r="B57" s="12" t="s">
        <v>48</v>
      </c>
      <c r="C57" s="33">
        <v>0</v>
      </c>
      <c r="D57" s="34"/>
      <c r="E57" s="34"/>
    </row>
    <row r="58" spans="1:5" x14ac:dyDescent="0.3">
      <c r="A58" s="12" t="s">
        <v>49</v>
      </c>
      <c r="B58" s="12" t="s">
        <v>3</v>
      </c>
      <c r="C58" s="33">
        <v>14</v>
      </c>
      <c r="D58" s="37">
        <v>20000</v>
      </c>
      <c r="E58" s="37">
        <f t="shared" ref="E58:E64" si="8">+D58*C58</f>
        <v>280000</v>
      </c>
    </row>
    <row r="59" spans="1:5" x14ac:dyDescent="0.3">
      <c r="A59" s="12" t="s">
        <v>50</v>
      </c>
      <c r="B59" s="12" t="s">
        <v>30</v>
      </c>
      <c r="C59" s="33">
        <v>133</v>
      </c>
      <c r="D59" s="37">
        <v>2400</v>
      </c>
      <c r="E59" s="37">
        <f t="shared" si="8"/>
        <v>319200</v>
      </c>
    </row>
    <row r="60" spans="1:5" x14ac:dyDescent="0.3">
      <c r="A60" s="12" t="s">
        <v>51</v>
      </c>
      <c r="B60" s="12" t="s">
        <v>3</v>
      </c>
      <c r="C60" s="33">
        <v>670</v>
      </c>
      <c r="D60" s="37">
        <v>28000</v>
      </c>
      <c r="E60" s="37">
        <f t="shared" si="8"/>
        <v>18760000</v>
      </c>
    </row>
    <row r="61" spans="1:5" x14ac:dyDescent="0.3">
      <c r="A61" s="12" t="s">
        <v>52</v>
      </c>
      <c r="B61" s="12" t="s">
        <v>3</v>
      </c>
      <c r="C61" s="33">
        <v>3715</v>
      </c>
      <c r="D61" s="37">
        <v>27000</v>
      </c>
      <c r="E61" s="37">
        <f t="shared" si="8"/>
        <v>100305000</v>
      </c>
    </row>
    <row r="62" spans="1:5" x14ac:dyDescent="0.3">
      <c r="A62" s="12" t="s">
        <v>153</v>
      </c>
      <c r="B62" s="12" t="s">
        <v>3</v>
      </c>
      <c r="C62" s="33">
        <v>800</v>
      </c>
      <c r="D62" s="37">
        <v>27000</v>
      </c>
      <c r="E62" s="37">
        <f t="shared" si="8"/>
        <v>21600000</v>
      </c>
    </row>
    <row r="63" spans="1:5" x14ac:dyDescent="0.3">
      <c r="A63" s="12" t="s">
        <v>54</v>
      </c>
      <c r="B63" s="12" t="s">
        <v>3</v>
      </c>
      <c r="C63" s="33">
        <v>316</v>
      </c>
      <c r="D63" s="37">
        <v>15000</v>
      </c>
      <c r="E63" s="37">
        <f t="shared" si="8"/>
        <v>4740000</v>
      </c>
    </row>
    <row r="64" spans="1:5" x14ac:dyDescent="0.3">
      <c r="A64" s="12" t="s">
        <v>55</v>
      </c>
      <c r="B64" s="12" t="s">
        <v>3</v>
      </c>
      <c r="C64" s="33">
        <v>15</v>
      </c>
      <c r="D64" s="37">
        <v>24000</v>
      </c>
      <c r="E64" s="37">
        <f t="shared" si="8"/>
        <v>360000</v>
      </c>
    </row>
    <row r="65" spans="1:5" hidden="1" x14ac:dyDescent="0.3">
      <c r="A65" s="12" t="s">
        <v>56</v>
      </c>
      <c r="B65" s="12" t="s">
        <v>3</v>
      </c>
      <c r="C65" s="33">
        <v>0</v>
      </c>
      <c r="D65" s="34"/>
      <c r="E65" s="34"/>
    </row>
    <row r="66" spans="1:5" hidden="1" x14ac:dyDescent="0.3">
      <c r="A66" s="12" t="s">
        <v>57</v>
      </c>
      <c r="B66" s="12" t="s">
        <v>3</v>
      </c>
      <c r="C66" s="33">
        <v>0</v>
      </c>
      <c r="D66" s="34"/>
      <c r="E66" s="34"/>
    </row>
    <row r="67" spans="1:5" hidden="1" x14ac:dyDescent="0.3">
      <c r="A67" s="12" t="s">
        <v>57</v>
      </c>
      <c r="B67" s="12" t="s">
        <v>30</v>
      </c>
      <c r="C67" s="33">
        <v>0</v>
      </c>
      <c r="D67" s="34"/>
      <c r="E67" s="34"/>
    </row>
    <row r="68" spans="1:5" hidden="1" x14ac:dyDescent="0.3">
      <c r="A68" s="12" t="s">
        <v>58</v>
      </c>
      <c r="B68" s="12" t="s">
        <v>3</v>
      </c>
      <c r="C68" s="33">
        <v>0</v>
      </c>
      <c r="D68" s="34"/>
      <c r="E68" s="34"/>
    </row>
    <row r="69" spans="1:5" x14ac:dyDescent="0.3">
      <c r="A69" s="12" t="s">
        <v>59</v>
      </c>
      <c r="B69" s="12" t="s">
        <v>3</v>
      </c>
      <c r="C69" s="33">
        <v>960</v>
      </c>
      <c r="D69" s="37">
        <v>18000</v>
      </c>
      <c r="E69" s="37">
        <f>+D69*C69</f>
        <v>17280000</v>
      </c>
    </row>
    <row r="70" spans="1:5" hidden="1" x14ac:dyDescent="0.3">
      <c r="A70" s="12" t="s">
        <v>59</v>
      </c>
      <c r="B70" s="12" t="s">
        <v>30</v>
      </c>
      <c r="C70" s="33">
        <v>0</v>
      </c>
      <c r="D70" s="34"/>
      <c r="E70" s="34"/>
    </row>
    <row r="71" spans="1:5" x14ac:dyDescent="0.3">
      <c r="A71" s="12" t="s">
        <v>60</v>
      </c>
      <c r="B71" s="12" t="s">
        <v>30</v>
      </c>
      <c r="C71" s="33">
        <v>70</v>
      </c>
      <c r="D71" s="37">
        <v>8000</v>
      </c>
      <c r="E71" s="37">
        <f t="shared" ref="E71:E73" si="9">+D71*C71</f>
        <v>560000</v>
      </c>
    </row>
    <row r="72" spans="1:5" x14ac:dyDescent="0.3">
      <c r="A72" s="12" t="s">
        <v>61</v>
      </c>
      <c r="B72" s="12" t="s">
        <v>3</v>
      </c>
      <c r="C72" s="33">
        <v>60</v>
      </c>
      <c r="D72" s="37">
        <v>11000</v>
      </c>
      <c r="E72" s="37">
        <f t="shared" si="9"/>
        <v>660000</v>
      </c>
    </row>
    <row r="73" spans="1:5" x14ac:dyDescent="0.3">
      <c r="A73" s="12" t="s">
        <v>62</v>
      </c>
      <c r="B73" s="12" t="s">
        <v>30</v>
      </c>
      <c r="C73" s="33">
        <v>12</v>
      </c>
      <c r="D73" s="37">
        <v>6000</v>
      </c>
      <c r="E73" s="37">
        <f t="shared" si="9"/>
        <v>72000</v>
      </c>
    </row>
    <row r="74" spans="1:5" hidden="1" x14ac:dyDescent="0.3">
      <c r="A74" s="12" t="s">
        <v>63</v>
      </c>
      <c r="B74" s="12" t="s">
        <v>3</v>
      </c>
      <c r="C74" s="33">
        <v>0</v>
      </c>
      <c r="D74" s="34"/>
      <c r="E74" s="34"/>
    </row>
    <row r="75" spans="1:5" x14ac:dyDescent="0.3">
      <c r="A75" s="12" t="s">
        <v>63</v>
      </c>
      <c r="B75" s="12" t="s">
        <v>64</v>
      </c>
      <c r="C75" s="33">
        <v>34</v>
      </c>
      <c r="D75" s="37">
        <v>8500</v>
      </c>
      <c r="E75" s="37">
        <f t="shared" ref="E75:E76" si="10">+D75*C75</f>
        <v>289000</v>
      </c>
    </row>
    <row r="76" spans="1:5" x14ac:dyDescent="0.3">
      <c r="A76" s="12" t="s">
        <v>65</v>
      </c>
      <c r="B76" s="12" t="s">
        <v>3</v>
      </c>
      <c r="C76" s="33">
        <v>0.5</v>
      </c>
      <c r="D76" s="37">
        <v>80000</v>
      </c>
      <c r="E76" s="37">
        <f t="shared" si="10"/>
        <v>40000</v>
      </c>
    </row>
    <row r="77" spans="1:5" hidden="1" x14ac:dyDescent="0.3">
      <c r="A77" s="12" t="s">
        <v>112</v>
      </c>
      <c r="B77" s="12" t="s">
        <v>3</v>
      </c>
      <c r="C77" s="33">
        <v>0</v>
      </c>
      <c r="D77" s="34"/>
      <c r="E77" s="34"/>
    </row>
    <row r="78" spans="1:5" x14ac:dyDescent="0.3">
      <c r="A78" s="12" t="s">
        <v>66</v>
      </c>
      <c r="B78" s="12" t="s">
        <v>3</v>
      </c>
      <c r="C78" s="33">
        <v>0.5</v>
      </c>
      <c r="D78" s="37">
        <v>70000</v>
      </c>
      <c r="E78" s="37">
        <f t="shared" ref="E78:E79" si="11">+D78*C78</f>
        <v>35000</v>
      </c>
    </row>
    <row r="79" spans="1:5" x14ac:dyDescent="0.3">
      <c r="A79" s="12" t="s">
        <v>67</v>
      </c>
      <c r="B79" s="12" t="s">
        <v>3</v>
      </c>
      <c r="C79" s="33">
        <v>0.5</v>
      </c>
      <c r="D79" s="37">
        <v>70000</v>
      </c>
      <c r="E79" s="37">
        <f t="shared" si="11"/>
        <v>35000</v>
      </c>
    </row>
    <row r="80" spans="1:5" hidden="1" x14ac:dyDescent="0.3">
      <c r="A80" s="12" t="s">
        <v>68</v>
      </c>
      <c r="B80" s="12" t="s">
        <v>3</v>
      </c>
      <c r="C80" s="33">
        <v>0</v>
      </c>
      <c r="D80" s="34"/>
      <c r="E80" s="34"/>
    </row>
    <row r="81" spans="1:5" x14ac:dyDescent="0.3">
      <c r="A81" s="12" t="s">
        <v>68</v>
      </c>
      <c r="B81" s="12" t="s">
        <v>17</v>
      </c>
      <c r="C81" s="33">
        <v>480</v>
      </c>
      <c r="D81" s="37">
        <v>9500</v>
      </c>
      <c r="E81" s="37">
        <f t="shared" ref="E81:E83" si="12">+D81*C81</f>
        <v>4560000</v>
      </c>
    </row>
    <row r="82" spans="1:5" x14ac:dyDescent="0.3">
      <c r="A82" s="12" t="s">
        <v>69</v>
      </c>
      <c r="B82" s="12" t="s">
        <v>3</v>
      </c>
      <c r="C82" s="33">
        <v>5</v>
      </c>
      <c r="D82" s="37">
        <v>12000</v>
      </c>
      <c r="E82" s="37">
        <f t="shared" si="12"/>
        <v>60000</v>
      </c>
    </row>
    <row r="83" spans="1:5" x14ac:dyDescent="0.3">
      <c r="A83" s="12" t="s">
        <v>70</v>
      </c>
      <c r="B83" s="12" t="s">
        <v>3</v>
      </c>
      <c r="C83" s="33">
        <v>28</v>
      </c>
      <c r="D83" s="37">
        <v>10000</v>
      </c>
      <c r="E83" s="37">
        <f t="shared" si="12"/>
        <v>280000</v>
      </c>
    </row>
    <row r="84" spans="1:5" hidden="1" x14ac:dyDescent="0.3">
      <c r="A84" s="12" t="s">
        <v>71</v>
      </c>
      <c r="B84" s="12" t="s">
        <v>40</v>
      </c>
      <c r="C84" s="33">
        <v>0</v>
      </c>
      <c r="D84" s="34"/>
      <c r="E84" s="34"/>
    </row>
    <row r="85" spans="1:5" x14ac:dyDescent="0.3">
      <c r="A85" s="12" t="s">
        <v>71</v>
      </c>
      <c r="B85" s="12" t="s">
        <v>3</v>
      </c>
      <c r="C85" s="33">
        <v>12</v>
      </c>
      <c r="D85" s="37">
        <v>14000</v>
      </c>
      <c r="E85" s="37">
        <f t="shared" ref="E85:E86" si="13">+D85*C85</f>
        <v>168000</v>
      </c>
    </row>
    <row r="86" spans="1:5" x14ac:dyDescent="0.3">
      <c r="A86" s="12" t="s">
        <v>72</v>
      </c>
      <c r="B86" s="12" t="s">
        <v>3</v>
      </c>
      <c r="C86" s="33">
        <v>2327</v>
      </c>
      <c r="D86" s="37">
        <v>27600</v>
      </c>
      <c r="E86" s="37">
        <f t="shared" si="13"/>
        <v>64225200</v>
      </c>
    </row>
    <row r="87" spans="1:5" hidden="1" x14ac:dyDescent="0.3">
      <c r="A87" s="12" t="s">
        <v>74</v>
      </c>
      <c r="B87" s="12" t="s">
        <v>30</v>
      </c>
      <c r="C87" s="33">
        <v>0</v>
      </c>
      <c r="D87" s="34"/>
      <c r="E87" s="34"/>
    </row>
    <row r="88" spans="1:5" x14ac:dyDescent="0.3">
      <c r="A88" s="12" t="s">
        <v>75</v>
      </c>
      <c r="B88" s="12" t="s">
        <v>3</v>
      </c>
      <c r="C88" s="33">
        <v>14</v>
      </c>
      <c r="D88" s="37">
        <v>14000</v>
      </c>
      <c r="E88" s="37">
        <f t="shared" ref="E88:E89" si="14">+D88*C88</f>
        <v>196000</v>
      </c>
    </row>
    <row r="89" spans="1:5" x14ac:dyDescent="0.3">
      <c r="A89" s="12" t="s">
        <v>76</v>
      </c>
      <c r="B89" s="12" t="s">
        <v>3</v>
      </c>
      <c r="C89" s="33">
        <v>8</v>
      </c>
      <c r="D89" s="37">
        <v>12000</v>
      </c>
      <c r="E89" s="37">
        <f t="shared" si="14"/>
        <v>96000</v>
      </c>
    </row>
    <row r="90" spans="1:5" hidden="1" x14ac:dyDescent="0.3">
      <c r="A90" s="12" t="s">
        <v>76</v>
      </c>
      <c r="B90" s="12" t="s">
        <v>17</v>
      </c>
      <c r="C90" s="33">
        <v>0</v>
      </c>
      <c r="D90" s="34"/>
      <c r="E90" s="34"/>
    </row>
    <row r="91" spans="1:5" hidden="1" x14ac:dyDescent="0.3">
      <c r="A91" s="12" t="s">
        <v>77</v>
      </c>
      <c r="B91" s="12" t="s">
        <v>25</v>
      </c>
      <c r="C91" s="33">
        <v>0</v>
      </c>
      <c r="D91" s="34"/>
      <c r="E91" s="34"/>
    </row>
    <row r="92" spans="1:5" x14ac:dyDescent="0.3">
      <c r="A92" s="12" t="s">
        <v>77</v>
      </c>
      <c r="B92" s="12" t="s">
        <v>3</v>
      </c>
      <c r="C92" s="33">
        <v>4</v>
      </c>
      <c r="D92" s="37">
        <v>38000</v>
      </c>
      <c r="E92" s="37">
        <f t="shared" ref="E92:E93" si="15">+D92*C92</f>
        <v>152000</v>
      </c>
    </row>
    <row r="93" spans="1:5" x14ac:dyDescent="0.3">
      <c r="A93" s="12" t="s">
        <v>78</v>
      </c>
      <c r="B93" s="12" t="s">
        <v>3</v>
      </c>
      <c r="C93" s="33">
        <v>70</v>
      </c>
      <c r="D93" s="37">
        <v>32000</v>
      </c>
      <c r="E93" s="37">
        <f t="shared" si="15"/>
        <v>2240000</v>
      </c>
    </row>
    <row r="94" spans="1:5" hidden="1" x14ac:dyDescent="0.3">
      <c r="A94" s="12" t="s">
        <v>78</v>
      </c>
      <c r="B94" s="12" t="s">
        <v>9</v>
      </c>
      <c r="C94" s="33">
        <v>0</v>
      </c>
      <c r="D94" s="34"/>
      <c r="E94" s="34"/>
    </row>
    <row r="95" spans="1:5" x14ac:dyDescent="0.3">
      <c r="A95" s="12" t="s">
        <v>79</v>
      </c>
      <c r="B95" s="12" t="s">
        <v>3</v>
      </c>
      <c r="C95" s="33">
        <v>5</v>
      </c>
      <c r="D95" s="37">
        <v>27000</v>
      </c>
      <c r="E95" s="37">
        <f t="shared" ref="E95:E96" si="16">+D95*C95</f>
        <v>135000</v>
      </c>
    </row>
    <row r="96" spans="1:5" x14ac:dyDescent="0.3">
      <c r="A96" s="12" t="s">
        <v>80</v>
      </c>
      <c r="B96" s="12" t="s">
        <v>3</v>
      </c>
      <c r="C96" s="33">
        <v>160</v>
      </c>
      <c r="D96" s="37">
        <v>18000</v>
      </c>
      <c r="E96" s="37">
        <f t="shared" si="16"/>
        <v>2880000</v>
      </c>
    </row>
    <row r="97" spans="1:5" hidden="1" x14ac:dyDescent="0.3">
      <c r="A97" s="12" t="s">
        <v>80</v>
      </c>
      <c r="B97" s="12" t="s">
        <v>9</v>
      </c>
      <c r="C97" s="33">
        <v>0</v>
      </c>
      <c r="D97" s="34"/>
      <c r="E97" s="34"/>
    </row>
    <row r="98" spans="1:5" x14ac:dyDescent="0.3">
      <c r="A98" s="12" t="s">
        <v>81</v>
      </c>
      <c r="B98" s="12" t="s">
        <v>3</v>
      </c>
      <c r="C98" s="33">
        <v>12</v>
      </c>
      <c r="D98" s="37">
        <v>21000</v>
      </c>
      <c r="E98" s="37">
        <f t="shared" ref="E98:E99" si="17">+D98*C98</f>
        <v>252000</v>
      </c>
    </row>
    <row r="99" spans="1:5" x14ac:dyDescent="0.3">
      <c r="A99" s="12" t="s">
        <v>82</v>
      </c>
      <c r="B99" s="12" t="s">
        <v>3</v>
      </c>
      <c r="C99" s="33">
        <v>65</v>
      </c>
      <c r="D99" s="37">
        <v>30000</v>
      </c>
      <c r="E99" s="37">
        <f t="shared" si="17"/>
        <v>1950000</v>
      </c>
    </row>
    <row r="100" spans="1:5" hidden="1" x14ac:dyDescent="0.3">
      <c r="A100" s="12" t="s">
        <v>82</v>
      </c>
      <c r="B100" s="12" t="s">
        <v>9</v>
      </c>
      <c r="C100" s="33">
        <v>0</v>
      </c>
      <c r="D100" s="34"/>
      <c r="E100" s="34"/>
    </row>
    <row r="101" spans="1:5" x14ac:dyDescent="0.3">
      <c r="A101" s="12" t="s">
        <v>84</v>
      </c>
      <c r="B101" s="12" t="s">
        <v>3</v>
      </c>
      <c r="C101" s="33">
        <v>45</v>
      </c>
      <c r="D101" s="37">
        <v>16000</v>
      </c>
      <c r="E101" s="37">
        <f t="shared" ref="E101:E102" si="18">+D101*C101</f>
        <v>720000</v>
      </c>
    </row>
    <row r="102" spans="1:5" x14ac:dyDescent="0.3">
      <c r="A102" s="12" t="s">
        <v>84</v>
      </c>
      <c r="B102" s="12" t="s">
        <v>30</v>
      </c>
      <c r="C102" s="33">
        <v>70</v>
      </c>
      <c r="D102" s="37">
        <v>16000</v>
      </c>
      <c r="E102" s="37">
        <f t="shared" si="18"/>
        <v>1120000</v>
      </c>
    </row>
    <row r="103" spans="1:5" hidden="1" x14ac:dyDescent="0.3">
      <c r="A103" s="12" t="s">
        <v>85</v>
      </c>
      <c r="B103" s="12" t="s">
        <v>30</v>
      </c>
      <c r="C103" s="33">
        <v>0</v>
      </c>
      <c r="D103" s="34"/>
      <c r="E103" s="34"/>
    </row>
    <row r="104" spans="1:5" hidden="1" x14ac:dyDescent="0.3">
      <c r="A104" s="12" t="s">
        <v>123</v>
      </c>
      <c r="B104" s="12" t="s">
        <v>3</v>
      </c>
      <c r="C104" s="33">
        <v>0</v>
      </c>
      <c r="D104" s="34"/>
      <c r="E104" s="34"/>
    </row>
    <row r="105" spans="1:5" x14ac:dyDescent="0.3">
      <c r="A105" s="12" t="s">
        <v>106</v>
      </c>
      <c r="B105" s="12" t="s">
        <v>9</v>
      </c>
      <c r="C105" s="33">
        <v>1812</v>
      </c>
      <c r="D105" s="37">
        <v>8000</v>
      </c>
      <c r="E105" s="37">
        <f t="shared" ref="E105:E111" si="19">+D105*C105</f>
        <v>14496000</v>
      </c>
    </row>
    <row r="106" spans="1:5" x14ac:dyDescent="0.3">
      <c r="A106" s="12" t="s">
        <v>88</v>
      </c>
      <c r="B106" s="12" t="s">
        <v>9</v>
      </c>
      <c r="C106" s="33">
        <v>805</v>
      </c>
      <c r="D106" s="37">
        <v>11361</v>
      </c>
      <c r="E106" s="37">
        <f t="shared" si="19"/>
        <v>9145605</v>
      </c>
    </row>
    <row r="107" spans="1:5" x14ac:dyDescent="0.3">
      <c r="A107" s="12" t="s">
        <v>146</v>
      </c>
      <c r="B107" s="12" t="s">
        <v>9</v>
      </c>
      <c r="C107" s="33">
        <v>167</v>
      </c>
      <c r="D107" s="37">
        <v>90000</v>
      </c>
      <c r="E107" s="37">
        <f t="shared" si="19"/>
        <v>15030000</v>
      </c>
    </row>
    <row r="108" spans="1:5" x14ac:dyDescent="0.3">
      <c r="A108" s="12" t="s">
        <v>89</v>
      </c>
      <c r="B108" s="12" t="s">
        <v>3</v>
      </c>
      <c r="C108" s="33">
        <v>1747</v>
      </c>
      <c r="D108" s="37">
        <v>31000</v>
      </c>
      <c r="E108" s="37">
        <f t="shared" si="19"/>
        <v>54157000</v>
      </c>
    </row>
    <row r="109" spans="1:5" x14ac:dyDescent="0.3">
      <c r="A109" s="12" t="s">
        <v>90</v>
      </c>
      <c r="B109" s="12" t="s">
        <v>3</v>
      </c>
      <c r="C109" s="33">
        <v>24</v>
      </c>
      <c r="D109" s="37">
        <v>20000</v>
      </c>
      <c r="E109" s="37">
        <f t="shared" si="19"/>
        <v>480000</v>
      </c>
    </row>
    <row r="110" spans="1:5" x14ac:dyDescent="0.3">
      <c r="A110" s="12" t="s">
        <v>154</v>
      </c>
      <c r="B110" s="12" t="s">
        <v>9</v>
      </c>
      <c r="C110" s="33">
        <v>585</v>
      </c>
      <c r="D110" s="37">
        <v>32000</v>
      </c>
      <c r="E110" s="37">
        <f t="shared" si="19"/>
        <v>18720000</v>
      </c>
    </row>
    <row r="111" spans="1:5" x14ac:dyDescent="0.3">
      <c r="A111" s="12" t="s">
        <v>92</v>
      </c>
      <c r="B111" s="12" t="s">
        <v>3</v>
      </c>
      <c r="C111" s="33">
        <v>150</v>
      </c>
      <c r="D111" s="37">
        <v>10000</v>
      </c>
      <c r="E111" s="37">
        <f t="shared" si="19"/>
        <v>1500000</v>
      </c>
    </row>
    <row r="112" spans="1:5" hidden="1" x14ac:dyDescent="0.3">
      <c r="A112" s="12" t="s">
        <v>114</v>
      </c>
      <c r="B112" s="12" t="s">
        <v>3</v>
      </c>
      <c r="C112" s="33">
        <v>0</v>
      </c>
      <c r="D112" s="34"/>
      <c r="E112" s="34"/>
    </row>
    <row r="113" spans="1:5" x14ac:dyDescent="0.3">
      <c r="A113" s="12" t="s">
        <v>93</v>
      </c>
      <c r="B113" s="12" t="s">
        <v>3</v>
      </c>
      <c r="C113" s="33">
        <v>17</v>
      </c>
      <c r="D113" s="37">
        <v>13000</v>
      </c>
      <c r="E113" s="37">
        <f>+D113*C113</f>
        <v>221000</v>
      </c>
    </row>
    <row r="114" spans="1:5" hidden="1" x14ac:dyDescent="0.3">
      <c r="A114" s="12" t="s">
        <v>94</v>
      </c>
      <c r="B114" s="12" t="s">
        <v>3</v>
      </c>
      <c r="C114" s="33">
        <v>0</v>
      </c>
      <c r="D114" s="34"/>
      <c r="E114" s="34"/>
    </row>
    <row r="115" spans="1:5" hidden="1" x14ac:dyDescent="0.3">
      <c r="A115" s="12" t="s">
        <v>95</v>
      </c>
      <c r="B115" s="12" t="s">
        <v>40</v>
      </c>
      <c r="C115" s="33">
        <v>0</v>
      </c>
      <c r="D115" s="34"/>
      <c r="E115" s="34"/>
    </row>
    <row r="116" spans="1:5" hidden="1" x14ac:dyDescent="0.3">
      <c r="A116" s="12" t="s">
        <v>96</v>
      </c>
      <c r="B116" s="12" t="s">
        <v>3</v>
      </c>
      <c r="C116" s="33">
        <v>0</v>
      </c>
      <c r="D116" s="34"/>
      <c r="E116" s="34"/>
    </row>
    <row r="117" spans="1:5" hidden="1" x14ac:dyDescent="0.3">
      <c r="A117" s="12" t="s">
        <v>97</v>
      </c>
      <c r="B117" s="12" t="s">
        <v>40</v>
      </c>
      <c r="C117" s="33">
        <v>0</v>
      </c>
      <c r="D117" s="34"/>
      <c r="E117" s="34"/>
    </row>
    <row r="118" spans="1:5" hidden="1" x14ac:dyDescent="0.3">
      <c r="A118" s="12" t="s">
        <v>98</v>
      </c>
      <c r="B118" s="12" t="s">
        <v>3</v>
      </c>
      <c r="C118" s="33">
        <v>0</v>
      </c>
      <c r="D118" s="34"/>
      <c r="E118" s="34"/>
    </row>
    <row r="119" spans="1:5" x14ac:dyDescent="0.3">
      <c r="A119" s="12" t="s">
        <v>99</v>
      </c>
      <c r="B119" s="12" t="s">
        <v>3</v>
      </c>
      <c r="C119" s="33">
        <v>12</v>
      </c>
      <c r="D119" s="37">
        <v>30000</v>
      </c>
      <c r="E119" s="37">
        <f t="shared" ref="E119:E134" si="20">+D119*C119</f>
        <v>360000</v>
      </c>
    </row>
    <row r="120" spans="1:5" x14ac:dyDescent="0.3">
      <c r="A120" s="12" t="s">
        <v>100</v>
      </c>
      <c r="B120" s="12" t="s">
        <v>40</v>
      </c>
      <c r="C120" s="33">
        <v>225</v>
      </c>
      <c r="D120" s="37">
        <v>7500</v>
      </c>
      <c r="E120" s="37">
        <f t="shared" si="20"/>
        <v>1687500</v>
      </c>
    </row>
    <row r="121" spans="1:5" x14ac:dyDescent="0.3">
      <c r="A121" s="19" t="e">
        <v>#N/A</v>
      </c>
      <c r="B121" s="19">
        <v>0</v>
      </c>
      <c r="C121" s="41">
        <v>21664</v>
      </c>
      <c r="D121" s="39" t="e">
        <v>#N/A</v>
      </c>
      <c r="E121" s="39">
        <f>SUBTOTAL(9,E2:E120)</f>
        <v>403307405</v>
      </c>
    </row>
    <row r="122" spans="1:5" ht="62.4" x14ac:dyDescent="0.3">
      <c r="A122" s="35" t="s">
        <v>130</v>
      </c>
      <c r="B122" s="16" t="s">
        <v>1</v>
      </c>
      <c r="C122" s="15" t="s">
        <v>137</v>
      </c>
      <c r="D122" s="31" t="s">
        <v>140</v>
      </c>
      <c r="E122" s="31" t="s">
        <v>141</v>
      </c>
    </row>
    <row r="123" spans="1:5" x14ac:dyDescent="0.3">
      <c r="A123" s="12" t="s">
        <v>2</v>
      </c>
      <c r="B123" s="12" t="s">
        <v>3</v>
      </c>
      <c r="C123" s="13">
        <v>7</v>
      </c>
      <c r="D123" s="37">
        <v>11000</v>
      </c>
      <c r="E123" s="37">
        <f t="shared" si="20"/>
        <v>77000</v>
      </c>
    </row>
    <row r="124" spans="1:5" x14ac:dyDescent="0.3">
      <c r="A124" s="12" t="s">
        <v>4</v>
      </c>
      <c r="B124" s="12" t="s">
        <v>3</v>
      </c>
      <c r="C124" s="13">
        <v>410</v>
      </c>
      <c r="D124" s="37">
        <v>6000</v>
      </c>
      <c r="E124" s="37">
        <f t="shared" si="20"/>
        <v>2460000</v>
      </c>
    </row>
    <row r="125" spans="1:5" x14ac:dyDescent="0.3">
      <c r="A125" s="12" t="s">
        <v>5</v>
      </c>
      <c r="B125" s="12" t="s">
        <v>3</v>
      </c>
      <c r="C125" s="13">
        <v>132</v>
      </c>
      <c r="D125" s="37">
        <v>5500</v>
      </c>
      <c r="E125" s="37">
        <f t="shared" si="20"/>
        <v>726000</v>
      </c>
    </row>
    <row r="126" spans="1:5" x14ac:dyDescent="0.3">
      <c r="A126" s="12" t="s">
        <v>119</v>
      </c>
      <c r="B126" s="12" t="s">
        <v>3</v>
      </c>
      <c r="C126" s="13">
        <v>19</v>
      </c>
      <c r="D126" s="37">
        <v>10000</v>
      </c>
      <c r="E126" s="37">
        <f t="shared" si="20"/>
        <v>190000</v>
      </c>
    </row>
    <row r="127" spans="1:5" x14ac:dyDescent="0.3">
      <c r="A127" s="12" t="s">
        <v>7</v>
      </c>
      <c r="B127" s="12" t="s">
        <v>3</v>
      </c>
      <c r="C127" s="13">
        <v>44</v>
      </c>
      <c r="D127" s="37">
        <v>8000</v>
      </c>
      <c r="E127" s="37">
        <f t="shared" si="20"/>
        <v>352000</v>
      </c>
    </row>
    <row r="128" spans="1:5" x14ac:dyDescent="0.3">
      <c r="A128" s="12" t="s">
        <v>8</v>
      </c>
      <c r="B128" s="12" t="s">
        <v>3</v>
      </c>
      <c r="C128" s="13">
        <v>10</v>
      </c>
      <c r="D128" s="37">
        <v>10000</v>
      </c>
      <c r="E128" s="37">
        <f t="shared" si="20"/>
        <v>100000</v>
      </c>
    </row>
    <row r="129" spans="1:5" x14ac:dyDescent="0.3">
      <c r="A129" s="12" t="s">
        <v>102</v>
      </c>
      <c r="B129" s="12" t="s">
        <v>3</v>
      </c>
      <c r="C129" s="13">
        <v>34</v>
      </c>
      <c r="D129" s="37">
        <v>11000</v>
      </c>
      <c r="E129" s="37">
        <f t="shared" si="20"/>
        <v>374000</v>
      </c>
    </row>
    <row r="130" spans="1:5" x14ac:dyDescent="0.3">
      <c r="A130" s="12" t="s">
        <v>18</v>
      </c>
      <c r="B130" s="12" t="s">
        <v>3</v>
      </c>
      <c r="C130" s="13">
        <v>33</v>
      </c>
      <c r="D130" s="37">
        <v>15000</v>
      </c>
      <c r="E130" s="37">
        <f t="shared" si="20"/>
        <v>495000</v>
      </c>
    </row>
    <row r="131" spans="1:5" x14ac:dyDescent="0.3">
      <c r="A131" s="12" t="s">
        <v>28</v>
      </c>
      <c r="B131" s="12" t="s">
        <v>3</v>
      </c>
      <c r="C131" s="13">
        <v>100</v>
      </c>
      <c r="D131" s="37">
        <v>10000</v>
      </c>
      <c r="E131" s="37">
        <f t="shared" si="20"/>
        <v>1000000</v>
      </c>
    </row>
    <row r="132" spans="1:5" x14ac:dyDescent="0.3">
      <c r="A132" s="12" t="s">
        <v>31</v>
      </c>
      <c r="B132" s="12" t="s">
        <v>3</v>
      </c>
      <c r="C132" s="13">
        <v>176</v>
      </c>
      <c r="D132" s="37">
        <v>8500</v>
      </c>
      <c r="E132" s="37">
        <f t="shared" si="20"/>
        <v>1496000</v>
      </c>
    </row>
    <row r="133" spans="1:5" x14ac:dyDescent="0.3">
      <c r="A133" s="12" t="s">
        <v>33</v>
      </c>
      <c r="B133" s="12" t="s">
        <v>3</v>
      </c>
      <c r="C133" s="13">
        <v>6</v>
      </c>
      <c r="D133" s="37">
        <v>8000</v>
      </c>
      <c r="E133" s="37">
        <f t="shared" si="20"/>
        <v>48000</v>
      </c>
    </row>
    <row r="134" spans="1:5" x14ac:dyDescent="0.3">
      <c r="A134" s="12" t="s">
        <v>38</v>
      </c>
      <c r="B134" s="12" t="s">
        <v>3</v>
      </c>
      <c r="C134" s="13">
        <v>250</v>
      </c>
      <c r="D134" s="37">
        <v>5500</v>
      </c>
      <c r="E134" s="37">
        <f t="shared" si="20"/>
        <v>1375000</v>
      </c>
    </row>
    <row r="135" spans="1:5" hidden="1" x14ac:dyDescent="0.3">
      <c r="A135" s="12" t="s">
        <v>103</v>
      </c>
      <c r="B135" s="12" t="s">
        <v>3</v>
      </c>
      <c r="C135" s="13">
        <v>0</v>
      </c>
      <c r="D135" s="34"/>
      <c r="E135" s="34"/>
    </row>
    <row r="136" spans="1:5" x14ac:dyDescent="0.3">
      <c r="A136" s="12" t="s">
        <v>104</v>
      </c>
      <c r="B136" s="12" t="s">
        <v>3</v>
      </c>
      <c r="C136" s="13">
        <v>1830</v>
      </c>
      <c r="D136" s="37">
        <v>5000</v>
      </c>
      <c r="E136" s="37">
        <f t="shared" ref="E136:E137" si="21">+D136*C136</f>
        <v>9150000</v>
      </c>
    </row>
    <row r="137" spans="1:5" x14ac:dyDescent="0.3">
      <c r="A137" s="12" t="s">
        <v>39</v>
      </c>
      <c r="B137" s="12" t="s">
        <v>3</v>
      </c>
      <c r="C137" s="13">
        <v>45</v>
      </c>
      <c r="D137" s="37">
        <v>12000</v>
      </c>
      <c r="E137" s="37">
        <f t="shared" si="21"/>
        <v>540000</v>
      </c>
    </row>
    <row r="138" spans="1:5" hidden="1" x14ac:dyDescent="0.3">
      <c r="A138" s="12" t="s">
        <v>105</v>
      </c>
      <c r="B138" s="12" t="s">
        <v>3</v>
      </c>
      <c r="C138" s="13">
        <v>0</v>
      </c>
      <c r="D138" s="34"/>
      <c r="E138" s="34"/>
    </row>
    <row r="139" spans="1:5" x14ac:dyDescent="0.3">
      <c r="A139" s="12" t="s">
        <v>41</v>
      </c>
      <c r="B139" s="12" t="s">
        <v>3</v>
      </c>
      <c r="C139" s="13">
        <v>16.5</v>
      </c>
      <c r="D139" s="37">
        <v>14000</v>
      </c>
      <c r="E139" s="37">
        <f t="shared" ref="E139:E145" si="22">+D139*C139</f>
        <v>231000</v>
      </c>
    </row>
    <row r="140" spans="1:5" x14ac:dyDescent="0.3">
      <c r="A140" s="12" t="s">
        <v>44</v>
      </c>
      <c r="B140" s="12" t="s">
        <v>3</v>
      </c>
      <c r="C140" s="13">
        <v>30</v>
      </c>
      <c r="D140" s="37">
        <v>6000</v>
      </c>
      <c r="E140" s="37">
        <f t="shared" si="22"/>
        <v>180000</v>
      </c>
    </row>
    <row r="141" spans="1:5" x14ac:dyDescent="0.3">
      <c r="A141" s="12" t="s">
        <v>45</v>
      </c>
      <c r="B141" s="12" t="s">
        <v>3</v>
      </c>
      <c r="C141" s="13">
        <v>6</v>
      </c>
      <c r="D141" s="37">
        <v>11000</v>
      </c>
      <c r="E141" s="37">
        <f t="shared" si="22"/>
        <v>66000</v>
      </c>
    </row>
    <row r="142" spans="1:5" x14ac:dyDescent="0.3">
      <c r="A142" s="12" t="s">
        <v>47</v>
      </c>
      <c r="B142" s="12" t="s">
        <v>3</v>
      </c>
      <c r="C142" s="13">
        <v>44</v>
      </c>
      <c r="D142" s="37">
        <v>9000</v>
      </c>
      <c r="E142" s="37">
        <f t="shared" si="22"/>
        <v>396000</v>
      </c>
    </row>
    <row r="143" spans="1:5" x14ac:dyDescent="0.3">
      <c r="A143" s="12" t="s">
        <v>54</v>
      </c>
      <c r="B143" s="12" t="s">
        <v>3</v>
      </c>
      <c r="C143" s="13">
        <v>44</v>
      </c>
      <c r="D143" s="37">
        <v>17000</v>
      </c>
      <c r="E143" s="37">
        <f t="shared" si="22"/>
        <v>748000</v>
      </c>
    </row>
    <row r="144" spans="1:5" x14ac:dyDescent="0.3">
      <c r="A144" s="12" t="s">
        <v>59</v>
      </c>
      <c r="B144" s="12" t="s">
        <v>3</v>
      </c>
      <c r="C144" s="13">
        <v>30</v>
      </c>
      <c r="D144" s="37">
        <v>18000</v>
      </c>
      <c r="E144" s="37">
        <f t="shared" si="22"/>
        <v>540000</v>
      </c>
    </row>
    <row r="145" spans="1:5" x14ac:dyDescent="0.3">
      <c r="A145" s="12" t="s">
        <v>61</v>
      </c>
      <c r="B145" s="12" t="s">
        <v>3</v>
      </c>
      <c r="C145" s="13">
        <v>5</v>
      </c>
      <c r="D145" s="37">
        <v>11000</v>
      </c>
      <c r="E145" s="37">
        <f t="shared" si="22"/>
        <v>55000</v>
      </c>
    </row>
    <row r="146" spans="1:5" hidden="1" x14ac:dyDescent="0.3">
      <c r="A146" s="12" t="s">
        <v>62</v>
      </c>
      <c r="B146" s="12" t="s">
        <v>30</v>
      </c>
      <c r="C146" s="13">
        <v>0</v>
      </c>
      <c r="D146" s="34"/>
      <c r="E146" s="34"/>
    </row>
    <row r="147" spans="1:5" x14ac:dyDescent="0.3">
      <c r="A147" s="12" t="s">
        <v>63</v>
      </c>
      <c r="B147" s="12" t="s">
        <v>30</v>
      </c>
      <c r="C147" s="13">
        <v>20</v>
      </c>
      <c r="D147" s="37">
        <v>8500</v>
      </c>
      <c r="E147" s="37">
        <f>+D147*C147</f>
        <v>170000</v>
      </c>
    </row>
    <row r="148" spans="1:5" hidden="1" x14ac:dyDescent="0.3">
      <c r="A148" s="12" t="s">
        <v>68</v>
      </c>
      <c r="B148" s="12" t="s">
        <v>3</v>
      </c>
      <c r="C148" s="13">
        <v>0</v>
      </c>
      <c r="D148" s="34"/>
      <c r="E148" s="34"/>
    </row>
    <row r="149" spans="1:5" hidden="1" x14ac:dyDescent="0.3">
      <c r="A149" s="12" t="s">
        <v>68</v>
      </c>
      <c r="B149" s="12" t="s">
        <v>17</v>
      </c>
      <c r="C149" s="13">
        <v>0</v>
      </c>
      <c r="D149" s="34"/>
      <c r="E149" s="34"/>
    </row>
    <row r="150" spans="1:5" x14ac:dyDescent="0.3">
      <c r="A150" s="12" t="s">
        <v>71</v>
      </c>
      <c r="B150" s="12" t="s">
        <v>3</v>
      </c>
      <c r="C150" s="13">
        <v>11</v>
      </c>
      <c r="D150" s="37">
        <v>14000</v>
      </c>
      <c r="E150" s="37">
        <f>+D150*C150</f>
        <v>154000</v>
      </c>
    </row>
    <row r="151" spans="1:5" hidden="1" x14ac:dyDescent="0.3">
      <c r="A151" s="12" t="s">
        <v>72</v>
      </c>
      <c r="B151" s="12" t="s">
        <v>3</v>
      </c>
      <c r="C151" s="13">
        <v>0</v>
      </c>
      <c r="D151" s="34"/>
      <c r="E151" s="34"/>
    </row>
    <row r="152" spans="1:5" hidden="1" x14ac:dyDescent="0.3">
      <c r="A152" s="12" t="s">
        <v>73</v>
      </c>
      <c r="B152" s="12" t="s">
        <v>3</v>
      </c>
      <c r="C152" s="13">
        <v>0</v>
      </c>
      <c r="D152" s="34"/>
      <c r="E152" s="34"/>
    </row>
    <row r="153" spans="1:5" x14ac:dyDescent="0.3">
      <c r="A153" s="12" t="s">
        <v>78</v>
      </c>
      <c r="B153" s="12" t="s">
        <v>3</v>
      </c>
      <c r="C153" s="13">
        <v>5</v>
      </c>
      <c r="D153" s="37">
        <v>32000</v>
      </c>
      <c r="E153" s="37">
        <f t="shared" ref="E153:E156" si="23">+D153*C153</f>
        <v>160000</v>
      </c>
    </row>
    <row r="154" spans="1:5" x14ac:dyDescent="0.3">
      <c r="A154" s="12" t="s">
        <v>80</v>
      </c>
      <c r="B154" s="12" t="s">
        <v>3</v>
      </c>
      <c r="C154" s="13">
        <v>5</v>
      </c>
      <c r="D154" s="37">
        <v>18000</v>
      </c>
      <c r="E154" s="37">
        <f t="shared" si="23"/>
        <v>90000</v>
      </c>
    </row>
    <row r="155" spans="1:5" x14ac:dyDescent="0.3">
      <c r="A155" s="12" t="s">
        <v>82</v>
      </c>
      <c r="B155" s="12" t="s">
        <v>3</v>
      </c>
      <c r="C155" s="13">
        <v>5</v>
      </c>
      <c r="D155" s="37">
        <v>30000</v>
      </c>
      <c r="E155" s="37">
        <f t="shared" si="23"/>
        <v>150000</v>
      </c>
    </row>
    <row r="156" spans="1:5" x14ac:dyDescent="0.3">
      <c r="A156" s="12" t="s">
        <v>92</v>
      </c>
      <c r="B156" s="12" t="s">
        <v>3</v>
      </c>
      <c r="C156" s="13">
        <v>30</v>
      </c>
      <c r="D156" s="37">
        <v>10000</v>
      </c>
      <c r="E156" s="37">
        <f t="shared" si="23"/>
        <v>300000</v>
      </c>
    </row>
    <row r="157" spans="1:5" hidden="1" x14ac:dyDescent="0.3">
      <c r="A157" s="12" t="s">
        <v>94</v>
      </c>
      <c r="B157" s="12" t="s">
        <v>40</v>
      </c>
      <c r="C157" s="13">
        <v>0</v>
      </c>
      <c r="D157" s="34"/>
      <c r="E157" s="34"/>
    </row>
    <row r="158" spans="1:5" hidden="1" x14ac:dyDescent="0.3">
      <c r="A158" s="12" t="s">
        <v>95</v>
      </c>
      <c r="B158" s="12" t="s">
        <v>40</v>
      </c>
      <c r="C158" s="13">
        <v>0</v>
      </c>
      <c r="D158" s="34"/>
      <c r="E158" s="34"/>
    </row>
    <row r="159" spans="1:5" hidden="1" x14ac:dyDescent="0.3">
      <c r="A159" s="12" t="s">
        <v>97</v>
      </c>
      <c r="B159" s="12" t="s">
        <v>40</v>
      </c>
      <c r="C159" s="13">
        <v>0</v>
      </c>
      <c r="D159" s="34"/>
      <c r="E159" s="34"/>
    </row>
    <row r="160" spans="1:5" hidden="1" x14ac:dyDescent="0.3">
      <c r="A160" s="12" t="s">
        <v>100</v>
      </c>
      <c r="B160" s="12" t="s">
        <v>40</v>
      </c>
      <c r="C160" s="13">
        <v>0</v>
      </c>
      <c r="D160" s="34"/>
      <c r="E160" s="34"/>
    </row>
    <row r="161" spans="1:5" x14ac:dyDescent="0.3">
      <c r="A161" s="19" t="e">
        <v>#N/A</v>
      </c>
      <c r="B161" s="19">
        <v>0</v>
      </c>
      <c r="C161" s="20">
        <v>2197.5</v>
      </c>
      <c r="D161" s="39">
        <v>1</v>
      </c>
      <c r="E161" s="39">
        <f>SUBTOTAL(9,E123:E156)</f>
        <v>21623000</v>
      </c>
    </row>
    <row r="162" spans="1:5" x14ac:dyDescent="0.3">
      <c r="C162" s="32">
        <v>1</v>
      </c>
      <c r="E162" s="53">
        <f>+E161+E121</f>
        <v>424930405</v>
      </c>
    </row>
  </sheetData>
  <autoFilter ref="A1:E162" xr:uid="{00000000-0009-0000-0000-000012000000}">
    <filterColumn colId="2">
      <filters>
        <filter val="1"/>
        <filter val="1,747"/>
        <filter val="1,812"/>
        <filter val="10"/>
        <filter val="100"/>
        <filter val="11"/>
        <filter val="116"/>
        <filter val="12"/>
        <filter val="132"/>
        <filter val="133"/>
        <filter val="14"/>
        <filter val="15"/>
        <filter val="150"/>
        <filter val="16.5"/>
        <filter val="160"/>
        <filter val="167"/>
        <filter val="17"/>
        <filter val="176"/>
        <filter val="1830"/>
        <filter val="19"/>
        <filter val="191"/>
        <filter val="2"/>
        <filter val="2,327"/>
        <filter val="20"/>
        <filter val="200"/>
        <filter val="21,664"/>
        <filter val="2197.5"/>
        <filter val="225"/>
        <filter val="24"/>
        <filter val="250"/>
        <filter val="27"/>
        <filter val="28"/>
        <filter val="297"/>
        <filter val="3"/>
        <filter val="3,250"/>
        <filter val="3,715"/>
        <filter val="30"/>
        <filter val="316"/>
        <filter val="32"/>
        <filter val="33"/>
        <filter val="34"/>
        <filter val="354"/>
        <filter val="4"/>
        <filter val="410"/>
        <filter val="44"/>
        <filter val="45"/>
        <filter val="480"/>
        <filter val="5"/>
        <filter val="50"/>
        <filter val="54"/>
        <filter val="585"/>
        <filter val="6"/>
        <filter val="60"/>
        <filter val="65"/>
        <filter val="670"/>
        <filter val="7"/>
        <filter val="70"/>
        <filter val="76"/>
        <filter val="8"/>
        <filter val="800"/>
        <filter val="805"/>
        <filter val="87"/>
        <filter val="9"/>
        <filter val="960"/>
        <filter val="996"/>
        <filter val="Tồn_x000a_ĐL_x000a__x000a_現在個"/>
      </filters>
    </filterColumn>
  </autoFilter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filterMode="1"/>
  <dimension ref="A1:AD156"/>
  <sheetViews>
    <sheetView workbookViewId="0">
      <pane xSplit="1" ySplit="1" topLeftCell="B147" activePane="bottomRight" state="frozen"/>
      <selection pane="topRight" activeCell="B1" sqref="B1"/>
      <selection pane="bottomLeft" activeCell="A2" sqref="A2"/>
      <selection pane="bottomRight" sqref="A1:E1"/>
    </sheetView>
  </sheetViews>
  <sheetFormatPr defaultColWidth="8.88671875" defaultRowHeight="15.6" x14ac:dyDescent="0.3"/>
  <cols>
    <col min="1" max="1" width="27.77734375" style="44" bestFit="1" customWidth="1"/>
    <col min="2" max="2" width="12.109375" style="44" bestFit="1" customWidth="1"/>
    <col min="3" max="3" width="8.6640625" style="45" bestFit="1" customWidth="1"/>
    <col min="4" max="4" width="21.5546875" style="51" customWidth="1"/>
    <col min="5" max="5" width="23.77734375" style="44" customWidth="1"/>
    <col min="6" max="29" width="96.5546875" style="44" bestFit="1" customWidth="1"/>
    <col min="30" max="30" width="13.88671875" style="44" bestFit="1" customWidth="1"/>
    <col min="31" max="16384" width="8.88671875" style="44"/>
  </cols>
  <sheetData>
    <row r="1" spans="1:30" s="46" customFormat="1" ht="66" customHeight="1" x14ac:dyDescent="0.3">
      <c r="A1" s="35" t="s">
        <v>127</v>
      </c>
      <c r="B1" s="16" t="s">
        <v>1</v>
      </c>
      <c r="C1" s="15" t="s">
        <v>137</v>
      </c>
      <c r="D1" s="31" t="s">
        <v>140</v>
      </c>
      <c r="E1" s="31" t="s">
        <v>141</v>
      </c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</row>
    <row r="2" spans="1:30" x14ac:dyDescent="0.3">
      <c r="A2" s="12" t="s">
        <v>2</v>
      </c>
      <c r="B2" s="12" t="s">
        <v>3</v>
      </c>
      <c r="C2" s="33">
        <v>10</v>
      </c>
      <c r="D2" s="49">
        <v>10000</v>
      </c>
      <c r="E2" s="47">
        <f>+D2*C2</f>
        <v>100000</v>
      </c>
    </row>
    <row r="3" spans="1:30" x14ac:dyDescent="0.3">
      <c r="A3" s="12" t="s">
        <v>4</v>
      </c>
      <c r="B3" s="12" t="s">
        <v>3</v>
      </c>
      <c r="C3" s="33">
        <v>315</v>
      </c>
      <c r="D3" s="49">
        <v>4000</v>
      </c>
      <c r="E3" s="47">
        <f t="shared" ref="E3:E66" si="0">+D3*C3</f>
        <v>1260000</v>
      </c>
    </row>
    <row r="4" spans="1:30" x14ac:dyDescent="0.3">
      <c r="A4" s="12" t="s">
        <v>5</v>
      </c>
      <c r="B4" s="12" t="s">
        <v>3</v>
      </c>
      <c r="C4" s="33">
        <v>569</v>
      </c>
      <c r="D4" s="49">
        <v>5500</v>
      </c>
      <c r="E4" s="47">
        <f t="shared" si="0"/>
        <v>3129500</v>
      </c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</row>
    <row r="5" spans="1:30" x14ac:dyDescent="0.3">
      <c r="A5" s="12" t="s">
        <v>119</v>
      </c>
      <c r="B5" s="12" t="s">
        <v>3</v>
      </c>
      <c r="C5" s="33">
        <v>12</v>
      </c>
      <c r="D5" s="49">
        <v>10000</v>
      </c>
      <c r="E5" s="47">
        <f t="shared" si="0"/>
        <v>120000</v>
      </c>
    </row>
    <row r="6" spans="1:30" hidden="1" x14ac:dyDescent="0.3">
      <c r="A6" s="12" t="s">
        <v>6</v>
      </c>
      <c r="B6" s="12" t="s">
        <v>3</v>
      </c>
      <c r="C6" s="33">
        <v>0</v>
      </c>
      <c r="D6" s="13"/>
      <c r="E6" s="47">
        <f t="shared" si="0"/>
        <v>0</v>
      </c>
    </row>
    <row r="7" spans="1:30" x14ac:dyDescent="0.3">
      <c r="A7" s="12" t="s">
        <v>7</v>
      </c>
      <c r="B7" s="12" t="s">
        <v>3</v>
      </c>
      <c r="C7" s="33">
        <v>665</v>
      </c>
      <c r="D7" s="49">
        <v>8000</v>
      </c>
      <c r="E7" s="47">
        <f t="shared" si="0"/>
        <v>5320000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</row>
    <row r="8" spans="1:30" x14ac:dyDescent="0.3">
      <c r="A8" s="12" t="s">
        <v>8</v>
      </c>
      <c r="B8" s="12" t="s">
        <v>3</v>
      </c>
      <c r="C8" s="33">
        <v>92</v>
      </c>
      <c r="D8" s="49">
        <v>8000</v>
      </c>
      <c r="E8" s="47">
        <f t="shared" si="0"/>
        <v>736000</v>
      </c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</row>
    <row r="9" spans="1:30" hidden="1" x14ac:dyDescent="0.3">
      <c r="A9" s="12" t="s">
        <v>8</v>
      </c>
      <c r="B9" s="12" t="s">
        <v>9</v>
      </c>
      <c r="C9" s="33">
        <v>0</v>
      </c>
      <c r="D9" s="34"/>
      <c r="E9" s="47">
        <f t="shared" si="0"/>
        <v>0</v>
      </c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</row>
    <row r="10" spans="1:30" x14ac:dyDescent="0.3">
      <c r="A10" s="12" t="s">
        <v>10</v>
      </c>
      <c r="B10" s="12" t="s">
        <v>3</v>
      </c>
      <c r="C10" s="33">
        <v>72</v>
      </c>
      <c r="D10" s="49">
        <v>10000</v>
      </c>
      <c r="E10" s="47">
        <f t="shared" si="0"/>
        <v>720000</v>
      </c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</row>
    <row r="11" spans="1:30" hidden="1" x14ac:dyDescent="0.3">
      <c r="A11" s="12" t="s">
        <v>10</v>
      </c>
      <c r="B11" s="12" t="s">
        <v>9</v>
      </c>
      <c r="C11" s="33">
        <v>0</v>
      </c>
      <c r="D11" s="34"/>
      <c r="E11" s="47">
        <f t="shared" si="0"/>
        <v>0</v>
      </c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</row>
    <row r="12" spans="1:30" hidden="1" x14ac:dyDescent="0.3">
      <c r="A12" s="12" t="s">
        <v>11</v>
      </c>
      <c r="B12" s="12" t="s">
        <v>3</v>
      </c>
      <c r="C12" s="33">
        <v>0</v>
      </c>
      <c r="D12" s="13"/>
      <c r="E12" s="47">
        <f t="shared" si="0"/>
        <v>0</v>
      </c>
    </row>
    <row r="13" spans="1:30" hidden="1" x14ac:dyDescent="0.3">
      <c r="A13" s="12" t="s">
        <v>12</v>
      </c>
      <c r="B13" s="12" t="s">
        <v>3</v>
      </c>
      <c r="C13" s="33">
        <v>0</v>
      </c>
      <c r="D13" s="13"/>
      <c r="E13" s="47">
        <f t="shared" si="0"/>
        <v>0</v>
      </c>
    </row>
    <row r="14" spans="1:30" x14ac:dyDescent="0.3">
      <c r="A14" s="12" t="s">
        <v>13</v>
      </c>
      <c r="B14" s="12" t="s">
        <v>3</v>
      </c>
      <c r="C14" s="33">
        <v>45</v>
      </c>
      <c r="D14" s="49">
        <v>12000</v>
      </c>
      <c r="E14" s="47">
        <f t="shared" si="0"/>
        <v>540000</v>
      </c>
    </row>
    <row r="15" spans="1:30" hidden="1" x14ac:dyDescent="0.3">
      <c r="A15" s="12" t="s">
        <v>14</v>
      </c>
      <c r="B15" s="12" t="s">
        <v>3</v>
      </c>
      <c r="C15" s="33">
        <v>0</v>
      </c>
      <c r="D15" s="13"/>
      <c r="E15" s="47">
        <f t="shared" si="0"/>
        <v>0</v>
      </c>
    </row>
    <row r="16" spans="1:30" x14ac:dyDescent="0.3">
      <c r="A16" s="12" t="s">
        <v>15</v>
      </c>
      <c r="B16" s="12" t="s">
        <v>3</v>
      </c>
      <c r="C16" s="33">
        <v>45</v>
      </c>
      <c r="D16" s="49">
        <v>21000</v>
      </c>
      <c r="E16" s="47">
        <f t="shared" si="0"/>
        <v>945000</v>
      </c>
    </row>
    <row r="17" spans="1:30" hidden="1" x14ac:dyDescent="0.3">
      <c r="A17" s="12" t="s">
        <v>16</v>
      </c>
      <c r="B17" s="12" t="s">
        <v>17</v>
      </c>
      <c r="C17" s="33">
        <v>0</v>
      </c>
      <c r="D17" s="34"/>
      <c r="E17" s="47">
        <f t="shared" si="0"/>
        <v>0</v>
      </c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</row>
    <row r="18" spans="1:30" x14ac:dyDescent="0.3">
      <c r="A18" s="12" t="s">
        <v>18</v>
      </c>
      <c r="B18" s="12" t="s">
        <v>3</v>
      </c>
      <c r="C18" s="33">
        <v>200</v>
      </c>
      <c r="D18" s="49">
        <v>15000</v>
      </c>
      <c r="E18" s="47">
        <f t="shared" si="0"/>
        <v>3000000</v>
      </c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</row>
    <row r="19" spans="1:30" hidden="1" x14ac:dyDescent="0.3">
      <c r="A19" s="12" t="s">
        <v>18</v>
      </c>
      <c r="B19" s="12" t="s">
        <v>17</v>
      </c>
      <c r="C19" s="33">
        <v>0</v>
      </c>
      <c r="D19" s="34"/>
      <c r="E19" s="47">
        <f t="shared" si="0"/>
        <v>0</v>
      </c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</row>
    <row r="20" spans="1:30" hidden="1" x14ac:dyDescent="0.3">
      <c r="A20" s="12" t="s">
        <v>18</v>
      </c>
      <c r="B20" s="12" t="s">
        <v>19</v>
      </c>
      <c r="C20" s="33">
        <v>0</v>
      </c>
      <c r="D20" s="34"/>
      <c r="E20" s="47">
        <f t="shared" si="0"/>
        <v>0</v>
      </c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</row>
    <row r="21" spans="1:30" x14ac:dyDescent="0.3">
      <c r="A21" s="12" t="s">
        <v>20</v>
      </c>
      <c r="B21" s="12" t="s">
        <v>3</v>
      </c>
      <c r="C21" s="33">
        <v>15</v>
      </c>
      <c r="D21" s="49">
        <v>8000</v>
      </c>
      <c r="E21" s="47">
        <f t="shared" si="0"/>
        <v>120000</v>
      </c>
    </row>
    <row r="22" spans="1:30" hidden="1" x14ac:dyDescent="0.3">
      <c r="A22" s="12" t="s">
        <v>20</v>
      </c>
      <c r="B22" s="12" t="s">
        <v>21</v>
      </c>
      <c r="C22" s="33">
        <v>0</v>
      </c>
      <c r="D22" s="13"/>
      <c r="E22" s="47">
        <f t="shared" si="0"/>
        <v>0</v>
      </c>
    </row>
    <row r="23" spans="1:30" hidden="1" x14ac:dyDescent="0.3">
      <c r="A23" s="12" t="s">
        <v>22</v>
      </c>
      <c r="B23" s="12" t="s">
        <v>3</v>
      </c>
      <c r="C23" s="33">
        <v>0</v>
      </c>
      <c r="D23" s="13"/>
      <c r="E23" s="47">
        <f t="shared" si="0"/>
        <v>0</v>
      </c>
    </row>
    <row r="24" spans="1:30" x14ac:dyDescent="0.3">
      <c r="A24" s="12" t="s">
        <v>22</v>
      </c>
      <c r="B24" s="12" t="s">
        <v>23</v>
      </c>
      <c r="C24" s="33">
        <v>74</v>
      </c>
      <c r="D24" s="49">
        <v>5400</v>
      </c>
      <c r="E24" s="47">
        <f t="shared" si="0"/>
        <v>399600</v>
      </c>
    </row>
    <row r="25" spans="1:30" x14ac:dyDescent="0.3">
      <c r="A25" s="12" t="s">
        <v>24</v>
      </c>
      <c r="B25" s="12" t="s">
        <v>25</v>
      </c>
      <c r="C25" s="33">
        <v>5</v>
      </c>
      <c r="D25" s="49">
        <v>10500</v>
      </c>
      <c r="E25" s="47">
        <f t="shared" si="0"/>
        <v>52500</v>
      </c>
    </row>
    <row r="26" spans="1:30" hidden="1" x14ac:dyDescent="0.3">
      <c r="A26" s="12" t="s">
        <v>26</v>
      </c>
      <c r="B26" s="12" t="s">
        <v>3</v>
      </c>
      <c r="C26" s="33">
        <v>0</v>
      </c>
      <c r="D26" s="13"/>
      <c r="E26" s="47">
        <f t="shared" si="0"/>
        <v>0</v>
      </c>
    </row>
    <row r="27" spans="1:30" x14ac:dyDescent="0.3">
      <c r="A27" s="12" t="s">
        <v>26</v>
      </c>
      <c r="B27" s="12" t="s">
        <v>27</v>
      </c>
      <c r="C27" s="33">
        <v>250</v>
      </c>
      <c r="D27" s="49">
        <v>10000</v>
      </c>
      <c r="E27" s="47">
        <f t="shared" si="0"/>
        <v>2500000</v>
      </c>
    </row>
    <row r="28" spans="1:30" x14ac:dyDescent="0.3">
      <c r="A28" s="12" t="s">
        <v>28</v>
      </c>
      <c r="B28" s="12" t="s">
        <v>3</v>
      </c>
      <c r="C28" s="33">
        <v>145</v>
      </c>
      <c r="D28" s="49">
        <v>10000</v>
      </c>
      <c r="E28" s="47">
        <f t="shared" si="0"/>
        <v>1450000</v>
      </c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</row>
    <row r="29" spans="1:30" hidden="1" x14ac:dyDescent="0.3">
      <c r="A29" s="12" t="s">
        <v>28</v>
      </c>
      <c r="B29" s="12" t="s">
        <v>17</v>
      </c>
      <c r="C29" s="33">
        <v>0</v>
      </c>
      <c r="D29" s="34"/>
      <c r="E29" s="47">
        <f t="shared" si="0"/>
        <v>0</v>
      </c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</row>
    <row r="30" spans="1:30" x14ac:dyDescent="0.3">
      <c r="A30" s="12" t="s">
        <v>29</v>
      </c>
      <c r="B30" s="12" t="s">
        <v>30</v>
      </c>
      <c r="C30" s="33">
        <v>60</v>
      </c>
      <c r="D30" s="49">
        <v>7000</v>
      </c>
      <c r="E30" s="47">
        <f t="shared" si="0"/>
        <v>420000</v>
      </c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</row>
    <row r="31" spans="1:30" x14ac:dyDescent="0.3">
      <c r="A31" s="12" t="s">
        <v>31</v>
      </c>
      <c r="B31" s="12" t="s">
        <v>3</v>
      </c>
      <c r="C31" s="33">
        <v>115</v>
      </c>
      <c r="D31" s="49">
        <v>9000</v>
      </c>
      <c r="E31" s="47">
        <f t="shared" si="0"/>
        <v>1035000</v>
      </c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</row>
    <row r="32" spans="1:30" hidden="1" x14ac:dyDescent="0.3">
      <c r="A32" s="12" t="s">
        <v>31</v>
      </c>
      <c r="B32" s="12" t="s">
        <v>30</v>
      </c>
      <c r="C32" s="33">
        <v>0</v>
      </c>
      <c r="D32" s="34"/>
      <c r="E32" s="47">
        <f t="shared" si="0"/>
        <v>0</v>
      </c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</row>
    <row r="33" spans="1:30" x14ac:dyDescent="0.3">
      <c r="A33" s="12" t="s">
        <v>32</v>
      </c>
      <c r="B33" s="12" t="s">
        <v>17</v>
      </c>
      <c r="C33" s="33">
        <v>27</v>
      </c>
      <c r="D33" s="49">
        <v>6000</v>
      </c>
      <c r="E33" s="47">
        <f t="shared" si="0"/>
        <v>162000</v>
      </c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</row>
    <row r="34" spans="1:30" x14ac:dyDescent="0.3">
      <c r="A34" s="12" t="s">
        <v>33</v>
      </c>
      <c r="B34" s="12" t="s">
        <v>3</v>
      </c>
      <c r="C34" s="33">
        <v>75</v>
      </c>
      <c r="D34" s="49">
        <v>8000</v>
      </c>
      <c r="E34" s="47">
        <f t="shared" si="0"/>
        <v>600000</v>
      </c>
    </row>
    <row r="35" spans="1:30" hidden="1" x14ac:dyDescent="0.3">
      <c r="A35" s="12" t="s">
        <v>33</v>
      </c>
      <c r="B35" s="12" t="s">
        <v>34</v>
      </c>
      <c r="C35" s="33">
        <v>0</v>
      </c>
      <c r="D35" s="13"/>
      <c r="E35" s="47">
        <f t="shared" si="0"/>
        <v>0</v>
      </c>
    </row>
    <row r="36" spans="1:30" x14ac:dyDescent="0.3">
      <c r="A36" s="12" t="s">
        <v>35</v>
      </c>
      <c r="B36" s="12" t="s">
        <v>3</v>
      </c>
      <c r="C36" s="33">
        <v>23</v>
      </c>
      <c r="D36" s="49">
        <v>25000</v>
      </c>
      <c r="E36" s="47">
        <f t="shared" si="0"/>
        <v>575000</v>
      </c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</row>
    <row r="37" spans="1:30" hidden="1" x14ac:dyDescent="0.3">
      <c r="A37" s="12" t="s">
        <v>35</v>
      </c>
      <c r="B37" s="12" t="s">
        <v>30</v>
      </c>
      <c r="C37" s="33">
        <v>0</v>
      </c>
      <c r="D37" s="34"/>
      <c r="E37" s="47">
        <f t="shared" si="0"/>
        <v>0</v>
      </c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</row>
    <row r="38" spans="1:30" hidden="1" x14ac:dyDescent="0.3">
      <c r="A38" s="12" t="s">
        <v>36</v>
      </c>
      <c r="B38" s="12" t="s">
        <v>30</v>
      </c>
      <c r="C38" s="33">
        <v>0</v>
      </c>
      <c r="D38" s="13"/>
      <c r="E38" s="47">
        <f t="shared" si="0"/>
        <v>0</v>
      </c>
    </row>
    <row r="39" spans="1:30" x14ac:dyDescent="0.3">
      <c r="A39" s="12" t="s">
        <v>37</v>
      </c>
      <c r="B39" s="12" t="s">
        <v>30</v>
      </c>
      <c r="C39" s="33">
        <v>12</v>
      </c>
      <c r="D39" s="49">
        <v>4200</v>
      </c>
      <c r="E39" s="47">
        <f t="shared" si="0"/>
        <v>50400</v>
      </c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</row>
    <row r="40" spans="1:30" x14ac:dyDescent="0.3">
      <c r="A40" s="12" t="s">
        <v>38</v>
      </c>
      <c r="B40" s="12" t="s">
        <v>3</v>
      </c>
      <c r="C40" s="33">
        <v>220</v>
      </c>
      <c r="D40" s="49">
        <v>6500</v>
      </c>
      <c r="E40" s="47">
        <f t="shared" si="0"/>
        <v>1430000</v>
      </c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</row>
    <row r="41" spans="1:30" x14ac:dyDescent="0.3">
      <c r="A41" s="12" t="s">
        <v>103</v>
      </c>
      <c r="B41" s="12" t="s">
        <v>3</v>
      </c>
      <c r="C41" s="33">
        <v>5</v>
      </c>
      <c r="D41" s="49">
        <v>14000</v>
      </c>
      <c r="E41" s="47">
        <f t="shared" si="0"/>
        <v>70000</v>
      </c>
    </row>
    <row r="42" spans="1:30" hidden="1" x14ac:dyDescent="0.3">
      <c r="A42" s="12" t="s">
        <v>39</v>
      </c>
      <c r="B42" s="12" t="s">
        <v>40</v>
      </c>
      <c r="C42" s="33">
        <v>0</v>
      </c>
      <c r="D42" s="34"/>
      <c r="E42" s="47">
        <f t="shared" si="0"/>
        <v>0</v>
      </c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</row>
    <row r="43" spans="1:30" x14ac:dyDescent="0.3">
      <c r="A43" s="12" t="s">
        <v>39</v>
      </c>
      <c r="B43" s="12" t="s">
        <v>3</v>
      </c>
      <c r="C43" s="33">
        <v>20</v>
      </c>
      <c r="D43" s="49">
        <v>15000</v>
      </c>
      <c r="E43" s="47">
        <f t="shared" si="0"/>
        <v>300000</v>
      </c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</row>
    <row r="44" spans="1:30" x14ac:dyDescent="0.3">
      <c r="A44" s="12" t="s">
        <v>105</v>
      </c>
      <c r="B44" s="12" t="s">
        <v>3</v>
      </c>
      <c r="C44" s="33">
        <v>18</v>
      </c>
      <c r="D44" s="49">
        <v>27000</v>
      </c>
      <c r="E44" s="47">
        <f t="shared" si="0"/>
        <v>486000</v>
      </c>
    </row>
    <row r="45" spans="1:30" hidden="1" x14ac:dyDescent="0.3">
      <c r="A45" s="12" t="s">
        <v>41</v>
      </c>
      <c r="B45" s="12" t="s">
        <v>3</v>
      </c>
      <c r="C45" s="33">
        <v>0</v>
      </c>
      <c r="D45" s="13"/>
      <c r="E45" s="47">
        <f t="shared" si="0"/>
        <v>0</v>
      </c>
    </row>
    <row r="46" spans="1:30" x14ac:dyDescent="0.3">
      <c r="A46" s="12" t="s">
        <v>42</v>
      </c>
      <c r="B46" s="12" t="s">
        <v>25</v>
      </c>
      <c r="C46" s="33">
        <v>11</v>
      </c>
      <c r="D46" s="49">
        <v>11000</v>
      </c>
      <c r="E46" s="47">
        <f t="shared" si="0"/>
        <v>121000</v>
      </c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</row>
    <row r="47" spans="1:30" x14ac:dyDescent="0.3">
      <c r="A47" s="12" t="s">
        <v>43</v>
      </c>
      <c r="B47" s="12" t="s">
        <v>3</v>
      </c>
      <c r="C47" s="33">
        <v>2</v>
      </c>
      <c r="D47" s="49">
        <v>16000</v>
      </c>
      <c r="E47" s="47">
        <f t="shared" si="0"/>
        <v>32000</v>
      </c>
    </row>
    <row r="48" spans="1:30" x14ac:dyDescent="0.3">
      <c r="A48" s="12" t="s">
        <v>44</v>
      </c>
      <c r="B48" s="12" t="s">
        <v>3</v>
      </c>
      <c r="C48" s="33">
        <v>25</v>
      </c>
      <c r="D48" s="49">
        <v>6000</v>
      </c>
      <c r="E48" s="47">
        <f t="shared" si="0"/>
        <v>150000</v>
      </c>
    </row>
    <row r="49" spans="1:30" x14ac:dyDescent="0.3">
      <c r="A49" s="12" t="s">
        <v>45</v>
      </c>
      <c r="B49" s="12" t="s">
        <v>3</v>
      </c>
      <c r="C49" s="33">
        <v>96</v>
      </c>
      <c r="D49" s="49">
        <v>11000</v>
      </c>
      <c r="E49" s="47">
        <f t="shared" si="0"/>
        <v>1056000</v>
      </c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</row>
    <row r="50" spans="1:30" hidden="1" x14ac:dyDescent="0.3">
      <c r="A50" s="12" t="s">
        <v>45</v>
      </c>
      <c r="B50" s="12" t="s">
        <v>30</v>
      </c>
      <c r="C50" s="33">
        <v>0</v>
      </c>
      <c r="D50" s="34"/>
      <c r="E50" s="47">
        <f t="shared" si="0"/>
        <v>0</v>
      </c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</row>
    <row r="51" spans="1:30" x14ac:dyDescent="0.3">
      <c r="A51" s="12" t="s">
        <v>46</v>
      </c>
      <c r="B51" s="12" t="s">
        <v>3</v>
      </c>
      <c r="C51" s="33">
        <v>5</v>
      </c>
      <c r="D51" s="49">
        <v>18000</v>
      </c>
      <c r="E51" s="47">
        <f t="shared" si="0"/>
        <v>90000</v>
      </c>
    </row>
    <row r="52" spans="1:30" x14ac:dyDescent="0.3">
      <c r="A52" s="12" t="s">
        <v>47</v>
      </c>
      <c r="B52" s="12" t="s">
        <v>3</v>
      </c>
      <c r="C52" s="33">
        <v>155</v>
      </c>
      <c r="D52" s="49">
        <v>9000</v>
      </c>
      <c r="E52" s="47">
        <f t="shared" si="0"/>
        <v>1395000</v>
      </c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</row>
    <row r="53" spans="1:30" hidden="1" x14ac:dyDescent="0.3">
      <c r="A53" s="12" t="s">
        <v>47</v>
      </c>
      <c r="B53" s="12" t="s">
        <v>48</v>
      </c>
      <c r="C53" s="33">
        <v>0</v>
      </c>
      <c r="D53" s="34"/>
      <c r="E53" s="47">
        <f t="shared" si="0"/>
        <v>0</v>
      </c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</row>
    <row r="54" spans="1:30" x14ac:dyDescent="0.3">
      <c r="A54" s="12" t="s">
        <v>49</v>
      </c>
      <c r="B54" s="12" t="s">
        <v>3</v>
      </c>
      <c r="C54" s="33">
        <v>13</v>
      </c>
      <c r="D54" s="49">
        <v>20000</v>
      </c>
      <c r="E54" s="47">
        <f t="shared" si="0"/>
        <v>260000</v>
      </c>
    </row>
    <row r="55" spans="1:30" x14ac:dyDescent="0.3">
      <c r="A55" s="12" t="s">
        <v>50</v>
      </c>
      <c r="B55" s="12" t="s">
        <v>30</v>
      </c>
      <c r="C55" s="33">
        <v>260</v>
      </c>
      <c r="D55" s="49">
        <v>8000</v>
      </c>
      <c r="E55" s="47">
        <f t="shared" si="0"/>
        <v>2080000</v>
      </c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</row>
    <row r="56" spans="1:30" x14ac:dyDescent="0.3">
      <c r="A56" s="12" t="s">
        <v>51</v>
      </c>
      <c r="B56" s="12" t="s">
        <v>3</v>
      </c>
      <c r="C56" s="33">
        <v>450</v>
      </c>
      <c r="D56" s="49">
        <v>28000</v>
      </c>
      <c r="E56" s="47">
        <f t="shared" si="0"/>
        <v>12600000</v>
      </c>
    </row>
    <row r="57" spans="1:30" x14ac:dyDescent="0.3">
      <c r="A57" s="12" t="s">
        <v>52</v>
      </c>
      <c r="B57" s="12" t="s">
        <v>3</v>
      </c>
      <c r="C57" s="33">
        <v>3530</v>
      </c>
      <c r="D57" s="49">
        <v>27000</v>
      </c>
      <c r="E57" s="47">
        <f t="shared" si="0"/>
        <v>95310000</v>
      </c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</row>
    <row r="58" spans="1:30" hidden="1" x14ac:dyDescent="0.3">
      <c r="A58" s="12" t="s">
        <v>52</v>
      </c>
      <c r="B58" s="12" t="s">
        <v>30</v>
      </c>
      <c r="C58" s="33">
        <v>0</v>
      </c>
      <c r="D58" s="34"/>
      <c r="E58" s="47">
        <f t="shared" si="0"/>
        <v>0</v>
      </c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</row>
    <row r="59" spans="1:30" x14ac:dyDescent="0.3">
      <c r="A59" s="12" t="s">
        <v>158</v>
      </c>
      <c r="B59" s="12" t="s">
        <v>3</v>
      </c>
      <c r="C59" s="33">
        <v>800</v>
      </c>
      <c r="D59" s="49">
        <v>27000</v>
      </c>
      <c r="E59" s="47">
        <f t="shared" si="0"/>
        <v>21600000</v>
      </c>
    </row>
    <row r="60" spans="1:30" x14ac:dyDescent="0.3">
      <c r="A60" s="12" t="s">
        <v>54</v>
      </c>
      <c r="B60" s="12" t="s">
        <v>3</v>
      </c>
      <c r="C60" s="33">
        <v>170</v>
      </c>
      <c r="D60" s="49">
        <v>15000</v>
      </c>
      <c r="E60" s="47">
        <f t="shared" si="0"/>
        <v>2550000</v>
      </c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</row>
    <row r="61" spans="1:30" hidden="1" x14ac:dyDescent="0.3">
      <c r="A61" s="12" t="s">
        <v>55</v>
      </c>
      <c r="B61" s="12" t="s">
        <v>3</v>
      </c>
      <c r="C61" s="33">
        <v>0</v>
      </c>
      <c r="D61" s="13"/>
      <c r="E61" s="47">
        <f t="shared" si="0"/>
        <v>0</v>
      </c>
    </row>
    <row r="62" spans="1:30" hidden="1" x14ac:dyDescent="0.3">
      <c r="A62" s="12" t="s">
        <v>56</v>
      </c>
      <c r="B62" s="12" t="s">
        <v>3</v>
      </c>
      <c r="C62" s="33">
        <v>0</v>
      </c>
      <c r="D62" s="13"/>
      <c r="E62" s="47">
        <f t="shared" si="0"/>
        <v>0</v>
      </c>
    </row>
    <row r="63" spans="1:30" hidden="1" x14ac:dyDescent="0.3">
      <c r="A63" s="12" t="s">
        <v>57</v>
      </c>
      <c r="B63" s="12" t="s">
        <v>30</v>
      </c>
      <c r="C63" s="33">
        <v>0</v>
      </c>
      <c r="D63" s="13"/>
      <c r="E63" s="47">
        <f t="shared" si="0"/>
        <v>0</v>
      </c>
    </row>
    <row r="64" spans="1:30" x14ac:dyDescent="0.3">
      <c r="A64" s="12" t="s">
        <v>59</v>
      </c>
      <c r="B64" s="12" t="s">
        <v>3</v>
      </c>
      <c r="C64" s="33">
        <v>640</v>
      </c>
      <c r="D64" s="49">
        <v>18000</v>
      </c>
      <c r="E64" s="47">
        <f t="shared" si="0"/>
        <v>11520000</v>
      </c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</row>
    <row r="65" spans="1:30" hidden="1" x14ac:dyDescent="0.3">
      <c r="A65" s="12" t="s">
        <v>59</v>
      </c>
      <c r="B65" s="12" t="s">
        <v>30</v>
      </c>
      <c r="C65" s="33">
        <v>0</v>
      </c>
      <c r="D65" s="34"/>
      <c r="E65" s="47">
        <f t="shared" si="0"/>
        <v>0</v>
      </c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</row>
    <row r="66" spans="1:30" x14ac:dyDescent="0.3">
      <c r="A66" s="12" t="s">
        <v>60</v>
      </c>
      <c r="B66" s="12" t="s">
        <v>30</v>
      </c>
      <c r="C66" s="33">
        <v>50</v>
      </c>
      <c r="D66" s="49">
        <v>8000</v>
      </c>
      <c r="E66" s="47">
        <f t="shared" si="0"/>
        <v>400000</v>
      </c>
    </row>
    <row r="67" spans="1:30" hidden="1" x14ac:dyDescent="0.3">
      <c r="A67" s="12" t="s">
        <v>138</v>
      </c>
      <c r="B67" s="12" t="s">
        <v>3</v>
      </c>
      <c r="C67" s="33">
        <v>0</v>
      </c>
      <c r="D67" s="13"/>
      <c r="E67" s="47">
        <f t="shared" ref="E67:E130" si="1">+D67*C67</f>
        <v>0</v>
      </c>
    </row>
    <row r="68" spans="1:30" x14ac:dyDescent="0.3">
      <c r="A68" s="12" t="s">
        <v>61</v>
      </c>
      <c r="B68" s="12" t="s">
        <v>3</v>
      </c>
      <c r="C68" s="33">
        <v>16</v>
      </c>
      <c r="D68" s="49">
        <v>11000</v>
      </c>
      <c r="E68" s="47">
        <f t="shared" si="1"/>
        <v>176000</v>
      </c>
    </row>
    <row r="69" spans="1:30" hidden="1" x14ac:dyDescent="0.3">
      <c r="A69" s="12" t="s">
        <v>62</v>
      </c>
      <c r="B69" s="12" t="s">
        <v>30</v>
      </c>
      <c r="C69" s="33">
        <v>0</v>
      </c>
      <c r="D69" s="13"/>
      <c r="E69" s="47">
        <f t="shared" si="1"/>
        <v>0</v>
      </c>
    </row>
    <row r="70" spans="1:30" hidden="1" x14ac:dyDescent="0.3">
      <c r="A70" s="12" t="s">
        <v>63</v>
      </c>
      <c r="B70" s="12" t="s">
        <v>3</v>
      </c>
      <c r="C70" s="33">
        <v>0</v>
      </c>
      <c r="D70" s="13"/>
      <c r="E70" s="47">
        <f t="shared" si="1"/>
        <v>0</v>
      </c>
    </row>
    <row r="71" spans="1:30" x14ac:dyDescent="0.3">
      <c r="A71" s="12" t="s">
        <v>63</v>
      </c>
      <c r="B71" s="12" t="s">
        <v>64</v>
      </c>
      <c r="C71" s="33">
        <v>30</v>
      </c>
      <c r="D71" s="49">
        <v>6000</v>
      </c>
      <c r="E71" s="47">
        <f t="shared" si="1"/>
        <v>180000</v>
      </c>
    </row>
    <row r="72" spans="1:30" hidden="1" x14ac:dyDescent="0.3">
      <c r="A72" s="12" t="s">
        <v>65</v>
      </c>
      <c r="B72" s="12" t="s">
        <v>3</v>
      </c>
      <c r="C72" s="33">
        <v>0</v>
      </c>
      <c r="D72" s="13"/>
      <c r="E72" s="47">
        <f t="shared" si="1"/>
        <v>0</v>
      </c>
    </row>
    <row r="73" spans="1:30" x14ac:dyDescent="0.3">
      <c r="A73" s="12" t="s">
        <v>112</v>
      </c>
      <c r="B73" s="12" t="s">
        <v>3</v>
      </c>
      <c r="C73" s="33">
        <v>0.5</v>
      </c>
      <c r="D73" s="49">
        <v>70000</v>
      </c>
      <c r="E73" s="47">
        <f t="shared" si="1"/>
        <v>35000</v>
      </c>
    </row>
    <row r="74" spans="1:30" hidden="1" x14ac:dyDescent="0.3">
      <c r="A74" s="12" t="s">
        <v>66</v>
      </c>
      <c r="B74" s="12" t="s">
        <v>3</v>
      </c>
      <c r="C74" s="33">
        <v>0</v>
      </c>
      <c r="D74" s="13"/>
      <c r="E74" s="47">
        <f t="shared" si="1"/>
        <v>0</v>
      </c>
    </row>
    <row r="75" spans="1:30" hidden="1" x14ac:dyDescent="0.3">
      <c r="A75" s="12" t="s">
        <v>67</v>
      </c>
      <c r="B75" s="12" t="s">
        <v>3</v>
      </c>
      <c r="C75" s="33">
        <v>0</v>
      </c>
      <c r="D75" s="13"/>
      <c r="E75" s="47">
        <f t="shared" si="1"/>
        <v>0</v>
      </c>
    </row>
    <row r="76" spans="1:30" hidden="1" x14ac:dyDescent="0.3">
      <c r="A76" s="12" t="s">
        <v>68</v>
      </c>
      <c r="B76" s="12" t="s">
        <v>3</v>
      </c>
      <c r="C76" s="33">
        <v>0</v>
      </c>
      <c r="D76" s="34"/>
      <c r="E76" s="47">
        <f t="shared" si="1"/>
        <v>0</v>
      </c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</row>
    <row r="77" spans="1:30" x14ac:dyDescent="0.3">
      <c r="A77" s="12" t="s">
        <v>68</v>
      </c>
      <c r="B77" s="12" t="s">
        <v>17</v>
      </c>
      <c r="C77" s="33">
        <v>212</v>
      </c>
      <c r="D77" s="49">
        <v>6000</v>
      </c>
      <c r="E77" s="47">
        <f t="shared" si="1"/>
        <v>1272000</v>
      </c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</row>
    <row r="78" spans="1:30" x14ac:dyDescent="0.3">
      <c r="A78" s="12" t="s">
        <v>69</v>
      </c>
      <c r="B78" s="12" t="s">
        <v>3</v>
      </c>
      <c r="C78" s="33">
        <v>2</v>
      </c>
      <c r="D78" s="49">
        <v>12000</v>
      </c>
      <c r="E78" s="47">
        <f t="shared" si="1"/>
        <v>24000</v>
      </c>
    </row>
    <row r="79" spans="1:30" x14ac:dyDescent="0.3">
      <c r="A79" s="12" t="s">
        <v>70</v>
      </c>
      <c r="B79" s="12" t="s">
        <v>3</v>
      </c>
      <c r="C79" s="33">
        <v>6</v>
      </c>
      <c r="D79" s="49">
        <v>16000</v>
      </c>
      <c r="E79" s="47">
        <f t="shared" si="1"/>
        <v>96000</v>
      </c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</row>
    <row r="80" spans="1:30" hidden="1" x14ac:dyDescent="0.3">
      <c r="A80" s="12" t="s">
        <v>71</v>
      </c>
      <c r="B80" s="12" t="s">
        <v>40</v>
      </c>
      <c r="C80" s="33">
        <v>0</v>
      </c>
      <c r="D80" s="13"/>
      <c r="E80" s="47">
        <f t="shared" si="1"/>
        <v>0</v>
      </c>
    </row>
    <row r="81" spans="1:30" hidden="1" x14ac:dyDescent="0.3">
      <c r="A81" s="12" t="s">
        <v>71</v>
      </c>
      <c r="B81" s="12" t="s">
        <v>3</v>
      </c>
      <c r="C81" s="33">
        <v>0</v>
      </c>
      <c r="D81" s="13"/>
      <c r="E81" s="47">
        <f t="shared" si="1"/>
        <v>0</v>
      </c>
    </row>
    <row r="82" spans="1:30" hidden="1" x14ac:dyDescent="0.3">
      <c r="A82" s="12" t="s">
        <v>72</v>
      </c>
      <c r="B82" s="12" t="s">
        <v>3</v>
      </c>
      <c r="C82" s="33">
        <v>0</v>
      </c>
      <c r="D82" s="13"/>
      <c r="E82" s="47">
        <f t="shared" si="1"/>
        <v>0</v>
      </c>
    </row>
    <row r="83" spans="1:30" x14ac:dyDescent="0.3">
      <c r="A83" s="12" t="s">
        <v>159</v>
      </c>
      <c r="B83" s="12" t="s">
        <v>3</v>
      </c>
      <c r="C83" s="33">
        <v>2300</v>
      </c>
      <c r="D83" s="49">
        <v>27600</v>
      </c>
      <c r="E83" s="47">
        <f t="shared" si="1"/>
        <v>63480000</v>
      </c>
    </row>
    <row r="84" spans="1:30" x14ac:dyDescent="0.3">
      <c r="A84" s="12" t="s">
        <v>125</v>
      </c>
      <c r="B84" s="12" t="s">
        <v>25</v>
      </c>
      <c r="C84" s="33">
        <v>5</v>
      </c>
      <c r="D84" s="49">
        <v>245000</v>
      </c>
      <c r="E84" s="47">
        <f t="shared" si="1"/>
        <v>1225000</v>
      </c>
    </row>
    <row r="85" spans="1:30" hidden="1" x14ac:dyDescent="0.3">
      <c r="A85" s="12" t="s">
        <v>74</v>
      </c>
      <c r="B85" s="12" t="s">
        <v>30</v>
      </c>
      <c r="C85" s="33">
        <v>0</v>
      </c>
      <c r="D85" s="13"/>
      <c r="E85" s="47">
        <f t="shared" si="1"/>
        <v>0</v>
      </c>
    </row>
    <row r="86" spans="1:30" x14ac:dyDescent="0.3">
      <c r="A86" s="12" t="s">
        <v>75</v>
      </c>
      <c r="B86" s="12" t="s">
        <v>3</v>
      </c>
      <c r="C86" s="33">
        <v>10</v>
      </c>
      <c r="D86" s="49">
        <v>14000</v>
      </c>
      <c r="E86" s="47">
        <f t="shared" si="1"/>
        <v>140000</v>
      </c>
    </row>
    <row r="87" spans="1:30" x14ac:dyDescent="0.3">
      <c r="A87" s="12" t="s">
        <v>76</v>
      </c>
      <c r="B87" s="12" t="s">
        <v>17</v>
      </c>
      <c r="C87" s="33">
        <v>9</v>
      </c>
      <c r="D87" s="49">
        <v>12000</v>
      </c>
      <c r="E87" s="47">
        <f t="shared" si="1"/>
        <v>108000</v>
      </c>
    </row>
    <row r="88" spans="1:30" hidden="1" x14ac:dyDescent="0.3">
      <c r="A88" s="12" t="s">
        <v>77</v>
      </c>
      <c r="B88" s="12" t="s">
        <v>25</v>
      </c>
      <c r="C88" s="33">
        <v>0</v>
      </c>
      <c r="D88" s="13"/>
      <c r="E88" s="47">
        <f t="shared" si="1"/>
        <v>0</v>
      </c>
    </row>
    <row r="89" spans="1:30" x14ac:dyDescent="0.3">
      <c r="A89" s="12" t="s">
        <v>77</v>
      </c>
      <c r="B89" s="12" t="s">
        <v>3</v>
      </c>
      <c r="C89" s="33">
        <v>7</v>
      </c>
      <c r="D89" s="49">
        <v>38000</v>
      </c>
      <c r="E89" s="47">
        <f t="shared" si="1"/>
        <v>266000</v>
      </c>
    </row>
    <row r="90" spans="1:30" x14ac:dyDescent="0.3">
      <c r="A90" s="12" t="s">
        <v>78</v>
      </c>
      <c r="B90" s="12" t="s">
        <v>3</v>
      </c>
      <c r="C90" s="33">
        <v>162</v>
      </c>
      <c r="D90" s="49">
        <v>37000</v>
      </c>
      <c r="E90" s="47">
        <f t="shared" si="1"/>
        <v>5994000</v>
      </c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</row>
    <row r="91" spans="1:30" hidden="1" x14ac:dyDescent="0.3">
      <c r="A91" s="12" t="s">
        <v>78</v>
      </c>
      <c r="B91" s="12" t="s">
        <v>9</v>
      </c>
      <c r="C91" s="33">
        <v>0</v>
      </c>
      <c r="D91" s="34"/>
      <c r="E91" s="47">
        <f t="shared" si="1"/>
        <v>0</v>
      </c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</row>
    <row r="92" spans="1:30" x14ac:dyDescent="0.3">
      <c r="A92" s="12" t="s">
        <v>80</v>
      </c>
      <c r="B92" s="12" t="s">
        <v>3</v>
      </c>
      <c r="C92" s="33">
        <v>158</v>
      </c>
      <c r="D92" s="49">
        <v>28000</v>
      </c>
      <c r="E92" s="47">
        <f t="shared" si="1"/>
        <v>4424000</v>
      </c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</row>
    <row r="93" spans="1:30" hidden="1" x14ac:dyDescent="0.3">
      <c r="A93" s="12" t="s">
        <v>80</v>
      </c>
      <c r="B93" s="12" t="s">
        <v>9</v>
      </c>
      <c r="C93" s="33">
        <v>0</v>
      </c>
      <c r="D93" s="13"/>
      <c r="E93" s="47">
        <f t="shared" si="1"/>
        <v>0</v>
      </c>
    </row>
    <row r="94" spans="1:30" x14ac:dyDescent="0.3">
      <c r="A94" s="12" t="s">
        <v>82</v>
      </c>
      <c r="B94" s="12" t="s">
        <v>3</v>
      </c>
      <c r="C94" s="33">
        <v>70</v>
      </c>
      <c r="D94" s="49">
        <v>32000</v>
      </c>
      <c r="E94" s="47">
        <f t="shared" si="1"/>
        <v>2240000</v>
      </c>
    </row>
    <row r="95" spans="1:30" hidden="1" x14ac:dyDescent="0.3">
      <c r="A95" s="12" t="s">
        <v>82</v>
      </c>
      <c r="B95" s="12" t="s">
        <v>9</v>
      </c>
      <c r="C95" s="33">
        <v>0</v>
      </c>
      <c r="D95" s="13"/>
      <c r="E95" s="47">
        <f t="shared" si="1"/>
        <v>0</v>
      </c>
    </row>
    <row r="96" spans="1:30" x14ac:dyDescent="0.3">
      <c r="A96" s="12" t="s">
        <v>84</v>
      </c>
      <c r="B96" s="12" t="s">
        <v>3</v>
      </c>
      <c r="C96" s="33">
        <v>36</v>
      </c>
      <c r="D96" s="49">
        <v>60000</v>
      </c>
      <c r="E96" s="47">
        <f t="shared" si="1"/>
        <v>2160000</v>
      </c>
    </row>
    <row r="97" spans="1:30" hidden="1" x14ac:dyDescent="0.3">
      <c r="A97" s="12" t="s">
        <v>84</v>
      </c>
      <c r="B97" s="12" t="s">
        <v>30</v>
      </c>
      <c r="C97" s="33">
        <v>0</v>
      </c>
      <c r="D97" s="13"/>
      <c r="E97" s="47">
        <f t="shared" si="1"/>
        <v>0</v>
      </c>
    </row>
    <row r="98" spans="1:30" hidden="1" x14ac:dyDescent="0.3">
      <c r="A98" s="12" t="s">
        <v>85</v>
      </c>
      <c r="B98" s="12" t="s">
        <v>30</v>
      </c>
      <c r="C98" s="33">
        <v>0</v>
      </c>
      <c r="D98" s="13"/>
      <c r="E98" s="47">
        <f t="shared" si="1"/>
        <v>0</v>
      </c>
    </row>
    <row r="99" spans="1:30" x14ac:dyDescent="0.3">
      <c r="A99" s="12" t="s">
        <v>106</v>
      </c>
      <c r="B99" s="12" t="s">
        <v>9</v>
      </c>
      <c r="C99" s="33">
        <v>1642</v>
      </c>
      <c r="D99" s="37">
        <v>8000</v>
      </c>
      <c r="E99" s="47">
        <f t="shared" si="1"/>
        <v>13136000</v>
      </c>
    </row>
    <row r="100" spans="1:30" x14ac:dyDescent="0.3">
      <c r="A100" s="12" t="s">
        <v>88</v>
      </c>
      <c r="B100" s="12" t="s">
        <v>9</v>
      </c>
      <c r="C100" s="33">
        <v>805</v>
      </c>
      <c r="D100" s="37">
        <v>11361</v>
      </c>
      <c r="E100" s="47">
        <f t="shared" si="1"/>
        <v>9145605</v>
      </c>
    </row>
    <row r="101" spans="1:30" x14ac:dyDescent="0.3">
      <c r="A101" s="12" t="s">
        <v>146</v>
      </c>
      <c r="B101" s="12" t="s">
        <v>9</v>
      </c>
      <c r="C101" s="33">
        <v>432</v>
      </c>
      <c r="D101" s="49">
        <v>100000</v>
      </c>
      <c r="E101" s="47">
        <f t="shared" si="1"/>
        <v>43200000</v>
      </c>
    </row>
    <row r="102" spans="1:30" x14ac:dyDescent="0.3">
      <c r="A102" s="12" t="s">
        <v>89</v>
      </c>
      <c r="B102" s="12" t="s">
        <v>3</v>
      </c>
      <c r="C102" s="33">
        <v>1211</v>
      </c>
      <c r="D102" s="49">
        <v>31000</v>
      </c>
      <c r="E102" s="47">
        <f t="shared" si="1"/>
        <v>37541000</v>
      </c>
    </row>
    <row r="103" spans="1:30" x14ac:dyDescent="0.3">
      <c r="A103" s="12" t="s">
        <v>90</v>
      </c>
      <c r="B103" s="12" t="s">
        <v>3</v>
      </c>
      <c r="C103" s="33">
        <v>20</v>
      </c>
      <c r="D103" s="49">
        <v>27000</v>
      </c>
      <c r="E103" s="47">
        <f t="shared" si="1"/>
        <v>540000</v>
      </c>
    </row>
    <row r="104" spans="1:30" x14ac:dyDescent="0.3">
      <c r="A104" s="12" t="s">
        <v>154</v>
      </c>
      <c r="B104" s="12" t="s">
        <v>9</v>
      </c>
      <c r="C104" s="33">
        <v>532</v>
      </c>
      <c r="D104" s="49">
        <v>32000</v>
      </c>
      <c r="E104" s="47">
        <f t="shared" si="1"/>
        <v>17024000</v>
      </c>
    </row>
    <row r="105" spans="1:30" x14ac:dyDescent="0.3">
      <c r="A105" s="12" t="s">
        <v>92</v>
      </c>
      <c r="B105" s="12" t="s">
        <v>3</v>
      </c>
      <c r="C105" s="33">
        <v>206</v>
      </c>
      <c r="D105" s="49">
        <v>8500</v>
      </c>
      <c r="E105" s="47">
        <f t="shared" si="1"/>
        <v>1751000</v>
      </c>
    </row>
    <row r="106" spans="1:30" x14ac:dyDescent="0.3">
      <c r="A106" s="12" t="s">
        <v>114</v>
      </c>
      <c r="B106" s="12" t="s">
        <v>3</v>
      </c>
      <c r="C106" s="33">
        <v>1</v>
      </c>
      <c r="D106" s="49">
        <v>32000</v>
      </c>
      <c r="E106" s="47">
        <f t="shared" si="1"/>
        <v>32000</v>
      </c>
    </row>
    <row r="107" spans="1:30" x14ac:dyDescent="0.3">
      <c r="A107" s="12" t="s">
        <v>93</v>
      </c>
      <c r="B107" s="12" t="s">
        <v>3</v>
      </c>
      <c r="C107" s="33">
        <v>15</v>
      </c>
      <c r="D107" s="49">
        <v>22000</v>
      </c>
      <c r="E107" s="47">
        <f t="shared" si="1"/>
        <v>330000</v>
      </c>
    </row>
    <row r="108" spans="1:30" x14ac:dyDescent="0.3">
      <c r="A108" s="12" t="s">
        <v>94</v>
      </c>
      <c r="B108" s="12" t="s">
        <v>3</v>
      </c>
      <c r="C108" s="33">
        <v>10</v>
      </c>
      <c r="D108" s="49">
        <v>25000</v>
      </c>
      <c r="E108" s="47">
        <f t="shared" si="1"/>
        <v>250000</v>
      </c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</row>
    <row r="109" spans="1:30" hidden="1" x14ac:dyDescent="0.3">
      <c r="A109" s="12" t="s">
        <v>95</v>
      </c>
      <c r="B109" s="12" t="s">
        <v>40</v>
      </c>
      <c r="C109" s="33">
        <v>0</v>
      </c>
      <c r="D109" s="13"/>
      <c r="E109" s="47">
        <f t="shared" si="1"/>
        <v>0</v>
      </c>
    </row>
    <row r="110" spans="1:30" x14ac:dyDescent="0.3">
      <c r="A110" s="12" t="s">
        <v>96</v>
      </c>
      <c r="B110" s="12" t="s">
        <v>3</v>
      </c>
      <c r="C110" s="33">
        <v>3</v>
      </c>
      <c r="D110" s="49">
        <v>28000</v>
      </c>
      <c r="E110" s="47">
        <f t="shared" si="1"/>
        <v>84000</v>
      </c>
    </row>
    <row r="111" spans="1:30" hidden="1" x14ac:dyDescent="0.3">
      <c r="A111" s="12" t="s">
        <v>97</v>
      </c>
      <c r="B111" s="12" t="s">
        <v>40</v>
      </c>
      <c r="C111" s="33">
        <v>0</v>
      </c>
      <c r="D111" s="13"/>
      <c r="E111" s="47">
        <f t="shared" si="1"/>
        <v>0</v>
      </c>
    </row>
    <row r="112" spans="1:30" hidden="1" x14ac:dyDescent="0.3">
      <c r="A112" s="12" t="s">
        <v>98</v>
      </c>
      <c r="B112" s="12" t="s">
        <v>3</v>
      </c>
      <c r="C112" s="33">
        <v>0</v>
      </c>
      <c r="D112" s="13"/>
      <c r="E112" s="47">
        <f t="shared" si="1"/>
        <v>0</v>
      </c>
    </row>
    <row r="113" spans="1:5" hidden="1" x14ac:dyDescent="0.3">
      <c r="A113" s="12" t="s">
        <v>99</v>
      </c>
      <c r="B113" s="12" t="s">
        <v>3</v>
      </c>
      <c r="C113" s="33">
        <v>0</v>
      </c>
      <c r="D113" s="13"/>
      <c r="E113" s="47">
        <f t="shared" si="1"/>
        <v>0</v>
      </c>
    </row>
    <row r="114" spans="1:5" x14ac:dyDescent="0.3">
      <c r="A114" s="12" t="s">
        <v>100</v>
      </c>
      <c r="B114" s="12" t="s">
        <v>40</v>
      </c>
      <c r="C114" s="33">
        <v>200</v>
      </c>
      <c r="D114" s="49">
        <v>7500</v>
      </c>
      <c r="E114" s="47">
        <f t="shared" si="1"/>
        <v>1500000</v>
      </c>
    </row>
    <row r="115" spans="1:5" x14ac:dyDescent="0.3">
      <c r="A115" s="19" t="e">
        <v>#N/A</v>
      </c>
      <c r="B115" s="19">
        <v>0</v>
      </c>
      <c r="C115" s="41">
        <v>17401.5</v>
      </c>
      <c r="D115" s="50" t="e">
        <v>#N/A</v>
      </c>
      <c r="E115" s="48">
        <f>SUBTOTAL(9,E2:E114)</f>
        <v>381038605</v>
      </c>
    </row>
    <row r="116" spans="1:5" ht="62.4" x14ac:dyDescent="0.3">
      <c r="A116" s="35" t="s">
        <v>130</v>
      </c>
      <c r="B116" s="16" t="s">
        <v>1</v>
      </c>
      <c r="C116" s="15" t="s">
        <v>137</v>
      </c>
      <c r="D116" s="31" t="s">
        <v>140</v>
      </c>
      <c r="E116" s="31" t="s">
        <v>141</v>
      </c>
    </row>
    <row r="117" spans="1:5" x14ac:dyDescent="0.3">
      <c r="A117" s="12" t="s">
        <v>2</v>
      </c>
      <c r="B117" s="12" t="s">
        <v>3</v>
      </c>
      <c r="C117" s="13">
        <v>6</v>
      </c>
      <c r="D117" s="49">
        <v>10000</v>
      </c>
      <c r="E117" s="47">
        <f t="shared" si="1"/>
        <v>60000</v>
      </c>
    </row>
    <row r="118" spans="1:5" x14ac:dyDescent="0.3">
      <c r="A118" s="12" t="s">
        <v>4</v>
      </c>
      <c r="B118" s="12" t="s">
        <v>3</v>
      </c>
      <c r="C118" s="13">
        <v>15</v>
      </c>
      <c r="D118" s="49">
        <v>4000</v>
      </c>
      <c r="E118" s="47">
        <f t="shared" si="1"/>
        <v>60000</v>
      </c>
    </row>
    <row r="119" spans="1:5" x14ac:dyDescent="0.3">
      <c r="A119" s="12" t="s">
        <v>5</v>
      </c>
      <c r="B119" s="12" t="s">
        <v>3</v>
      </c>
      <c r="C119" s="13">
        <v>80</v>
      </c>
      <c r="D119" s="49">
        <v>5500</v>
      </c>
      <c r="E119" s="47">
        <f t="shared" si="1"/>
        <v>440000</v>
      </c>
    </row>
    <row r="120" spans="1:5" x14ac:dyDescent="0.3">
      <c r="A120" s="12" t="s">
        <v>119</v>
      </c>
      <c r="B120" s="12" t="s">
        <v>3</v>
      </c>
      <c r="C120" s="13">
        <v>10</v>
      </c>
      <c r="D120" s="49">
        <v>10000</v>
      </c>
      <c r="E120" s="47">
        <f t="shared" si="1"/>
        <v>100000</v>
      </c>
    </row>
    <row r="121" spans="1:5" x14ac:dyDescent="0.3">
      <c r="A121" s="12" t="s">
        <v>7</v>
      </c>
      <c r="B121" s="12" t="s">
        <v>3</v>
      </c>
      <c r="C121" s="13">
        <v>80</v>
      </c>
      <c r="D121" s="49">
        <v>8000</v>
      </c>
      <c r="E121" s="47">
        <f t="shared" si="1"/>
        <v>640000</v>
      </c>
    </row>
    <row r="122" spans="1:5" x14ac:dyDescent="0.3">
      <c r="A122" s="12" t="s">
        <v>8</v>
      </c>
      <c r="B122" s="12" t="s">
        <v>3</v>
      </c>
      <c r="C122" s="13">
        <v>8</v>
      </c>
      <c r="D122" s="49">
        <v>8000</v>
      </c>
      <c r="E122" s="47">
        <f t="shared" si="1"/>
        <v>64000</v>
      </c>
    </row>
    <row r="123" spans="1:5" x14ac:dyDescent="0.3">
      <c r="A123" s="12" t="s">
        <v>102</v>
      </c>
      <c r="B123" s="12" t="s">
        <v>3</v>
      </c>
      <c r="C123" s="13">
        <v>6</v>
      </c>
      <c r="D123" s="49">
        <v>11000</v>
      </c>
      <c r="E123" s="47">
        <f t="shared" si="1"/>
        <v>66000</v>
      </c>
    </row>
    <row r="124" spans="1:5" x14ac:dyDescent="0.3">
      <c r="A124" s="12" t="s">
        <v>18</v>
      </c>
      <c r="B124" s="12" t="s">
        <v>3</v>
      </c>
      <c r="C124" s="13">
        <v>30</v>
      </c>
      <c r="D124" s="49">
        <v>15000</v>
      </c>
      <c r="E124" s="47">
        <f t="shared" si="1"/>
        <v>450000</v>
      </c>
    </row>
    <row r="125" spans="1:5" x14ac:dyDescent="0.3">
      <c r="A125" s="12" t="s">
        <v>28</v>
      </c>
      <c r="B125" s="12" t="s">
        <v>3</v>
      </c>
      <c r="C125" s="13">
        <v>60</v>
      </c>
      <c r="D125" s="49">
        <v>10000</v>
      </c>
      <c r="E125" s="47">
        <f t="shared" si="1"/>
        <v>600000</v>
      </c>
    </row>
    <row r="126" spans="1:5" x14ac:dyDescent="0.3">
      <c r="A126" s="12" t="s">
        <v>31</v>
      </c>
      <c r="B126" s="12" t="s">
        <v>3</v>
      </c>
      <c r="C126" s="13">
        <v>80</v>
      </c>
      <c r="D126" s="49">
        <v>9000</v>
      </c>
      <c r="E126" s="47">
        <f t="shared" si="1"/>
        <v>720000</v>
      </c>
    </row>
    <row r="127" spans="1:5" x14ac:dyDescent="0.3">
      <c r="A127" s="12" t="s">
        <v>33</v>
      </c>
      <c r="B127" s="12" t="s">
        <v>3</v>
      </c>
      <c r="C127" s="13">
        <v>5</v>
      </c>
      <c r="D127" s="49">
        <v>8000</v>
      </c>
      <c r="E127" s="47">
        <f t="shared" si="1"/>
        <v>40000</v>
      </c>
    </row>
    <row r="128" spans="1:5" x14ac:dyDescent="0.3">
      <c r="A128" s="12" t="s">
        <v>38</v>
      </c>
      <c r="B128" s="12" t="s">
        <v>3</v>
      </c>
      <c r="C128" s="13">
        <v>150</v>
      </c>
      <c r="D128" s="49">
        <v>6500</v>
      </c>
      <c r="E128" s="47">
        <f t="shared" si="1"/>
        <v>975000</v>
      </c>
    </row>
    <row r="129" spans="1:5" hidden="1" x14ac:dyDescent="0.3">
      <c r="A129" s="12" t="s">
        <v>103</v>
      </c>
      <c r="B129" s="12" t="s">
        <v>3</v>
      </c>
      <c r="C129" s="13">
        <v>0</v>
      </c>
      <c r="D129" s="13"/>
      <c r="E129" s="47">
        <f t="shared" si="1"/>
        <v>0</v>
      </c>
    </row>
    <row r="130" spans="1:5" x14ac:dyDescent="0.3">
      <c r="A130" s="12" t="s">
        <v>104</v>
      </c>
      <c r="B130" s="12" t="s">
        <v>3</v>
      </c>
      <c r="C130" s="13">
        <v>1130</v>
      </c>
      <c r="D130" s="49">
        <v>5000</v>
      </c>
      <c r="E130" s="47">
        <f t="shared" si="1"/>
        <v>5650000</v>
      </c>
    </row>
    <row r="131" spans="1:5" x14ac:dyDescent="0.3">
      <c r="A131" s="12" t="s">
        <v>39</v>
      </c>
      <c r="B131" s="12" t="s">
        <v>3</v>
      </c>
      <c r="C131" s="13">
        <v>20</v>
      </c>
      <c r="D131" s="49">
        <v>15000</v>
      </c>
      <c r="E131" s="47">
        <f t="shared" ref="E131:E154" si="2">+D131*C131</f>
        <v>300000</v>
      </c>
    </row>
    <row r="132" spans="1:5" x14ac:dyDescent="0.3">
      <c r="A132" s="12" t="s">
        <v>105</v>
      </c>
      <c r="B132" s="12" t="s">
        <v>3</v>
      </c>
      <c r="C132" s="13">
        <v>8</v>
      </c>
      <c r="D132" s="49">
        <v>27000</v>
      </c>
      <c r="E132" s="47">
        <f t="shared" si="2"/>
        <v>216000</v>
      </c>
    </row>
    <row r="133" spans="1:5" x14ac:dyDescent="0.3">
      <c r="A133" s="12" t="s">
        <v>41</v>
      </c>
      <c r="B133" s="12" t="s">
        <v>3</v>
      </c>
      <c r="C133" s="13">
        <v>10</v>
      </c>
      <c r="D133" s="49">
        <v>9000</v>
      </c>
      <c r="E133" s="47">
        <f t="shared" si="2"/>
        <v>90000</v>
      </c>
    </row>
    <row r="134" spans="1:5" x14ac:dyDescent="0.3">
      <c r="A134" s="12" t="s">
        <v>44</v>
      </c>
      <c r="B134" s="12" t="s">
        <v>3</v>
      </c>
      <c r="C134" s="13">
        <v>30</v>
      </c>
      <c r="D134" s="49">
        <v>6000</v>
      </c>
      <c r="E134" s="47">
        <f t="shared" si="2"/>
        <v>180000</v>
      </c>
    </row>
    <row r="135" spans="1:5" x14ac:dyDescent="0.3">
      <c r="A135" s="12" t="s">
        <v>45</v>
      </c>
      <c r="B135" s="12" t="s">
        <v>3</v>
      </c>
      <c r="C135" s="13">
        <v>4</v>
      </c>
      <c r="D135" s="49">
        <v>11000</v>
      </c>
      <c r="E135" s="47">
        <f t="shared" si="2"/>
        <v>44000</v>
      </c>
    </row>
    <row r="136" spans="1:5" x14ac:dyDescent="0.3">
      <c r="A136" s="12" t="s">
        <v>47</v>
      </c>
      <c r="B136" s="12" t="s">
        <v>3</v>
      </c>
      <c r="C136" s="13">
        <v>30</v>
      </c>
      <c r="D136" s="49">
        <v>9000</v>
      </c>
      <c r="E136" s="47">
        <f t="shared" si="2"/>
        <v>270000</v>
      </c>
    </row>
    <row r="137" spans="1:5" x14ac:dyDescent="0.3">
      <c r="A137" s="12" t="s">
        <v>54</v>
      </c>
      <c r="B137" s="12" t="s">
        <v>3</v>
      </c>
      <c r="C137" s="13">
        <v>20</v>
      </c>
      <c r="D137" s="49">
        <v>15000</v>
      </c>
      <c r="E137" s="47">
        <f t="shared" si="2"/>
        <v>300000</v>
      </c>
    </row>
    <row r="138" spans="1:5" x14ac:dyDescent="0.3">
      <c r="A138" s="12" t="s">
        <v>59</v>
      </c>
      <c r="B138" s="12" t="s">
        <v>3</v>
      </c>
      <c r="C138" s="13">
        <v>20</v>
      </c>
      <c r="D138" s="49">
        <v>18000</v>
      </c>
      <c r="E138" s="47">
        <f t="shared" si="2"/>
        <v>360000</v>
      </c>
    </row>
    <row r="139" spans="1:5" x14ac:dyDescent="0.3">
      <c r="A139" s="12" t="s">
        <v>61</v>
      </c>
      <c r="B139" s="12" t="s">
        <v>3</v>
      </c>
      <c r="C139" s="13">
        <v>4</v>
      </c>
      <c r="D139" s="49">
        <v>11000</v>
      </c>
      <c r="E139" s="47">
        <f t="shared" si="2"/>
        <v>44000</v>
      </c>
    </row>
    <row r="140" spans="1:5" hidden="1" x14ac:dyDescent="0.3">
      <c r="A140" s="12" t="s">
        <v>62</v>
      </c>
      <c r="B140" s="12" t="s">
        <v>30</v>
      </c>
      <c r="C140" s="13">
        <v>0</v>
      </c>
      <c r="D140" s="13"/>
      <c r="E140" s="47">
        <f t="shared" si="2"/>
        <v>0</v>
      </c>
    </row>
    <row r="141" spans="1:5" x14ac:dyDescent="0.3">
      <c r="A141" s="12" t="s">
        <v>63</v>
      </c>
      <c r="B141" s="12" t="s">
        <v>30</v>
      </c>
      <c r="C141" s="13">
        <v>10</v>
      </c>
      <c r="D141" s="49">
        <v>6000</v>
      </c>
      <c r="E141" s="47">
        <f t="shared" si="2"/>
        <v>60000</v>
      </c>
    </row>
    <row r="142" spans="1:5" hidden="1" x14ac:dyDescent="0.3">
      <c r="A142" s="12" t="s">
        <v>68</v>
      </c>
      <c r="B142" s="12" t="s">
        <v>3</v>
      </c>
      <c r="C142" s="13">
        <v>0</v>
      </c>
      <c r="D142" s="13"/>
      <c r="E142" s="47">
        <f t="shared" si="2"/>
        <v>0</v>
      </c>
    </row>
    <row r="143" spans="1:5" x14ac:dyDescent="0.3">
      <c r="A143" s="12" t="s">
        <v>68</v>
      </c>
      <c r="B143" s="12" t="s">
        <v>17</v>
      </c>
      <c r="C143" s="13">
        <v>60</v>
      </c>
      <c r="D143" s="49">
        <v>6000</v>
      </c>
      <c r="E143" s="47">
        <f t="shared" si="2"/>
        <v>360000</v>
      </c>
    </row>
    <row r="144" spans="1:5" x14ac:dyDescent="0.3">
      <c r="A144" s="12" t="s">
        <v>71</v>
      </c>
      <c r="B144" s="12" t="s">
        <v>3</v>
      </c>
      <c r="C144" s="13">
        <v>10</v>
      </c>
      <c r="D144" s="49">
        <v>14000</v>
      </c>
      <c r="E144" s="47">
        <f t="shared" si="2"/>
        <v>140000</v>
      </c>
    </row>
    <row r="145" spans="1:5" hidden="1" x14ac:dyDescent="0.3">
      <c r="A145" s="12" t="s">
        <v>72</v>
      </c>
      <c r="B145" s="12" t="s">
        <v>3</v>
      </c>
      <c r="C145" s="13">
        <v>0</v>
      </c>
      <c r="D145" s="13"/>
      <c r="E145" s="47">
        <f t="shared" si="2"/>
        <v>0</v>
      </c>
    </row>
    <row r="146" spans="1:5" hidden="1" x14ac:dyDescent="0.3">
      <c r="A146" s="12" t="s">
        <v>73</v>
      </c>
      <c r="B146" s="12" t="s">
        <v>3</v>
      </c>
      <c r="C146" s="13">
        <v>0</v>
      </c>
      <c r="D146" s="13"/>
      <c r="E146" s="47">
        <f t="shared" si="2"/>
        <v>0</v>
      </c>
    </row>
    <row r="147" spans="1:5" x14ac:dyDescent="0.3">
      <c r="A147" s="12" t="s">
        <v>78</v>
      </c>
      <c r="B147" s="12" t="s">
        <v>3</v>
      </c>
      <c r="C147" s="13">
        <v>8</v>
      </c>
      <c r="D147" s="49">
        <v>37000</v>
      </c>
      <c r="E147" s="47">
        <f t="shared" si="2"/>
        <v>296000</v>
      </c>
    </row>
    <row r="148" spans="1:5" x14ac:dyDescent="0.3">
      <c r="A148" s="12" t="s">
        <v>80</v>
      </c>
      <c r="B148" s="12" t="s">
        <v>3</v>
      </c>
      <c r="C148" s="13">
        <v>2</v>
      </c>
      <c r="D148" s="49">
        <v>28000</v>
      </c>
      <c r="E148" s="47">
        <f t="shared" si="2"/>
        <v>56000</v>
      </c>
    </row>
    <row r="149" spans="1:5" hidden="1" x14ac:dyDescent="0.3">
      <c r="A149" s="12" t="s">
        <v>82</v>
      </c>
      <c r="B149" s="12" t="s">
        <v>3</v>
      </c>
      <c r="C149" s="13">
        <v>0</v>
      </c>
      <c r="D149" s="13"/>
      <c r="E149" s="47">
        <f t="shared" si="2"/>
        <v>0</v>
      </c>
    </row>
    <row r="150" spans="1:5" x14ac:dyDescent="0.3">
      <c r="A150" s="12" t="s">
        <v>92</v>
      </c>
      <c r="B150" s="12" t="s">
        <v>3</v>
      </c>
      <c r="C150" s="13">
        <v>20</v>
      </c>
      <c r="D150" s="49">
        <v>8500</v>
      </c>
      <c r="E150" s="47">
        <f t="shared" si="2"/>
        <v>170000</v>
      </c>
    </row>
    <row r="151" spans="1:5" hidden="1" x14ac:dyDescent="0.3">
      <c r="A151" s="12" t="s">
        <v>94</v>
      </c>
      <c r="B151" s="12" t="s">
        <v>40</v>
      </c>
      <c r="C151" s="13">
        <v>0</v>
      </c>
      <c r="D151" s="13"/>
      <c r="E151" s="47">
        <f t="shared" si="2"/>
        <v>0</v>
      </c>
    </row>
    <row r="152" spans="1:5" hidden="1" x14ac:dyDescent="0.3">
      <c r="A152" s="12" t="s">
        <v>95</v>
      </c>
      <c r="B152" s="12" t="s">
        <v>40</v>
      </c>
      <c r="C152" s="13">
        <v>0</v>
      </c>
      <c r="D152" s="13"/>
      <c r="E152" s="47">
        <f t="shared" si="2"/>
        <v>0</v>
      </c>
    </row>
    <row r="153" spans="1:5" hidden="1" x14ac:dyDescent="0.3">
      <c r="A153" s="12" t="s">
        <v>97</v>
      </c>
      <c r="B153" s="12" t="s">
        <v>40</v>
      </c>
      <c r="C153" s="13">
        <v>0</v>
      </c>
      <c r="D153" s="13"/>
      <c r="E153" s="47">
        <f t="shared" si="2"/>
        <v>0</v>
      </c>
    </row>
    <row r="154" spans="1:5" hidden="1" x14ac:dyDescent="0.3">
      <c r="A154" s="12" t="s">
        <v>100</v>
      </c>
      <c r="B154" s="12" t="s">
        <v>40</v>
      </c>
      <c r="C154" s="13">
        <v>0</v>
      </c>
      <c r="D154" s="13"/>
      <c r="E154" s="47">
        <f t="shared" si="2"/>
        <v>0</v>
      </c>
    </row>
    <row r="155" spans="1:5" x14ac:dyDescent="0.3">
      <c r="A155" s="19" t="e">
        <v>#N/A</v>
      </c>
      <c r="B155" s="19">
        <v>0</v>
      </c>
      <c r="C155" s="20">
        <v>1916</v>
      </c>
      <c r="D155" s="50">
        <v>1916</v>
      </c>
      <c r="E155" s="50">
        <f>SUBTOTAL(9,E117:E154)</f>
        <v>12751000</v>
      </c>
    </row>
    <row r="156" spans="1:5" x14ac:dyDescent="0.3">
      <c r="C156" s="45">
        <v>1</v>
      </c>
      <c r="E156" s="52">
        <f>+E155+E115</f>
        <v>393789605</v>
      </c>
    </row>
  </sheetData>
  <autoFilter ref="A1:DA156" xr:uid="{00000000-0009-0000-0000-000013000000}">
    <filterColumn colId="2">
      <filters>
        <filter val="1"/>
        <filter val="1,211"/>
        <filter val="1,642"/>
        <filter val="10"/>
        <filter val="11"/>
        <filter val="1130"/>
        <filter val="115"/>
        <filter val="12"/>
        <filter val="13"/>
        <filter val="145"/>
        <filter val="15"/>
        <filter val="150"/>
        <filter val="155"/>
        <filter val="158"/>
        <filter val="16"/>
        <filter val="162"/>
        <filter val="17,402"/>
        <filter val="170"/>
        <filter val="18"/>
        <filter val="1916"/>
        <filter val="2"/>
        <filter val="2,300"/>
        <filter val="20"/>
        <filter val="200"/>
        <filter val="206"/>
        <filter val="212"/>
        <filter val="220"/>
        <filter val="23"/>
        <filter val="25"/>
        <filter val="250"/>
        <filter val="260"/>
        <filter val="27"/>
        <filter val="3"/>
        <filter val="3,530"/>
        <filter val="30"/>
        <filter val="315"/>
        <filter val="36"/>
        <filter val="4"/>
        <filter val="432"/>
        <filter val="45"/>
        <filter val="450"/>
        <filter val="5"/>
        <filter val="50"/>
        <filter val="532"/>
        <filter val="569"/>
        <filter val="6"/>
        <filter val="60"/>
        <filter val="640"/>
        <filter val="665"/>
        <filter val="7"/>
        <filter val="70"/>
        <filter val="72"/>
        <filter val="74"/>
        <filter val="75"/>
        <filter val="8"/>
        <filter val="80"/>
        <filter val="800"/>
        <filter val="805"/>
        <filter val="9"/>
        <filter val="92"/>
        <filter val="96"/>
        <filter val="Tồn_x000a_ĐL_x000a__x000a_現在個"/>
      </filters>
    </filterColumn>
  </autoFilter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filterMode="1"/>
  <dimension ref="A1:E166"/>
  <sheetViews>
    <sheetView topLeftCell="A134" workbookViewId="0">
      <selection activeCell="E166" sqref="E166"/>
    </sheetView>
  </sheetViews>
  <sheetFormatPr defaultRowHeight="14.4" x14ac:dyDescent="0.3"/>
  <cols>
    <col min="1" max="1" width="27" customWidth="1"/>
    <col min="4" max="4" width="13.6640625" customWidth="1"/>
    <col min="5" max="5" width="16.6640625" customWidth="1"/>
  </cols>
  <sheetData>
    <row r="1" spans="1:5" x14ac:dyDescent="0.3">
      <c r="A1" t="s">
        <v>160</v>
      </c>
    </row>
    <row r="2" spans="1:5" x14ac:dyDescent="0.3">
      <c r="A2" t="s">
        <v>0</v>
      </c>
      <c r="B2" t="s">
        <v>1</v>
      </c>
      <c r="C2" t="s">
        <v>107</v>
      </c>
      <c r="D2" t="s">
        <v>108</v>
      </c>
      <c r="E2" t="s">
        <v>109</v>
      </c>
    </row>
    <row r="3" spans="1:5" x14ac:dyDescent="0.3">
      <c r="A3" t="s">
        <v>2</v>
      </c>
      <c r="B3" t="s">
        <v>3</v>
      </c>
      <c r="C3">
        <v>12</v>
      </c>
      <c r="D3">
        <v>10000</v>
      </c>
      <c r="E3">
        <f>C3*D3</f>
        <v>120000</v>
      </c>
    </row>
    <row r="4" spans="1:5" hidden="1" x14ac:dyDescent="0.3">
      <c r="A4" t="s">
        <v>4</v>
      </c>
      <c r="B4" t="s">
        <v>3</v>
      </c>
      <c r="C4">
        <v>0</v>
      </c>
      <c r="E4">
        <f t="shared" ref="E4:E67" si="0">C4*D4</f>
        <v>0</v>
      </c>
    </row>
    <row r="5" spans="1:5" x14ac:dyDescent="0.3">
      <c r="A5" t="s">
        <v>5</v>
      </c>
      <c r="B5" t="s">
        <v>3</v>
      </c>
      <c r="C5">
        <v>779</v>
      </c>
      <c r="D5">
        <v>5500</v>
      </c>
      <c r="E5">
        <f t="shared" si="0"/>
        <v>4284500</v>
      </c>
    </row>
    <row r="6" spans="1:5" x14ac:dyDescent="0.3">
      <c r="A6" t="s">
        <v>119</v>
      </c>
      <c r="B6" t="s">
        <v>3</v>
      </c>
      <c r="C6">
        <v>15</v>
      </c>
      <c r="D6">
        <v>10000</v>
      </c>
      <c r="E6">
        <f t="shared" si="0"/>
        <v>150000</v>
      </c>
    </row>
    <row r="7" spans="1:5" hidden="1" x14ac:dyDescent="0.3">
      <c r="A7" t="s">
        <v>6</v>
      </c>
      <c r="B7" t="s">
        <v>3</v>
      </c>
      <c r="C7">
        <v>0</v>
      </c>
      <c r="E7">
        <f t="shared" si="0"/>
        <v>0</v>
      </c>
    </row>
    <row r="8" spans="1:5" x14ac:dyDescent="0.3">
      <c r="A8" t="s">
        <v>7</v>
      </c>
      <c r="B8" t="s">
        <v>3</v>
      </c>
      <c r="C8">
        <v>457</v>
      </c>
      <c r="D8">
        <v>8000</v>
      </c>
      <c r="E8">
        <f t="shared" si="0"/>
        <v>3656000</v>
      </c>
    </row>
    <row r="9" spans="1:5" hidden="1" x14ac:dyDescent="0.3">
      <c r="A9" t="s">
        <v>111</v>
      </c>
      <c r="B9" t="s">
        <v>3</v>
      </c>
      <c r="C9">
        <v>0</v>
      </c>
      <c r="E9">
        <f t="shared" si="0"/>
        <v>0</v>
      </c>
    </row>
    <row r="10" spans="1:5" x14ac:dyDescent="0.3">
      <c r="A10" t="s">
        <v>8</v>
      </c>
      <c r="B10" t="s">
        <v>3</v>
      </c>
      <c r="C10">
        <v>109</v>
      </c>
      <c r="D10">
        <v>10000</v>
      </c>
      <c r="E10">
        <f t="shared" si="0"/>
        <v>1090000</v>
      </c>
    </row>
    <row r="11" spans="1:5" hidden="1" x14ac:dyDescent="0.3">
      <c r="A11" t="s">
        <v>8</v>
      </c>
      <c r="B11" t="s">
        <v>9</v>
      </c>
      <c r="C11">
        <v>0</v>
      </c>
      <c r="E11">
        <f t="shared" si="0"/>
        <v>0</v>
      </c>
    </row>
    <row r="12" spans="1:5" x14ac:dyDescent="0.3">
      <c r="A12" t="s">
        <v>10</v>
      </c>
      <c r="B12" t="s">
        <v>3</v>
      </c>
      <c r="C12">
        <v>68</v>
      </c>
      <c r="D12">
        <v>14000</v>
      </c>
      <c r="E12">
        <f t="shared" si="0"/>
        <v>952000</v>
      </c>
    </row>
    <row r="13" spans="1:5" hidden="1" x14ac:dyDescent="0.3">
      <c r="A13" t="s">
        <v>10</v>
      </c>
      <c r="B13" t="s">
        <v>9</v>
      </c>
      <c r="C13">
        <v>0</v>
      </c>
      <c r="E13">
        <f t="shared" si="0"/>
        <v>0</v>
      </c>
    </row>
    <row r="14" spans="1:5" hidden="1" x14ac:dyDescent="0.3">
      <c r="A14" t="s">
        <v>11</v>
      </c>
      <c r="B14" t="s">
        <v>3</v>
      </c>
      <c r="C14">
        <v>0</v>
      </c>
      <c r="E14">
        <f t="shared" si="0"/>
        <v>0</v>
      </c>
    </row>
    <row r="15" spans="1:5" x14ac:dyDescent="0.3">
      <c r="A15" t="s">
        <v>12</v>
      </c>
      <c r="B15" t="s">
        <v>3</v>
      </c>
      <c r="C15">
        <v>4</v>
      </c>
      <c r="D15">
        <v>12000</v>
      </c>
      <c r="E15">
        <f t="shared" si="0"/>
        <v>48000</v>
      </c>
    </row>
    <row r="16" spans="1:5" x14ac:dyDescent="0.3">
      <c r="A16" t="s">
        <v>13</v>
      </c>
      <c r="B16" t="s">
        <v>3</v>
      </c>
      <c r="C16">
        <v>8</v>
      </c>
      <c r="D16">
        <v>10000</v>
      </c>
      <c r="E16">
        <f t="shared" si="0"/>
        <v>80000</v>
      </c>
    </row>
    <row r="17" spans="1:5" hidden="1" x14ac:dyDescent="0.3">
      <c r="A17" t="s">
        <v>14</v>
      </c>
      <c r="B17" t="s">
        <v>3</v>
      </c>
      <c r="C17">
        <v>0</v>
      </c>
      <c r="E17">
        <f t="shared" si="0"/>
        <v>0</v>
      </c>
    </row>
    <row r="18" spans="1:5" hidden="1" x14ac:dyDescent="0.3">
      <c r="A18" t="s">
        <v>15</v>
      </c>
      <c r="B18" t="s">
        <v>3</v>
      </c>
      <c r="C18">
        <v>0</v>
      </c>
      <c r="E18">
        <f t="shared" si="0"/>
        <v>0</v>
      </c>
    </row>
    <row r="19" spans="1:5" x14ac:dyDescent="0.3">
      <c r="A19" t="s">
        <v>16</v>
      </c>
      <c r="B19" t="s">
        <v>17</v>
      </c>
      <c r="C19">
        <v>20</v>
      </c>
      <c r="D19">
        <v>7000</v>
      </c>
      <c r="E19">
        <f t="shared" si="0"/>
        <v>140000</v>
      </c>
    </row>
    <row r="20" spans="1:5" x14ac:dyDescent="0.3">
      <c r="A20" t="s">
        <v>18</v>
      </c>
      <c r="B20" t="s">
        <v>3</v>
      </c>
      <c r="C20">
        <v>102</v>
      </c>
      <c r="D20">
        <v>17000</v>
      </c>
      <c r="E20">
        <f t="shared" si="0"/>
        <v>1734000</v>
      </c>
    </row>
    <row r="21" spans="1:5" hidden="1" x14ac:dyDescent="0.3">
      <c r="A21" t="s">
        <v>18</v>
      </c>
      <c r="B21" t="s">
        <v>17</v>
      </c>
      <c r="C21">
        <v>0</v>
      </c>
      <c r="E21">
        <f t="shared" si="0"/>
        <v>0</v>
      </c>
    </row>
    <row r="22" spans="1:5" hidden="1" x14ac:dyDescent="0.3">
      <c r="A22" t="s">
        <v>18</v>
      </c>
      <c r="B22" t="s">
        <v>19</v>
      </c>
      <c r="C22">
        <v>0</v>
      </c>
      <c r="E22">
        <f t="shared" si="0"/>
        <v>0</v>
      </c>
    </row>
    <row r="23" spans="1:5" x14ac:dyDescent="0.3">
      <c r="A23" t="s">
        <v>20</v>
      </c>
      <c r="B23" t="s">
        <v>3</v>
      </c>
      <c r="C23">
        <v>24</v>
      </c>
      <c r="D23">
        <v>14000</v>
      </c>
      <c r="E23">
        <f t="shared" si="0"/>
        <v>336000</v>
      </c>
    </row>
    <row r="24" spans="1:5" hidden="1" x14ac:dyDescent="0.3">
      <c r="A24" t="s">
        <v>20</v>
      </c>
      <c r="B24" t="s">
        <v>21</v>
      </c>
      <c r="C24">
        <v>0</v>
      </c>
      <c r="E24">
        <f t="shared" si="0"/>
        <v>0</v>
      </c>
    </row>
    <row r="25" spans="1:5" x14ac:dyDescent="0.3">
      <c r="A25" t="s">
        <v>22</v>
      </c>
      <c r="B25" t="s">
        <v>3</v>
      </c>
      <c r="C25">
        <v>5</v>
      </c>
      <c r="D25">
        <v>18000</v>
      </c>
      <c r="E25">
        <f t="shared" si="0"/>
        <v>90000</v>
      </c>
    </row>
    <row r="26" spans="1:5" x14ac:dyDescent="0.3">
      <c r="A26" t="s">
        <v>22</v>
      </c>
      <c r="B26" t="s">
        <v>23</v>
      </c>
      <c r="C26">
        <v>87</v>
      </c>
      <c r="D26">
        <v>5400</v>
      </c>
      <c r="E26">
        <f t="shared" si="0"/>
        <v>469800</v>
      </c>
    </row>
    <row r="27" spans="1:5" x14ac:dyDescent="0.3">
      <c r="A27" t="s">
        <v>24</v>
      </c>
      <c r="B27" t="s">
        <v>25</v>
      </c>
      <c r="C27">
        <v>5</v>
      </c>
      <c r="D27">
        <v>11100</v>
      </c>
      <c r="E27">
        <f t="shared" si="0"/>
        <v>55500</v>
      </c>
    </row>
    <row r="28" spans="1:5" hidden="1" x14ac:dyDescent="0.3">
      <c r="A28" t="s">
        <v>26</v>
      </c>
      <c r="B28" t="s">
        <v>3</v>
      </c>
      <c r="C28">
        <v>0</v>
      </c>
      <c r="E28">
        <f t="shared" si="0"/>
        <v>0</v>
      </c>
    </row>
    <row r="29" spans="1:5" x14ac:dyDescent="0.3">
      <c r="A29" t="s">
        <v>26</v>
      </c>
      <c r="B29" t="s">
        <v>27</v>
      </c>
      <c r="C29">
        <v>7</v>
      </c>
      <c r="D29">
        <v>10000</v>
      </c>
      <c r="E29">
        <f t="shared" si="0"/>
        <v>70000</v>
      </c>
    </row>
    <row r="30" spans="1:5" x14ac:dyDescent="0.3">
      <c r="A30" t="s">
        <v>28</v>
      </c>
      <c r="B30" t="s">
        <v>3</v>
      </c>
      <c r="C30">
        <v>57</v>
      </c>
      <c r="D30">
        <v>11000</v>
      </c>
      <c r="E30">
        <f t="shared" si="0"/>
        <v>627000</v>
      </c>
    </row>
    <row r="31" spans="1:5" hidden="1" x14ac:dyDescent="0.3">
      <c r="A31" t="s">
        <v>28</v>
      </c>
      <c r="B31" t="s">
        <v>17</v>
      </c>
      <c r="C31">
        <v>0</v>
      </c>
      <c r="E31">
        <f t="shared" si="0"/>
        <v>0</v>
      </c>
    </row>
    <row r="32" spans="1:5" x14ac:dyDescent="0.3">
      <c r="A32" t="s">
        <v>29</v>
      </c>
      <c r="B32" t="s">
        <v>30</v>
      </c>
      <c r="C32">
        <v>80</v>
      </c>
      <c r="D32">
        <v>8000</v>
      </c>
      <c r="E32">
        <f t="shared" si="0"/>
        <v>640000</v>
      </c>
    </row>
    <row r="33" spans="1:5" x14ac:dyDescent="0.3">
      <c r="A33" t="s">
        <v>31</v>
      </c>
      <c r="B33" t="s">
        <v>3</v>
      </c>
      <c r="C33">
        <v>540</v>
      </c>
      <c r="D33">
        <v>9000</v>
      </c>
      <c r="E33">
        <f t="shared" si="0"/>
        <v>4860000</v>
      </c>
    </row>
    <row r="34" spans="1:5" hidden="1" x14ac:dyDescent="0.3">
      <c r="A34" t="s">
        <v>31</v>
      </c>
      <c r="B34" t="s">
        <v>30</v>
      </c>
      <c r="C34">
        <v>0</v>
      </c>
      <c r="E34">
        <f t="shared" si="0"/>
        <v>0</v>
      </c>
    </row>
    <row r="35" spans="1:5" x14ac:dyDescent="0.3">
      <c r="A35" t="s">
        <v>32</v>
      </c>
      <c r="B35" t="s">
        <v>17</v>
      </c>
      <c r="C35">
        <v>3</v>
      </c>
      <c r="D35">
        <v>7000</v>
      </c>
      <c r="E35">
        <f t="shared" si="0"/>
        <v>21000</v>
      </c>
    </row>
    <row r="36" spans="1:5" x14ac:dyDescent="0.3">
      <c r="A36" t="s">
        <v>33</v>
      </c>
      <c r="B36" t="s">
        <v>3</v>
      </c>
      <c r="C36">
        <v>98</v>
      </c>
      <c r="D36">
        <v>8000</v>
      </c>
      <c r="E36">
        <f t="shared" si="0"/>
        <v>784000</v>
      </c>
    </row>
    <row r="37" spans="1:5" hidden="1" x14ac:dyDescent="0.3">
      <c r="A37" t="s">
        <v>33</v>
      </c>
      <c r="B37" t="s">
        <v>34</v>
      </c>
      <c r="C37">
        <v>0</v>
      </c>
      <c r="E37">
        <f t="shared" si="0"/>
        <v>0</v>
      </c>
    </row>
    <row r="38" spans="1:5" hidden="1" x14ac:dyDescent="0.3">
      <c r="A38" t="s">
        <v>35</v>
      </c>
      <c r="B38" t="s">
        <v>3</v>
      </c>
      <c r="C38">
        <v>0</v>
      </c>
      <c r="E38">
        <f t="shared" si="0"/>
        <v>0</v>
      </c>
    </row>
    <row r="39" spans="1:5" hidden="1" x14ac:dyDescent="0.3">
      <c r="A39" t="s">
        <v>35</v>
      </c>
      <c r="B39" t="s">
        <v>30</v>
      </c>
      <c r="C39">
        <v>0</v>
      </c>
      <c r="E39">
        <f t="shared" si="0"/>
        <v>0</v>
      </c>
    </row>
    <row r="40" spans="1:5" hidden="1" x14ac:dyDescent="0.3">
      <c r="A40" t="s">
        <v>36</v>
      </c>
      <c r="B40" t="s">
        <v>3</v>
      </c>
      <c r="C40">
        <v>0</v>
      </c>
      <c r="E40">
        <f t="shared" si="0"/>
        <v>0</v>
      </c>
    </row>
    <row r="41" spans="1:5" x14ac:dyDescent="0.3">
      <c r="A41" t="s">
        <v>36</v>
      </c>
      <c r="B41" t="s">
        <v>30</v>
      </c>
      <c r="C41">
        <v>4</v>
      </c>
      <c r="D41">
        <v>5000</v>
      </c>
      <c r="E41">
        <f t="shared" si="0"/>
        <v>20000</v>
      </c>
    </row>
    <row r="42" spans="1:5" x14ac:dyDescent="0.3">
      <c r="A42" t="s">
        <v>37</v>
      </c>
      <c r="B42" t="s">
        <v>30</v>
      </c>
      <c r="C42">
        <v>8</v>
      </c>
      <c r="D42">
        <v>4300</v>
      </c>
      <c r="E42">
        <f t="shared" si="0"/>
        <v>34400</v>
      </c>
    </row>
    <row r="43" spans="1:5" hidden="1" x14ac:dyDescent="0.3">
      <c r="A43" t="s">
        <v>38</v>
      </c>
      <c r="B43" t="s">
        <v>3</v>
      </c>
      <c r="C43">
        <v>0</v>
      </c>
      <c r="E43">
        <f t="shared" si="0"/>
        <v>0</v>
      </c>
    </row>
    <row r="44" spans="1:5" x14ac:dyDescent="0.3">
      <c r="A44" t="s">
        <v>103</v>
      </c>
      <c r="B44" t="s">
        <v>3</v>
      </c>
      <c r="C44">
        <v>10</v>
      </c>
      <c r="D44">
        <v>14000</v>
      </c>
      <c r="E44">
        <f t="shared" si="0"/>
        <v>140000</v>
      </c>
    </row>
    <row r="45" spans="1:5" hidden="1" x14ac:dyDescent="0.3">
      <c r="A45" t="s">
        <v>39</v>
      </c>
      <c r="B45" t="s">
        <v>40</v>
      </c>
      <c r="C45">
        <v>0</v>
      </c>
      <c r="E45">
        <f t="shared" si="0"/>
        <v>0</v>
      </c>
    </row>
    <row r="46" spans="1:5" x14ac:dyDescent="0.3">
      <c r="A46" t="s">
        <v>39</v>
      </c>
      <c r="B46" t="s">
        <v>3</v>
      </c>
      <c r="C46">
        <v>30</v>
      </c>
      <c r="D46">
        <v>10000</v>
      </c>
      <c r="E46">
        <f t="shared" si="0"/>
        <v>300000</v>
      </c>
    </row>
    <row r="47" spans="1:5" x14ac:dyDescent="0.3">
      <c r="A47" t="s">
        <v>41</v>
      </c>
      <c r="B47" t="s">
        <v>3</v>
      </c>
      <c r="C47">
        <v>13</v>
      </c>
      <c r="D47">
        <v>14000</v>
      </c>
      <c r="E47">
        <f t="shared" si="0"/>
        <v>182000</v>
      </c>
    </row>
    <row r="48" spans="1:5" hidden="1" x14ac:dyDescent="0.3">
      <c r="A48" t="s">
        <v>42</v>
      </c>
      <c r="B48" t="s">
        <v>25</v>
      </c>
      <c r="C48">
        <v>0</v>
      </c>
      <c r="E48">
        <f t="shared" si="0"/>
        <v>0</v>
      </c>
    </row>
    <row r="49" spans="1:5" x14ac:dyDescent="0.3">
      <c r="A49" t="s">
        <v>43</v>
      </c>
      <c r="B49" t="s">
        <v>3</v>
      </c>
      <c r="C49">
        <v>2</v>
      </c>
      <c r="D49">
        <v>16000</v>
      </c>
      <c r="E49">
        <f t="shared" si="0"/>
        <v>32000</v>
      </c>
    </row>
    <row r="50" spans="1:5" x14ac:dyDescent="0.3">
      <c r="A50" t="s">
        <v>44</v>
      </c>
      <c r="B50" t="s">
        <v>3</v>
      </c>
      <c r="C50">
        <v>40</v>
      </c>
      <c r="D50">
        <v>6000</v>
      </c>
      <c r="E50">
        <f t="shared" si="0"/>
        <v>240000</v>
      </c>
    </row>
    <row r="51" spans="1:5" x14ac:dyDescent="0.3">
      <c r="A51" t="s">
        <v>45</v>
      </c>
      <c r="B51" t="s">
        <v>3</v>
      </c>
      <c r="C51">
        <v>4</v>
      </c>
      <c r="D51">
        <v>11000</v>
      </c>
      <c r="E51">
        <f t="shared" si="0"/>
        <v>44000</v>
      </c>
    </row>
    <row r="52" spans="1:5" hidden="1" x14ac:dyDescent="0.3">
      <c r="A52" t="s">
        <v>45</v>
      </c>
      <c r="B52" t="s">
        <v>30</v>
      </c>
      <c r="C52">
        <v>0</v>
      </c>
      <c r="E52">
        <f t="shared" si="0"/>
        <v>0</v>
      </c>
    </row>
    <row r="53" spans="1:5" x14ac:dyDescent="0.3">
      <c r="A53" t="s">
        <v>46</v>
      </c>
      <c r="B53" t="s">
        <v>3</v>
      </c>
      <c r="C53">
        <v>7</v>
      </c>
      <c r="D53">
        <v>17000</v>
      </c>
      <c r="E53">
        <f t="shared" si="0"/>
        <v>119000</v>
      </c>
    </row>
    <row r="54" spans="1:5" x14ac:dyDescent="0.3">
      <c r="A54" t="s">
        <v>47</v>
      </c>
      <c r="B54" t="s">
        <v>3</v>
      </c>
      <c r="C54">
        <v>306</v>
      </c>
      <c r="D54">
        <v>9000</v>
      </c>
      <c r="E54">
        <f t="shared" si="0"/>
        <v>2754000</v>
      </c>
    </row>
    <row r="55" spans="1:5" hidden="1" x14ac:dyDescent="0.3">
      <c r="A55" t="s">
        <v>47</v>
      </c>
      <c r="B55" t="s">
        <v>48</v>
      </c>
      <c r="C55">
        <v>0</v>
      </c>
      <c r="E55">
        <f t="shared" si="0"/>
        <v>0</v>
      </c>
    </row>
    <row r="56" spans="1:5" x14ac:dyDescent="0.3">
      <c r="A56" t="s">
        <v>50</v>
      </c>
      <c r="B56" t="s">
        <v>30</v>
      </c>
      <c r="C56">
        <v>250</v>
      </c>
      <c r="D56">
        <v>2400</v>
      </c>
      <c r="E56">
        <f t="shared" si="0"/>
        <v>600000</v>
      </c>
    </row>
    <row r="57" spans="1:5" x14ac:dyDescent="0.3">
      <c r="A57" t="s">
        <v>51</v>
      </c>
      <c r="B57" t="s">
        <v>3</v>
      </c>
      <c r="C57">
        <v>790</v>
      </c>
      <c r="D57">
        <v>28000</v>
      </c>
      <c r="E57">
        <f t="shared" si="0"/>
        <v>22120000</v>
      </c>
    </row>
    <row r="58" spans="1:5" x14ac:dyDescent="0.3">
      <c r="A58" t="s">
        <v>52</v>
      </c>
      <c r="B58" t="s">
        <v>3</v>
      </c>
      <c r="C58">
        <v>3140</v>
      </c>
      <c r="D58">
        <v>27000</v>
      </c>
      <c r="E58">
        <f t="shared" si="0"/>
        <v>84780000</v>
      </c>
    </row>
    <row r="59" spans="1:5" x14ac:dyDescent="0.3">
      <c r="A59" t="s">
        <v>150</v>
      </c>
      <c r="B59" t="s">
        <v>3</v>
      </c>
      <c r="C59">
        <v>800</v>
      </c>
      <c r="D59">
        <v>27000</v>
      </c>
      <c r="E59">
        <f t="shared" si="0"/>
        <v>21600000</v>
      </c>
    </row>
    <row r="60" spans="1:5" x14ac:dyDescent="0.3">
      <c r="A60" t="s">
        <v>54</v>
      </c>
      <c r="B60" t="s">
        <v>3</v>
      </c>
      <c r="C60">
        <v>185</v>
      </c>
      <c r="D60">
        <v>15000</v>
      </c>
      <c r="E60">
        <f t="shared" si="0"/>
        <v>2775000</v>
      </c>
    </row>
    <row r="61" spans="1:5" x14ac:dyDescent="0.3">
      <c r="A61" t="s">
        <v>55</v>
      </c>
      <c r="B61" t="s">
        <v>3</v>
      </c>
      <c r="C61">
        <v>13</v>
      </c>
      <c r="D61">
        <v>24000</v>
      </c>
      <c r="E61">
        <f t="shared" si="0"/>
        <v>312000</v>
      </c>
    </row>
    <row r="62" spans="1:5" hidden="1" x14ac:dyDescent="0.3">
      <c r="A62" t="s">
        <v>56</v>
      </c>
      <c r="B62" t="s">
        <v>3</v>
      </c>
      <c r="C62">
        <v>0</v>
      </c>
      <c r="E62">
        <f t="shared" si="0"/>
        <v>0</v>
      </c>
    </row>
    <row r="63" spans="1:5" hidden="1" x14ac:dyDescent="0.3">
      <c r="A63" t="s">
        <v>57</v>
      </c>
      <c r="B63" t="s">
        <v>3</v>
      </c>
      <c r="C63">
        <v>0</v>
      </c>
      <c r="E63">
        <f t="shared" si="0"/>
        <v>0</v>
      </c>
    </row>
    <row r="64" spans="1:5" hidden="1" x14ac:dyDescent="0.3">
      <c r="A64" t="s">
        <v>57</v>
      </c>
      <c r="B64" t="s">
        <v>30</v>
      </c>
      <c r="C64">
        <v>0</v>
      </c>
      <c r="E64">
        <f t="shared" si="0"/>
        <v>0</v>
      </c>
    </row>
    <row r="65" spans="1:5" hidden="1" x14ac:dyDescent="0.3">
      <c r="A65" t="s">
        <v>58</v>
      </c>
      <c r="B65" t="s">
        <v>3</v>
      </c>
      <c r="C65">
        <v>0</v>
      </c>
      <c r="E65">
        <f t="shared" si="0"/>
        <v>0</v>
      </c>
    </row>
    <row r="66" spans="1:5" x14ac:dyDescent="0.3">
      <c r="A66" t="s">
        <v>59</v>
      </c>
      <c r="B66" t="s">
        <v>3</v>
      </c>
      <c r="C66">
        <v>395</v>
      </c>
      <c r="D66">
        <v>16000</v>
      </c>
      <c r="E66">
        <f t="shared" si="0"/>
        <v>6320000</v>
      </c>
    </row>
    <row r="67" spans="1:5" hidden="1" x14ac:dyDescent="0.3">
      <c r="A67" t="s">
        <v>59</v>
      </c>
      <c r="B67" t="s">
        <v>30</v>
      </c>
      <c r="C67">
        <v>0</v>
      </c>
      <c r="E67">
        <f t="shared" si="0"/>
        <v>0</v>
      </c>
    </row>
    <row r="68" spans="1:5" x14ac:dyDescent="0.3">
      <c r="A68" t="s">
        <v>60</v>
      </c>
      <c r="B68" t="s">
        <v>30</v>
      </c>
      <c r="C68">
        <v>58</v>
      </c>
      <c r="D68">
        <v>8000</v>
      </c>
      <c r="E68">
        <f t="shared" ref="E68:E133" si="1">C68*D68</f>
        <v>464000</v>
      </c>
    </row>
    <row r="69" spans="1:5" hidden="1" x14ac:dyDescent="0.3">
      <c r="A69" t="s">
        <v>138</v>
      </c>
      <c r="B69" t="s">
        <v>3</v>
      </c>
      <c r="C69">
        <v>0</v>
      </c>
      <c r="E69">
        <f t="shared" si="1"/>
        <v>0</v>
      </c>
    </row>
    <row r="70" spans="1:5" x14ac:dyDescent="0.3">
      <c r="A70" t="s">
        <v>61</v>
      </c>
      <c r="B70" t="s">
        <v>3</v>
      </c>
      <c r="C70">
        <v>10</v>
      </c>
      <c r="D70">
        <v>11000</v>
      </c>
      <c r="E70">
        <f t="shared" si="1"/>
        <v>110000</v>
      </c>
    </row>
    <row r="71" spans="1:5" hidden="1" x14ac:dyDescent="0.3">
      <c r="A71" t="s">
        <v>62</v>
      </c>
      <c r="B71" t="s">
        <v>30</v>
      </c>
      <c r="C71">
        <v>0</v>
      </c>
      <c r="E71">
        <f t="shared" si="1"/>
        <v>0</v>
      </c>
    </row>
    <row r="72" spans="1:5" hidden="1" x14ac:dyDescent="0.3">
      <c r="A72" t="s">
        <v>63</v>
      </c>
      <c r="B72" t="s">
        <v>3</v>
      </c>
      <c r="C72">
        <v>0</v>
      </c>
      <c r="E72">
        <f t="shared" si="1"/>
        <v>0</v>
      </c>
    </row>
    <row r="73" spans="1:5" x14ac:dyDescent="0.3">
      <c r="A73" t="s">
        <v>63</v>
      </c>
      <c r="B73" t="s">
        <v>64</v>
      </c>
      <c r="C73">
        <v>23</v>
      </c>
      <c r="D73">
        <v>8500</v>
      </c>
      <c r="E73">
        <f t="shared" si="1"/>
        <v>195500</v>
      </c>
    </row>
    <row r="74" spans="1:5" x14ac:dyDescent="0.3">
      <c r="A74" t="s">
        <v>65</v>
      </c>
      <c r="B74" t="s">
        <v>3</v>
      </c>
      <c r="C74">
        <v>2</v>
      </c>
      <c r="D74">
        <v>80000</v>
      </c>
      <c r="E74">
        <f t="shared" si="1"/>
        <v>160000</v>
      </c>
    </row>
    <row r="75" spans="1:5" hidden="1" x14ac:dyDescent="0.3">
      <c r="A75" t="s">
        <v>112</v>
      </c>
      <c r="B75" t="s">
        <v>3</v>
      </c>
      <c r="C75">
        <v>0</v>
      </c>
      <c r="E75">
        <f t="shared" si="1"/>
        <v>0</v>
      </c>
    </row>
    <row r="76" spans="1:5" x14ac:dyDescent="0.3">
      <c r="A76" t="s">
        <v>66</v>
      </c>
      <c r="B76" t="s">
        <v>3</v>
      </c>
      <c r="C76">
        <v>2</v>
      </c>
      <c r="D76">
        <v>70000</v>
      </c>
      <c r="E76">
        <f t="shared" si="1"/>
        <v>140000</v>
      </c>
    </row>
    <row r="77" spans="1:5" x14ac:dyDescent="0.3">
      <c r="A77" t="s">
        <v>67</v>
      </c>
      <c r="B77" t="s">
        <v>3</v>
      </c>
      <c r="C77">
        <v>2</v>
      </c>
      <c r="D77">
        <v>70000</v>
      </c>
      <c r="E77">
        <f t="shared" si="1"/>
        <v>140000</v>
      </c>
    </row>
    <row r="78" spans="1:5" hidden="1" x14ac:dyDescent="0.3">
      <c r="A78" t="s">
        <v>152</v>
      </c>
      <c r="B78" t="s">
        <v>30</v>
      </c>
      <c r="C78">
        <v>0</v>
      </c>
      <c r="E78">
        <f t="shared" si="1"/>
        <v>0</v>
      </c>
    </row>
    <row r="79" spans="1:5" hidden="1" x14ac:dyDescent="0.3">
      <c r="A79" t="s">
        <v>68</v>
      </c>
      <c r="B79" t="s">
        <v>3</v>
      </c>
      <c r="C79">
        <v>0</v>
      </c>
      <c r="E79">
        <f t="shared" si="1"/>
        <v>0</v>
      </c>
    </row>
    <row r="80" spans="1:5" x14ac:dyDescent="0.3">
      <c r="A80" t="s">
        <v>68</v>
      </c>
      <c r="B80" t="s">
        <v>17</v>
      </c>
      <c r="C80">
        <v>379</v>
      </c>
      <c r="D80">
        <v>6000</v>
      </c>
      <c r="E80">
        <f t="shared" si="1"/>
        <v>2274000</v>
      </c>
    </row>
    <row r="81" spans="1:5" x14ac:dyDescent="0.3">
      <c r="A81" t="s">
        <v>69</v>
      </c>
      <c r="B81" t="s">
        <v>3</v>
      </c>
      <c r="C81">
        <v>5</v>
      </c>
      <c r="D81">
        <v>16000</v>
      </c>
      <c r="E81">
        <f t="shared" si="1"/>
        <v>80000</v>
      </c>
    </row>
    <row r="82" spans="1:5" x14ac:dyDescent="0.3">
      <c r="A82" t="s">
        <v>70</v>
      </c>
      <c r="B82" t="s">
        <v>3</v>
      </c>
      <c r="C82">
        <v>24</v>
      </c>
      <c r="D82">
        <v>20000</v>
      </c>
      <c r="E82">
        <f t="shared" si="1"/>
        <v>480000</v>
      </c>
    </row>
    <row r="83" spans="1:5" hidden="1" x14ac:dyDescent="0.3">
      <c r="A83" t="s">
        <v>71</v>
      </c>
      <c r="B83" t="s">
        <v>40</v>
      </c>
      <c r="C83">
        <v>0</v>
      </c>
      <c r="E83">
        <f t="shared" si="1"/>
        <v>0</v>
      </c>
    </row>
    <row r="84" spans="1:5" x14ac:dyDescent="0.3">
      <c r="A84" t="s">
        <v>71</v>
      </c>
      <c r="B84" t="s">
        <v>3</v>
      </c>
      <c r="C84">
        <v>9</v>
      </c>
      <c r="D84">
        <v>14000</v>
      </c>
      <c r="E84">
        <f t="shared" si="1"/>
        <v>126000</v>
      </c>
    </row>
    <row r="85" spans="1:5" hidden="1" x14ac:dyDescent="0.3">
      <c r="A85" t="s">
        <v>72</v>
      </c>
      <c r="B85" t="s">
        <v>3</v>
      </c>
      <c r="C85">
        <v>0</v>
      </c>
      <c r="E85">
        <f t="shared" si="1"/>
        <v>0</v>
      </c>
    </row>
    <row r="86" spans="1:5" x14ac:dyDescent="0.3">
      <c r="A86" t="s">
        <v>159</v>
      </c>
      <c r="B86" t="s">
        <v>3</v>
      </c>
      <c r="C86">
        <v>2285</v>
      </c>
      <c r="D86">
        <v>27600</v>
      </c>
      <c r="E86">
        <f t="shared" si="1"/>
        <v>63066000</v>
      </c>
    </row>
    <row r="87" spans="1:5" x14ac:dyDescent="0.3">
      <c r="A87" t="s">
        <v>125</v>
      </c>
      <c r="B87" t="s">
        <v>25</v>
      </c>
      <c r="C87">
        <v>10</v>
      </c>
      <c r="D87">
        <v>100000</v>
      </c>
      <c r="E87">
        <f t="shared" si="1"/>
        <v>1000000</v>
      </c>
    </row>
    <row r="88" spans="1:5" hidden="1" x14ac:dyDescent="0.3">
      <c r="A88" t="s">
        <v>74</v>
      </c>
      <c r="B88" t="s">
        <v>30</v>
      </c>
      <c r="C88">
        <v>0</v>
      </c>
      <c r="E88">
        <f t="shared" si="1"/>
        <v>0</v>
      </c>
    </row>
    <row r="89" spans="1:5" x14ac:dyDescent="0.3">
      <c r="A89" t="s">
        <v>75</v>
      </c>
      <c r="B89" t="s">
        <v>3</v>
      </c>
      <c r="C89">
        <v>10</v>
      </c>
      <c r="D89">
        <v>14000</v>
      </c>
      <c r="E89">
        <f t="shared" si="1"/>
        <v>140000</v>
      </c>
    </row>
    <row r="90" spans="1:5" hidden="1" x14ac:dyDescent="0.3">
      <c r="A90" t="s">
        <v>76</v>
      </c>
      <c r="B90" t="s">
        <v>17</v>
      </c>
      <c r="C90">
        <v>0</v>
      </c>
      <c r="E90">
        <f t="shared" si="1"/>
        <v>0</v>
      </c>
    </row>
    <row r="91" spans="1:5" hidden="1" x14ac:dyDescent="0.3">
      <c r="A91" t="s">
        <v>77</v>
      </c>
      <c r="B91" t="s">
        <v>25</v>
      </c>
      <c r="C91">
        <v>0</v>
      </c>
      <c r="E91">
        <f t="shared" si="1"/>
        <v>0</v>
      </c>
    </row>
    <row r="92" spans="1:5" x14ac:dyDescent="0.3">
      <c r="A92" t="s">
        <v>77</v>
      </c>
      <c r="B92" t="s">
        <v>3</v>
      </c>
      <c r="C92">
        <v>7</v>
      </c>
      <c r="D92">
        <v>38000</v>
      </c>
      <c r="E92">
        <f t="shared" si="1"/>
        <v>266000</v>
      </c>
    </row>
    <row r="93" spans="1:5" x14ac:dyDescent="0.3">
      <c r="A93" t="s">
        <v>78</v>
      </c>
      <c r="B93" t="s">
        <v>3</v>
      </c>
      <c r="C93">
        <v>231</v>
      </c>
      <c r="D93">
        <v>40000</v>
      </c>
      <c r="E93">
        <f t="shared" si="1"/>
        <v>9240000</v>
      </c>
    </row>
    <row r="94" spans="1:5" hidden="1" x14ac:dyDescent="0.3">
      <c r="A94" t="s">
        <v>78</v>
      </c>
      <c r="B94" t="s">
        <v>9</v>
      </c>
      <c r="C94">
        <v>0</v>
      </c>
      <c r="E94">
        <f t="shared" si="1"/>
        <v>0</v>
      </c>
    </row>
    <row r="95" spans="1:5" x14ac:dyDescent="0.3">
      <c r="A95" t="s">
        <v>79</v>
      </c>
      <c r="B95" t="s">
        <v>3</v>
      </c>
      <c r="C95">
        <v>20</v>
      </c>
      <c r="D95">
        <v>35000</v>
      </c>
      <c r="E95">
        <f t="shared" si="1"/>
        <v>700000</v>
      </c>
    </row>
    <row r="96" spans="1:5" x14ac:dyDescent="0.3">
      <c r="A96" t="s">
        <v>80</v>
      </c>
      <c r="B96" t="s">
        <v>3</v>
      </c>
      <c r="C96">
        <v>155</v>
      </c>
      <c r="D96">
        <v>30000</v>
      </c>
      <c r="E96">
        <f t="shared" si="1"/>
        <v>4650000</v>
      </c>
    </row>
    <row r="97" spans="1:5" hidden="1" x14ac:dyDescent="0.3">
      <c r="A97" t="s">
        <v>80</v>
      </c>
      <c r="B97" t="s">
        <v>9</v>
      </c>
      <c r="C97">
        <v>0</v>
      </c>
      <c r="E97">
        <f t="shared" si="1"/>
        <v>0</v>
      </c>
    </row>
    <row r="98" spans="1:5" x14ac:dyDescent="0.3">
      <c r="A98" t="s">
        <v>81</v>
      </c>
      <c r="B98" t="s">
        <v>3</v>
      </c>
      <c r="C98">
        <v>20</v>
      </c>
      <c r="D98">
        <v>25000</v>
      </c>
      <c r="E98">
        <f t="shared" si="1"/>
        <v>500000</v>
      </c>
    </row>
    <row r="99" spans="1:5" x14ac:dyDescent="0.3">
      <c r="A99" t="s">
        <v>82</v>
      </c>
      <c r="B99" t="s">
        <v>3</v>
      </c>
      <c r="C99">
        <v>55</v>
      </c>
      <c r="D99">
        <v>30000</v>
      </c>
      <c r="E99">
        <f t="shared" si="1"/>
        <v>1650000</v>
      </c>
    </row>
    <row r="100" spans="1:5" hidden="1" x14ac:dyDescent="0.3">
      <c r="A100" t="s">
        <v>82</v>
      </c>
      <c r="B100" t="s">
        <v>9</v>
      </c>
      <c r="C100">
        <v>0</v>
      </c>
      <c r="E100">
        <f t="shared" si="1"/>
        <v>0</v>
      </c>
    </row>
    <row r="101" spans="1:5" x14ac:dyDescent="0.3">
      <c r="A101" t="s">
        <v>83</v>
      </c>
      <c r="B101" t="s">
        <v>3</v>
      </c>
      <c r="C101">
        <v>40</v>
      </c>
      <c r="D101">
        <v>25000</v>
      </c>
      <c r="E101">
        <f t="shared" si="1"/>
        <v>1000000</v>
      </c>
    </row>
    <row r="102" spans="1:5" x14ac:dyDescent="0.3">
      <c r="A102" t="s">
        <v>84</v>
      </c>
      <c r="B102" t="s">
        <v>3</v>
      </c>
      <c r="C102">
        <v>51</v>
      </c>
      <c r="D102">
        <v>50000</v>
      </c>
      <c r="E102">
        <f t="shared" si="1"/>
        <v>2550000</v>
      </c>
    </row>
    <row r="103" spans="1:5" x14ac:dyDescent="0.3">
      <c r="A103" t="s">
        <v>84</v>
      </c>
      <c r="B103" t="s">
        <v>30</v>
      </c>
      <c r="C103">
        <v>30</v>
      </c>
      <c r="D103">
        <v>18000</v>
      </c>
      <c r="E103">
        <f t="shared" si="1"/>
        <v>540000</v>
      </c>
    </row>
    <row r="104" spans="1:5" hidden="1" x14ac:dyDescent="0.3">
      <c r="A104" t="s">
        <v>85</v>
      </c>
      <c r="B104" t="s">
        <v>30</v>
      </c>
      <c r="C104">
        <v>0</v>
      </c>
      <c r="E104">
        <f t="shared" si="1"/>
        <v>0</v>
      </c>
    </row>
    <row r="105" spans="1:5" hidden="1" x14ac:dyDescent="0.3">
      <c r="A105" t="s">
        <v>123</v>
      </c>
      <c r="B105" t="s">
        <v>3</v>
      </c>
      <c r="C105">
        <v>0</v>
      </c>
      <c r="E105">
        <f t="shared" si="1"/>
        <v>0</v>
      </c>
    </row>
    <row r="106" spans="1:5" x14ac:dyDescent="0.3">
      <c r="A106" t="s">
        <v>106</v>
      </c>
      <c r="B106" t="s">
        <v>9</v>
      </c>
      <c r="C106">
        <v>1642</v>
      </c>
      <c r="D106">
        <v>8000</v>
      </c>
      <c r="E106">
        <f t="shared" si="1"/>
        <v>13136000</v>
      </c>
    </row>
    <row r="107" spans="1:5" x14ac:dyDescent="0.3">
      <c r="A107" t="s">
        <v>88</v>
      </c>
      <c r="B107" t="s">
        <v>9</v>
      </c>
      <c r="C107">
        <v>805</v>
      </c>
      <c r="D107">
        <v>11361</v>
      </c>
      <c r="E107">
        <f t="shared" si="1"/>
        <v>9145605</v>
      </c>
    </row>
    <row r="108" spans="1:5" x14ac:dyDescent="0.3">
      <c r="A108" t="s">
        <v>146</v>
      </c>
      <c r="B108" t="s">
        <v>9</v>
      </c>
      <c r="C108">
        <v>432</v>
      </c>
      <c r="D108">
        <v>95000</v>
      </c>
      <c r="E108">
        <f t="shared" si="1"/>
        <v>41040000</v>
      </c>
    </row>
    <row r="109" spans="1:5" x14ac:dyDescent="0.3">
      <c r="A109" t="s">
        <v>89</v>
      </c>
      <c r="B109" t="s">
        <v>3</v>
      </c>
      <c r="C109">
        <v>4213</v>
      </c>
      <c r="D109">
        <v>31000</v>
      </c>
      <c r="E109">
        <f t="shared" si="1"/>
        <v>130603000</v>
      </c>
    </row>
    <row r="110" spans="1:5" x14ac:dyDescent="0.3">
      <c r="A110" t="s">
        <v>90</v>
      </c>
      <c r="B110" t="s">
        <v>3</v>
      </c>
      <c r="C110">
        <v>18</v>
      </c>
      <c r="D110">
        <v>24000</v>
      </c>
      <c r="E110">
        <f t="shared" si="1"/>
        <v>432000</v>
      </c>
    </row>
    <row r="111" spans="1:5" hidden="1" x14ac:dyDescent="0.3">
      <c r="A111" t="s">
        <v>91</v>
      </c>
      <c r="B111" t="s">
        <v>25</v>
      </c>
      <c r="C111">
        <v>0</v>
      </c>
      <c r="E111">
        <f t="shared" si="1"/>
        <v>0</v>
      </c>
    </row>
    <row r="112" spans="1:5" x14ac:dyDescent="0.3">
      <c r="A112" t="s">
        <v>154</v>
      </c>
      <c r="B112" t="s">
        <v>9</v>
      </c>
      <c r="C112">
        <v>2192</v>
      </c>
      <c r="D112">
        <v>36000</v>
      </c>
      <c r="E112">
        <f t="shared" si="1"/>
        <v>78912000</v>
      </c>
    </row>
    <row r="113" spans="1:5" x14ac:dyDescent="0.3">
      <c r="A113" t="s">
        <v>92</v>
      </c>
      <c r="B113" t="s">
        <v>3</v>
      </c>
      <c r="C113">
        <v>105</v>
      </c>
      <c r="D113">
        <v>10000</v>
      </c>
      <c r="E113">
        <f t="shared" si="1"/>
        <v>1050000</v>
      </c>
    </row>
    <row r="114" spans="1:5" hidden="1" x14ac:dyDescent="0.3">
      <c r="A114" t="s">
        <v>114</v>
      </c>
      <c r="B114" t="s">
        <v>3</v>
      </c>
      <c r="C114">
        <v>0</v>
      </c>
      <c r="E114">
        <f t="shared" si="1"/>
        <v>0</v>
      </c>
    </row>
    <row r="115" spans="1:5" x14ac:dyDescent="0.3">
      <c r="A115" t="s">
        <v>93</v>
      </c>
      <c r="B115" t="s">
        <v>3</v>
      </c>
      <c r="C115">
        <v>9.5</v>
      </c>
      <c r="D115">
        <v>13000</v>
      </c>
      <c r="E115">
        <f t="shared" si="1"/>
        <v>123500</v>
      </c>
    </row>
    <row r="116" spans="1:5" hidden="1" x14ac:dyDescent="0.3">
      <c r="A116" t="s">
        <v>94</v>
      </c>
      <c r="B116" t="s">
        <v>3</v>
      </c>
      <c r="C116">
        <v>0</v>
      </c>
      <c r="E116">
        <f t="shared" si="1"/>
        <v>0</v>
      </c>
    </row>
    <row r="117" spans="1:5" hidden="1" x14ac:dyDescent="0.3">
      <c r="A117" t="s">
        <v>95</v>
      </c>
      <c r="B117" t="s">
        <v>40</v>
      </c>
      <c r="C117">
        <v>0</v>
      </c>
      <c r="E117">
        <f t="shared" si="1"/>
        <v>0</v>
      </c>
    </row>
    <row r="118" spans="1:5" x14ac:dyDescent="0.3">
      <c r="A118" t="s">
        <v>96</v>
      </c>
      <c r="B118" t="s">
        <v>3</v>
      </c>
      <c r="C118">
        <v>3</v>
      </c>
      <c r="D118">
        <v>24000</v>
      </c>
      <c r="E118">
        <f t="shared" si="1"/>
        <v>72000</v>
      </c>
    </row>
    <row r="119" spans="1:5" hidden="1" x14ac:dyDescent="0.3">
      <c r="A119" t="s">
        <v>97</v>
      </c>
      <c r="B119" t="s">
        <v>40</v>
      </c>
      <c r="C119">
        <v>0</v>
      </c>
      <c r="E119">
        <f t="shared" si="1"/>
        <v>0</v>
      </c>
    </row>
    <row r="120" spans="1:5" hidden="1" x14ac:dyDescent="0.3">
      <c r="A120" t="s">
        <v>98</v>
      </c>
      <c r="B120" t="s">
        <v>3</v>
      </c>
      <c r="C120">
        <v>0</v>
      </c>
      <c r="E120">
        <f t="shared" si="1"/>
        <v>0</v>
      </c>
    </row>
    <row r="121" spans="1:5" hidden="1" x14ac:dyDescent="0.3">
      <c r="A121" t="s">
        <v>99</v>
      </c>
      <c r="B121" t="s">
        <v>3</v>
      </c>
      <c r="C121">
        <v>0</v>
      </c>
      <c r="E121">
        <f t="shared" si="1"/>
        <v>0</v>
      </c>
    </row>
    <row r="122" spans="1:5" x14ac:dyDescent="0.3">
      <c r="A122" t="s">
        <v>100</v>
      </c>
      <c r="B122" t="s">
        <v>40</v>
      </c>
      <c r="C122">
        <v>94</v>
      </c>
      <c r="D122">
        <v>7500</v>
      </c>
      <c r="E122">
        <f t="shared" si="1"/>
        <v>705000</v>
      </c>
    </row>
    <row r="123" spans="1:5" x14ac:dyDescent="0.3">
      <c r="E123">
        <f>SUM(E3:E122)</f>
        <v>527270805</v>
      </c>
    </row>
    <row r="124" spans="1:5" x14ac:dyDescent="0.3">
      <c r="A124" t="s">
        <v>110</v>
      </c>
    </row>
    <row r="125" spans="1:5" x14ac:dyDescent="0.3">
      <c r="A125" t="s">
        <v>0</v>
      </c>
      <c r="B125" t="s">
        <v>1</v>
      </c>
      <c r="C125" t="s">
        <v>107</v>
      </c>
      <c r="D125" t="s">
        <v>108</v>
      </c>
      <c r="E125" t="s">
        <v>109</v>
      </c>
    </row>
    <row r="126" spans="1:5" x14ac:dyDescent="0.3">
      <c r="A126" t="s">
        <v>2</v>
      </c>
      <c r="B126" t="s">
        <v>3</v>
      </c>
      <c r="C126">
        <v>8</v>
      </c>
      <c r="D126">
        <v>10000</v>
      </c>
      <c r="E126">
        <f t="shared" si="1"/>
        <v>80000</v>
      </c>
    </row>
    <row r="127" spans="1:5" x14ac:dyDescent="0.3">
      <c r="A127" t="s">
        <v>4</v>
      </c>
      <c r="B127" t="s">
        <v>3</v>
      </c>
      <c r="C127">
        <v>615</v>
      </c>
      <c r="D127">
        <v>4000</v>
      </c>
      <c r="E127">
        <f t="shared" si="1"/>
        <v>2460000</v>
      </c>
    </row>
    <row r="128" spans="1:5" x14ac:dyDescent="0.3">
      <c r="A128" t="s">
        <v>5</v>
      </c>
      <c r="B128" t="s">
        <v>3</v>
      </c>
      <c r="C128">
        <v>66</v>
      </c>
      <c r="D128">
        <v>6000</v>
      </c>
      <c r="E128">
        <f t="shared" si="1"/>
        <v>396000</v>
      </c>
    </row>
    <row r="129" spans="1:5" x14ac:dyDescent="0.3">
      <c r="A129" t="s">
        <v>119</v>
      </c>
      <c r="B129" t="s">
        <v>3</v>
      </c>
      <c r="C129">
        <v>10</v>
      </c>
      <c r="D129">
        <v>10000</v>
      </c>
      <c r="E129">
        <f t="shared" si="1"/>
        <v>100000</v>
      </c>
    </row>
    <row r="130" spans="1:5" x14ac:dyDescent="0.3">
      <c r="A130" t="s">
        <v>7</v>
      </c>
      <c r="B130" t="s">
        <v>3</v>
      </c>
      <c r="C130">
        <v>33</v>
      </c>
      <c r="D130">
        <v>8000</v>
      </c>
      <c r="E130">
        <f t="shared" si="1"/>
        <v>264000</v>
      </c>
    </row>
    <row r="131" spans="1:5" x14ac:dyDescent="0.3">
      <c r="A131" t="s">
        <v>8</v>
      </c>
      <c r="B131" t="s">
        <v>3</v>
      </c>
      <c r="C131">
        <v>11</v>
      </c>
      <c r="D131">
        <v>10000</v>
      </c>
      <c r="E131">
        <f t="shared" si="1"/>
        <v>110000</v>
      </c>
    </row>
    <row r="132" spans="1:5" x14ac:dyDescent="0.3">
      <c r="A132" t="s">
        <v>102</v>
      </c>
      <c r="B132" t="s">
        <v>3</v>
      </c>
      <c r="C132">
        <v>18</v>
      </c>
      <c r="D132">
        <v>11000</v>
      </c>
      <c r="E132">
        <f t="shared" si="1"/>
        <v>198000</v>
      </c>
    </row>
    <row r="133" spans="1:5" x14ac:dyDescent="0.3">
      <c r="A133" t="s">
        <v>18</v>
      </c>
      <c r="B133" t="s">
        <v>3</v>
      </c>
      <c r="C133">
        <v>33</v>
      </c>
      <c r="D133">
        <v>17000</v>
      </c>
      <c r="E133">
        <f t="shared" si="1"/>
        <v>561000</v>
      </c>
    </row>
    <row r="134" spans="1:5" x14ac:dyDescent="0.3">
      <c r="A134" t="s">
        <v>28</v>
      </c>
      <c r="B134" t="s">
        <v>3</v>
      </c>
      <c r="C134">
        <v>88</v>
      </c>
      <c r="D134">
        <v>11000</v>
      </c>
      <c r="E134">
        <f t="shared" ref="E134:E163" si="2">C134*D134</f>
        <v>968000</v>
      </c>
    </row>
    <row r="135" spans="1:5" x14ac:dyDescent="0.3">
      <c r="A135" t="s">
        <v>31</v>
      </c>
      <c r="B135" t="s">
        <v>3</v>
      </c>
      <c r="C135">
        <v>90</v>
      </c>
      <c r="D135">
        <v>9000</v>
      </c>
      <c r="E135">
        <f t="shared" si="2"/>
        <v>810000</v>
      </c>
    </row>
    <row r="136" spans="1:5" hidden="1" x14ac:dyDescent="0.3">
      <c r="A136" t="s">
        <v>33</v>
      </c>
      <c r="B136" t="s">
        <v>3</v>
      </c>
      <c r="C136">
        <v>0</v>
      </c>
      <c r="E136">
        <f t="shared" si="2"/>
        <v>0</v>
      </c>
    </row>
    <row r="137" spans="1:5" x14ac:dyDescent="0.3">
      <c r="A137" t="s">
        <v>38</v>
      </c>
      <c r="B137" t="s">
        <v>3</v>
      </c>
      <c r="C137">
        <v>150</v>
      </c>
      <c r="D137">
        <v>5500</v>
      </c>
      <c r="E137">
        <f t="shared" si="2"/>
        <v>825000</v>
      </c>
    </row>
    <row r="138" spans="1:5" hidden="1" x14ac:dyDescent="0.3">
      <c r="A138" t="s">
        <v>103</v>
      </c>
      <c r="B138" t="s">
        <v>3</v>
      </c>
      <c r="C138">
        <v>0</v>
      </c>
      <c r="E138">
        <f t="shared" si="2"/>
        <v>0</v>
      </c>
    </row>
    <row r="139" spans="1:5" x14ac:dyDescent="0.3">
      <c r="A139" t="s">
        <v>104</v>
      </c>
      <c r="B139" t="s">
        <v>3</v>
      </c>
      <c r="C139">
        <v>2150</v>
      </c>
      <c r="D139">
        <v>4000</v>
      </c>
      <c r="E139">
        <f t="shared" si="2"/>
        <v>8600000</v>
      </c>
    </row>
    <row r="140" spans="1:5" x14ac:dyDescent="0.3">
      <c r="A140" t="s">
        <v>39</v>
      </c>
      <c r="B140" t="s">
        <v>3</v>
      </c>
      <c r="C140">
        <v>30</v>
      </c>
      <c r="D140">
        <v>10000</v>
      </c>
      <c r="E140">
        <f t="shared" si="2"/>
        <v>300000</v>
      </c>
    </row>
    <row r="141" spans="1:5" hidden="1" x14ac:dyDescent="0.3">
      <c r="A141" t="s">
        <v>105</v>
      </c>
      <c r="B141" t="s">
        <v>3</v>
      </c>
      <c r="C141">
        <v>0</v>
      </c>
      <c r="E141">
        <f t="shared" si="2"/>
        <v>0</v>
      </c>
    </row>
    <row r="142" spans="1:5" x14ac:dyDescent="0.3">
      <c r="A142" t="s">
        <v>41</v>
      </c>
      <c r="B142" t="s">
        <v>3</v>
      </c>
      <c r="C142">
        <v>17</v>
      </c>
      <c r="D142">
        <v>14000</v>
      </c>
      <c r="E142">
        <f t="shared" si="2"/>
        <v>238000</v>
      </c>
    </row>
    <row r="143" spans="1:5" x14ac:dyDescent="0.3">
      <c r="A143" t="s">
        <v>44</v>
      </c>
      <c r="B143" t="s">
        <v>3</v>
      </c>
      <c r="C143">
        <v>30</v>
      </c>
      <c r="D143">
        <v>6000</v>
      </c>
      <c r="E143">
        <f t="shared" si="2"/>
        <v>180000</v>
      </c>
    </row>
    <row r="144" spans="1:5" x14ac:dyDescent="0.3">
      <c r="A144" t="s">
        <v>45</v>
      </c>
      <c r="B144" t="s">
        <v>3</v>
      </c>
      <c r="C144">
        <v>6</v>
      </c>
      <c r="D144">
        <v>11000</v>
      </c>
      <c r="E144">
        <f t="shared" si="2"/>
        <v>66000</v>
      </c>
    </row>
    <row r="145" spans="1:5" x14ac:dyDescent="0.3">
      <c r="A145" t="s">
        <v>47</v>
      </c>
      <c r="B145" t="s">
        <v>3</v>
      </c>
      <c r="C145">
        <v>44</v>
      </c>
      <c r="D145">
        <v>9000</v>
      </c>
      <c r="E145">
        <f t="shared" si="2"/>
        <v>396000</v>
      </c>
    </row>
    <row r="146" spans="1:5" hidden="1" x14ac:dyDescent="0.3">
      <c r="A146" t="s">
        <v>54</v>
      </c>
      <c r="B146" t="s">
        <v>3</v>
      </c>
      <c r="C146">
        <v>0</v>
      </c>
      <c r="E146">
        <f t="shared" si="2"/>
        <v>0</v>
      </c>
    </row>
    <row r="147" spans="1:5" x14ac:dyDescent="0.3">
      <c r="A147" t="s">
        <v>59</v>
      </c>
      <c r="B147" t="s">
        <v>3</v>
      </c>
      <c r="C147">
        <v>110.00000000000001</v>
      </c>
      <c r="D147">
        <v>16000</v>
      </c>
      <c r="E147">
        <f t="shared" si="2"/>
        <v>1760000.0000000002</v>
      </c>
    </row>
    <row r="148" spans="1:5" x14ac:dyDescent="0.3">
      <c r="A148" t="s">
        <v>61</v>
      </c>
      <c r="B148" t="s">
        <v>3</v>
      </c>
      <c r="C148">
        <v>5</v>
      </c>
      <c r="D148">
        <v>11000</v>
      </c>
      <c r="E148">
        <f t="shared" si="2"/>
        <v>55000</v>
      </c>
    </row>
    <row r="149" spans="1:5" hidden="1" x14ac:dyDescent="0.3">
      <c r="A149" t="s">
        <v>62</v>
      </c>
      <c r="B149" t="s">
        <v>30</v>
      </c>
      <c r="C149">
        <v>0</v>
      </c>
      <c r="E149">
        <f t="shared" si="2"/>
        <v>0</v>
      </c>
    </row>
    <row r="150" spans="1:5" x14ac:dyDescent="0.3">
      <c r="A150" t="s">
        <v>63</v>
      </c>
      <c r="B150" t="s">
        <v>30</v>
      </c>
      <c r="C150">
        <v>10</v>
      </c>
      <c r="D150">
        <v>8500</v>
      </c>
      <c r="E150">
        <f t="shared" si="2"/>
        <v>85000</v>
      </c>
    </row>
    <row r="151" spans="1:5" hidden="1" x14ac:dyDescent="0.3">
      <c r="A151" t="s">
        <v>68</v>
      </c>
      <c r="B151" t="s">
        <v>3</v>
      </c>
      <c r="C151">
        <v>0</v>
      </c>
      <c r="E151">
        <f t="shared" si="2"/>
        <v>0</v>
      </c>
    </row>
    <row r="152" spans="1:5" x14ac:dyDescent="0.3">
      <c r="A152" t="s">
        <v>68</v>
      </c>
      <c r="B152" t="s">
        <v>17</v>
      </c>
      <c r="C152">
        <v>32</v>
      </c>
      <c r="D152">
        <v>6000</v>
      </c>
      <c r="E152">
        <f t="shared" si="2"/>
        <v>192000</v>
      </c>
    </row>
    <row r="153" spans="1:5" x14ac:dyDescent="0.3">
      <c r="A153" t="s">
        <v>71</v>
      </c>
      <c r="B153" t="s">
        <v>3</v>
      </c>
      <c r="C153">
        <v>14</v>
      </c>
      <c r="D153">
        <v>12000</v>
      </c>
      <c r="E153">
        <f t="shared" si="2"/>
        <v>168000</v>
      </c>
    </row>
    <row r="154" spans="1:5" hidden="1" x14ac:dyDescent="0.3">
      <c r="A154" t="s">
        <v>72</v>
      </c>
      <c r="B154" t="s">
        <v>3</v>
      </c>
      <c r="C154">
        <v>0</v>
      </c>
      <c r="E154">
        <f t="shared" si="2"/>
        <v>0</v>
      </c>
    </row>
    <row r="155" spans="1:5" hidden="1" x14ac:dyDescent="0.3">
      <c r="A155" t="s">
        <v>73</v>
      </c>
      <c r="B155" t="s">
        <v>3</v>
      </c>
      <c r="C155">
        <v>0</v>
      </c>
      <c r="E155">
        <f t="shared" si="2"/>
        <v>0</v>
      </c>
    </row>
    <row r="156" spans="1:5" x14ac:dyDescent="0.3">
      <c r="A156" t="s">
        <v>78</v>
      </c>
      <c r="B156" t="s">
        <v>3</v>
      </c>
      <c r="C156">
        <v>7</v>
      </c>
      <c r="D156">
        <v>40000</v>
      </c>
      <c r="E156">
        <f t="shared" si="2"/>
        <v>280000</v>
      </c>
    </row>
    <row r="157" spans="1:5" x14ac:dyDescent="0.3">
      <c r="A157" t="s">
        <v>80</v>
      </c>
      <c r="B157" t="s">
        <v>3</v>
      </c>
      <c r="C157">
        <v>5</v>
      </c>
      <c r="D157">
        <v>30000</v>
      </c>
      <c r="E157">
        <f t="shared" si="2"/>
        <v>150000</v>
      </c>
    </row>
    <row r="158" spans="1:5" x14ac:dyDescent="0.3">
      <c r="A158" t="s">
        <v>82</v>
      </c>
      <c r="B158" t="s">
        <v>3</v>
      </c>
      <c r="C158">
        <v>5</v>
      </c>
      <c r="D158">
        <v>30000</v>
      </c>
      <c r="E158">
        <f t="shared" si="2"/>
        <v>150000</v>
      </c>
    </row>
    <row r="159" spans="1:5" x14ac:dyDescent="0.3">
      <c r="A159" t="s">
        <v>92</v>
      </c>
      <c r="B159" t="s">
        <v>3</v>
      </c>
      <c r="C159">
        <v>20</v>
      </c>
      <c r="D159">
        <v>10000</v>
      </c>
      <c r="E159">
        <f t="shared" si="2"/>
        <v>200000</v>
      </c>
    </row>
    <row r="160" spans="1:5" hidden="1" x14ac:dyDescent="0.3">
      <c r="A160" t="s">
        <v>94</v>
      </c>
      <c r="B160" t="s">
        <v>40</v>
      </c>
      <c r="C160">
        <v>0</v>
      </c>
      <c r="E160">
        <f t="shared" si="2"/>
        <v>0</v>
      </c>
    </row>
    <row r="161" spans="1:5" hidden="1" x14ac:dyDescent="0.3">
      <c r="A161" t="s">
        <v>95</v>
      </c>
      <c r="B161" t="s">
        <v>40</v>
      </c>
      <c r="C161">
        <v>0</v>
      </c>
      <c r="E161">
        <f t="shared" si="2"/>
        <v>0</v>
      </c>
    </row>
    <row r="162" spans="1:5" hidden="1" x14ac:dyDescent="0.3">
      <c r="A162" t="s">
        <v>97</v>
      </c>
      <c r="B162" t="s">
        <v>40</v>
      </c>
      <c r="C162">
        <v>0</v>
      </c>
      <c r="E162">
        <f t="shared" si="2"/>
        <v>0</v>
      </c>
    </row>
    <row r="163" spans="1:5" hidden="1" x14ac:dyDescent="0.3">
      <c r="A163" t="s">
        <v>100</v>
      </c>
      <c r="B163" t="s">
        <v>40</v>
      </c>
      <c r="C163">
        <v>0</v>
      </c>
      <c r="E163">
        <f t="shared" si="2"/>
        <v>0</v>
      </c>
    </row>
    <row r="164" spans="1:5" x14ac:dyDescent="0.3">
      <c r="E164">
        <f>SUM(E126:E159)</f>
        <v>19592000</v>
      </c>
    </row>
    <row r="166" spans="1:5" x14ac:dyDescent="0.3">
      <c r="E166">
        <f>E164+E123</f>
        <v>546862805</v>
      </c>
    </row>
  </sheetData>
  <autoFilter ref="A2:E163" xr:uid="{00000000-0009-0000-0000-000014000000}">
    <filterColumn colId="2">
      <filters>
        <filter val="10"/>
        <filter val="102"/>
        <filter val="105"/>
        <filter val="109"/>
        <filter val="11"/>
        <filter val="110"/>
        <filter val="12"/>
        <filter val="13"/>
        <filter val="14"/>
        <filter val="15"/>
        <filter val="150"/>
        <filter val="155"/>
        <filter val="1642"/>
        <filter val="17"/>
        <filter val="18"/>
        <filter val="185"/>
        <filter val="2"/>
        <filter val="20"/>
        <filter val="2150"/>
        <filter val="2192"/>
        <filter val="2285"/>
        <filter val="23"/>
        <filter val="231"/>
        <filter val="24"/>
        <filter val="250"/>
        <filter val="3"/>
        <filter val="30"/>
        <filter val="306"/>
        <filter val="3140"/>
        <filter val="32"/>
        <filter val="33"/>
        <filter val="379"/>
        <filter val="395"/>
        <filter val="4"/>
        <filter val="40"/>
        <filter val="4213"/>
        <filter val="432"/>
        <filter val="44"/>
        <filter val="457"/>
        <filter val="5"/>
        <filter val="51"/>
        <filter val="540"/>
        <filter val="55"/>
        <filter val="57"/>
        <filter val="58"/>
        <filter val="6"/>
        <filter val="615"/>
        <filter val="66"/>
        <filter val="68"/>
        <filter val="7"/>
        <filter val="779"/>
        <filter val="790"/>
        <filter val="8"/>
        <filter val="80"/>
        <filter val="800"/>
        <filter val="805"/>
        <filter val="87"/>
        <filter val="88"/>
        <filter val="9"/>
        <filter val="9.5"/>
        <filter val="90"/>
        <filter val="94"/>
        <filter val="98"/>
        <filter val="Tồn_x000a_ĐL_x000a__x000a_現在庫"/>
      </filters>
    </filterColumn>
  </autoFilter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filterMode="1"/>
  <dimension ref="A1:E152"/>
  <sheetViews>
    <sheetView topLeftCell="A117" workbookViewId="0">
      <selection activeCell="E152" sqref="E152"/>
    </sheetView>
  </sheetViews>
  <sheetFormatPr defaultRowHeight="14.4" x14ac:dyDescent="0.3"/>
  <cols>
    <col min="1" max="1" width="24.88671875" customWidth="1"/>
    <col min="3" max="3" width="10" customWidth="1"/>
    <col min="4" max="4" width="11.33203125" customWidth="1"/>
    <col min="5" max="5" width="14.33203125" customWidth="1"/>
  </cols>
  <sheetData>
    <row r="1" spans="1:5" x14ac:dyDescent="0.3">
      <c r="A1" t="s">
        <v>162</v>
      </c>
    </row>
    <row r="2" spans="1:5" x14ac:dyDescent="0.3">
      <c r="A2" t="s">
        <v>0</v>
      </c>
      <c r="B2" t="s">
        <v>1</v>
      </c>
      <c r="C2" t="s">
        <v>107</v>
      </c>
      <c r="D2" t="s">
        <v>108</v>
      </c>
      <c r="E2" t="s">
        <v>109</v>
      </c>
    </row>
    <row r="3" spans="1:5" x14ac:dyDescent="0.3">
      <c r="A3" t="s">
        <v>2</v>
      </c>
      <c r="B3" t="s">
        <v>3</v>
      </c>
      <c r="C3">
        <v>20</v>
      </c>
      <c r="D3">
        <v>8000</v>
      </c>
      <c r="E3">
        <f>C3*D3</f>
        <v>160000</v>
      </c>
    </row>
    <row r="4" spans="1:5" x14ac:dyDescent="0.3">
      <c r="A4" t="s">
        <v>4</v>
      </c>
      <c r="B4" t="s">
        <v>3</v>
      </c>
      <c r="C4">
        <v>205</v>
      </c>
      <c r="D4">
        <v>4000</v>
      </c>
      <c r="E4">
        <f t="shared" ref="E4:E67" si="0">C4*D4</f>
        <v>820000</v>
      </c>
    </row>
    <row r="5" spans="1:5" x14ac:dyDescent="0.3">
      <c r="A5" t="s">
        <v>5</v>
      </c>
      <c r="B5" t="s">
        <v>3</v>
      </c>
      <c r="C5">
        <v>586</v>
      </c>
      <c r="D5">
        <v>6000</v>
      </c>
      <c r="E5">
        <f t="shared" si="0"/>
        <v>3516000</v>
      </c>
    </row>
    <row r="6" spans="1:5" hidden="1" x14ac:dyDescent="0.3">
      <c r="A6" t="s">
        <v>6</v>
      </c>
      <c r="B6" t="s">
        <v>3</v>
      </c>
      <c r="C6">
        <v>0</v>
      </c>
      <c r="E6">
        <f t="shared" si="0"/>
        <v>0</v>
      </c>
    </row>
    <row r="7" spans="1:5" x14ac:dyDescent="0.3">
      <c r="A7" t="s">
        <v>7</v>
      </c>
      <c r="B7" t="s">
        <v>3</v>
      </c>
      <c r="C7">
        <v>269</v>
      </c>
      <c r="D7">
        <v>7800</v>
      </c>
      <c r="E7">
        <f t="shared" si="0"/>
        <v>2098200</v>
      </c>
    </row>
    <row r="8" spans="1:5" x14ac:dyDescent="0.3">
      <c r="A8" t="s">
        <v>111</v>
      </c>
      <c r="B8" t="s">
        <v>3</v>
      </c>
      <c r="C8">
        <v>1</v>
      </c>
      <c r="D8">
        <v>12000</v>
      </c>
      <c r="E8">
        <f t="shared" si="0"/>
        <v>12000</v>
      </c>
    </row>
    <row r="9" spans="1:5" x14ac:dyDescent="0.3">
      <c r="A9" t="s">
        <v>8</v>
      </c>
      <c r="B9" t="s">
        <v>3</v>
      </c>
      <c r="C9">
        <v>109</v>
      </c>
      <c r="D9">
        <v>10000</v>
      </c>
      <c r="E9">
        <f t="shared" si="0"/>
        <v>1090000</v>
      </c>
    </row>
    <row r="10" spans="1:5" hidden="1" x14ac:dyDescent="0.3">
      <c r="A10" t="s">
        <v>8</v>
      </c>
      <c r="B10" t="s">
        <v>9</v>
      </c>
      <c r="C10">
        <v>0</v>
      </c>
      <c r="E10">
        <f t="shared" si="0"/>
        <v>0</v>
      </c>
    </row>
    <row r="11" spans="1:5" x14ac:dyDescent="0.3">
      <c r="A11" t="s">
        <v>10</v>
      </c>
      <c r="B11" t="s">
        <v>3</v>
      </c>
      <c r="C11">
        <v>45</v>
      </c>
      <c r="D11">
        <v>14000</v>
      </c>
      <c r="E11">
        <f t="shared" si="0"/>
        <v>630000</v>
      </c>
    </row>
    <row r="12" spans="1:5" hidden="1" x14ac:dyDescent="0.3">
      <c r="A12" t="s">
        <v>10</v>
      </c>
      <c r="B12" t="s">
        <v>9</v>
      </c>
      <c r="C12">
        <v>0</v>
      </c>
      <c r="E12">
        <f t="shared" si="0"/>
        <v>0</v>
      </c>
    </row>
    <row r="13" spans="1:5" hidden="1" x14ac:dyDescent="0.3">
      <c r="A13" t="s">
        <v>11</v>
      </c>
      <c r="B13" t="s">
        <v>3</v>
      </c>
      <c r="C13">
        <v>0</v>
      </c>
      <c r="E13">
        <f t="shared" si="0"/>
        <v>0</v>
      </c>
    </row>
    <row r="14" spans="1:5" x14ac:dyDescent="0.3">
      <c r="A14" t="s">
        <v>12</v>
      </c>
      <c r="B14" t="s">
        <v>3</v>
      </c>
      <c r="C14">
        <v>17</v>
      </c>
      <c r="D14">
        <v>12000</v>
      </c>
      <c r="E14">
        <f t="shared" si="0"/>
        <v>204000</v>
      </c>
    </row>
    <row r="15" spans="1:5" hidden="1" x14ac:dyDescent="0.3">
      <c r="A15" t="s">
        <v>13</v>
      </c>
      <c r="B15" t="s">
        <v>3</v>
      </c>
      <c r="C15">
        <v>0</v>
      </c>
      <c r="E15">
        <f t="shared" si="0"/>
        <v>0</v>
      </c>
    </row>
    <row r="16" spans="1:5" x14ac:dyDescent="0.3">
      <c r="A16" t="s">
        <v>14</v>
      </c>
      <c r="B16" t="s">
        <v>3</v>
      </c>
      <c r="C16">
        <v>25</v>
      </c>
      <c r="D16">
        <v>10000</v>
      </c>
      <c r="E16">
        <f t="shared" si="0"/>
        <v>250000</v>
      </c>
    </row>
    <row r="17" spans="1:5" x14ac:dyDescent="0.3">
      <c r="A17" t="s">
        <v>15</v>
      </c>
      <c r="B17" t="s">
        <v>3</v>
      </c>
      <c r="C17">
        <v>35</v>
      </c>
      <c r="D17">
        <v>21000</v>
      </c>
      <c r="E17">
        <f t="shared" si="0"/>
        <v>735000</v>
      </c>
    </row>
    <row r="18" spans="1:5" hidden="1" x14ac:dyDescent="0.3">
      <c r="A18" t="s">
        <v>16</v>
      </c>
      <c r="B18" t="s">
        <v>17</v>
      </c>
      <c r="C18">
        <v>0</v>
      </c>
      <c r="E18">
        <f t="shared" si="0"/>
        <v>0</v>
      </c>
    </row>
    <row r="19" spans="1:5" x14ac:dyDescent="0.3">
      <c r="A19" t="s">
        <v>18</v>
      </c>
      <c r="B19" t="s">
        <v>3</v>
      </c>
      <c r="C19">
        <v>127</v>
      </c>
      <c r="D19">
        <v>17000</v>
      </c>
      <c r="E19">
        <f t="shared" si="0"/>
        <v>2159000</v>
      </c>
    </row>
    <row r="20" spans="1:5" hidden="1" x14ac:dyDescent="0.3">
      <c r="A20" t="s">
        <v>18</v>
      </c>
      <c r="B20" t="s">
        <v>17</v>
      </c>
      <c r="C20">
        <v>0</v>
      </c>
      <c r="E20">
        <f t="shared" si="0"/>
        <v>0</v>
      </c>
    </row>
    <row r="21" spans="1:5" hidden="1" x14ac:dyDescent="0.3">
      <c r="A21" t="s">
        <v>18</v>
      </c>
      <c r="B21" t="s">
        <v>19</v>
      </c>
      <c r="C21">
        <v>0</v>
      </c>
      <c r="E21">
        <f t="shared" si="0"/>
        <v>0</v>
      </c>
    </row>
    <row r="22" spans="1:5" hidden="1" x14ac:dyDescent="0.3">
      <c r="A22" t="s">
        <v>20</v>
      </c>
      <c r="B22" t="s">
        <v>3</v>
      </c>
      <c r="C22">
        <v>0</v>
      </c>
      <c r="E22">
        <f t="shared" si="0"/>
        <v>0</v>
      </c>
    </row>
    <row r="23" spans="1:5" x14ac:dyDescent="0.3">
      <c r="A23" t="s">
        <v>20</v>
      </c>
      <c r="B23" t="s">
        <v>21</v>
      </c>
      <c r="C23">
        <v>70</v>
      </c>
      <c r="D23">
        <v>8000</v>
      </c>
      <c r="E23">
        <f t="shared" si="0"/>
        <v>560000</v>
      </c>
    </row>
    <row r="24" spans="1:5" hidden="1" x14ac:dyDescent="0.3">
      <c r="A24" t="s">
        <v>22</v>
      </c>
      <c r="B24" t="s">
        <v>3</v>
      </c>
      <c r="C24">
        <v>0</v>
      </c>
      <c r="E24">
        <f t="shared" si="0"/>
        <v>0</v>
      </c>
    </row>
    <row r="25" spans="1:5" x14ac:dyDescent="0.3">
      <c r="A25" t="s">
        <v>22</v>
      </c>
      <c r="B25" t="s">
        <v>23</v>
      </c>
      <c r="C25">
        <v>68</v>
      </c>
      <c r="D25">
        <v>5400</v>
      </c>
      <c r="E25">
        <f t="shared" si="0"/>
        <v>367200</v>
      </c>
    </row>
    <row r="26" spans="1:5" x14ac:dyDescent="0.3">
      <c r="A26" t="s">
        <v>24</v>
      </c>
      <c r="B26" t="s">
        <v>25</v>
      </c>
      <c r="C26">
        <v>3</v>
      </c>
      <c r="D26">
        <v>11100</v>
      </c>
      <c r="E26">
        <f t="shared" si="0"/>
        <v>33300</v>
      </c>
    </row>
    <row r="27" spans="1:5" hidden="1" x14ac:dyDescent="0.3">
      <c r="A27" t="s">
        <v>26</v>
      </c>
      <c r="B27" t="s">
        <v>3</v>
      </c>
      <c r="C27">
        <v>0</v>
      </c>
      <c r="E27">
        <f t="shared" si="0"/>
        <v>0</v>
      </c>
    </row>
    <row r="28" spans="1:5" hidden="1" x14ac:dyDescent="0.3">
      <c r="A28" t="s">
        <v>26</v>
      </c>
      <c r="B28" t="s">
        <v>27</v>
      </c>
      <c r="C28">
        <v>0</v>
      </c>
      <c r="E28">
        <f t="shared" si="0"/>
        <v>0</v>
      </c>
    </row>
    <row r="29" spans="1:5" hidden="1" x14ac:dyDescent="0.3">
      <c r="A29" t="s">
        <v>28</v>
      </c>
      <c r="B29" t="s">
        <v>3</v>
      </c>
      <c r="C29">
        <v>0</v>
      </c>
      <c r="E29">
        <f t="shared" si="0"/>
        <v>0</v>
      </c>
    </row>
    <row r="30" spans="1:5" hidden="1" x14ac:dyDescent="0.3">
      <c r="A30" t="s">
        <v>28</v>
      </c>
      <c r="B30" t="s">
        <v>17</v>
      </c>
      <c r="C30">
        <v>0</v>
      </c>
      <c r="E30">
        <f t="shared" si="0"/>
        <v>0</v>
      </c>
    </row>
    <row r="31" spans="1:5" x14ac:dyDescent="0.3">
      <c r="A31" t="s">
        <v>29</v>
      </c>
      <c r="B31" t="s">
        <v>30</v>
      </c>
      <c r="C31">
        <v>60</v>
      </c>
      <c r="D31">
        <v>8000</v>
      </c>
      <c r="E31">
        <f t="shared" si="0"/>
        <v>480000</v>
      </c>
    </row>
    <row r="32" spans="1:5" x14ac:dyDescent="0.3">
      <c r="A32" t="s">
        <v>31</v>
      </c>
      <c r="B32" t="s">
        <v>3</v>
      </c>
      <c r="C32">
        <v>145</v>
      </c>
      <c r="D32">
        <v>9000</v>
      </c>
      <c r="E32">
        <f t="shared" si="0"/>
        <v>1305000</v>
      </c>
    </row>
    <row r="33" spans="1:5" hidden="1" x14ac:dyDescent="0.3">
      <c r="A33" t="s">
        <v>31</v>
      </c>
      <c r="B33" t="s">
        <v>30</v>
      </c>
      <c r="C33">
        <v>0</v>
      </c>
      <c r="E33">
        <f t="shared" si="0"/>
        <v>0</v>
      </c>
    </row>
    <row r="34" spans="1:5" x14ac:dyDescent="0.3">
      <c r="A34" t="s">
        <v>32</v>
      </c>
      <c r="B34" t="s">
        <v>17</v>
      </c>
      <c r="C34">
        <v>12</v>
      </c>
      <c r="D34">
        <v>6000</v>
      </c>
      <c r="E34">
        <f t="shared" si="0"/>
        <v>72000</v>
      </c>
    </row>
    <row r="35" spans="1:5" x14ac:dyDescent="0.3">
      <c r="A35" t="s">
        <v>33</v>
      </c>
      <c r="B35" t="s">
        <v>3</v>
      </c>
      <c r="C35">
        <v>116</v>
      </c>
      <c r="D35">
        <v>8000</v>
      </c>
      <c r="E35">
        <f t="shared" si="0"/>
        <v>928000</v>
      </c>
    </row>
    <row r="36" spans="1:5" hidden="1" x14ac:dyDescent="0.3">
      <c r="A36" t="s">
        <v>33</v>
      </c>
      <c r="B36" t="s">
        <v>34</v>
      </c>
      <c r="C36">
        <v>0</v>
      </c>
      <c r="E36">
        <f t="shared" si="0"/>
        <v>0</v>
      </c>
    </row>
    <row r="37" spans="1:5" x14ac:dyDescent="0.3">
      <c r="A37" t="s">
        <v>35</v>
      </c>
      <c r="B37" t="s">
        <v>3</v>
      </c>
      <c r="C37">
        <v>25</v>
      </c>
      <c r="D37">
        <v>22000</v>
      </c>
      <c r="E37">
        <f t="shared" si="0"/>
        <v>550000</v>
      </c>
    </row>
    <row r="38" spans="1:5" hidden="1" x14ac:dyDescent="0.3">
      <c r="A38" t="s">
        <v>35</v>
      </c>
      <c r="B38" t="s">
        <v>30</v>
      </c>
      <c r="C38">
        <v>0</v>
      </c>
      <c r="E38">
        <f t="shared" si="0"/>
        <v>0</v>
      </c>
    </row>
    <row r="39" spans="1:5" x14ac:dyDescent="0.3">
      <c r="A39" t="s">
        <v>36</v>
      </c>
      <c r="B39" t="s">
        <v>30</v>
      </c>
      <c r="C39">
        <v>4</v>
      </c>
      <c r="D39">
        <v>5000</v>
      </c>
      <c r="E39">
        <f t="shared" si="0"/>
        <v>20000</v>
      </c>
    </row>
    <row r="40" spans="1:5" x14ac:dyDescent="0.3">
      <c r="A40" t="s">
        <v>37</v>
      </c>
      <c r="B40" t="s">
        <v>30</v>
      </c>
      <c r="C40">
        <v>25</v>
      </c>
      <c r="D40">
        <v>3500</v>
      </c>
      <c r="E40">
        <f t="shared" si="0"/>
        <v>87500</v>
      </c>
    </row>
    <row r="41" spans="1:5" x14ac:dyDescent="0.3">
      <c r="A41" t="s">
        <v>38</v>
      </c>
      <c r="B41" t="s">
        <v>3</v>
      </c>
      <c r="C41">
        <v>32</v>
      </c>
      <c r="D41">
        <v>6500</v>
      </c>
      <c r="E41">
        <f t="shared" si="0"/>
        <v>208000</v>
      </c>
    </row>
    <row r="42" spans="1:5" hidden="1" x14ac:dyDescent="0.3">
      <c r="A42" t="s">
        <v>39</v>
      </c>
      <c r="B42" t="s">
        <v>40</v>
      </c>
      <c r="C42">
        <v>0</v>
      </c>
      <c r="E42">
        <f t="shared" si="0"/>
        <v>0</v>
      </c>
    </row>
    <row r="43" spans="1:5" x14ac:dyDescent="0.3">
      <c r="A43" t="s">
        <v>39</v>
      </c>
      <c r="B43" t="s">
        <v>3</v>
      </c>
      <c r="C43">
        <v>95</v>
      </c>
      <c r="D43">
        <v>10000</v>
      </c>
      <c r="E43">
        <f t="shared" si="0"/>
        <v>950000</v>
      </c>
    </row>
    <row r="44" spans="1:5" x14ac:dyDescent="0.3">
      <c r="A44" t="s">
        <v>41</v>
      </c>
      <c r="B44" t="s">
        <v>3</v>
      </c>
      <c r="C44">
        <v>19</v>
      </c>
      <c r="D44">
        <v>14000</v>
      </c>
      <c r="E44">
        <f t="shared" si="0"/>
        <v>266000</v>
      </c>
    </row>
    <row r="45" spans="1:5" hidden="1" x14ac:dyDescent="0.3">
      <c r="A45" t="s">
        <v>42</v>
      </c>
      <c r="B45" t="s">
        <v>25</v>
      </c>
      <c r="C45">
        <v>0</v>
      </c>
      <c r="E45">
        <f t="shared" si="0"/>
        <v>0</v>
      </c>
    </row>
    <row r="46" spans="1:5" x14ac:dyDescent="0.3">
      <c r="A46" t="s">
        <v>43</v>
      </c>
      <c r="B46" t="s">
        <v>3</v>
      </c>
      <c r="C46">
        <v>2</v>
      </c>
      <c r="D46">
        <v>16000</v>
      </c>
      <c r="E46">
        <f t="shared" si="0"/>
        <v>32000</v>
      </c>
    </row>
    <row r="47" spans="1:5" x14ac:dyDescent="0.3">
      <c r="A47" t="s">
        <v>44</v>
      </c>
      <c r="B47" t="s">
        <v>3</v>
      </c>
      <c r="C47">
        <v>24</v>
      </c>
      <c r="D47">
        <v>6000</v>
      </c>
      <c r="E47">
        <f t="shared" si="0"/>
        <v>144000</v>
      </c>
    </row>
    <row r="48" spans="1:5" x14ac:dyDescent="0.3">
      <c r="A48" t="s">
        <v>45</v>
      </c>
      <c r="B48" t="s">
        <v>3</v>
      </c>
      <c r="C48">
        <v>45</v>
      </c>
      <c r="D48">
        <v>11000</v>
      </c>
      <c r="E48">
        <f t="shared" si="0"/>
        <v>495000</v>
      </c>
    </row>
    <row r="49" spans="1:5" hidden="1" x14ac:dyDescent="0.3">
      <c r="A49" t="s">
        <v>45</v>
      </c>
      <c r="B49" t="s">
        <v>30</v>
      </c>
      <c r="C49">
        <v>0</v>
      </c>
      <c r="E49">
        <f t="shared" si="0"/>
        <v>0</v>
      </c>
    </row>
    <row r="50" spans="1:5" x14ac:dyDescent="0.3">
      <c r="A50" t="s">
        <v>46</v>
      </c>
      <c r="B50" t="s">
        <v>3</v>
      </c>
      <c r="C50">
        <v>3</v>
      </c>
      <c r="D50">
        <v>18000</v>
      </c>
      <c r="E50">
        <f t="shared" si="0"/>
        <v>54000</v>
      </c>
    </row>
    <row r="51" spans="1:5" x14ac:dyDescent="0.3">
      <c r="A51" t="s">
        <v>47</v>
      </c>
      <c r="B51" t="s">
        <v>3</v>
      </c>
      <c r="C51">
        <v>297</v>
      </c>
      <c r="D51">
        <v>10000</v>
      </c>
      <c r="E51">
        <f t="shared" si="0"/>
        <v>2970000</v>
      </c>
    </row>
    <row r="52" spans="1:5" hidden="1" x14ac:dyDescent="0.3">
      <c r="A52" t="s">
        <v>47</v>
      </c>
      <c r="B52" t="s">
        <v>48</v>
      </c>
      <c r="C52">
        <v>0</v>
      </c>
      <c r="E52">
        <f t="shared" si="0"/>
        <v>0</v>
      </c>
    </row>
    <row r="53" spans="1:5" x14ac:dyDescent="0.3">
      <c r="A53" t="s">
        <v>50</v>
      </c>
      <c r="B53" t="s">
        <v>30</v>
      </c>
      <c r="C53">
        <v>296</v>
      </c>
      <c r="D53">
        <v>2400</v>
      </c>
      <c r="E53">
        <f t="shared" si="0"/>
        <v>710400</v>
      </c>
    </row>
    <row r="54" spans="1:5" x14ac:dyDescent="0.3">
      <c r="A54" t="s">
        <v>51</v>
      </c>
      <c r="B54" t="s">
        <v>3</v>
      </c>
      <c r="C54">
        <v>690</v>
      </c>
      <c r="D54">
        <v>28000</v>
      </c>
      <c r="E54">
        <f t="shared" si="0"/>
        <v>19320000</v>
      </c>
    </row>
    <row r="55" spans="1:5" x14ac:dyDescent="0.3">
      <c r="A55" t="s">
        <v>52</v>
      </c>
      <c r="B55" t="s">
        <v>3</v>
      </c>
      <c r="C55">
        <v>2880</v>
      </c>
      <c r="D55">
        <v>27000</v>
      </c>
      <c r="E55">
        <f t="shared" si="0"/>
        <v>77760000</v>
      </c>
    </row>
    <row r="56" spans="1:5" hidden="1" x14ac:dyDescent="0.3">
      <c r="A56" t="s">
        <v>52</v>
      </c>
      <c r="B56" t="s">
        <v>30</v>
      </c>
      <c r="C56">
        <v>0</v>
      </c>
      <c r="E56">
        <f t="shared" si="0"/>
        <v>0</v>
      </c>
    </row>
    <row r="57" spans="1:5" x14ac:dyDescent="0.3">
      <c r="A57" t="s">
        <v>161</v>
      </c>
      <c r="B57" t="s">
        <v>3</v>
      </c>
      <c r="C57">
        <v>800</v>
      </c>
      <c r="D57">
        <v>23000</v>
      </c>
      <c r="E57">
        <f t="shared" si="0"/>
        <v>18400000</v>
      </c>
    </row>
    <row r="58" spans="1:5" x14ac:dyDescent="0.3">
      <c r="A58" t="s">
        <v>54</v>
      </c>
      <c r="B58" t="s">
        <v>3</v>
      </c>
      <c r="C58">
        <v>60</v>
      </c>
      <c r="D58">
        <v>15000</v>
      </c>
      <c r="E58">
        <f t="shared" si="0"/>
        <v>900000</v>
      </c>
    </row>
    <row r="59" spans="1:5" x14ac:dyDescent="0.3">
      <c r="A59" t="s">
        <v>55</v>
      </c>
      <c r="B59" t="s">
        <v>3</v>
      </c>
      <c r="C59">
        <v>25</v>
      </c>
      <c r="D59">
        <v>24000</v>
      </c>
      <c r="E59">
        <f t="shared" si="0"/>
        <v>600000</v>
      </c>
    </row>
    <row r="60" spans="1:5" hidden="1" x14ac:dyDescent="0.3">
      <c r="A60" t="s">
        <v>56</v>
      </c>
      <c r="B60" t="s">
        <v>3</v>
      </c>
      <c r="C60">
        <v>0</v>
      </c>
      <c r="E60">
        <f t="shared" si="0"/>
        <v>0</v>
      </c>
    </row>
    <row r="61" spans="1:5" x14ac:dyDescent="0.3">
      <c r="A61" t="s">
        <v>59</v>
      </c>
      <c r="B61" t="s">
        <v>3</v>
      </c>
      <c r="C61">
        <v>330</v>
      </c>
      <c r="D61">
        <v>16000</v>
      </c>
      <c r="E61">
        <f t="shared" si="0"/>
        <v>5280000</v>
      </c>
    </row>
    <row r="62" spans="1:5" hidden="1" x14ac:dyDescent="0.3">
      <c r="A62" t="s">
        <v>59</v>
      </c>
      <c r="B62" t="s">
        <v>30</v>
      </c>
      <c r="C62">
        <v>0</v>
      </c>
      <c r="E62">
        <f t="shared" si="0"/>
        <v>0</v>
      </c>
    </row>
    <row r="63" spans="1:5" x14ac:dyDescent="0.3">
      <c r="A63" t="s">
        <v>60</v>
      </c>
      <c r="B63" t="s">
        <v>30</v>
      </c>
      <c r="C63">
        <v>16</v>
      </c>
      <c r="D63">
        <v>8000</v>
      </c>
      <c r="E63">
        <f t="shared" si="0"/>
        <v>128000</v>
      </c>
    </row>
    <row r="64" spans="1:5" hidden="1" x14ac:dyDescent="0.3">
      <c r="A64" t="s">
        <v>61</v>
      </c>
      <c r="B64" t="s">
        <v>3</v>
      </c>
      <c r="C64">
        <v>0</v>
      </c>
      <c r="E64">
        <f t="shared" si="0"/>
        <v>0</v>
      </c>
    </row>
    <row r="65" spans="1:5" x14ac:dyDescent="0.3">
      <c r="A65" t="s">
        <v>62</v>
      </c>
      <c r="B65" t="s">
        <v>30</v>
      </c>
      <c r="C65">
        <v>22</v>
      </c>
      <c r="D65">
        <v>6000</v>
      </c>
      <c r="E65">
        <f t="shared" si="0"/>
        <v>132000</v>
      </c>
    </row>
    <row r="66" spans="1:5" hidden="1" x14ac:dyDescent="0.3">
      <c r="A66" t="s">
        <v>63</v>
      </c>
      <c r="B66" t="s">
        <v>3</v>
      </c>
      <c r="C66">
        <v>0</v>
      </c>
      <c r="E66">
        <f t="shared" si="0"/>
        <v>0</v>
      </c>
    </row>
    <row r="67" spans="1:5" x14ac:dyDescent="0.3">
      <c r="A67" t="s">
        <v>63</v>
      </c>
      <c r="B67" t="s">
        <v>64</v>
      </c>
      <c r="C67">
        <v>36</v>
      </c>
      <c r="D67">
        <v>8500</v>
      </c>
      <c r="E67">
        <f t="shared" si="0"/>
        <v>306000</v>
      </c>
    </row>
    <row r="68" spans="1:5" x14ac:dyDescent="0.3">
      <c r="A68" t="s">
        <v>65</v>
      </c>
      <c r="B68" t="s">
        <v>3</v>
      </c>
      <c r="C68">
        <v>0.5</v>
      </c>
      <c r="D68">
        <v>80000</v>
      </c>
      <c r="E68">
        <f t="shared" ref="E68:E133" si="1">C68*D68</f>
        <v>40000</v>
      </c>
    </row>
    <row r="69" spans="1:5" x14ac:dyDescent="0.3">
      <c r="A69" t="s">
        <v>66</v>
      </c>
      <c r="B69" t="s">
        <v>3</v>
      </c>
      <c r="C69">
        <v>0.5</v>
      </c>
      <c r="D69">
        <v>70000</v>
      </c>
      <c r="E69">
        <f t="shared" si="1"/>
        <v>35000</v>
      </c>
    </row>
    <row r="70" spans="1:5" x14ac:dyDescent="0.3">
      <c r="A70" t="s">
        <v>67</v>
      </c>
      <c r="B70" t="s">
        <v>3</v>
      </c>
      <c r="C70">
        <v>0.5</v>
      </c>
      <c r="D70">
        <v>70000</v>
      </c>
      <c r="E70">
        <f t="shared" si="1"/>
        <v>35000</v>
      </c>
    </row>
    <row r="71" spans="1:5" hidden="1" x14ac:dyDescent="0.3">
      <c r="A71" t="s">
        <v>68</v>
      </c>
      <c r="B71" t="s">
        <v>3</v>
      </c>
      <c r="C71">
        <v>0</v>
      </c>
      <c r="E71">
        <f t="shared" si="1"/>
        <v>0</v>
      </c>
    </row>
    <row r="72" spans="1:5" x14ac:dyDescent="0.3">
      <c r="A72" t="s">
        <v>68</v>
      </c>
      <c r="B72" t="s">
        <v>17</v>
      </c>
      <c r="C72">
        <v>12</v>
      </c>
      <c r="D72">
        <v>6000</v>
      </c>
      <c r="E72">
        <f t="shared" si="1"/>
        <v>72000</v>
      </c>
    </row>
    <row r="73" spans="1:5" hidden="1" x14ac:dyDescent="0.3">
      <c r="A73" t="s">
        <v>69</v>
      </c>
      <c r="B73" t="s">
        <v>3</v>
      </c>
      <c r="C73">
        <v>0</v>
      </c>
      <c r="E73">
        <f t="shared" si="1"/>
        <v>0</v>
      </c>
    </row>
    <row r="74" spans="1:5" x14ac:dyDescent="0.3">
      <c r="A74" t="s">
        <v>70</v>
      </c>
      <c r="B74" t="s">
        <v>3</v>
      </c>
      <c r="C74">
        <v>18</v>
      </c>
      <c r="D74">
        <v>16000</v>
      </c>
      <c r="E74">
        <f t="shared" si="1"/>
        <v>288000</v>
      </c>
    </row>
    <row r="75" spans="1:5" hidden="1" x14ac:dyDescent="0.3">
      <c r="A75" t="s">
        <v>71</v>
      </c>
      <c r="B75" t="s">
        <v>40</v>
      </c>
      <c r="C75">
        <v>0</v>
      </c>
      <c r="E75">
        <f t="shared" si="1"/>
        <v>0</v>
      </c>
    </row>
    <row r="76" spans="1:5" hidden="1" x14ac:dyDescent="0.3">
      <c r="A76" t="s">
        <v>71</v>
      </c>
      <c r="B76" t="s">
        <v>3</v>
      </c>
      <c r="C76">
        <v>0</v>
      </c>
      <c r="E76">
        <f t="shared" si="1"/>
        <v>0</v>
      </c>
    </row>
    <row r="77" spans="1:5" x14ac:dyDescent="0.3">
      <c r="A77" t="s">
        <v>72</v>
      </c>
      <c r="B77" t="s">
        <v>3</v>
      </c>
      <c r="C77">
        <v>2270</v>
      </c>
      <c r="D77">
        <v>27600</v>
      </c>
      <c r="E77">
        <f t="shared" si="1"/>
        <v>62652000</v>
      </c>
    </row>
    <row r="78" spans="1:5" hidden="1" x14ac:dyDescent="0.3">
      <c r="A78" t="s">
        <v>125</v>
      </c>
      <c r="B78" t="s">
        <v>25</v>
      </c>
      <c r="C78">
        <v>0</v>
      </c>
      <c r="E78">
        <f t="shared" si="1"/>
        <v>0</v>
      </c>
    </row>
    <row r="79" spans="1:5" hidden="1" x14ac:dyDescent="0.3">
      <c r="A79" t="s">
        <v>74</v>
      </c>
      <c r="B79" t="s">
        <v>30</v>
      </c>
      <c r="C79">
        <v>0</v>
      </c>
      <c r="E79">
        <f t="shared" si="1"/>
        <v>0</v>
      </c>
    </row>
    <row r="80" spans="1:5" x14ac:dyDescent="0.3">
      <c r="A80" t="s">
        <v>75</v>
      </c>
      <c r="B80" t="s">
        <v>3</v>
      </c>
      <c r="C80">
        <v>7</v>
      </c>
      <c r="D80">
        <v>14000</v>
      </c>
      <c r="E80">
        <f t="shared" si="1"/>
        <v>98000</v>
      </c>
    </row>
    <row r="81" spans="1:5" hidden="1" x14ac:dyDescent="0.3">
      <c r="A81" t="s">
        <v>76</v>
      </c>
      <c r="B81" t="s">
        <v>17</v>
      </c>
      <c r="C81">
        <v>0</v>
      </c>
      <c r="E81">
        <f t="shared" si="1"/>
        <v>0</v>
      </c>
    </row>
    <row r="82" spans="1:5" hidden="1" x14ac:dyDescent="0.3">
      <c r="A82" t="s">
        <v>77</v>
      </c>
      <c r="B82" t="s">
        <v>25</v>
      </c>
      <c r="C82">
        <v>0</v>
      </c>
      <c r="E82">
        <f t="shared" si="1"/>
        <v>0</v>
      </c>
    </row>
    <row r="83" spans="1:5" x14ac:dyDescent="0.3">
      <c r="A83" t="s">
        <v>77</v>
      </c>
      <c r="B83" t="s">
        <v>3</v>
      </c>
      <c r="C83">
        <v>5</v>
      </c>
      <c r="D83">
        <v>38000</v>
      </c>
      <c r="E83">
        <f t="shared" si="1"/>
        <v>190000</v>
      </c>
    </row>
    <row r="84" spans="1:5" x14ac:dyDescent="0.3">
      <c r="A84" t="s">
        <v>78</v>
      </c>
      <c r="B84" t="s">
        <v>3</v>
      </c>
      <c r="C84">
        <v>204</v>
      </c>
      <c r="D84">
        <v>42000</v>
      </c>
      <c r="E84">
        <f t="shared" si="1"/>
        <v>8568000</v>
      </c>
    </row>
    <row r="85" spans="1:5" hidden="1" x14ac:dyDescent="0.3">
      <c r="A85" t="s">
        <v>78</v>
      </c>
      <c r="B85" t="s">
        <v>9</v>
      </c>
      <c r="C85">
        <v>0</v>
      </c>
      <c r="E85">
        <f t="shared" si="1"/>
        <v>0</v>
      </c>
    </row>
    <row r="86" spans="1:5" x14ac:dyDescent="0.3">
      <c r="A86" t="s">
        <v>79</v>
      </c>
      <c r="B86" t="s">
        <v>3</v>
      </c>
      <c r="C86">
        <v>20</v>
      </c>
      <c r="D86">
        <v>37000</v>
      </c>
      <c r="E86">
        <f t="shared" si="1"/>
        <v>740000</v>
      </c>
    </row>
    <row r="87" spans="1:5" x14ac:dyDescent="0.3">
      <c r="A87" t="s">
        <v>80</v>
      </c>
      <c r="B87" t="s">
        <v>3</v>
      </c>
      <c r="C87">
        <v>176</v>
      </c>
      <c r="D87">
        <v>30000</v>
      </c>
      <c r="E87">
        <f t="shared" si="1"/>
        <v>5280000</v>
      </c>
    </row>
    <row r="88" spans="1:5" hidden="1" x14ac:dyDescent="0.3">
      <c r="A88" t="s">
        <v>80</v>
      </c>
      <c r="B88" t="s">
        <v>9</v>
      </c>
      <c r="C88">
        <v>0</v>
      </c>
      <c r="E88">
        <f t="shared" si="1"/>
        <v>0</v>
      </c>
    </row>
    <row r="89" spans="1:5" x14ac:dyDescent="0.3">
      <c r="A89" t="s">
        <v>81</v>
      </c>
      <c r="B89" t="s">
        <v>3</v>
      </c>
      <c r="C89">
        <v>5</v>
      </c>
      <c r="D89">
        <v>25000</v>
      </c>
      <c r="E89">
        <f t="shared" si="1"/>
        <v>125000</v>
      </c>
    </row>
    <row r="90" spans="1:5" x14ac:dyDescent="0.3">
      <c r="A90" t="s">
        <v>82</v>
      </c>
      <c r="B90" t="s">
        <v>3</v>
      </c>
      <c r="C90">
        <v>67</v>
      </c>
      <c r="D90">
        <v>30000</v>
      </c>
      <c r="E90">
        <f t="shared" si="1"/>
        <v>2010000</v>
      </c>
    </row>
    <row r="91" spans="1:5" hidden="1" x14ac:dyDescent="0.3">
      <c r="A91" t="s">
        <v>82</v>
      </c>
      <c r="B91" t="s">
        <v>9</v>
      </c>
      <c r="C91">
        <v>0</v>
      </c>
      <c r="E91">
        <f t="shared" si="1"/>
        <v>0</v>
      </c>
    </row>
    <row r="92" spans="1:5" x14ac:dyDescent="0.3">
      <c r="A92" t="s">
        <v>83</v>
      </c>
      <c r="B92" t="s">
        <v>3</v>
      </c>
      <c r="C92">
        <v>20</v>
      </c>
      <c r="D92">
        <v>25000</v>
      </c>
      <c r="E92">
        <f t="shared" si="1"/>
        <v>500000</v>
      </c>
    </row>
    <row r="93" spans="1:5" hidden="1" x14ac:dyDescent="0.3">
      <c r="A93" t="s">
        <v>84</v>
      </c>
      <c r="B93" t="s">
        <v>30</v>
      </c>
      <c r="C93">
        <v>0</v>
      </c>
      <c r="E93">
        <f t="shared" si="1"/>
        <v>0</v>
      </c>
    </row>
    <row r="94" spans="1:5" hidden="1" x14ac:dyDescent="0.3">
      <c r="A94" t="s">
        <v>85</v>
      </c>
      <c r="B94" t="s">
        <v>30</v>
      </c>
      <c r="C94">
        <v>0</v>
      </c>
      <c r="E94">
        <f t="shared" si="1"/>
        <v>0</v>
      </c>
    </row>
    <row r="95" spans="1:5" x14ac:dyDescent="0.3">
      <c r="A95" t="s">
        <v>106</v>
      </c>
      <c r="B95" t="s">
        <v>9</v>
      </c>
      <c r="C95">
        <v>1222</v>
      </c>
      <c r="D95">
        <v>8000</v>
      </c>
      <c r="E95">
        <f t="shared" si="1"/>
        <v>9776000</v>
      </c>
    </row>
    <row r="96" spans="1:5" x14ac:dyDescent="0.3">
      <c r="A96" t="s">
        <v>88</v>
      </c>
      <c r="B96" t="s">
        <v>9</v>
      </c>
      <c r="C96">
        <v>410</v>
      </c>
      <c r="D96">
        <v>11361</v>
      </c>
      <c r="E96">
        <f t="shared" si="1"/>
        <v>4658010</v>
      </c>
    </row>
    <row r="97" spans="1:5" x14ac:dyDescent="0.3">
      <c r="A97" t="s">
        <v>146</v>
      </c>
      <c r="B97" t="s">
        <v>9</v>
      </c>
      <c r="C97">
        <v>32</v>
      </c>
      <c r="D97">
        <v>9500</v>
      </c>
      <c r="E97">
        <f t="shared" si="1"/>
        <v>304000</v>
      </c>
    </row>
    <row r="98" spans="1:5" x14ac:dyDescent="0.3">
      <c r="A98" t="s">
        <v>89</v>
      </c>
      <c r="B98" t="s">
        <v>3</v>
      </c>
      <c r="C98">
        <v>4028</v>
      </c>
      <c r="D98">
        <v>24000</v>
      </c>
      <c r="E98">
        <f t="shared" si="1"/>
        <v>96672000</v>
      </c>
    </row>
    <row r="99" spans="1:5" x14ac:dyDescent="0.3">
      <c r="A99" t="s">
        <v>90</v>
      </c>
      <c r="B99" t="s">
        <v>3</v>
      </c>
      <c r="C99">
        <v>30</v>
      </c>
      <c r="D99">
        <v>20000</v>
      </c>
      <c r="E99">
        <f t="shared" si="1"/>
        <v>600000</v>
      </c>
    </row>
    <row r="100" spans="1:5" x14ac:dyDescent="0.3">
      <c r="A100" t="s">
        <v>154</v>
      </c>
      <c r="B100" t="s">
        <v>9</v>
      </c>
      <c r="C100">
        <v>1902</v>
      </c>
      <c r="D100">
        <v>36000</v>
      </c>
      <c r="E100">
        <f t="shared" si="1"/>
        <v>68472000</v>
      </c>
    </row>
    <row r="101" spans="1:5" x14ac:dyDescent="0.3">
      <c r="A101" t="s">
        <v>92</v>
      </c>
      <c r="B101" t="s">
        <v>3</v>
      </c>
      <c r="C101">
        <v>211</v>
      </c>
      <c r="D101">
        <v>10000</v>
      </c>
      <c r="E101">
        <f t="shared" si="1"/>
        <v>2110000</v>
      </c>
    </row>
    <row r="102" spans="1:5" x14ac:dyDescent="0.3">
      <c r="A102" t="s">
        <v>93</v>
      </c>
      <c r="B102" t="s">
        <v>3</v>
      </c>
      <c r="C102">
        <v>22.5</v>
      </c>
      <c r="D102">
        <v>28000</v>
      </c>
      <c r="E102">
        <f t="shared" si="1"/>
        <v>630000</v>
      </c>
    </row>
    <row r="103" spans="1:5" hidden="1" x14ac:dyDescent="0.3">
      <c r="A103" t="s">
        <v>94</v>
      </c>
      <c r="B103" t="s">
        <v>3</v>
      </c>
      <c r="C103">
        <v>0</v>
      </c>
      <c r="E103">
        <f t="shared" si="1"/>
        <v>0</v>
      </c>
    </row>
    <row r="104" spans="1:5" hidden="1" x14ac:dyDescent="0.3">
      <c r="A104" t="s">
        <v>95</v>
      </c>
      <c r="B104" t="s">
        <v>40</v>
      </c>
      <c r="C104">
        <v>0</v>
      </c>
      <c r="E104">
        <f t="shared" si="1"/>
        <v>0</v>
      </c>
    </row>
    <row r="105" spans="1:5" hidden="1" x14ac:dyDescent="0.3">
      <c r="A105" t="s">
        <v>96</v>
      </c>
      <c r="B105" t="s">
        <v>3</v>
      </c>
      <c r="C105">
        <v>0</v>
      </c>
      <c r="E105">
        <f t="shared" si="1"/>
        <v>0</v>
      </c>
    </row>
    <row r="106" spans="1:5" hidden="1" x14ac:dyDescent="0.3">
      <c r="A106" t="s">
        <v>97</v>
      </c>
      <c r="B106" t="s">
        <v>40</v>
      </c>
      <c r="C106">
        <v>0</v>
      </c>
      <c r="E106">
        <f t="shared" si="1"/>
        <v>0</v>
      </c>
    </row>
    <row r="107" spans="1:5" hidden="1" x14ac:dyDescent="0.3">
      <c r="A107" t="s">
        <v>98</v>
      </c>
      <c r="B107" t="s">
        <v>3</v>
      </c>
      <c r="C107">
        <v>0</v>
      </c>
      <c r="E107">
        <f t="shared" si="1"/>
        <v>0</v>
      </c>
    </row>
    <row r="108" spans="1:5" x14ac:dyDescent="0.3">
      <c r="A108" t="s">
        <v>99</v>
      </c>
      <c r="B108" t="s">
        <v>3</v>
      </c>
      <c r="C108">
        <v>2</v>
      </c>
      <c r="D108">
        <v>30000</v>
      </c>
      <c r="E108">
        <f t="shared" si="1"/>
        <v>60000</v>
      </c>
    </row>
    <row r="109" spans="1:5" hidden="1" x14ac:dyDescent="0.3">
      <c r="A109" t="s">
        <v>100</v>
      </c>
      <c r="B109" t="s">
        <v>40</v>
      </c>
      <c r="C109">
        <v>0</v>
      </c>
      <c r="E109">
        <f t="shared" si="1"/>
        <v>0</v>
      </c>
    </row>
    <row r="110" spans="1:5" x14ac:dyDescent="0.3">
      <c r="E110">
        <f>SUM(E3:E108)</f>
        <v>408647610</v>
      </c>
    </row>
    <row r="111" spans="1:5" x14ac:dyDescent="0.3">
      <c r="A111" t="s">
        <v>110</v>
      </c>
    </row>
    <row r="112" spans="1:5" x14ac:dyDescent="0.3">
      <c r="A112" t="s">
        <v>0</v>
      </c>
      <c r="B112" t="s">
        <v>1</v>
      </c>
      <c r="C112" t="s">
        <v>107</v>
      </c>
      <c r="D112" t="s">
        <v>108</v>
      </c>
      <c r="E112" t="s">
        <v>109</v>
      </c>
    </row>
    <row r="113" spans="1:5" x14ac:dyDescent="0.3">
      <c r="A113" t="s">
        <v>2</v>
      </c>
      <c r="B113" t="s">
        <v>3</v>
      </c>
      <c r="C113">
        <v>6</v>
      </c>
      <c r="D113">
        <v>10000</v>
      </c>
      <c r="E113">
        <f t="shared" si="1"/>
        <v>60000</v>
      </c>
    </row>
    <row r="114" spans="1:5" x14ac:dyDescent="0.3">
      <c r="A114" t="s">
        <v>4</v>
      </c>
      <c r="B114" t="s">
        <v>3</v>
      </c>
      <c r="C114">
        <v>340</v>
      </c>
      <c r="D114">
        <v>4000</v>
      </c>
      <c r="E114">
        <f t="shared" si="1"/>
        <v>1360000</v>
      </c>
    </row>
    <row r="115" spans="1:5" x14ac:dyDescent="0.3">
      <c r="A115" t="s">
        <v>5</v>
      </c>
      <c r="B115" t="s">
        <v>3</v>
      </c>
      <c r="C115">
        <v>88</v>
      </c>
      <c r="D115">
        <v>6000</v>
      </c>
      <c r="E115">
        <f t="shared" si="1"/>
        <v>528000</v>
      </c>
    </row>
    <row r="116" spans="1:5" x14ac:dyDescent="0.3">
      <c r="A116" t="s">
        <v>119</v>
      </c>
      <c r="B116" t="s">
        <v>3</v>
      </c>
      <c r="C116">
        <v>35</v>
      </c>
      <c r="D116">
        <v>10000</v>
      </c>
      <c r="E116">
        <f t="shared" si="1"/>
        <v>350000</v>
      </c>
    </row>
    <row r="117" spans="1:5" x14ac:dyDescent="0.3">
      <c r="A117" t="s">
        <v>7</v>
      </c>
      <c r="B117" t="s">
        <v>3</v>
      </c>
      <c r="C117">
        <v>33</v>
      </c>
      <c r="D117">
        <v>7800</v>
      </c>
      <c r="E117">
        <f t="shared" si="1"/>
        <v>257400</v>
      </c>
    </row>
    <row r="118" spans="1:5" x14ac:dyDescent="0.3">
      <c r="A118" t="s">
        <v>8</v>
      </c>
      <c r="B118" t="s">
        <v>3</v>
      </c>
      <c r="C118">
        <v>11</v>
      </c>
      <c r="D118">
        <v>10000</v>
      </c>
      <c r="E118">
        <f t="shared" si="1"/>
        <v>110000</v>
      </c>
    </row>
    <row r="119" spans="1:5" x14ac:dyDescent="0.3">
      <c r="A119" t="s">
        <v>102</v>
      </c>
      <c r="B119" t="s">
        <v>3</v>
      </c>
      <c r="C119">
        <v>8</v>
      </c>
      <c r="D119">
        <v>11000</v>
      </c>
      <c r="E119">
        <f t="shared" si="1"/>
        <v>88000</v>
      </c>
    </row>
    <row r="120" spans="1:5" x14ac:dyDescent="0.3">
      <c r="A120" t="s">
        <v>18</v>
      </c>
      <c r="B120" t="s">
        <v>3</v>
      </c>
      <c r="C120">
        <v>33</v>
      </c>
      <c r="D120">
        <v>17000</v>
      </c>
      <c r="E120">
        <f t="shared" si="1"/>
        <v>561000</v>
      </c>
    </row>
    <row r="121" spans="1:5" x14ac:dyDescent="0.3">
      <c r="A121" t="s">
        <v>28</v>
      </c>
      <c r="B121" t="s">
        <v>3</v>
      </c>
      <c r="C121">
        <v>70</v>
      </c>
      <c r="D121">
        <v>11000</v>
      </c>
      <c r="E121">
        <f t="shared" si="1"/>
        <v>770000</v>
      </c>
    </row>
    <row r="122" spans="1:5" x14ac:dyDescent="0.3">
      <c r="A122" t="s">
        <v>31</v>
      </c>
      <c r="B122" t="s">
        <v>3</v>
      </c>
      <c r="C122">
        <v>88</v>
      </c>
      <c r="D122">
        <v>9000</v>
      </c>
      <c r="E122">
        <f t="shared" si="1"/>
        <v>792000</v>
      </c>
    </row>
    <row r="123" spans="1:5" x14ac:dyDescent="0.3">
      <c r="A123" t="s">
        <v>33</v>
      </c>
      <c r="B123" t="s">
        <v>3</v>
      </c>
      <c r="C123">
        <v>5.5</v>
      </c>
      <c r="D123">
        <v>10000</v>
      </c>
      <c r="E123">
        <f t="shared" si="1"/>
        <v>55000</v>
      </c>
    </row>
    <row r="124" spans="1:5" x14ac:dyDescent="0.3">
      <c r="A124" t="s">
        <v>38</v>
      </c>
      <c r="B124" t="s">
        <v>3</v>
      </c>
      <c r="C124">
        <v>198.00000000000003</v>
      </c>
      <c r="D124">
        <v>6500</v>
      </c>
      <c r="E124">
        <f t="shared" si="1"/>
        <v>1287000.0000000002</v>
      </c>
    </row>
    <row r="125" spans="1:5" x14ac:dyDescent="0.3">
      <c r="A125" t="s">
        <v>103</v>
      </c>
      <c r="B125" t="s">
        <v>3</v>
      </c>
      <c r="C125">
        <v>6</v>
      </c>
      <c r="D125">
        <v>14000</v>
      </c>
      <c r="E125">
        <f t="shared" si="1"/>
        <v>84000</v>
      </c>
    </row>
    <row r="126" spans="1:5" x14ac:dyDescent="0.3">
      <c r="A126" t="s">
        <v>104</v>
      </c>
      <c r="B126" t="s">
        <v>3</v>
      </c>
      <c r="C126">
        <v>410</v>
      </c>
      <c r="D126">
        <v>3000</v>
      </c>
      <c r="E126">
        <f t="shared" si="1"/>
        <v>1230000</v>
      </c>
    </row>
    <row r="127" spans="1:5" x14ac:dyDescent="0.3">
      <c r="A127" t="s">
        <v>39</v>
      </c>
      <c r="B127" t="s">
        <v>3</v>
      </c>
      <c r="C127">
        <v>30</v>
      </c>
      <c r="D127">
        <v>10000</v>
      </c>
      <c r="E127">
        <f t="shared" si="1"/>
        <v>300000</v>
      </c>
    </row>
    <row r="128" spans="1:5" hidden="1" x14ac:dyDescent="0.3">
      <c r="A128" t="s">
        <v>105</v>
      </c>
      <c r="B128" t="s">
        <v>3</v>
      </c>
      <c r="C128">
        <v>0</v>
      </c>
      <c r="E128">
        <f t="shared" si="1"/>
        <v>0</v>
      </c>
    </row>
    <row r="129" spans="1:5" x14ac:dyDescent="0.3">
      <c r="A129" t="s">
        <v>41</v>
      </c>
      <c r="B129" t="s">
        <v>3</v>
      </c>
      <c r="C129">
        <v>11</v>
      </c>
      <c r="D129">
        <v>14000</v>
      </c>
      <c r="E129">
        <f t="shared" si="1"/>
        <v>154000</v>
      </c>
    </row>
    <row r="130" spans="1:5" x14ac:dyDescent="0.3">
      <c r="A130" t="s">
        <v>44</v>
      </c>
      <c r="B130" t="s">
        <v>3</v>
      </c>
      <c r="C130">
        <v>33</v>
      </c>
      <c r="D130">
        <v>6000</v>
      </c>
      <c r="E130">
        <f t="shared" si="1"/>
        <v>198000</v>
      </c>
    </row>
    <row r="131" spans="1:5" hidden="1" x14ac:dyDescent="0.3">
      <c r="A131" t="s">
        <v>45</v>
      </c>
      <c r="B131" t="s">
        <v>3</v>
      </c>
      <c r="C131">
        <v>0</v>
      </c>
      <c r="E131">
        <f t="shared" si="1"/>
        <v>0</v>
      </c>
    </row>
    <row r="132" spans="1:5" x14ac:dyDescent="0.3">
      <c r="A132" t="s">
        <v>47</v>
      </c>
      <c r="B132" t="s">
        <v>3</v>
      </c>
      <c r="C132">
        <v>33</v>
      </c>
      <c r="D132">
        <v>10000</v>
      </c>
      <c r="E132">
        <f t="shared" si="1"/>
        <v>330000</v>
      </c>
    </row>
    <row r="133" spans="1:5" x14ac:dyDescent="0.3">
      <c r="A133" t="s">
        <v>54</v>
      </c>
      <c r="B133" t="s">
        <v>3</v>
      </c>
      <c r="C133">
        <v>150</v>
      </c>
      <c r="D133">
        <v>15000</v>
      </c>
      <c r="E133">
        <f t="shared" si="1"/>
        <v>2250000</v>
      </c>
    </row>
    <row r="134" spans="1:5" hidden="1" x14ac:dyDescent="0.3">
      <c r="A134" t="s">
        <v>59</v>
      </c>
      <c r="B134" t="s">
        <v>3</v>
      </c>
      <c r="C134">
        <v>0</v>
      </c>
      <c r="E134">
        <f t="shared" ref="E134:E150" si="2">C134*D134</f>
        <v>0</v>
      </c>
    </row>
    <row r="135" spans="1:5" x14ac:dyDescent="0.3">
      <c r="A135" t="s">
        <v>61</v>
      </c>
      <c r="B135" t="s">
        <v>3</v>
      </c>
      <c r="C135">
        <v>10</v>
      </c>
      <c r="D135">
        <v>11000</v>
      </c>
      <c r="E135">
        <f t="shared" si="2"/>
        <v>110000</v>
      </c>
    </row>
    <row r="136" spans="1:5" hidden="1" x14ac:dyDescent="0.3">
      <c r="A136" t="s">
        <v>62</v>
      </c>
      <c r="B136" t="s">
        <v>30</v>
      </c>
      <c r="C136">
        <v>0</v>
      </c>
      <c r="E136">
        <f t="shared" si="2"/>
        <v>0</v>
      </c>
    </row>
    <row r="137" spans="1:5" x14ac:dyDescent="0.3">
      <c r="A137" t="s">
        <v>63</v>
      </c>
      <c r="B137" t="s">
        <v>30</v>
      </c>
      <c r="C137">
        <v>12</v>
      </c>
      <c r="D137">
        <v>8500</v>
      </c>
      <c r="E137">
        <f t="shared" si="2"/>
        <v>102000</v>
      </c>
    </row>
    <row r="138" spans="1:5" hidden="1" x14ac:dyDescent="0.3">
      <c r="A138" t="s">
        <v>68</v>
      </c>
      <c r="B138" t="s">
        <v>3</v>
      </c>
      <c r="C138">
        <v>0</v>
      </c>
      <c r="E138">
        <f t="shared" si="2"/>
        <v>0</v>
      </c>
    </row>
    <row r="139" spans="1:5" hidden="1" x14ac:dyDescent="0.3">
      <c r="A139" t="s">
        <v>68</v>
      </c>
      <c r="B139" t="s">
        <v>17</v>
      </c>
      <c r="C139">
        <v>0</v>
      </c>
      <c r="E139">
        <f t="shared" si="2"/>
        <v>0</v>
      </c>
    </row>
    <row r="140" spans="1:5" x14ac:dyDescent="0.3">
      <c r="A140" t="s">
        <v>71</v>
      </c>
      <c r="B140" t="s">
        <v>3</v>
      </c>
      <c r="C140">
        <v>5</v>
      </c>
      <c r="D140">
        <v>12000</v>
      </c>
      <c r="E140">
        <f t="shared" si="2"/>
        <v>60000</v>
      </c>
    </row>
    <row r="141" spans="1:5" hidden="1" x14ac:dyDescent="0.3">
      <c r="A141" t="s">
        <v>72</v>
      </c>
      <c r="B141" t="s">
        <v>3</v>
      </c>
      <c r="C141">
        <v>0</v>
      </c>
      <c r="E141">
        <f t="shared" si="2"/>
        <v>0</v>
      </c>
    </row>
    <row r="142" spans="1:5" hidden="1" x14ac:dyDescent="0.3">
      <c r="A142" t="s">
        <v>73</v>
      </c>
      <c r="B142" t="s">
        <v>3</v>
      </c>
      <c r="C142">
        <v>0</v>
      </c>
      <c r="E142">
        <f t="shared" si="2"/>
        <v>0</v>
      </c>
    </row>
    <row r="143" spans="1:5" x14ac:dyDescent="0.3">
      <c r="A143" t="s">
        <v>78</v>
      </c>
      <c r="B143" t="s">
        <v>3</v>
      </c>
      <c r="C143">
        <v>6</v>
      </c>
      <c r="D143">
        <v>42000</v>
      </c>
      <c r="E143">
        <f t="shared" si="2"/>
        <v>252000</v>
      </c>
    </row>
    <row r="144" spans="1:5" x14ac:dyDescent="0.3">
      <c r="A144" t="s">
        <v>80</v>
      </c>
      <c r="B144" t="s">
        <v>3</v>
      </c>
      <c r="C144">
        <v>5</v>
      </c>
      <c r="D144">
        <v>30000</v>
      </c>
      <c r="E144">
        <f t="shared" si="2"/>
        <v>150000</v>
      </c>
    </row>
    <row r="145" spans="1:5" x14ac:dyDescent="0.3">
      <c r="A145" t="s">
        <v>82</v>
      </c>
      <c r="B145" t="s">
        <v>3</v>
      </c>
      <c r="C145">
        <v>5</v>
      </c>
      <c r="D145">
        <v>30000</v>
      </c>
      <c r="E145">
        <f t="shared" si="2"/>
        <v>150000</v>
      </c>
    </row>
    <row r="146" spans="1:5" x14ac:dyDescent="0.3">
      <c r="A146" t="s">
        <v>92</v>
      </c>
      <c r="B146" t="s">
        <v>3</v>
      </c>
      <c r="C146">
        <v>11</v>
      </c>
      <c r="D146">
        <v>10000</v>
      </c>
      <c r="E146">
        <f t="shared" si="2"/>
        <v>110000</v>
      </c>
    </row>
    <row r="147" spans="1:5" hidden="1" x14ac:dyDescent="0.3">
      <c r="A147" t="s">
        <v>94</v>
      </c>
      <c r="B147" t="s">
        <v>40</v>
      </c>
      <c r="C147">
        <v>0</v>
      </c>
      <c r="E147">
        <f t="shared" si="2"/>
        <v>0</v>
      </c>
    </row>
    <row r="148" spans="1:5" hidden="1" x14ac:dyDescent="0.3">
      <c r="A148" t="s">
        <v>95</v>
      </c>
      <c r="B148" t="s">
        <v>40</v>
      </c>
      <c r="C148">
        <v>0</v>
      </c>
      <c r="E148">
        <f t="shared" si="2"/>
        <v>0</v>
      </c>
    </row>
    <row r="149" spans="1:5" hidden="1" x14ac:dyDescent="0.3">
      <c r="A149" t="s">
        <v>97</v>
      </c>
      <c r="B149" t="s">
        <v>40</v>
      </c>
      <c r="C149">
        <v>0</v>
      </c>
      <c r="E149">
        <f t="shared" si="2"/>
        <v>0</v>
      </c>
    </row>
    <row r="150" spans="1:5" hidden="1" x14ac:dyDescent="0.3">
      <c r="A150" t="s">
        <v>100</v>
      </c>
      <c r="B150" t="s">
        <v>40</v>
      </c>
      <c r="C150">
        <v>0</v>
      </c>
      <c r="E150">
        <f t="shared" si="2"/>
        <v>0</v>
      </c>
    </row>
    <row r="151" spans="1:5" x14ac:dyDescent="0.3">
      <c r="E151">
        <f>SUM(E113:E146)</f>
        <v>11698400</v>
      </c>
    </row>
    <row r="152" spans="1:5" x14ac:dyDescent="0.3">
      <c r="E152">
        <f>E151+E110</f>
        <v>420346010</v>
      </c>
    </row>
  </sheetData>
  <autoFilter ref="A2:E150" xr:uid="{00000000-0009-0000-0000-000015000000}">
    <filterColumn colId="2">
      <filters>
        <filter val="0.5"/>
        <filter val="1"/>
        <filter val="10"/>
        <filter val="109"/>
        <filter val="11"/>
        <filter val="116"/>
        <filter val="12"/>
        <filter val="1222"/>
        <filter val="127"/>
        <filter val="145"/>
        <filter val="150"/>
        <filter val="16"/>
        <filter val="17"/>
        <filter val="176"/>
        <filter val="18"/>
        <filter val="19"/>
        <filter val="1902"/>
        <filter val="198"/>
        <filter val="2"/>
        <filter val="20"/>
        <filter val="204"/>
        <filter val="205"/>
        <filter val="211"/>
        <filter val="22"/>
        <filter val="22.5"/>
        <filter val="2270"/>
        <filter val="24"/>
        <filter val="25"/>
        <filter val="269"/>
        <filter val="2880"/>
        <filter val="296"/>
        <filter val="297"/>
        <filter val="3"/>
        <filter val="30"/>
        <filter val="32"/>
        <filter val="33"/>
        <filter val="330"/>
        <filter val="340"/>
        <filter val="35"/>
        <filter val="36"/>
        <filter val="4"/>
        <filter val="4028"/>
        <filter val="410"/>
        <filter val="45"/>
        <filter val="5"/>
        <filter val="5.5"/>
        <filter val="586"/>
        <filter val="6"/>
        <filter val="60"/>
        <filter val="67"/>
        <filter val="68"/>
        <filter val="690"/>
        <filter val="7"/>
        <filter val="70"/>
        <filter val="8"/>
        <filter val="800"/>
        <filter val="88"/>
        <filter val="95"/>
        <filter val="Tồn_x000a_ĐL_x000a__x000a_現在庫"/>
      </filters>
    </filterColumn>
  </autoFilter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filterMode="1"/>
  <dimension ref="A1:E156"/>
  <sheetViews>
    <sheetView topLeftCell="A120" workbookViewId="0">
      <selection activeCell="E156" sqref="E156"/>
    </sheetView>
  </sheetViews>
  <sheetFormatPr defaultRowHeight="14.4" x14ac:dyDescent="0.3"/>
  <cols>
    <col min="1" max="1" width="26.33203125" customWidth="1"/>
    <col min="5" max="5" width="14.44140625" customWidth="1"/>
  </cols>
  <sheetData>
    <row r="1" spans="1:5" x14ac:dyDescent="0.3">
      <c r="A1" t="s">
        <v>163</v>
      </c>
    </row>
    <row r="2" spans="1:5" x14ac:dyDescent="0.3">
      <c r="A2" t="s">
        <v>0</v>
      </c>
      <c r="B2" t="s">
        <v>1</v>
      </c>
      <c r="C2" t="s">
        <v>107</v>
      </c>
      <c r="D2" t="s">
        <v>108</v>
      </c>
      <c r="E2" t="s">
        <v>109</v>
      </c>
    </row>
    <row r="3" spans="1:5" x14ac:dyDescent="0.3">
      <c r="A3" t="s">
        <v>31</v>
      </c>
      <c r="B3" t="s">
        <v>3</v>
      </c>
      <c r="C3">
        <v>80</v>
      </c>
      <c r="D3">
        <v>9500</v>
      </c>
      <c r="E3">
        <f>C3*D3</f>
        <v>760000</v>
      </c>
    </row>
    <row r="4" spans="1:5" hidden="1" x14ac:dyDescent="0.3">
      <c r="A4" t="s">
        <v>31</v>
      </c>
      <c r="B4" t="s">
        <v>30</v>
      </c>
      <c r="C4">
        <v>0</v>
      </c>
      <c r="E4">
        <f t="shared" ref="E4:E67" si="0">C4*D4</f>
        <v>0</v>
      </c>
    </row>
    <row r="5" spans="1:5" x14ac:dyDescent="0.3">
      <c r="A5" t="s">
        <v>32</v>
      </c>
      <c r="B5" t="s">
        <v>17</v>
      </c>
      <c r="C5">
        <v>15</v>
      </c>
      <c r="D5">
        <v>6000</v>
      </c>
      <c r="E5">
        <f t="shared" si="0"/>
        <v>90000</v>
      </c>
    </row>
    <row r="6" spans="1:5" hidden="1" x14ac:dyDescent="0.3">
      <c r="A6" t="s">
        <v>42</v>
      </c>
      <c r="B6" t="s">
        <v>25</v>
      </c>
      <c r="C6">
        <v>0</v>
      </c>
      <c r="E6">
        <f t="shared" si="0"/>
        <v>0</v>
      </c>
    </row>
    <row r="7" spans="1:5" x14ac:dyDescent="0.3">
      <c r="A7" t="s">
        <v>45</v>
      </c>
      <c r="B7" t="s">
        <v>3</v>
      </c>
      <c r="C7">
        <v>35</v>
      </c>
      <c r="D7">
        <v>11000</v>
      </c>
      <c r="E7">
        <f t="shared" si="0"/>
        <v>385000</v>
      </c>
    </row>
    <row r="8" spans="1:5" hidden="1" x14ac:dyDescent="0.3">
      <c r="A8" t="s">
        <v>45</v>
      </c>
      <c r="B8" t="s">
        <v>30</v>
      </c>
      <c r="C8">
        <v>0</v>
      </c>
      <c r="E8">
        <f t="shared" si="0"/>
        <v>0</v>
      </c>
    </row>
    <row r="9" spans="1:5" x14ac:dyDescent="0.3">
      <c r="A9" t="s">
        <v>47</v>
      </c>
      <c r="B9" t="s">
        <v>3</v>
      </c>
      <c r="C9">
        <v>236</v>
      </c>
      <c r="D9">
        <v>10000</v>
      </c>
      <c r="E9">
        <f t="shared" si="0"/>
        <v>2360000</v>
      </c>
    </row>
    <row r="10" spans="1:5" hidden="1" x14ac:dyDescent="0.3">
      <c r="A10" t="s">
        <v>47</v>
      </c>
      <c r="B10" t="s">
        <v>48</v>
      </c>
      <c r="C10">
        <v>0</v>
      </c>
      <c r="E10">
        <f t="shared" si="0"/>
        <v>0</v>
      </c>
    </row>
    <row r="11" spans="1:5" x14ac:dyDescent="0.3">
      <c r="A11" t="s">
        <v>50</v>
      </c>
      <c r="B11" t="s">
        <v>30</v>
      </c>
      <c r="C11">
        <v>100</v>
      </c>
      <c r="D11">
        <v>2400</v>
      </c>
      <c r="E11">
        <f t="shared" si="0"/>
        <v>240000</v>
      </c>
    </row>
    <row r="12" spans="1:5" x14ac:dyDescent="0.3">
      <c r="A12" t="s">
        <v>52</v>
      </c>
      <c r="B12" t="s">
        <v>3</v>
      </c>
      <c r="C12">
        <v>2860</v>
      </c>
      <c r="D12">
        <v>27000</v>
      </c>
      <c r="E12">
        <f t="shared" si="0"/>
        <v>77220000</v>
      </c>
    </row>
    <row r="13" spans="1:5" hidden="1" x14ac:dyDescent="0.3">
      <c r="A13" t="s">
        <v>52</v>
      </c>
      <c r="B13" t="s">
        <v>30</v>
      </c>
      <c r="C13">
        <v>0</v>
      </c>
      <c r="E13">
        <f t="shared" si="0"/>
        <v>0</v>
      </c>
    </row>
    <row r="14" spans="1:5" x14ac:dyDescent="0.3">
      <c r="A14" t="s">
        <v>54</v>
      </c>
      <c r="B14" t="s">
        <v>3</v>
      </c>
      <c r="C14">
        <v>120</v>
      </c>
      <c r="D14">
        <v>15000</v>
      </c>
      <c r="E14">
        <f t="shared" si="0"/>
        <v>1800000</v>
      </c>
    </row>
    <row r="15" spans="1:5" x14ac:dyDescent="0.3">
      <c r="A15" t="s">
        <v>59</v>
      </c>
      <c r="B15" t="s">
        <v>3</v>
      </c>
      <c r="C15">
        <v>640</v>
      </c>
      <c r="D15">
        <v>16000</v>
      </c>
      <c r="E15">
        <f t="shared" si="0"/>
        <v>10240000</v>
      </c>
    </row>
    <row r="16" spans="1:5" hidden="1" x14ac:dyDescent="0.3">
      <c r="A16" t="s">
        <v>59</v>
      </c>
      <c r="B16" t="s">
        <v>30</v>
      </c>
      <c r="C16">
        <v>0</v>
      </c>
      <c r="E16">
        <f t="shared" si="0"/>
        <v>0</v>
      </c>
    </row>
    <row r="17" spans="1:5" x14ac:dyDescent="0.3">
      <c r="A17" t="s">
        <v>16</v>
      </c>
      <c r="B17" t="s">
        <v>17</v>
      </c>
      <c r="C17">
        <v>20</v>
      </c>
      <c r="D17">
        <v>6000</v>
      </c>
      <c r="E17">
        <f t="shared" si="0"/>
        <v>120000</v>
      </c>
    </row>
    <row r="18" spans="1:5" x14ac:dyDescent="0.3">
      <c r="A18" t="s">
        <v>5</v>
      </c>
      <c r="B18" t="s">
        <v>3</v>
      </c>
      <c r="C18">
        <v>299</v>
      </c>
      <c r="D18">
        <v>6000</v>
      </c>
      <c r="E18">
        <f t="shared" si="0"/>
        <v>1794000</v>
      </c>
    </row>
    <row r="19" spans="1:5" hidden="1" x14ac:dyDescent="0.3">
      <c r="A19" t="s">
        <v>35</v>
      </c>
      <c r="B19" t="s">
        <v>3</v>
      </c>
      <c r="C19">
        <v>0</v>
      </c>
      <c r="E19">
        <f t="shared" si="0"/>
        <v>0</v>
      </c>
    </row>
    <row r="20" spans="1:5" hidden="1" x14ac:dyDescent="0.3">
      <c r="A20" t="s">
        <v>35</v>
      </c>
      <c r="B20" t="s">
        <v>30</v>
      </c>
      <c r="C20">
        <v>0</v>
      </c>
      <c r="E20">
        <f t="shared" si="0"/>
        <v>0</v>
      </c>
    </row>
    <row r="21" spans="1:5" hidden="1" x14ac:dyDescent="0.3">
      <c r="A21" t="s">
        <v>37</v>
      </c>
      <c r="B21" t="s">
        <v>3</v>
      </c>
      <c r="C21">
        <v>0</v>
      </c>
      <c r="E21">
        <f t="shared" si="0"/>
        <v>0</v>
      </c>
    </row>
    <row r="22" spans="1:5" x14ac:dyDescent="0.3">
      <c r="A22" t="s">
        <v>37</v>
      </c>
      <c r="B22" t="s">
        <v>30</v>
      </c>
      <c r="C22">
        <v>20</v>
      </c>
      <c r="D22">
        <v>4300</v>
      </c>
      <c r="E22">
        <f t="shared" si="0"/>
        <v>86000</v>
      </c>
    </row>
    <row r="23" spans="1:5" x14ac:dyDescent="0.3">
      <c r="A23" t="s">
        <v>38</v>
      </c>
      <c r="B23" t="s">
        <v>3</v>
      </c>
      <c r="C23">
        <v>35</v>
      </c>
      <c r="D23">
        <v>6000</v>
      </c>
      <c r="E23">
        <f t="shared" si="0"/>
        <v>210000</v>
      </c>
    </row>
    <row r="24" spans="1:5" hidden="1" x14ac:dyDescent="0.3">
      <c r="A24" t="s">
        <v>39</v>
      </c>
      <c r="B24" t="s">
        <v>40</v>
      </c>
      <c r="C24">
        <v>0</v>
      </c>
      <c r="E24">
        <f t="shared" si="0"/>
        <v>0</v>
      </c>
    </row>
    <row r="25" spans="1:5" x14ac:dyDescent="0.3">
      <c r="A25" t="s">
        <v>39</v>
      </c>
      <c r="B25" t="s">
        <v>3</v>
      </c>
      <c r="C25">
        <v>35</v>
      </c>
      <c r="D25">
        <v>11000</v>
      </c>
      <c r="E25">
        <f t="shared" si="0"/>
        <v>385000</v>
      </c>
    </row>
    <row r="26" spans="1:5" hidden="1" x14ac:dyDescent="0.3">
      <c r="A26" t="s">
        <v>94</v>
      </c>
      <c r="B26" t="s">
        <v>3</v>
      </c>
      <c r="C26">
        <v>0</v>
      </c>
      <c r="E26">
        <f t="shared" si="0"/>
        <v>0</v>
      </c>
    </row>
    <row r="27" spans="1:5" x14ac:dyDescent="0.3">
      <c r="A27" t="s">
        <v>7</v>
      </c>
      <c r="B27" t="s">
        <v>3</v>
      </c>
      <c r="C27">
        <v>114</v>
      </c>
      <c r="D27">
        <v>7800</v>
      </c>
      <c r="E27">
        <f t="shared" si="0"/>
        <v>889200</v>
      </c>
    </row>
    <row r="28" spans="1:5" x14ac:dyDescent="0.3">
      <c r="A28" t="s">
        <v>8</v>
      </c>
      <c r="B28" t="s">
        <v>3</v>
      </c>
      <c r="C28">
        <v>220</v>
      </c>
      <c r="D28">
        <v>10000</v>
      </c>
      <c r="E28">
        <f t="shared" si="0"/>
        <v>2200000</v>
      </c>
    </row>
    <row r="29" spans="1:5" hidden="1" x14ac:dyDescent="0.3">
      <c r="A29" t="s">
        <v>8</v>
      </c>
      <c r="B29" t="s">
        <v>9</v>
      </c>
      <c r="C29">
        <v>0</v>
      </c>
      <c r="E29">
        <f t="shared" si="0"/>
        <v>0</v>
      </c>
    </row>
    <row r="30" spans="1:5" x14ac:dyDescent="0.3">
      <c r="A30" t="s">
        <v>10</v>
      </c>
      <c r="B30" t="s">
        <v>3</v>
      </c>
      <c r="C30">
        <v>60</v>
      </c>
      <c r="D30">
        <v>14000</v>
      </c>
      <c r="E30">
        <f t="shared" si="0"/>
        <v>840000</v>
      </c>
    </row>
    <row r="31" spans="1:5" hidden="1" x14ac:dyDescent="0.3">
      <c r="A31" t="s">
        <v>10</v>
      </c>
      <c r="B31" t="s">
        <v>9</v>
      </c>
      <c r="C31">
        <v>0</v>
      </c>
      <c r="E31">
        <f t="shared" si="0"/>
        <v>0</v>
      </c>
    </row>
    <row r="32" spans="1:5" x14ac:dyDescent="0.3">
      <c r="A32" t="s">
        <v>18</v>
      </c>
      <c r="B32" t="s">
        <v>3</v>
      </c>
      <c r="C32">
        <v>176</v>
      </c>
      <c r="D32">
        <v>17000</v>
      </c>
      <c r="E32">
        <f t="shared" si="0"/>
        <v>2992000</v>
      </c>
    </row>
    <row r="33" spans="1:5" hidden="1" x14ac:dyDescent="0.3">
      <c r="A33" t="s">
        <v>18</v>
      </c>
      <c r="B33" t="s">
        <v>17</v>
      </c>
      <c r="C33">
        <v>0</v>
      </c>
      <c r="E33">
        <f t="shared" si="0"/>
        <v>0</v>
      </c>
    </row>
    <row r="34" spans="1:5" x14ac:dyDescent="0.3">
      <c r="A34" t="s">
        <v>28</v>
      </c>
      <c r="B34" t="s">
        <v>3</v>
      </c>
      <c r="C34">
        <v>280</v>
      </c>
      <c r="D34">
        <v>13000</v>
      </c>
      <c r="E34">
        <f t="shared" si="0"/>
        <v>3640000</v>
      </c>
    </row>
    <row r="35" spans="1:5" hidden="1" x14ac:dyDescent="0.3">
      <c r="A35" t="s">
        <v>28</v>
      </c>
      <c r="B35" t="s">
        <v>17</v>
      </c>
      <c r="C35">
        <v>0</v>
      </c>
      <c r="E35">
        <f t="shared" si="0"/>
        <v>0</v>
      </c>
    </row>
    <row r="36" spans="1:5" x14ac:dyDescent="0.3">
      <c r="A36" t="s">
        <v>29</v>
      </c>
      <c r="B36" t="s">
        <v>30</v>
      </c>
      <c r="C36">
        <v>70</v>
      </c>
      <c r="D36">
        <v>8000</v>
      </c>
      <c r="E36">
        <f t="shared" si="0"/>
        <v>560000</v>
      </c>
    </row>
    <row r="37" spans="1:5" hidden="1" x14ac:dyDescent="0.3">
      <c r="A37" t="s">
        <v>68</v>
      </c>
      <c r="B37" t="s">
        <v>3</v>
      </c>
      <c r="C37">
        <v>0</v>
      </c>
      <c r="E37">
        <f t="shared" si="0"/>
        <v>0</v>
      </c>
    </row>
    <row r="38" spans="1:5" x14ac:dyDescent="0.3">
      <c r="A38" t="s">
        <v>68</v>
      </c>
      <c r="B38" t="s">
        <v>17</v>
      </c>
      <c r="C38">
        <v>119</v>
      </c>
      <c r="D38">
        <v>6000</v>
      </c>
      <c r="E38">
        <f t="shared" si="0"/>
        <v>714000</v>
      </c>
    </row>
    <row r="39" spans="1:5" x14ac:dyDescent="0.3">
      <c r="A39" t="s">
        <v>70</v>
      </c>
      <c r="B39" t="s">
        <v>3</v>
      </c>
      <c r="C39">
        <v>60</v>
      </c>
      <c r="D39">
        <v>16000</v>
      </c>
      <c r="E39">
        <f t="shared" si="0"/>
        <v>960000</v>
      </c>
    </row>
    <row r="40" spans="1:5" x14ac:dyDescent="0.3">
      <c r="A40" t="s">
        <v>78</v>
      </c>
      <c r="B40" t="s">
        <v>3</v>
      </c>
      <c r="C40">
        <v>375</v>
      </c>
      <c r="D40">
        <v>42000</v>
      </c>
      <c r="E40">
        <f t="shared" si="0"/>
        <v>15750000</v>
      </c>
    </row>
    <row r="41" spans="1:5" hidden="1" x14ac:dyDescent="0.3">
      <c r="A41" t="s">
        <v>78</v>
      </c>
      <c r="B41" t="s">
        <v>9</v>
      </c>
      <c r="C41">
        <v>0</v>
      </c>
      <c r="E41">
        <f t="shared" si="0"/>
        <v>0</v>
      </c>
    </row>
    <row r="42" spans="1:5" x14ac:dyDescent="0.3">
      <c r="A42" t="s">
        <v>80</v>
      </c>
      <c r="B42" t="s">
        <v>3</v>
      </c>
      <c r="C42">
        <v>224</v>
      </c>
      <c r="D42">
        <v>30000</v>
      </c>
      <c r="E42">
        <f t="shared" si="0"/>
        <v>6720000</v>
      </c>
    </row>
    <row r="43" spans="1:5" hidden="1" x14ac:dyDescent="0.3">
      <c r="A43" t="s">
        <v>80</v>
      </c>
      <c r="B43" t="s">
        <v>9</v>
      </c>
      <c r="C43">
        <v>0</v>
      </c>
      <c r="E43">
        <f t="shared" si="0"/>
        <v>0</v>
      </c>
    </row>
    <row r="44" spans="1:5" x14ac:dyDescent="0.3">
      <c r="A44" t="s">
        <v>82</v>
      </c>
      <c r="B44" t="s">
        <v>3</v>
      </c>
      <c r="C44">
        <v>60</v>
      </c>
      <c r="D44">
        <v>35000</v>
      </c>
      <c r="E44">
        <f t="shared" si="0"/>
        <v>2100000</v>
      </c>
    </row>
    <row r="45" spans="1:5" hidden="1" x14ac:dyDescent="0.3">
      <c r="A45" t="s">
        <v>82</v>
      </c>
      <c r="B45" t="s">
        <v>9</v>
      </c>
      <c r="C45">
        <v>0</v>
      </c>
      <c r="E45">
        <f t="shared" si="0"/>
        <v>0</v>
      </c>
    </row>
    <row r="46" spans="1:5" hidden="1" x14ac:dyDescent="0.3">
      <c r="A46" t="s">
        <v>11</v>
      </c>
      <c r="B46" t="s">
        <v>3</v>
      </c>
      <c r="C46">
        <v>0</v>
      </c>
      <c r="E46">
        <f t="shared" si="0"/>
        <v>0</v>
      </c>
    </row>
    <row r="47" spans="1:5" hidden="1" x14ac:dyDescent="0.3">
      <c r="A47" t="s">
        <v>76</v>
      </c>
      <c r="B47" t="s">
        <v>17</v>
      </c>
      <c r="C47">
        <v>0</v>
      </c>
      <c r="E47">
        <f t="shared" si="0"/>
        <v>0</v>
      </c>
    </row>
    <row r="48" spans="1:5" x14ac:dyDescent="0.3">
      <c r="A48" t="s">
        <v>51</v>
      </c>
      <c r="B48" t="s">
        <v>3</v>
      </c>
      <c r="C48">
        <v>1110</v>
      </c>
      <c r="D48">
        <v>28000</v>
      </c>
      <c r="E48">
        <f t="shared" si="0"/>
        <v>31080000</v>
      </c>
    </row>
    <row r="49" spans="1:5" hidden="1" x14ac:dyDescent="0.3">
      <c r="A49" t="s">
        <v>22</v>
      </c>
      <c r="B49" t="s">
        <v>3</v>
      </c>
      <c r="C49">
        <v>0</v>
      </c>
      <c r="E49">
        <f t="shared" si="0"/>
        <v>0</v>
      </c>
    </row>
    <row r="50" spans="1:5" x14ac:dyDescent="0.3">
      <c r="A50" t="s">
        <v>22</v>
      </c>
      <c r="B50" t="s">
        <v>23</v>
      </c>
      <c r="C50">
        <v>74</v>
      </c>
      <c r="D50">
        <v>5400</v>
      </c>
      <c r="E50">
        <f t="shared" si="0"/>
        <v>399600</v>
      </c>
    </row>
    <row r="51" spans="1:5" hidden="1" x14ac:dyDescent="0.3">
      <c r="A51" t="s">
        <v>56</v>
      </c>
      <c r="B51" t="s">
        <v>3</v>
      </c>
      <c r="C51">
        <v>0</v>
      </c>
      <c r="E51">
        <f t="shared" si="0"/>
        <v>0</v>
      </c>
    </row>
    <row r="52" spans="1:5" x14ac:dyDescent="0.3">
      <c r="A52" t="s">
        <v>72</v>
      </c>
      <c r="B52" t="s">
        <v>3</v>
      </c>
      <c r="C52">
        <v>2270</v>
      </c>
      <c r="D52">
        <v>27600</v>
      </c>
      <c r="E52">
        <f t="shared" si="0"/>
        <v>62652000</v>
      </c>
    </row>
    <row r="53" spans="1:5" x14ac:dyDescent="0.3">
      <c r="A53" t="s">
        <v>2</v>
      </c>
      <c r="B53" t="s">
        <v>3</v>
      </c>
      <c r="C53">
        <v>15</v>
      </c>
      <c r="D53">
        <v>8000</v>
      </c>
      <c r="E53">
        <f t="shared" si="0"/>
        <v>120000</v>
      </c>
    </row>
    <row r="54" spans="1:5" x14ac:dyDescent="0.3">
      <c r="A54" t="s">
        <v>4</v>
      </c>
      <c r="B54" t="s">
        <v>3</v>
      </c>
      <c r="C54">
        <v>685</v>
      </c>
      <c r="D54">
        <v>4000</v>
      </c>
      <c r="E54">
        <f t="shared" si="0"/>
        <v>2740000</v>
      </c>
    </row>
    <row r="55" spans="1:5" hidden="1" x14ac:dyDescent="0.3">
      <c r="A55" t="s">
        <v>12</v>
      </c>
      <c r="B55" t="s">
        <v>3</v>
      </c>
      <c r="C55">
        <v>0</v>
      </c>
      <c r="E55">
        <f t="shared" si="0"/>
        <v>0</v>
      </c>
    </row>
    <row r="56" spans="1:5" hidden="1" x14ac:dyDescent="0.3">
      <c r="A56" t="s">
        <v>13</v>
      </c>
      <c r="B56" t="s">
        <v>3</v>
      </c>
      <c r="C56">
        <v>0</v>
      </c>
      <c r="E56">
        <f t="shared" si="0"/>
        <v>0</v>
      </c>
    </row>
    <row r="57" spans="1:5" x14ac:dyDescent="0.3">
      <c r="A57" t="s">
        <v>20</v>
      </c>
      <c r="B57" t="s">
        <v>3</v>
      </c>
      <c r="C57">
        <v>33</v>
      </c>
      <c r="D57">
        <v>14000</v>
      </c>
      <c r="E57">
        <f t="shared" si="0"/>
        <v>462000</v>
      </c>
    </row>
    <row r="58" spans="1:5" x14ac:dyDescent="0.3">
      <c r="A58" t="s">
        <v>20</v>
      </c>
      <c r="B58" t="s">
        <v>21</v>
      </c>
      <c r="C58">
        <v>58</v>
      </c>
      <c r="D58">
        <v>8000</v>
      </c>
      <c r="E58">
        <f t="shared" si="0"/>
        <v>464000</v>
      </c>
    </row>
    <row r="59" spans="1:5" hidden="1" x14ac:dyDescent="0.3">
      <c r="A59" t="s">
        <v>24</v>
      </c>
      <c r="B59" t="s">
        <v>25</v>
      </c>
      <c r="C59">
        <v>0</v>
      </c>
      <c r="E59">
        <f t="shared" si="0"/>
        <v>0</v>
      </c>
    </row>
    <row r="60" spans="1:5" hidden="1" x14ac:dyDescent="0.3">
      <c r="A60" t="s">
        <v>26</v>
      </c>
      <c r="B60" t="s">
        <v>3</v>
      </c>
      <c r="C60">
        <v>0</v>
      </c>
      <c r="E60">
        <f t="shared" si="0"/>
        <v>0</v>
      </c>
    </row>
    <row r="61" spans="1:5" x14ac:dyDescent="0.3">
      <c r="A61" t="s">
        <v>26</v>
      </c>
      <c r="B61" t="s">
        <v>27</v>
      </c>
      <c r="C61">
        <v>235</v>
      </c>
      <c r="D61">
        <v>9500</v>
      </c>
      <c r="E61">
        <f t="shared" si="0"/>
        <v>2232500</v>
      </c>
    </row>
    <row r="62" spans="1:5" x14ac:dyDescent="0.3">
      <c r="A62" t="s">
        <v>33</v>
      </c>
      <c r="B62" t="s">
        <v>3</v>
      </c>
      <c r="C62">
        <v>85</v>
      </c>
      <c r="D62">
        <v>8000</v>
      </c>
      <c r="E62">
        <f t="shared" si="0"/>
        <v>680000</v>
      </c>
    </row>
    <row r="63" spans="1:5" hidden="1" x14ac:dyDescent="0.3">
      <c r="A63" t="s">
        <v>33</v>
      </c>
      <c r="B63" t="s">
        <v>34</v>
      </c>
      <c r="C63">
        <v>0</v>
      </c>
      <c r="E63">
        <f t="shared" si="0"/>
        <v>0</v>
      </c>
    </row>
    <row r="64" spans="1:5" hidden="1" x14ac:dyDescent="0.3">
      <c r="A64" t="s">
        <v>36</v>
      </c>
      <c r="B64" t="s">
        <v>3</v>
      </c>
      <c r="C64">
        <v>0</v>
      </c>
      <c r="E64">
        <f t="shared" si="0"/>
        <v>0</v>
      </c>
    </row>
    <row r="65" spans="1:5" x14ac:dyDescent="0.3">
      <c r="A65" t="s">
        <v>36</v>
      </c>
      <c r="B65" t="s">
        <v>30</v>
      </c>
      <c r="C65">
        <v>7</v>
      </c>
      <c r="D65">
        <v>5000</v>
      </c>
      <c r="E65">
        <f t="shared" si="0"/>
        <v>35000</v>
      </c>
    </row>
    <row r="66" spans="1:5" x14ac:dyDescent="0.3">
      <c r="A66" t="s">
        <v>55</v>
      </c>
      <c r="B66" t="s">
        <v>3</v>
      </c>
      <c r="C66">
        <v>40</v>
      </c>
      <c r="D66">
        <v>24000</v>
      </c>
      <c r="E66">
        <f t="shared" si="0"/>
        <v>960000</v>
      </c>
    </row>
    <row r="67" spans="1:5" x14ac:dyDescent="0.3">
      <c r="A67" t="s">
        <v>41</v>
      </c>
      <c r="B67" t="s">
        <v>3</v>
      </c>
      <c r="C67">
        <v>20</v>
      </c>
      <c r="D67">
        <v>14000</v>
      </c>
      <c r="E67">
        <f t="shared" si="0"/>
        <v>280000</v>
      </c>
    </row>
    <row r="68" spans="1:5" x14ac:dyDescent="0.3">
      <c r="A68" t="s">
        <v>44</v>
      </c>
      <c r="B68" t="s">
        <v>3</v>
      </c>
      <c r="C68">
        <v>25</v>
      </c>
      <c r="D68">
        <v>6000</v>
      </c>
      <c r="E68">
        <f t="shared" ref="E68:E133" si="1">C68*D68</f>
        <v>150000</v>
      </c>
    </row>
    <row r="69" spans="1:5" hidden="1" x14ac:dyDescent="0.3">
      <c r="A69" t="s">
        <v>46</v>
      </c>
      <c r="B69" t="s">
        <v>3</v>
      </c>
      <c r="C69">
        <v>0</v>
      </c>
      <c r="E69">
        <f t="shared" si="1"/>
        <v>0</v>
      </c>
    </row>
    <row r="70" spans="1:5" hidden="1" x14ac:dyDescent="0.3">
      <c r="A70" t="s">
        <v>61</v>
      </c>
      <c r="B70" t="s">
        <v>3</v>
      </c>
      <c r="C70">
        <v>0</v>
      </c>
      <c r="E70">
        <f t="shared" si="1"/>
        <v>0</v>
      </c>
    </row>
    <row r="71" spans="1:5" hidden="1" x14ac:dyDescent="0.3">
      <c r="A71" t="s">
        <v>62</v>
      </c>
      <c r="B71" t="s">
        <v>30</v>
      </c>
      <c r="C71">
        <v>0</v>
      </c>
      <c r="E71">
        <f t="shared" si="1"/>
        <v>0</v>
      </c>
    </row>
    <row r="72" spans="1:5" hidden="1" x14ac:dyDescent="0.3">
      <c r="A72" t="s">
        <v>63</v>
      </c>
      <c r="B72" t="s">
        <v>3</v>
      </c>
      <c r="C72">
        <v>0</v>
      </c>
      <c r="E72">
        <f t="shared" si="1"/>
        <v>0</v>
      </c>
    </row>
    <row r="73" spans="1:5" x14ac:dyDescent="0.3">
      <c r="A73" t="s">
        <v>63</v>
      </c>
      <c r="B73" t="s">
        <v>64</v>
      </c>
      <c r="C73">
        <v>38</v>
      </c>
      <c r="D73">
        <v>9000</v>
      </c>
      <c r="E73">
        <f t="shared" si="1"/>
        <v>342000</v>
      </c>
    </row>
    <row r="74" spans="1:5" x14ac:dyDescent="0.3">
      <c r="A74" t="s">
        <v>65</v>
      </c>
      <c r="B74" t="s">
        <v>3</v>
      </c>
      <c r="C74">
        <v>2</v>
      </c>
      <c r="D74">
        <v>80000</v>
      </c>
      <c r="E74">
        <f t="shared" si="1"/>
        <v>160000</v>
      </c>
    </row>
    <row r="75" spans="1:5" x14ac:dyDescent="0.3">
      <c r="A75" t="s">
        <v>66</v>
      </c>
      <c r="B75" t="s">
        <v>3</v>
      </c>
      <c r="C75">
        <v>2</v>
      </c>
      <c r="D75">
        <v>70000</v>
      </c>
      <c r="E75">
        <f t="shared" si="1"/>
        <v>140000</v>
      </c>
    </row>
    <row r="76" spans="1:5" x14ac:dyDescent="0.3">
      <c r="A76" t="s">
        <v>67</v>
      </c>
      <c r="B76" t="s">
        <v>3</v>
      </c>
      <c r="C76">
        <v>2</v>
      </c>
      <c r="D76">
        <v>70000</v>
      </c>
      <c r="E76">
        <f t="shared" si="1"/>
        <v>140000</v>
      </c>
    </row>
    <row r="77" spans="1:5" hidden="1" x14ac:dyDescent="0.3">
      <c r="A77" t="s">
        <v>71</v>
      </c>
      <c r="B77" t="s">
        <v>40</v>
      </c>
      <c r="C77">
        <v>0</v>
      </c>
      <c r="E77">
        <f t="shared" si="1"/>
        <v>0</v>
      </c>
    </row>
    <row r="78" spans="1:5" hidden="1" x14ac:dyDescent="0.3">
      <c r="A78" t="s">
        <v>71</v>
      </c>
      <c r="B78" t="s">
        <v>3</v>
      </c>
      <c r="C78">
        <v>0</v>
      </c>
      <c r="E78">
        <f t="shared" si="1"/>
        <v>0</v>
      </c>
    </row>
    <row r="79" spans="1:5" x14ac:dyDescent="0.3">
      <c r="A79" t="s">
        <v>90</v>
      </c>
      <c r="B79" t="s">
        <v>3</v>
      </c>
      <c r="C79">
        <v>70</v>
      </c>
      <c r="D79">
        <v>20000</v>
      </c>
      <c r="E79">
        <f t="shared" si="1"/>
        <v>1400000</v>
      </c>
    </row>
    <row r="80" spans="1:5" x14ac:dyDescent="0.3">
      <c r="A80" t="s">
        <v>74</v>
      </c>
      <c r="B80" t="s">
        <v>30</v>
      </c>
      <c r="C80">
        <v>18</v>
      </c>
      <c r="D80">
        <v>3400</v>
      </c>
      <c r="E80">
        <f t="shared" si="1"/>
        <v>61200</v>
      </c>
    </row>
    <row r="81" spans="1:5" hidden="1" x14ac:dyDescent="0.3">
      <c r="A81" t="s">
        <v>75</v>
      </c>
      <c r="B81" t="s">
        <v>3</v>
      </c>
      <c r="C81">
        <v>0</v>
      </c>
      <c r="E81">
        <f t="shared" si="1"/>
        <v>0</v>
      </c>
    </row>
    <row r="82" spans="1:5" hidden="1" x14ac:dyDescent="0.3">
      <c r="A82" t="s">
        <v>77</v>
      </c>
      <c r="B82" t="s">
        <v>25</v>
      </c>
      <c r="C82">
        <v>0</v>
      </c>
      <c r="E82">
        <f t="shared" si="1"/>
        <v>0</v>
      </c>
    </row>
    <row r="83" spans="1:5" hidden="1" x14ac:dyDescent="0.3">
      <c r="A83" t="s">
        <v>77</v>
      </c>
      <c r="B83" t="s">
        <v>3</v>
      </c>
      <c r="C83">
        <v>0</v>
      </c>
      <c r="E83">
        <f t="shared" si="1"/>
        <v>0</v>
      </c>
    </row>
    <row r="84" spans="1:5" x14ac:dyDescent="0.3">
      <c r="A84" t="s">
        <v>84</v>
      </c>
      <c r="B84" t="s">
        <v>3</v>
      </c>
      <c r="C84">
        <v>35</v>
      </c>
      <c r="D84">
        <v>50000</v>
      </c>
      <c r="E84">
        <f t="shared" si="1"/>
        <v>1750000</v>
      </c>
    </row>
    <row r="85" spans="1:5" x14ac:dyDescent="0.3">
      <c r="A85" t="s">
        <v>84</v>
      </c>
      <c r="B85" t="s">
        <v>30</v>
      </c>
      <c r="C85">
        <v>90</v>
      </c>
      <c r="D85">
        <v>16000</v>
      </c>
      <c r="E85">
        <f t="shared" si="1"/>
        <v>1440000</v>
      </c>
    </row>
    <row r="86" spans="1:5" x14ac:dyDescent="0.3">
      <c r="A86" t="s">
        <v>92</v>
      </c>
      <c r="B86" t="s">
        <v>3</v>
      </c>
      <c r="C86">
        <v>215</v>
      </c>
      <c r="D86">
        <v>10000</v>
      </c>
      <c r="E86">
        <f t="shared" si="1"/>
        <v>2150000</v>
      </c>
    </row>
    <row r="87" spans="1:5" x14ac:dyDescent="0.3">
      <c r="A87" t="s">
        <v>106</v>
      </c>
      <c r="B87" t="s">
        <v>9</v>
      </c>
      <c r="C87">
        <v>822</v>
      </c>
      <c r="D87">
        <v>8000</v>
      </c>
      <c r="E87">
        <f t="shared" si="1"/>
        <v>6576000</v>
      </c>
    </row>
    <row r="88" spans="1:5" x14ac:dyDescent="0.3">
      <c r="A88" t="s">
        <v>89</v>
      </c>
      <c r="B88" t="s">
        <v>3</v>
      </c>
      <c r="C88">
        <v>4340</v>
      </c>
      <c r="D88">
        <v>24000</v>
      </c>
      <c r="E88">
        <f t="shared" si="1"/>
        <v>104160000</v>
      </c>
    </row>
    <row r="89" spans="1:5" hidden="1" x14ac:dyDescent="0.3">
      <c r="A89" t="s">
        <v>96</v>
      </c>
      <c r="B89" t="s">
        <v>3</v>
      </c>
      <c r="C89">
        <v>0</v>
      </c>
      <c r="E89">
        <f t="shared" si="1"/>
        <v>0</v>
      </c>
    </row>
    <row r="90" spans="1:5" hidden="1" x14ac:dyDescent="0.3">
      <c r="A90" t="s">
        <v>98</v>
      </c>
      <c r="B90" t="s">
        <v>3</v>
      </c>
      <c r="C90">
        <v>0</v>
      </c>
      <c r="E90">
        <f t="shared" si="1"/>
        <v>0</v>
      </c>
    </row>
    <row r="91" spans="1:5" x14ac:dyDescent="0.3">
      <c r="A91" t="s">
        <v>99</v>
      </c>
      <c r="B91" t="s">
        <v>3</v>
      </c>
      <c r="C91">
        <v>5</v>
      </c>
      <c r="D91">
        <v>30000</v>
      </c>
      <c r="E91">
        <f t="shared" si="1"/>
        <v>150000</v>
      </c>
    </row>
    <row r="92" spans="1:5" x14ac:dyDescent="0.3">
      <c r="A92" t="s">
        <v>15</v>
      </c>
      <c r="B92" t="s">
        <v>3</v>
      </c>
      <c r="C92">
        <v>40</v>
      </c>
      <c r="D92">
        <v>21000</v>
      </c>
      <c r="E92">
        <f t="shared" si="1"/>
        <v>840000</v>
      </c>
    </row>
    <row r="93" spans="1:5" x14ac:dyDescent="0.3">
      <c r="A93" t="s">
        <v>111</v>
      </c>
      <c r="B93" t="s">
        <v>3</v>
      </c>
      <c r="C93">
        <v>1</v>
      </c>
      <c r="D93">
        <v>12000</v>
      </c>
      <c r="E93">
        <f t="shared" si="1"/>
        <v>12000</v>
      </c>
    </row>
    <row r="94" spans="1:5" hidden="1" x14ac:dyDescent="0.3">
      <c r="A94" t="s">
        <v>112</v>
      </c>
      <c r="B94" t="s">
        <v>3</v>
      </c>
      <c r="C94">
        <v>0</v>
      </c>
      <c r="E94">
        <f t="shared" si="1"/>
        <v>0</v>
      </c>
    </row>
    <row r="95" spans="1:5" hidden="1" x14ac:dyDescent="0.3">
      <c r="A95" t="s">
        <v>114</v>
      </c>
      <c r="B95" t="s">
        <v>3</v>
      </c>
      <c r="C95">
        <v>0</v>
      </c>
      <c r="E95">
        <f t="shared" si="1"/>
        <v>0</v>
      </c>
    </row>
    <row r="96" spans="1:5" hidden="1" x14ac:dyDescent="0.3">
      <c r="A96" t="s">
        <v>6</v>
      </c>
      <c r="B96" t="s">
        <v>3</v>
      </c>
      <c r="C96">
        <v>0</v>
      </c>
      <c r="E96">
        <f t="shared" si="1"/>
        <v>0</v>
      </c>
    </row>
    <row r="97" spans="1:5" hidden="1" x14ac:dyDescent="0.3">
      <c r="A97" t="s">
        <v>97</v>
      </c>
      <c r="B97" t="s">
        <v>40</v>
      </c>
      <c r="C97">
        <v>0</v>
      </c>
      <c r="E97">
        <f t="shared" si="1"/>
        <v>0</v>
      </c>
    </row>
    <row r="98" spans="1:5" x14ac:dyDescent="0.3">
      <c r="A98" t="s">
        <v>60</v>
      </c>
      <c r="B98" t="s">
        <v>30</v>
      </c>
      <c r="C98">
        <v>20</v>
      </c>
      <c r="D98">
        <v>8000</v>
      </c>
      <c r="E98">
        <f t="shared" si="1"/>
        <v>160000</v>
      </c>
    </row>
    <row r="99" spans="1:5" hidden="1" x14ac:dyDescent="0.3">
      <c r="A99" t="s">
        <v>100</v>
      </c>
      <c r="B99" t="s">
        <v>40</v>
      </c>
      <c r="C99">
        <v>0</v>
      </c>
      <c r="E99">
        <f t="shared" si="1"/>
        <v>0</v>
      </c>
    </row>
    <row r="100" spans="1:5" hidden="1" x14ac:dyDescent="0.3">
      <c r="A100" t="s">
        <v>85</v>
      </c>
      <c r="B100" t="s">
        <v>30</v>
      </c>
      <c r="C100">
        <v>0</v>
      </c>
      <c r="E100">
        <f t="shared" si="1"/>
        <v>0</v>
      </c>
    </row>
    <row r="101" spans="1:5" hidden="1" x14ac:dyDescent="0.3">
      <c r="A101" t="s">
        <v>57</v>
      </c>
      <c r="B101" t="s">
        <v>30</v>
      </c>
      <c r="C101">
        <v>0</v>
      </c>
      <c r="E101">
        <f t="shared" si="1"/>
        <v>0</v>
      </c>
    </row>
    <row r="102" spans="1:5" x14ac:dyDescent="0.3">
      <c r="A102" t="s">
        <v>14</v>
      </c>
      <c r="B102" t="s">
        <v>3</v>
      </c>
      <c r="C102">
        <v>70</v>
      </c>
      <c r="D102">
        <v>10000</v>
      </c>
      <c r="E102">
        <f t="shared" si="1"/>
        <v>700000</v>
      </c>
    </row>
    <row r="103" spans="1:5" x14ac:dyDescent="0.3">
      <c r="A103" t="s">
        <v>93</v>
      </c>
      <c r="B103" t="s">
        <v>3</v>
      </c>
      <c r="C103">
        <v>10</v>
      </c>
      <c r="D103">
        <v>13000</v>
      </c>
      <c r="E103">
        <f t="shared" si="1"/>
        <v>130000</v>
      </c>
    </row>
    <row r="104" spans="1:5" hidden="1" x14ac:dyDescent="0.3">
      <c r="A104" t="s">
        <v>103</v>
      </c>
      <c r="B104" t="s">
        <v>3</v>
      </c>
      <c r="C104">
        <v>0</v>
      </c>
      <c r="E104">
        <f t="shared" si="1"/>
        <v>0</v>
      </c>
    </row>
    <row r="105" spans="1:5" x14ac:dyDescent="0.3">
      <c r="A105" t="s">
        <v>69</v>
      </c>
      <c r="B105" t="s">
        <v>3</v>
      </c>
      <c r="C105">
        <v>4</v>
      </c>
      <c r="D105">
        <v>16000</v>
      </c>
      <c r="E105">
        <f t="shared" si="1"/>
        <v>64000</v>
      </c>
    </row>
    <row r="106" spans="1:5" x14ac:dyDescent="0.3">
      <c r="A106" t="s">
        <v>119</v>
      </c>
      <c r="B106" t="s">
        <v>3</v>
      </c>
      <c r="C106">
        <v>12</v>
      </c>
      <c r="D106">
        <v>10000</v>
      </c>
      <c r="E106">
        <f t="shared" si="1"/>
        <v>120000</v>
      </c>
    </row>
    <row r="107" spans="1:5" x14ac:dyDescent="0.3">
      <c r="A107" t="s">
        <v>153</v>
      </c>
      <c r="B107" t="s">
        <v>3</v>
      </c>
      <c r="C107">
        <v>800</v>
      </c>
      <c r="D107">
        <v>23000</v>
      </c>
      <c r="E107">
        <f t="shared" si="1"/>
        <v>18400000</v>
      </c>
    </row>
    <row r="108" spans="1:5" x14ac:dyDescent="0.3">
      <c r="A108" t="s">
        <v>79</v>
      </c>
      <c r="B108" t="s">
        <v>3</v>
      </c>
      <c r="C108">
        <v>20</v>
      </c>
      <c r="D108">
        <v>27000</v>
      </c>
      <c r="E108">
        <f t="shared" si="1"/>
        <v>540000</v>
      </c>
    </row>
    <row r="109" spans="1:5" x14ac:dyDescent="0.3">
      <c r="A109" t="s">
        <v>83</v>
      </c>
      <c r="B109" t="s">
        <v>3</v>
      </c>
      <c r="C109">
        <v>15</v>
      </c>
      <c r="D109">
        <v>25000</v>
      </c>
      <c r="E109">
        <f t="shared" si="1"/>
        <v>375000</v>
      </c>
    </row>
    <row r="110" spans="1:5" x14ac:dyDescent="0.3">
      <c r="A110" t="s">
        <v>88</v>
      </c>
      <c r="B110" t="s">
        <v>9</v>
      </c>
      <c r="C110">
        <v>410</v>
      </c>
      <c r="D110">
        <v>11631</v>
      </c>
      <c r="E110">
        <f t="shared" si="1"/>
        <v>4768710</v>
      </c>
    </row>
    <row r="111" spans="1:5" x14ac:dyDescent="0.3">
      <c r="A111" t="s">
        <v>154</v>
      </c>
      <c r="B111" t="s">
        <v>9</v>
      </c>
      <c r="C111">
        <v>1287</v>
      </c>
      <c r="D111">
        <v>26000</v>
      </c>
      <c r="E111">
        <f t="shared" si="1"/>
        <v>33462000</v>
      </c>
    </row>
    <row r="112" spans="1:5" x14ac:dyDescent="0.3">
      <c r="A112" t="s">
        <v>146</v>
      </c>
      <c r="B112" t="s">
        <v>9</v>
      </c>
      <c r="C112">
        <v>314</v>
      </c>
      <c r="D112">
        <v>100000</v>
      </c>
      <c r="E112">
        <f t="shared" si="1"/>
        <v>31400000</v>
      </c>
    </row>
    <row r="113" spans="1:5" x14ac:dyDescent="0.3">
      <c r="E113">
        <f>SUM(E3:E112)</f>
        <v>444751210</v>
      </c>
    </row>
    <row r="114" spans="1:5" x14ac:dyDescent="0.3">
      <c r="A114" t="s">
        <v>110</v>
      </c>
    </row>
    <row r="115" spans="1:5" x14ac:dyDescent="0.3">
      <c r="A115" t="s">
        <v>0</v>
      </c>
      <c r="B115" t="s">
        <v>1</v>
      </c>
      <c r="C115" t="s">
        <v>107</v>
      </c>
      <c r="D115" t="s">
        <v>108</v>
      </c>
      <c r="E115" t="s">
        <v>109</v>
      </c>
    </row>
    <row r="116" spans="1:5" x14ac:dyDescent="0.3">
      <c r="A116" t="s">
        <v>31</v>
      </c>
      <c r="B116" t="s">
        <v>3</v>
      </c>
      <c r="C116">
        <v>110.00000000000001</v>
      </c>
      <c r="D116">
        <v>9500</v>
      </c>
      <c r="E116">
        <f t="shared" si="1"/>
        <v>1045000.0000000001</v>
      </c>
    </row>
    <row r="117" spans="1:5" x14ac:dyDescent="0.3">
      <c r="A117" t="s">
        <v>44</v>
      </c>
      <c r="B117" t="s">
        <v>3</v>
      </c>
      <c r="C117">
        <v>33</v>
      </c>
      <c r="D117">
        <v>6000</v>
      </c>
      <c r="E117">
        <f t="shared" si="1"/>
        <v>198000</v>
      </c>
    </row>
    <row r="118" spans="1:5" hidden="1" x14ac:dyDescent="0.3">
      <c r="A118" t="s">
        <v>45</v>
      </c>
      <c r="B118" t="s">
        <v>3</v>
      </c>
      <c r="C118">
        <v>0</v>
      </c>
      <c r="E118">
        <f t="shared" si="1"/>
        <v>0</v>
      </c>
    </row>
    <row r="119" spans="1:5" x14ac:dyDescent="0.3">
      <c r="A119" t="s">
        <v>47</v>
      </c>
      <c r="B119" t="s">
        <v>3</v>
      </c>
      <c r="C119">
        <v>55.000000000000007</v>
      </c>
      <c r="D119">
        <v>10000</v>
      </c>
      <c r="E119">
        <f t="shared" si="1"/>
        <v>550000.00000000012</v>
      </c>
    </row>
    <row r="120" spans="1:5" x14ac:dyDescent="0.3">
      <c r="A120" t="s">
        <v>54</v>
      </c>
      <c r="B120" t="s">
        <v>3</v>
      </c>
      <c r="C120">
        <v>44</v>
      </c>
      <c r="D120">
        <v>15000</v>
      </c>
      <c r="E120">
        <f t="shared" si="1"/>
        <v>660000</v>
      </c>
    </row>
    <row r="121" spans="1:5" x14ac:dyDescent="0.3">
      <c r="A121" t="s">
        <v>59</v>
      </c>
      <c r="B121" t="s">
        <v>3</v>
      </c>
      <c r="C121">
        <v>22</v>
      </c>
      <c r="D121">
        <v>16000</v>
      </c>
      <c r="E121">
        <f t="shared" si="1"/>
        <v>352000</v>
      </c>
    </row>
    <row r="122" spans="1:5" x14ac:dyDescent="0.3">
      <c r="A122" t="s">
        <v>61</v>
      </c>
      <c r="B122" t="s">
        <v>3</v>
      </c>
      <c r="C122">
        <v>8.8000000000000007</v>
      </c>
      <c r="D122">
        <v>11000</v>
      </c>
      <c r="E122">
        <f t="shared" si="1"/>
        <v>96800.000000000015</v>
      </c>
    </row>
    <row r="123" spans="1:5" hidden="1" x14ac:dyDescent="0.3">
      <c r="A123" t="s">
        <v>102</v>
      </c>
      <c r="B123" t="s">
        <v>3</v>
      </c>
      <c r="C123">
        <v>0</v>
      </c>
      <c r="E123">
        <f t="shared" si="1"/>
        <v>0</v>
      </c>
    </row>
    <row r="124" spans="1:5" hidden="1" x14ac:dyDescent="0.3">
      <c r="A124" t="s">
        <v>2</v>
      </c>
      <c r="B124" t="s">
        <v>3</v>
      </c>
      <c r="C124">
        <v>0</v>
      </c>
      <c r="E124">
        <f t="shared" si="1"/>
        <v>0</v>
      </c>
    </row>
    <row r="125" spans="1:5" x14ac:dyDescent="0.3">
      <c r="A125" t="s">
        <v>4</v>
      </c>
      <c r="B125" t="s">
        <v>3</v>
      </c>
      <c r="C125">
        <v>33</v>
      </c>
      <c r="D125">
        <v>4000</v>
      </c>
      <c r="E125">
        <f t="shared" si="1"/>
        <v>132000</v>
      </c>
    </row>
    <row r="126" spans="1:5" x14ac:dyDescent="0.3">
      <c r="A126" t="s">
        <v>5</v>
      </c>
      <c r="B126" t="s">
        <v>3</v>
      </c>
      <c r="C126">
        <v>110.00000000000001</v>
      </c>
      <c r="D126">
        <v>6000</v>
      </c>
      <c r="E126">
        <f t="shared" si="1"/>
        <v>660000.00000000012</v>
      </c>
    </row>
    <row r="127" spans="1:5" hidden="1" x14ac:dyDescent="0.3">
      <c r="A127" t="s">
        <v>38</v>
      </c>
      <c r="B127" t="s">
        <v>3</v>
      </c>
      <c r="C127">
        <v>0</v>
      </c>
      <c r="E127">
        <f t="shared" si="1"/>
        <v>0</v>
      </c>
    </row>
    <row r="128" spans="1:5" x14ac:dyDescent="0.3">
      <c r="A128" t="s">
        <v>39</v>
      </c>
      <c r="B128" t="s">
        <v>3</v>
      </c>
      <c r="C128">
        <v>33</v>
      </c>
      <c r="D128">
        <v>10000</v>
      </c>
      <c r="E128">
        <f t="shared" si="1"/>
        <v>330000</v>
      </c>
    </row>
    <row r="129" spans="1:5" hidden="1" x14ac:dyDescent="0.3">
      <c r="A129" t="s">
        <v>71</v>
      </c>
      <c r="B129" t="s">
        <v>3</v>
      </c>
      <c r="C129">
        <v>0</v>
      </c>
      <c r="E129">
        <f t="shared" si="1"/>
        <v>0</v>
      </c>
    </row>
    <row r="130" spans="1:5" hidden="1" x14ac:dyDescent="0.3">
      <c r="A130" t="s">
        <v>95</v>
      </c>
      <c r="B130" t="s">
        <v>40</v>
      </c>
      <c r="C130">
        <v>0</v>
      </c>
      <c r="E130">
        <f t="shared" si="1"/>
        <v>0</v>
      </c>
    </row>
    <row r="131" spans="1:5" hidden="1" x14ac:dyDescent="0.3">
      <c r="A131" t="s">
        <v>97</v>
      </c>
      <c r="B131" t="s">
        <v>40</v>
      </c>
      <c r="C131">
        <v>0</v>
      </c>
      <c r="E131">
        <f t="shared" si="1"/>
        <v>0</v>
      </c>
    </row>
    <row r="132" spans="1:5" hidden="1" x14ac:dyDescent="0.3">
      <c r="A132" t="s">
        <v>100</v>
      </c>
      <c r="B132" t="s">
        <v>40</v>
      </c>
      <c r="C132">
        <v>0</v>
      </c>
      <c r="E132">
        <f t="shared" si="1"/>
        <v>0</v>
      </c>
    </row>
    <row r="133" spans="1:5" hidden="1" x14ac:dyDescent="0.3">
      <c r="A133" t="s">
        <v>119</v>
      </c>
      <c r="B133" t="s">
        <v>3</v>
      </c>
      <c r="C133">
        <v>0</v>
      </c>
      <c r="E133">
        <f t="shared" si="1"/>
        <v>0</v>
      </c>
    </row>
    <row r="134" spans="1:5" hidden="1" x14ac:dyDescent="0.3">
      <c r="A134" t="s">
        <v>7</v>
      </c>
      <c r="B134" t="s">
        <v>3</v>
      </c>
      <c r="C134">
        <v>0</v>
      </c>
      <c r="E134">
        <f t="shared" ref="E134:E154" si="2">C134*D134</f>
        <v>0</v>
      </c>
    </row>
    <row r="135" spans="1:5" x14ac:dyDescent="0.3">
      <c r="A135" t="s">
        <v>8</v>
      </c>
      <c r="B135" t="s">
        <v>3</v>
      </c>
      <c r="C135">
        <v>17</v>
      </c>
      <c r="D135">
        <v>10000</v>
      </c>
      <c r="E135">
        <f t="shared" si="2"/>
        <v>170000</v>
      </c>
    </row>
    <row r="136" spans="1:5" x14ac:dyDescent="0.3">
      <c r="A136" t="s">
        <v>18</v>
      </c>
      <c r="B136" t="s">
        <v>3</v>
      </c>
      <c r="C136">
        <v>33</v>
      </c>
      <c r="D136">
        <v>17000</v>
      </c>
      <c r="E136">
        <f t="shared" si="2"/>
        <v>561000</v>
      </c>
    </row>
    <row r="137" spans="1:5" hidden="1" x14ac:dyDescent="0.3">
      <c r="A137" t="s">
        <v>28</v>
      </c>
      <c r="B137" t="s">
        <v>3</v>
      </c>
      <c r="C137">
        <v>0</v>
      </c>
      <c r="E137">
        <f t="shared" si="2"/>
        <v>0</v>
      </c>
    </row>
    <row r="138" spans="1:5" hidden="1" x14ac:dyDescent="0.3">
      <c r="A138" t="s">
        <v>33</v>
      </c>
      <c r="B138" t="s">
        <v>3</v>
      </c>
      <c r="C138">
        <v>0</v>
      </c>
      <c r="E138">
        <f t="shared" si="2"/>
        <v>0</v>
      </c>
    </row>
    <row r="139" spans="1:5" x14ac:dyDescent="0.3">
      <c r="A139" t="s">
        <v>78</v>
      </c>
      <c r="B139" t="s">
        <v>3</v>
      </c>
      <c r="C139">
        <v>9</v>
      </c>
      <c r="D139">
        <v>42000</v>
      </c>
      <c r="E139">
        <f t="shared" si="2"/>
        <v>378000</v>
      </c>
    </row>
    <row r="140" spans="1:5" x14ac:dyDescent="0.3">
      <c r="A140" t="s">
        <v>80</v>
      </c>
      <c r="B140" t="s">
        <v>3</v>
      </c>
      <c r="C140">
        <v>4</v>
      </c>
      <c r="D140">
        <v>30000</v>
      </c>
      <c r="E140">
        <f t="shared" si="2"/>
        <v>120000</v>
      </c>
    </row>
    <row r="141" spans="1:5" x14ac:dyDescent="0.3">
      <c r="A141" t="s">
        <v>82</v>
      </c>
      <c r="B141" t="s">
        <v>3</v>
      </c>
      <c r="C141">
        <v>6</v>
      </c>
      <c r="D141">
        <v>35000</v>
      </c>
      <c r="E141">
        <f t="shared" si="2"/>
        <v>210000</v>
      </c>
    </row>
    <row r="142" spans="1:5" x14ac:dyDescent="0.3">
      <c r="A142" t="s">
        <v>92</v>
      </c>
      <c r="B142" t="s">
        <v>3</v>
      </c>
      <c r="C142">
        <v>22</v>
      </c>
      <c r="D142">
        <v>10000</v>
      </c>
      <c r="E142">
        <f t="shared" si="2"/>
        <v>220000</v>
      </c>
    </row>
    <row r="143" spans="1:5" hidden="1" x14ac:dyDescent="0.3">
      <c r="A143" t="s">
        <v>41</v>
      </c>
      <c r="B143" t="s">
        <v>3</v>
      </c>
      <c r="C143">
        <v>0</v>
      </c>
      <c r="E143">
        <f t="shared" si="2"/>
        <v>0</v>
      </c>
    </row>
    <row r="144" spans="1:5" hidden="1" x14ac:dyDescent="0.3">
      <c r="A144" t="s">
        <v>105</v>
      </c>
      <c r="B144" t="s">
        <v>3</v>
      </c>
      <c r="C144">
        <v>0</v>
      </c>
      <c r="E144">
        <f t="shared" si="2"/>
        <v>0</v>
      </c>
    </row>
    <row r="145" spans="1:5" hidden="1" x14ac:dyDescent="0.3">
      <c r="A145" t="s">
        <v>103</v>
      </c>
      <c r="B145" t="s">
        <v>3</v>
      </c>
      <c r="C145">
        <v>0</v>
      </c>
      <c r="E145">
        <f t="shared" si="2"/>
        <v>0</v>
      </c>
    </row>
    <row r="146" spans="1:5" hidden="1" x14ac:dyDescent="0.3">
      <c r="A146" t="s">
        <v>68</v>
      </c>
      <c r="B146" t="s">
        <v>3</v>
      </c>
      <c r="C146">
        <v>0</v>
      </c>
      <c r="E146">
        <f t="shared" si="2"/>
        <v>0</v>
      </c>
    </row>
    <row r="147" spans="1:5" x14ac:dyDescent="0.3">
      <c r="A147" t="s">
        <v>68</v>
      </c>
      <c r="B147" t="s">
        <v>17</v>
      </c>
      <c r="C147">
        <v>70</v>
      </c>
      <c r="D147">
        <v>6000</v>
      </c>
      <c r="E147">
        <f t="shared" si="2"/>
        <v>420000</v>
      </c>
    </row>
    <row r="148" spans="1:5" hidden="1" x14ac:dyDescent="0.3">
      <c r="A148" t="s">
        <v>72</v>
      </c>
      <c r="B148" t="s">
        <v>3</v>
      </c>
      <c r="C148">
        <v>0</v>
      </c>
      <c r="E148">
        <f t="shared" si="2"/>
        <v>0</v>
      </c>
    </row>
    <row r="149" spans="1:5" hidden="1" x14ac:dyDescent="0.3">
      <c r="A149" t="s">
        <v>62</v>
      </c>
      <c r="B149" t="s">
        <v>30</v>
      </c>
      <c r="C149">
        <v>0</v>
      </c>
      <c r="E149">
        <f t="shared" si="2"/>
        <v>0</v>
      </c>
    </row>
    <row r="150" spans="1:5" x14ac:dyDescent="0.3">
      <c r="A150" t="s">
        <v>63</v>
      </c>
      <c r="B150" t="s">
        <v>30</v>
      </c>
      <c r="C150">
        <v>15</v>
      </c>
      <c r="D150">
        <v>9000</v>
      </c>
      <c r="E150">
        <f t="shared" si="2"/>
        <v>135000</v>
      </c>
    </row>
    <row r="151" spans="1:5" hidden="1" x14ac:dyDescent="0.3">
      <c r="A151" t="s">
        <v>73</v>
      </c>
      <c r="B151" t="s">
        <v>3</v>
      </c>
      <c r="C151">
        <v>0</v>
      </c>
      <c r="E151">
        <f t="shared" si="2"/>
        <v>0</v>
      </c>
    </row>
    <row r="152" spans="1:5" hidden="1" x14ac:dyDescent="0.3">
      <c r="A152" t="s">
        <v>94</v>
      </c>
      <c r="B152" t="s">
        <v>40</v>
      </c>
      <c r="C152">
        <v>0</v>
      </c>
      <c r="E152">
        <f t="shared" si="2"/>
        <v>0</v>
      </c>
    </row>
    <row r="153" spans="1:5" hidden="1" x14ac:dyDescent="0.3">
      <c r="A153" t="s">
        <v>125</v>
      </c>
      <c r="B153" t="s">
        <v>25</v>
      </c>
      <c r="C153">
        <v>0</v>
      </c>
      <c r="E153">
        <f t="shared" si="2"/>
        <v>0</v>
      </c>
    </row>
    <row r="154" spans="1:5" x14ac:dyDescent="0.3">
      <c r="A154" t="s">
        <v>104</v>
      </c>
      <c r="B154" t="s">
        <v>3</v>
      </c>
      <c r="C154">
        <v>50</v>
      </c>
      <c r="D154">
        <v>3000</v>
      </c>
      <c r="E154">
        <f t="shared" si="2"/>
        <v>150000</v>
      </c>
    </row>
    <row r="155" spans="1:5" x14ac:dyDescent="0.3">
      <c r="E155">
        <f>SUM(E116:E154)</f>
        <v>6387800</v>
      </c>
    </row>
    <row r="156" spans="1:5" x14ac:dyDescent="0.3">
      <c r="E156">
        <f>E155+E113</f>
        <v>451139010</v>
      </c>
    </row>
  </sheetData>
  <autoFilter ref="A2:E154" xr:uid="{00000000-0009-0000-0000-000016000000}">
    <filterColumn colId="2">
      <filters>
        <filter val="1"/>
        <filter val="10"/>
        <filter val="100"/>
        <filter val="110"/>
        <filter val="1110"/>
        <filter val="114"/>
        <filter val="119"/>
        <filter val="12"/>
        <filter val="120"/>
        <filter val="1287"/>
        <filter val="15"/>
        <filter val="17"/>
        <filter val="176"/>
        <filter val="18"/>
        <filter val="2"/>
        <filter val="20"/>
        <filter val="215"/>
        <filter val="22"/>
        <filter val="220"/>
        <filter val="224"/>
        <filter val="2270"/>
        <filter val="235"/>
        <filter val="236"/>
        <filter val="25"/>
        <filter val="280"/>
        <filter val="2860"/>
        <filter val="299"/>
        <filter val="314"/>
        <filter val="33"/>
        <filter val="35"/>
        <filter val="375"/>
        <filter val="38"/>
        <filter val="4"/>
        <filter val="40"/>
        <filter val="410"/>
        <filter val="4340"/>
        <filter val="44"/>
        <filter val="5"/>
        <filter val="50"/>
        <filter val="55"/>
        <filter val="58"/>
        <filter val="6"/>
        <filter val="60"/>
        <filter val="640"/>
        <filter val="685"/>
        <filter val="7"/>
        <filter val="70"/>
        <filter val="74"/>
        <filter val="8.8"/>
        <filter val="80"/>
        <filter val="800"/>
        <filter val="822"/>
        <filter val="85"/>
        <filter val="9"/>
        <filter val="90"/>
        <filter val="Tồn_x000a_ĐL_x000a__x000a_現在庫"/>
      </filters>
    </filterColumn>
  </autoFilter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filterMode="1"/>
  <dimension ref="A1:E154"/>
  <sheetViews>
    <sheetView topLeftCell="A25" workbookViewId="0">
      <selection activeCell="E154" sqref="E154"/>
    </sheetView>
  </sheetViews>
  <sheetFormatPr defaultRowHeight="14.4" x14ac:dyDescent="0.3"/>
  <cols>
    <col min="1" max="1" width="23.6640625" customWidth="1"/>
    <col min="3" max="3" width="9.6640625" customWidth="1"/>
    <col min="4" max="4" width="11.44140625" customWidth="1"/>
    <col min="5" max="5" width="18.21875" customWidth="1"/>
  </cols>
  <sheetData>
    <row r="1" spans="1:5" x14ac:dyDescent="0.3">
      <c r="A1" t="s">
        <v>165</v>
      </c>
    </row>
    <row r="2" spans="1:5" x14ac:dyDescent="0.3">
      <c r="A2" t="s">
        <v>0</v>
      </c>
      <c r="B2" t="s">
        <v>1</v>
      </c>
      <c r="C2" t="s">
        <v>107</v>
      </c>
      <c r="D2" t="s">
        <v>108</v>
      </c>
      <c r="E2" t="s">
        <v>109</v>
      </c>
    </row>
    <row r="3" spans="1:5" x14ac:dyDescent="0.3">
      <c r="A3" t="s">
        <v>31</v>
      </c>
      <c r="B3" t="s">
        <v>3</v>
      </c>
      <c r="C3">
        <v>130</v>
      </c>
      <c r="D3">
        <v>10000</v>
      </c>
      <c r="E3">
        <f>C3*D3</f>
        <v>1300000</v>
      </c>
    </row>
    <row r="4" spans="1:5" hidden="1" x14ac:dyDescent="0.3">
      <c r="A4" t="s">
        <v>31</v>
      </c>
      <c r="B4" t="s">
        <v>30</v>
      </c>
      <c r="C4">
        <v>0</v>
      </c>
      <c r="E4">
        <f t="shared" ref="E4:E67" si="0">C4*D4</f>
        <v>0</v>
      </c>
    </row>
    <row r="5" spans="1:5" hidden="1" x14ac:dyDescent="0.3">
      <c r="A5" t="s">
        <v>32</v>
      </c>
      <c r="B5" t="s">
        <v>17</v>
      </c>
      <c r="C5">
        <v>0</v>
      </c>
      <c r="E5">
        <f t="shared" si="0"/>
        <v>0</v>
      </c>
    </row>
    <row r="6" spans="1:5" x14ac:dyDescent="0.3">
      <c r="A6" t="s">
        <v>42</v>
      </c>
      <c r="B6" t="s">
        <v>25</v>
      </c>
      <c r="C6">
        <v>3</v>
      </c>
      <c r="D6">
        <v>11000</v>
      </c>
      <c r="E6">
        <f t="shared" si="0"/>
        <v>33000</v>
      </c>
    </row>
    <row r="7" spans="1:5" x14ac:dyDescent="0.3">
      <c r="A7" t="s">
        <v>45</v>
      </c>
      <c r="B7" t="s">
        <v>3</v>
      </c>
      <c r="C7">
        <v>20</v>
      </c>
      <c r="D7">
        <v>11000</v>
      </c>
      <c r="E7">
        <f t="shared" si="0"/>
        <v>220000</v>
      </c>
    </row>
    <row r="8" spans="1:5" hidden="1" x14ac:dyDescent="0.3">
      <c r="A8" t="s">
        <v>45</v>
      </c>
      <c r="B8" t="s">
        <v>30</v>
      </c>
      <c r="C8">
        <v>0</v>
      </c>
      <c r="E8">
        <f t="shared" si="0"/>
        <v>0</v>
      </c>
    </row>
    <row r="9" spans="1:5" x14ac:dyDescent="0.3">
      <c r="A9" t="s">
        <v>47</v>
      </c>
      <c r="B9" t="s">
        <v>3</v>
      </c>
      <c r="C9">
        <v>50</v>
      </c>
      <c r="D9">
        <v>10000</v>
      </c>
      <c r="E9">
        <f t="shared" si="0"/>
        <v>500000</v>
      </c>
    </row>
    <row r="10" spans="1:5" hidden="1" x14ac:dyDescent="0.3">
      <c r="A10" t="s">
        <v>47</v>
      </c>
      <c r="B10" t="s">
        <v>48</v>
      </c>
      <c r="C10">
        <v>0</v>
      </c>
      <c r="E10">
        <f t="shared" si="0"/>
        <v>0</v>
      </c>
    </row>
    <row r="11" spans="1:5" x14ac:dyDescent="0.3">
      <c r="A11" t="s">
        <v>50</v>
      </c>
      <c r="B11" t="s">
        <v>30</v>
      </c>
      <c r="C11">
        <v>250</v>
      </c>
      <c r="D11">
        <v>2400</v>
      </c>
      <c r="E11">
        <f t="shared" si="0"/>
        <v>600000</v>
      </c>
    </row>
    <row r="12" spans="1:5" x14ac:dyDescent="0.3">
      <c r="A12" t="s">
        <v>52</v>
      </c>
      <c r="B12" t="s">
        <v>3</v>
      </c>
      <c r="C12">
        <v>2380</v>
      </c>
      <c r="D12">
        <v>27000</v>
      </c>
      <c r="E12">
        <f t="shared" si="0"/>
        <v>64260000</v>
      </c>
    </row>
    <row r="13" spans="1:5" hidden="1" x14ac:dyDescent="0.3">
      <c r="A13" t="s">
        <v>52</v>
      </c>
      <c r="B13" t="s">
        <v>30</v>
      </c>
      <c r="C13">
        <v>0</v>
      </c>
      <c r="E13">
        <f t="shared" si="0"/>
        <v>0</v>
      </c>
    </row>
    <row r="14" spans="1:5" x14ac:dyDescent="0.3">
      <c r="A14" t="s">
        <v>54</v>
      </c>
      <c r="B14" t="s">
        <v>3</v>
      </c>
      <c r="C14">
        <v>1154</v>
      </c>
      <c r="D14">
        <v>15000</v>
      </c>
      <c r="E14">
        <f t="shared" si="0"/>
        <v>17310000</v>
      </c>
    </row>
    <row r="15" spans="1:5" x14ac:dyDescent="0.3">
      <c r="A15" t="s">
        <v>59</v>
      </c>
      <c r="B15" t="s">
        <v>3</v>
      </c>
      <c r="C15">
        <v>231</v>
      </c>
      <c r="D15">
        <v>16000</v>
      </c>
      <c r="E15">
        <f t="shared" si="0"/>
        <v>3696000</v>
      </c>
    </row>
    <row r="16" spans="1:5" hidden="1" x14ac:dyDescent="0.3">
      <c r="A16" t="s">
        <v>59</v>
      </c>
      <c r="B16" t="s">
        <v>30</v>
      </c>
      <c r="C16">
        <v>0</v>
      </c>
      <c r="E16">
        <f t="shared" si="0"/>
        <v>0</v>
      </c>
    </row>
    <row r="17" spans="1:5" x14ac:dyDescent="0.3">
      <c r="A17" t="s">
        <v>16</v>
      </c>
      <c r="B17" t="s">
        <v>17</v>
      </c>
      <c r="C17">
        <v>7</v>
      </c>
      <c r="D17">
        <v>6000</v>
      </c>
      <c r="E17">
        <f t="shared" si="0"/>
        <v>42000</v>
      </c>
    </row>
    <row r="18" spans="1:5" hidden="1" x14ac:dyDescent="0.3">
      <c r="A18" t="s">
        <v>5</v>
      </c>
      <c r="B18" t="s">
        <v>3</v>
      </c>
      <c r="C18">
        <v>0</v>
      </c>
      <c r="E18">
        <f t="shared" si="0"/>
        <v>0</v>
      </c>
    </row>
    <row r="19" spans="1:5" x14ac:dyDescent="0.3">
      <c r="A19" t="s">
        <v>35</v>
      </c>
      <c r="B19" t="s">
        <v>3</v>
      </c>
      <c r="C19">
        <v>3</v>
      </c>
      <c r="D19">
        <v>22000</v>
      </c>
      <c r="E19">
        <f t="shared" si="0"/>
        <v>66000</v>
      </c>
    </row>
    <row r="20" spans="1:5" hidden="1" x14ac:dyDescent="0.3">
      <c r="A20" t="s">
        <v>35</v>
      </c>
      <c r="B20" t="s">
        <v>30</v>
      </c>
      <c r="C20">
        <v>0</v>
      </c>
      <c r="E20">
        <f t="shared" si="0"/>
        <v>0</v>
      </c>
    </row>
    <row r="21" spans="1:5" x14ac:dyDescent="0.3">
      <c r="A21" t="s">
        <v>37</v>
      </c>
      <c r="B21" t="s">
        <v>30</v>
      </c>
      <c r="C21">
        <v>25</v>
      </c>
      <c r="D21">
        <v>4300</v>
      </c>
      <c r="E21">
        <f t="shared" si="0"/>
        <v>107500</v>
      </c>
    </row>
    <row r="22" spans="1:5" hidden="1" x14ac:dyDescent="0.3">
      <c r="A22" t="s">
        <v>38</v>
      </c>
      <c r="B22" t="s">
        <v>3</v>
      </c>
      <c r="C22">
        <v>0</v>
      </c>
      <c r="E22">
        <f t="shared" si="0"/>
        <v>0</v>
      </c>
    </row>
    <row r="23" spans="1:5" hidden="1" x14ac:dyDescent="0.3">
      <c r="A23" t="s">
        <v>39</v>
      </c>
      <c r="B23" t="s">
        <v>40</v>
      </c>
      <c r="C23">
        <v>0</v>
      </c>
      <c r="E23">
        <f t="shared" si="0"/>
        <v>0</v>
      </c>
    </row>
    <row r="24" spans="1:5" hidden="1" x14ac:dyDescent="0.3">
      <c r="A24" t="s">
        <v>39</v>
      </c>
      <c r="B24" t="s">
        <v>3</v>
      </c>
      <c r="C24">
        <v>0</v>
      </c>
      <c r="E24">
        <f t="shared" si="0"/>
        <v>0</v>
      </c>
    </row>
    <row r="25" spans="1:5" x14ac:dyDescent="0.3">
      <c r="A25" t="s">
        <v>94</v>
      </c>
      <c r="B25" t="s">
        <v>3</v>
      </c>
      <c r="C25">
        <v>10</v>
      </c>
      <c r="D25">
        <v>28000</v>
      </c>
      <c r="E25">
        <f t="shared" si="0"/>
        <v>280000</v>
      </c>
    </row>
    <row r="26" spans="1:5" x14ac:dyDescent="0.3">
      <c r="A26" t="s">
        <v>7</v>
      </c>
      <c r="B26" t="s">
        <v>3</v>
      </c>
      <c r="C26">
        <v>912</v>
      </c>
      <c r="D26">
        <v>11000</v>
      </c>
      <c r="E26">
        <f t="shared" si="0"/>
        <v>10032000</v>
      </c>
    </row>
    <row r="27" spans="1:5" x14ac:dyDescent="0.3">
      <c r="A27" t="s">
        <v>8</v>
      </c>
      <c r="B27" t="s">
        <v>3</v>
      </c>
      <c r="C27">
        <v>233</v>
      </c>
      <c r="D27">
        <v>10000</v>
      </c>
      <c r="E27">
        <f t="shared" si="0"/>
        <v>2330000</v>
      </c>
    </row>
    <row r="28" spans="1:5" hidden="1" x14ac:dyDescent="0.3">
      <c r="A28" t="s">
        <v>8</v>
      </c>
      <c r="B28" t="s">
        <v>9</v>
      </c>
      <c r="C28">
        <v>0</v>
      </c>
      <c r="E28">
        <f t="shared" si="0"/>
        <v>0</v>
      </c>
    </row>
    <row r="29" spans="1:5" hidden="1" x14ac:dyDescent="0.3">
      <c r="A29" t="s">
        <v>8</v>
      </c>
      <c r="B29" t="s">
        <v>164</v>
      </c>
      <c r="C29">
        <v>0</v>
      </c>
      <c r="E29">
        <f t="shared" si="0"/>
        <v>0</v>
      </c>
    </row>
    <row r="30" spans="1:5" x14ac:dyDescent="0.3">
      <c r="A30" t="s">
        <v>10</v>
      </c>
      <c r="B30" t="s">
        <v>3</v>
      </c>
      <c r="C30">
        <v>110</v>
      </c>
      <c r="D30">
        <v>14000</v>
      </c>
      <c r="E30">
        <f t="shared" si="0"/>
        <v>1540000</v>
      </c>
    </row>
    <row r="31" spans="1:5" hidden="1" x14ac:dyDescent="0.3">
      <c r="A31" t="s">
        <v>10</v>
      </c>
      <c r="B31" t="s">
        <v>9</v>
      </c>
      <c r="C31">
        <v>0</v>
      </c>
      <c r="E31">
        <f t="shared" si="0"/>
        <v>0</v>
      </c>
    </row>
    <row r="32" spans="1:5" x14ac:dyDescent="0.3">
      <c r="A32" t="s">
        <v>18</v>
      </c>
      <c r="B32" t="s">
        <v>3</v>
      </c>
      <c r="C32">
        <v>212</v>
      </c>
      <c r="D32">
        <v>18000</v>
      </c>
      <c r="E32">
        <f t="shared" si="0"/>
        <v>3816000</v>
      </c>
    </row>
    <row r="33" spans="1:5" hidden="1" x14ac:dyDescent="0.3">
      <c r="A33" t="s">
        <v>18</v>
      </c>
      <c r="B33" t="s">
        <v>17</v>
      </c>
      <c r="C33">
        <v>0</v>
      </c>
      <c r="E33">
        <f t="shared" si="0"/>
        <v>0</v>
      </c>
    </row>
    <row r="34" spans="1:5" x14ac:dyDescent="0.3">
      <c r="A34" t="s">
        <v>28</v>
      </c>
      <c r="B34" t="s">
        <v>3</v>
      </c>
      <c r="C34">
        <v>30</v>
      </c>
      <c r="D34">
        <v>17000</v>
      </c>
      <c r="E34">
        <f t="shared" si="0"/>
        <v>510000</v>
      </c>
    </row>
    <row r="35" spans="1:5" hidden="1" x14ac:dyDescent="0.3">
      <c r="A35" t="s">
        <v>28</v>
      </c>
      <c r="B35" t="s">
        <v>17</v>
      </c>
      <c r="C35">
        <v>0</v>
      </c>
      <c r="E35">
        <f t="shared" si="0"/>
        <v>0</v>
      </c>
    </row>
    <row r="36" spans="1:5" x14ac:dyDescent="0.3">
      <c r="A36" t="s">
        <v>29</v>
      </c>
      <c r="B36" t="s">
        <v>30</v>
      </c>
      <c r="C36">
        <v>110</v>
      </c>
      <c r="D36">
        <v>13000</v>
      </c>
      <c r="E36">
        <f t="shared" si="0"/>
        <v>1430000</v>
      </c>
    </row>
    <row r="37" spans="1:5" hidden="1" x14ac:dyDescent="0.3">
      <c r="A37" t="s">
        <v>68</v>
      </c>
      <c r="B37" t="s">
        <v>3</v>
      </c>
      <c r="C37">
        <v>0</v>
      </c>
      <c r="E37">
        <f t="shared" si="0"/>
        <v>0</v>
      </c>
    </row>
    <row r="38" spans="1:5" x14ac:dyDescent="0.3">
      <c r="A38" t="s">
        <v>68</v>
      </c>
      <c r="B38" t="s">
        <v>17</v>
      </c>
      <c r="C38">
        <v>25</v>
      </c>
      <c r="D38">
        <v>6500</v>
      </c>
      <c r="E38">
        <f t="shared" si="0"/>
        <v>162500</v>
      </c>
    </row>
    <row r="39" spans="1:5" x14ac:dyDescent="0.3">
      <c r="A39" t="s">
        <v>70</v>
      </c>
      <c r="B39" t="s">
        <v>3</v>
      </c>
      <c r="C39">
        <v>40</v>
      </c>
      <c r="D39">
        <v>16000</v>
      </c>
      <c r="E39">
        <f t="shared" si="0"/>
        <v>640000</v>
      </c>
    </row>
    <row r="40" spans="1:5" x14ac:dyDescent="0.3">
      <c r="A40" t="s">
        <v>78</v>
      </c>
      <c r="B40" t="s">
        <v>3</v>
      </c>
      <c r="C40">
        <v>308</v>
      </c>
      <c r="D40">
        <v>42000</v>
      </c>
      <c r="E40">
        <f t="shared" si="0"/>
        <v>12936000</v>
      </c>
    </row>
    <row r="41" spans="1:5" hidden="1" x14ac:dyDescent="0.3">
      <c r="A41" t="s">
        <v>78</v>
      </c>
      <c r="B41" t="s">
        <v>9</v>
      </c>
      <c r="C41">
        <v>0</v>
      </c>
      <c r="E41">
        <f t="shared" si="0"/>
        <v>0</v>
      </c>
    </row>
    <row r="42" spans="1:5" x14ac:dyDescent="0.3">
      <c r="A42" t="s">
        <v>80</v>
      </c>
      <c r="B42" t="s">
        <v>3</v>
      </c>
      <c r="C42">
        <v>139</v>
      </c>
      <c r="D42">
        <v>30000</v>
      </c>
      <c r="E42">
        <f t="shared" si="0"/>
        <v>4170000</v>
      </c>
    </row>
    <row r="43" spans="1:5" hidden="1" x14ac:dyDescent="0.3">
      <c r="A43" t="s">
        <v>80</v>
      </c>
      <c r="B43" t="s">
        <v>9</v>
      </c>
      <c r="C43">
        <v>0</v>
      </c>
      <c r="E43">
        <f t="shared" si="0"/>
        <v>0</v>
      </c>
    </row>
    <row r="44" spans="1:5" x14ac:dyDescent="0.3">
      <c r="A44" t="s">
        <v>82</v>
      </c>
      <c r="B44" t="s">
        <v>3</v>
      </c>
      <c r="C44">
        <v>93</v>
      </c>
      <c r="D44">
        <v>35000</v>
      </c>
      <c r="E44">
        <f t="shared" si="0"/>
        <v>3255000</v>
      </c>
    </row>
    <row r="45" spans="1:5" hidden="1" x14ac:dyDescent="0.3">
      <c r="A45" t="s">
        <v>82</v>
      </c>
      <c r="B45" t="s">
        <v>9</v>
      </c>
      <c r="C45">
        <v>0</v>
      </c>
      <c r="E45">
        <f t="shared" si="0"/>
        <v>0</v>
      </c>
    </row>
    <row r="46" spans="1:5" hidden="1" x14ac:dyDescent="0.3">
      <c r="A46" t="s">
        <v>11</v>
      </c>
      <c r="B46" t="s">
        <v>3</v>
      </c>
      <c r="C46">
        <v>0</v>
      </c>
      <c r="E46">
        <f t="shared" si="0"/>
        <v>0</v>
      </c>
    </row>
    <row r="47" spans="1:5" hidden="1" x14ac:dyDescent="0.3">
      <c r="A47" t="s">
        <v>76</v>
      </c>
      <c r="B47" t="s">
        <v>17</v>
      </c>
      <c r="C47">
        <v>0</v>
      </c>
      <c r="E47">
        <f t="shared" si="0"/>
        <v>0</v>
      </c>
    </row>
    <row r="48" spans="1:5" x14ac:dyDescent="0.3">
      <c r="A48" t="s">
        <v>51</v>
      </c>
      <c r="B48" t="s">
        <v>3</v>
      </c>
      <c r="C48">
        <v>1515</v>
      </c>
      <c r="D48">
        <v>28000</v>
      </c>
      <c r="E48">
        <f t="shared" si="0"/>
        <v>42420000</v>
      </c>
    </row>
    <row r="49" spans="1:5" hidden="1" x14ac:dyDescent="0.3">
      <c r="A49" t="s">
        <v>22</v>
      </c>
      <c r="B49" t="s">
        <v>3</v>
      </c>
      <c r="C49">
        <v>0</v>
      </c>
      <c r="E49">
        <f t="shared" si="0"/>
        <v>0</v>
      </c>
    </row>
    <row r="50" spans="1:5" x14ac:dyDescent="0.3">
      <c r="A50" t="s">
        <v>22</v>
      </c>
      <c r="B50" t="s">
        <v>23</v>
      </c>
      <c r="C50">
        <v>50</v>
      </c>
      <c r="D50">
        <v>5400</v>
      </c>
      <c r="E50">
        <f t="shared" si="0"/>
        <v>270000</v>
      </c>
    </row>
    <row r="51" spans="1:5" hidden="1" x14ac:dyDescent="0.3">
      <c r="A51" t="s">
        <v>56</v>
      </c>
      <c r="B51" t="s">
        <v>3</v>
      </c>
      <c r="C51">
        <v>0</v>
      </c>
      <c r="E51">
        <f t="shared" si="0"/>
        <v>0</v>
      </c>
    </row>
    <row r="52" spans="1:5" x14ac:dyDescent="0.3">
      <c r="A52" t="s">
        <v>72</v>
      </c>
      <c r="B52" t="s">
        <v>3</v>
      </c>
      <c r="C52">
        <v>1670</v>
      </c>
      <c r="D52">
        <v>27600</v>
      </c>
      <c r="E52">
        <f t="shared" si="0"/>
        <v>46092000</v>
      </c>
    </row>
    <row r="53" spans="1:5" hidden="1" x14ac:dyDescent="0.3">
      <c r="A53" t="s">
        <v>2</v>
      </c>
      <c r="B53" t="s">
        <v>3</v>
      </c>
      <c r="C53">
        <v>0</v>
      </c>
      <c r="E53">
        <f t="shared" si="0"/>
        <v>0</v>
      </c>
    </row>
    <row r="54" spans="1:5" hidden="1" x14ac:dyDescent="0.3">
      <c r="A54" t="s">
        <v>4</v>
      </c>
      <c r="B54" t="s">
        <v>3</v>
      </c>
      <c r="C54">
        <v>0</v>
      </c>
      <c r="E54">
        <f t="shared" si="0"/>
        <v>0</v>
      </c>
    </row>
    <row r="55" spans="1:5" hidden="1" x14ac:dyDescent="0.3">
      <c r="A55" t="s">
        <v>12</v>
      </c>
      <c r="B55" t="s">
        <v>3</v>
      </c>
      <c r="C55">
        <v>0</v>
      </c>
      <c r="E55">
        <f t="shared" si="0"/>
        <v>0</v>
      </c>
    </row>
    <row r="56" spans="1:5" x14ac:dyDescent="0.3">
      <c r="A56" t="s">
        <v>13</v>
      </c>
      <c r="B56" t="s">
        <v>3</v>
      </c>
      <c r="C56">
        <v>75</v>
      </c>
      <c r="D56">
        <v>12000</v>
      </c>
      <c r="E56">
        <f t="shared" si="0"/>
        <v>900000</v>
      </c>
    </row>
    <row r="57" spans="1:5" x14ac:dyDescent="0.3">
      <c r="A57" t="s">
        <v>20</v>
      </c>
      <c r="B57" t="s">
        <v>3</v>
      </c>
      <c r="C57">
        <v>16</v>
      </c>
      <c r="D57">
        <v>16000</v>
      </c>
      <c r="E57">
        <f t="shared" si="0"/>
        <v>256000</v>
      </c>
    </row>
    <row r="58" spans="1:5" hidden="1" x14ac:dyDescent="0.3">
      <c r="A58" t="s">
        <v>20</v>
      </c>
      <c r="B58" t="s">
        <v>21</v>
      </c>
      <c r="C58">
        <v>0</v>
      </c>
      <c r="E58">
        <f t="shared" si="0"/>
        <v>0</v>
      </c>
    </row>
    <row r="59" spans="1:5" hidden="1" x14ac:dyDescent="0.3">
      <c r="A59" t="s">
        <v>24</v>
      </c>
      <c r="B59" t="s">
        <v>25</v>
      </c>
      <c r="C59">
        <v>0</v>
      </c>
      <c r="E59">
        <f t="shared" si="0"/>
        <v>0</v>
      </c>
    </row>
    <row r="60" spans="1:5" hidden="1" x14ac:dyDescent="0.3">
      <c r="A60" t="s">
        <v>26</v>
      </c>
      <c r="B60" t="s">
        <v>3</v>
      </c>
      <c r="C60">
        <v>0</v>
      </c>
      <c r="E60">
        <f t="shared" si="0"/>
        <v>0</v>
      </c>
    </row>
    <row r="61" spans="1:5" x14ac:dyDescent="0.3">
      <c r="A61" t="s">
        <v>26</v>
      </c>
      <c r="B61" t="s">
        <v>27</v>
      </c>
      <c r="C61">
        <v>140</v>
      </c>
      <c r="D61">
        <v>10000</v>
      </c>
      <c r="E61">
        <f t="shared" si="0"/>
        <v>1400000</v>
      </c>
    </row>
    <row r="62" spans="1:5" x14ac:dyDescent="0.3">
      <c r="A62" t="s">
        <v>33</v>
      </c>
      <c r="B62" t="s">
        <v>3</v>
      </c>
      <c r="C62">
        <v>100</v>
      </c>
      <c r="D62">
        <v>10000</v>
      </c>
      <c r="E62">
        <f t="shared" si="0"/>
        <v>1000000</v>
      </c>
    </row>
    <row r="63" spans="1:5" hidden="1" x14ac:dyDescent="0.3">
      <c r="A63" t="s">
        <v>33</v>
      </c>
      <c r="B63" t="s">
        <v>34</v>
      </c>
      <c r="C63">
        <v>0</v>
      </c>
      <c r="E63">
        <f t="shared" si="0"/>
        <v>0</v>
      </c>
    </row>
    <row r="64" spans="1:5" x14ac:dyDescent="0.3">
      <c r="A64" t="s">
        <v>36</v>
      </c>
      <c r="B64" t="s">
        <v>30</v>
      </c>
      <c r="C64">
        <v>10</v>
      </c>
      <c r="D64">
        <v>5000</v>
      </c>
      <c r="E64">
        <f t="shared" si="0"/>
        <v>50000</v>
      </c>
    </row>
    <row r="65" spans="1:5" x14ac:dyDescent="0.3">
      <c r="A65" t="s">
        <v>55</v>
      </c>
      <c r="B65" t="s">
        <v>3</v>
      </c>
      <c r="C65">
        <v>46</v>
      </c>
      <c r="D65">
        <v>24000</v>
      </c>
      <c r="E65">
        <f t="shared" si="0"/>
        <v>1104000</v>
      </c>
    </row>
    <row r="66" spans="1:5" hidden="1" x14ac:dyDescent="0.3">
      <c r="A66" t="s">
        <v>41</v>
      </c>
      <c r="B66" t="s">
        <v>3</v>
      </c>
      <c r="C66">
        <v>0</v>
      </c>
      <c r="E66">
        <f t="shared" si="0"/>
        <v>0</v>
      </c>
    </row>
    <row r="67" spans="1:5" x14ac:dyDescent="0.3">
      <c r="A67" t="s">
        <v>44</v>
      </c>
      <c r="B67" t="s">
        <v>3</v>
      </c>
      <c r="C67">
        <v>35</v>
      </c>
      <c r="D67">
        <v>6000</v>
      </c>
      <c r="E67">
        <f t="shared" si="0"/>
        <v>210000</v>
      </c>
    </row>
    <row r="68" spans="1:5" hidden="1" x14ac:dyDescent="0.3">
      <c r="A68" t="s">
        <v>46</v>
      </c>
      <c r="B68" t="s">
        <v>3</v>
      </c>
      <c r="C68">
        <v>0</v>
      </c>
      <c r="E68">
        <f t="shared" ref="E68:E133" si="1">C68*D68</f>
        <v>0</v>
      </c>
    </row>
    <row r="69" spans="1:5" hidden="1" x14ac:dyDescent="0.3">
      <c r="A69" t="s">
        <v>61</v>
      </c>
      <c r="B69" t="s">
        <v>3</v>
      </c>
      <c r="C69">
        <v>0</v>
      </c>
      <c r="E69">
        <f t="shared" si="1"/>
        <v>0</v>
      </c>
    </row>
    <row r="70" spans="1:5" x14ac:dyDescent="0.3">
      <c r="A70" t="s">
        <v>62</v>
      </c>
      <c r="B70" t="s">
        <v>30</v>
      </c>
      <c r="C70">
        <v>5</v>
      </c>
      <c r="D70">
        <v>6000</v>
      </c>
      <c r="E70">
        <f t="shared" si="1"/>
        <v>30000</v>
      </c>
    </row>
    <row r="71" spans="1:5" hidden="1" x14ac:dyDescent="0.3">
      <c r="A71" t="s">
        <v>63</v>
      </c>
      <c r="B71" t="s">
        <v>3</v>
      </c>
      <c r="C71">
        <v>0</v>
      </c>
      <c r="E71">
        <f t="shared" si="1"/>
        <v>0</v>
      </c>
    </row>
    <row r="72" spans="1:5" hidden="1" x14ac:dyDescent="0.3">
      <c r="A72" t="s">
        <v>63</v>
      </c>
      <c r="B72" t="s">
        <v>64</v>
      </c>
      <c r="C72">
        <v>0</v>
      </c>
      <c r="E72">
        <f t="shared" si="1"/>
        <v>0</v>
      </c>
    </row>
    <row r="73" spans="1:5" x14ac:dyDescent="0.3">
      <c r="A73" t="s">
        <v>65</v>
      </c>
      <c r="B73" t="s">
        <v>3</v>
      </c>
      <c r="C73">
        <v>3</v>
      </c>
      <c r="D73">
        <v>80000</v>
      </c>
      <c r="E73">
        <f t="shared" si="1"/>
        <v>240000</v>
      </c>
    </row>
    <row r="74" spans="1:5" x14ac:dyDescent="0.3">
      <c r="A74" t="s">
        <v>66</v>
      </c>
      <c r="B74" t="s">
        <v>3</v>
      </c>
      <c r="C74">
        <v>2.8</v>
      </c>
      <c r="D74">
        <v>70000</v>
      </c>
      <c r="E74">
        <f t="shared" si="1"/>
        <v>196000</v>
      </c>
    </row>
    <row r="75" spans="1:5" x14ac:dyDescent="0.3">
      <c r="A75" t="s">
        <v>67</v>
      </c>
      <c r="B75" t="s">
        <v>3</v>
      </c>
      <c r="C75">
        <v>2.5</v>
      </c>
      <c r="D75">
        <v>70000</v>
      </c>
      <c r="E75">
        <f t="shared" si="1"/>
        <v>175000</v>
      </c>
    </row>
    <row r="76" spans="1:5" hidden="1" x14ac:dyDescent="0.3">
      <c r="A76" t="s">
        <v>71</v>
      </c>
      <c r="B76" t="s">
        <v>40</v>
      </c>
      <c r="C76">
        <v>0</v>
      </c>
      <c r="E76">
        <f t="shared" si="1"/>
        <v>0</v>
      </c>
    </row>
    <row r="77" spans="1:5" x14ac:dyDescent="0.3">
      <c r="A77" t="s">
        <v>71</v>
      </c>
      <c r="B77" t="s">
        <v>3</v>
      </c>
      <c r="C77">
        <v>20</v>
      </c>
      <c r="D77">
        <v>12000</v>
      </c>
      <c r="E77">
        <f t="shared" si="1"/>
        <v>240000</v>
      </c>
    </row>
    <row r="78" spans="1:5" x14ac:dyDescent="0.3">
      <c r="A78" t="s">
        <v>90</v>
      </c>
      <c r="B78" t="s">
        <v>3</v>
      </c>
      <c r="C78">
        <v>65</v>
      </c>
      <c r="D78">
        <v>35000</v>
      </c>
      <c r="E78">
        <f t="shared" si="1"/>
        <v>2275000</v>
      </c>
    </row>
    <row r="79" spans="1:5" hidden="1" x14ac:dyDescent="0.3">
      <c r="A79" t="s">
        <v>74</v>
      </c>
      <c r="B79" t="s">
        <v>30</v>
      </c>
      <c r="C79">
        <v>0</v>
      </c>
      <c r="E79">
        <f t="shared" si="1"/>
        <v>0</v>
      </c>
    </row>
    <row r="80" spans="1:5" x14ac:dyDescent="0.3">
      <c r="A80" t="s">
        <v>75</v>
      </c>
      <c r="B80" t="s">
        <v>3</v>
      </c>
      <c r="C80">
        <v>7</v>
      </c>
      <c r="D80">
        <v>14000</v>
      </c>
      <c r="E80">
        <f t="shared" si="1"/>
        <v>98000</v>
      </c>
    </row>
    <row r="81" spans="1:5" hidden="1" x14ac:dyDescent="0.3">
      <c r="A81" t="s">
        <v>77</v>
      </c>
      <c r="B81" t="s">
        <v>25</v>
      </c>
      <c r="C81">
        <v>0</v>
      </c>
      <c r="E81">
        <f t="shared" si="1"/>
        <v>0</v>
      </c>
    </row>
    <row r="82" spans="1:5" x14ac:dyDescent="0.3">
      <c r="A82" t="s">
        <v>84</v>
      </c>
      <c r="B82" t="s">
        <v>3</v>
      </c>
      <c r="C82">
        <v>30</v>
      </c>
      <c r="D82">
        <v>50000</v>
      </c>
      <c r="E82">
        <f t="shared" si="1"/>
        <v>1500000</v>
      </c>
    </row>
    <row r="83" spans="1:5" x14ac:dyDescent="0.3">
      <c r="A83" t="s">
        <v>84</v>
      </c>
      <c r="B83" t="s">
        <v>30</v>
      </c>
      <c r="C83">
        <v>95</v>
      </c>
      <c r="D83">
        <v>16000</v>
      </c>
      <c r="E83">
        <f t="shared" si="1"/>
        <v>1520000</v>
      </c>
    </row>
    <row r="84" spans="1:5" x14ac:dyDescent="0.3">
      <c r="A84" t="s">
        <v>92</v>
      </c>
      <c r="B84" t="s">
        <v>3</v>
      </c>
      <c r="C84">
        <v>322</v>
      </c>
      <c r="D84">
        <v>7000</v>
      </c>
      <c r="E84">
        <f t="shared" si="1"/>
        <v>2254000</v>
      </c>
    </row>
    <row r="85" spans="1:5" x14ac:dyDescent="0.3">
      <c r="A85" t="s">
        <v>106</v>
      </c>
      <c r="B85" t="s">
        <v>9</v>
      </c>
      <c r="C85">
        <v>200</v>
      </c>
      <c r="D85">
        <v>9000</v>
      </c>
      <c r="E85">
        <f t="shared" si="1"/>
        <v>1800000</v>
      </c>
    </row>
    <row r="86" spans="1:5" x14ac:dyDescent="0.3">
      <c r="A86" t="s">
        <v>89</v>
      </c>
      <c r="B86" t="s">
        <v>3</v>
      </c>
      <c r="C86">
        <v>1130</v>
      </c>
      <c r="D86">
        <v>24000</v>
      </c>
      <c r="E86">
        <f t="shared" si="1"/>
        <v>27120000</v>
      </c>
    </row>
    <row r="87" spans="1:5" hidden="1" x14ac:dyDescent="0.3">
      <c r="A87" t="s">
        <v>96</v>
      </c>
      <c r="B87" t="s">
        <v>3</v>
      </c>
      <c r="C87">
        <v>0</v>
      </c>
      <c r="E87">
        <f t="shared" si="1"/>
        <v>0</v>
      </c>
    </row>
    <row r="88" spans="1:5" hidden="1" x14ac:dyDescent="0.3">
      <c r="A88" t="s">
        <v>98</v>
      </c>
      <c r="B88" t="s">
        <v>3</v>
      </c>
      <c r="C88">
        <v>0</v>
      </c>
      <c r="E88">
        <f t="shared" si="1"/>
        <v>0</v>
      </c>
    </row>
    <row r="89" spans="1:5" x14ac:dyDescent="0.3">
      <c r="A89" t="s">
        <v>99</v>
      </c>
      <c r="B89" t="s">
        <v>3</v>
      </c>
      <c r="C89">
        <v>3</v>
      </c>
      <c r="D89">
        <v>30000</v>
      </c>
      <c r="E89">
        <f t="shared" si="1"/>
        <v>90000</v>
      </c>
    </row>
    <row r="90" spans="1:5" x14ac:dyDescent="0.3">
      <c r="A90" t="s">
        <v>146</v>
      </c>
      <c r="B90" t="s">
        <v>9</v>
      </c>
      <c r="C90">
        <v>314</v>
      </c>
      <c r="D90">
        <v>100000</v>
      </c>
      <c r="E90">
        <f t="shared" si="1"/>
        <v>31400000</v>
      </c>
    </row>
    <row r="91" spans="1:5" x14ac:dyDescent="0.3">
      <c r="A91" t="s">
        <v>154</v>
      </c>
      <c r="B91" t="s">
        <v>9</v>
      </c>
      <c r="C91">
        <v>1287</v>
      </c>
      <c r="D91">
        <v>26000</v>
      </c>
      <c r="E91">
        <f t="shared" si="1"/>
        <v>33462000</v>
      </c>
    </row>
    <row r="92" spans="1:5" x14ac:dyDescent="0.3">
      <c r="A92" t="s">
        <v>88</v>
      </c>
      <c r="B92" t="s">
        <v>9</v>
      </c>
      <c r="C92">
        <v>410</v>
      </c>
      <c r="D92">
        <v>11361</v>
      </c>
      <c r="E92">
        <f t="shared" si="1"/>
        <v>4658010</v>
      </c>
    </row>
    <row r="93" spans="1:5" x14ac:dyDescent="0.3">
      <c r="A93" t="s">
        <v>15</v>
      </c>
      <c r="B93" t="s">
        <v>3</v>
      </c>
      <c r="C93">
        <v>25</v>
      </c>
      <c r="D93">
        <v>21000</v>
      </c>
      <c r="E93">
        <f t="shared" si="1"/>
        <v>525000</v>
      </c>
    </row>
    <row r="94" spans="1:5" x14ac:dyDescent="0.3">
      <c r="A94" t="s">
        <v>6</v>
      </c>
      <c r="B94" t="s">
        <v>3</v>
      </c>
      <c r="C94">
        <v>185</v>
      </c>
      <c r="D94">
        <v>9500</v>
      </c>
      <c r="E94">
        <f t="shared" si="1"/>
        <v>1757500</v>
      </c>
    </row>
    <row r="95" spans="1:5" hidden="1" x14ac:dyDescent="0.3">
      <c r="A95" t="s">
        <v>97</v>
      </c>
      <c r="B95" t="s">
        <v>40</v>
      </c>
      <c r="C95">
        <v>0</v>
      </c>
      <c r="E95">
        <f t="shared" si="1"/>
        <v>0</v>
      </c>
    </row>
    <row r="96" spans="1:5" hidden="1" x14ac:dyDescent="0.3">
      <c r="A96" t="s">
        <v>60</v>
      </c>
      <c r="B96" t="s">
        <v>30</v>
      </c>
      <c r="C96">
        <v>0</v>
      </c>
      <c r="E96">
        <f t="shared" si="1"/>
        <v>0</v>
      </c>
    </row>
    <row r="97" spans="1:5" hidden="1" x14ac:dyDescent="0.3">
      <c r="A97" t="s">
        <v>100</v>
      </c>
      <c r="B97" t="s">
        <v>40</v>
      </c>
      <c r="C97">
        <v>0</v>
      </c>
      <c r="E97">
        <f t="shared" si="1"/>
        <v>0</v>
      </c>
    </row>
    <row r="98" spans="1:5" hidden="1" x14ac:dyDescent="0.3">
      <c r="A98" t="s">
        <v>95</v>
      </c>
      <c r="B98" t="s">
        <v>40</v>
      </c>
      <c r="C98">
        <v>0</v>
      </c>
      <c r="E98">
        <f t="shared" si="1"/>
        <v>0</v>
      </c>
    </row>
    <row r="99" spans="1:5" hidden="1" x14ac:dyDescent="0.3">
      <c r="A99" t="s">
        <v>125</v>
      </c>
      <c r="B99" t="s">
        <v>25</v>
      </c>
      <c r="C99">
        <v>0</v>
      </c>
      <c r="E99">
        <f t="shared" si="1"/>
        <v>0</v>
      </c>
    </row>
    <row r="100" spans="1:5" hidden="1" x14ac:dyDescent="0.3">
      <c r="A100" t="s">
        <v>85</v>
      </c>
      <c r="B100" t="s">
        <v>30</v>
      </c>
      <c r="C100">
        <v>0</v>
      </c>
      <c r="E100">
        <f t="shared" si="1"/>
        <v>0</v>
      </c>
    </row>
    <row r="101" spans="1:5" hidden="1" x14ac:dyDescent="0.3">
      <c r="A101" t="s">
        <v>57</v>
      </c>
      <c r="B101" t="s">
        <v>30</v>
      </c>
      <c r="C101">
        <v>0</v>
      </c>
      <c r="E101">
        <f t="shared" si="1"/>
        <v>0</v>
      </c>
    </row>
    <row r="102" spans="1:5" hidden="1" x14ac:dyDescent="0.3">
      <c r="A102" t="s">
        <v>14</v>
      </c>
      <c r="B102" t="s">
        <v>3</v>
      </c>
      <c r="C102">
        <v>0</v>
      </c>
      <c r="E102">
        <f t="shared" si="1"/>
        <v>0</v>
      </c>
    </row>
    <row r="103" spans="1:5" x14ac:dyDescent="0.3">
      <c r="A103" t="s">
        <v>93</v>
      </c>
      <c r="B103" t="s">
        <v>3</v>
      </c>
      <c r="C103">
        <v>25</v>
      </c>
      <c r="D103">
        <v>13000</v>
      </c>
      <c r="E103">
        <f t="shared" si="1"/>
        <v>325000</v>
      </c>
    </row>
    <row r="104" spans="1:5" hidden="1" x14ac:dyDescent="0.3">
      <c r="A104" t="s">
        <v>103</v>
      </c>
      <c r="B104" t="s">
        <v>3</v>
      </c>
      <c r="C104">
        <v>0</v>
      </c>
      <c r="E104">
        <f t="shared" si="1"/>
        <v>0</v>
      </c>
    </row>
    <row r="105" spans="1:5" hidden="1" x14ac:dyDescent="0.3">
      <c r="A105" t="s">
        <v>69</v>
      </c>
      <c r="B105" t="s">
        <v>3</v>
      </c>
      <c r="C105">
        <v>0</v>
      </c>
      <c r="E105">
        <f t="shared" si="1"/>
        <v>0</v>
      </c>
    </row>
    <row r="106" spans="1:5" x14ac:dyDescent="0.3">
      <c r="A106" t="s">
        <v>119</v>
      </c>
      <c r="B106" t="s">
        <v>3</v>
      </c>
      <c r="C106">
        <v>45</v>
      </c>
      <c r="D106">
        <v>10000</v>
      </c>
      <c r="E106">
        <f t="shared" si="1"/>
        <v>450000</v>
      </c>
    </row>
    <row r="107" spans="1:5" x14ac:dyDescent="0.3">
      <c r="A107" t="s">
        <v>111</v>
      </c>
      <c r="B107" t="s">
        <v>3</v>
      </c>
      <c r="C107">
        <v>2</v>
      </c>
      <c r="D107">
        <v>12000</v>
      </c>
      <c r="E107">
        <f t="shared" si="1"/>
        <v>24000</v>
      </c>
    </row>
    <row r="108" spans="1:5" x14ac:dyDescent="0.3">
      <c r="A108" t="s">
        <v>43</v>
      </c>
      <c r="B108" t="s">
        <v>3</v>
      </c>
      <c r="C108">
        <v>2</v>
      </c>
      <c r="D108">
        <v>16000</v>
      </c>
      <c r="E108">
        <f t="shared" si="1"/>
        <v>32000</v>
      </c>
    </row>
    <row r="109" spans="1:5" x14ac:dyDescent="0.3">
      <c r="A109" t="s">
        <v>158</v>
      </c>
      <c r="B109" t="s">
        <v>3</v>
      </c>
      <c r="C109">
        <v>450</v>
      </c>
      <c r="D109">
        <v>23000</v>
      </c>
      <c r="E109">
        <f t="shared" si="1"/>
        <v>10350000</v>
      </c>
    </row>
    <row r="110" spans="1:5" x14ac:dyDescent="0.3">
      <c r="A110" t="s">
        <v>112</v>
      </c>
      <c r="B110" t="s">
        <v>3</v>
      </c>
      <c r="C110">
        <v>0.5</v>
      </c>
      <c r="D110">
        <v>80000</v>
      </c>
      <c r="E110">
        <f t="shared" si="1"/>
        <v>40000</v>
      </c>
    </row>
    <row r="111" spans="1:5" x14ac:dyDescent="0.3">
      <c r="A111" t="s">
        <v>81</v>
      </c>
      <c r="B111" t="s">
        <v>3</v>
      </c>
      <c r="C111">
        <v>48</v>
      </c>
      <c r="D111">
        <v>25000</v>
      </c>
      <c r="E111">
        <f t="shared" si="1"/>
        <v>1200000</v>
      </c>
    </row>
    <row r="112" spans="1:5" x14ac:dyDescent="0.3">
      <c r="A112" t="s">
        <v>83</v>
      </c>
      <c r="B112" t="s">
        <v>3</v>
      </c>
      <c r="C112">
        <v>10</v>
      </c>
      <c r="D112">
        <v>25000</v>
      </c>
      <c r="E112">
        <f t="shared" si="1"/>
        <v>250000</v>
      </c>
    </row>
    <row r="113" spans="1:5" x14ac:dyDescent="0.3">
      <c r="E113">
        <f>SUM(E3:E112)</f>
        <v>344949510</v>
      </c>
    </row>
    <row r="114" spans="1:5" x14ac:dyDescent="0.3">
      <c r="A114" t="s">
        <v>110</v>
      </c>
    </row>
    <row r="115" spans="1:5" x14ac:dyDescent="0.3">
      <c r="A115" t="s">
        <v>0</v>
      </c>
      <c r="B115" t="s">
        <v>1</v>
      </c>
      <c r="C115" t="s">
        <v>107</v>
      </c>
      <c r="D115" t="s">
        <v>108</v>
      </c>
      <c r="E115" t="s">
        <v>109</v>
      </c>
    </row>
    <row r="116" spans="1:5" x14ac:dyDescent="0.3">
      <c r="A116" t="s">
        <v>31</v>
      </c>
      <c r="B116" t="s">
        <v>3</v>
      </c>
      <c r="C116">
        <v>130</v>
      </c>
      <c r="D116">
        <v>10000</v>
      </c>
      <c r="E116">
        <f t="shared" si="1"/>
        <v>1300000</v>
      </c>
    </row>
    <row r="117" spans="1:5" x14ac:dyDescent="0.3">
      <c r="A117" t="s">
        <v>44</v>
      </c>
      <c r="B117" t="s">
        <v>3</v>
      </c>
      <c r="C117">
        <v>35</v>
      </c>
      <c r="D117">
        <v>6000</v>
      </c>
      <c r="E117">
        <f t="shared" si="1"/>
        <v>210000</v>
      </c>
    </row>
    <row r="118" spans="1:5" hidden="1" x14ac:dyDescent="0.3">
      <c r="A118" t="s">
        <v>45</v>
      </c>
      <c r="B118" t="s">
        <v>3</v>
      </c>
      <c r="C118">
        <v>0</v>
      </c>
      <c r="E118">
        <f t="shared" si="1"/>
        <v>0</v>
      </c>
    </row>
    <row r="119" spans="1:5" x14ac:dyDescent="0.3">
      <c r="A119" t="s">
        <v>47</v>
      </c>
      <c r="B119" t="s">
        <v>3</v>
      </c>
      <c r="C119">
        <v>55.000000000000007</v>
      </c>
      <c r="D119">
        <v>10000</v>
      </c>
      <c r="E119">
        <f t="shared" si="1"/>
        <v>550000.00000000012</v>
      </c>
    </row>
    <row r="120" spans="1:5" x14ac:dyDescent="0.3">
      <c r="A120" t="s">
        <v>54</v>
      </c>
      <c r="B120" t="s">
        <v>3</v>
      </c>
      <c r="C120">
        <v>66</v>
      </c>
      <c r="D120">
        <v>15000</v>
      </c>
      <c r="E120">
        <f t="shared" si="1"/>
        <v>990000</v>
      </c>
    </row>
    <row r="121" spans="1:5" x14ac:dyDescent="0.3">
      <c r="A121" t="s">
        <v>59</v>
      </c>
      <c r="B121" t="s">
        <v>3</v>
      </c>
      <c r="C121">
        <v>44</v>
      </c>
      <c r="D121">
        <v>16000</v>
      </c>
      <c r="E121">
        <f t="shared" si="1"/>
        <v>704000</v>
      </c>
    </row>
    <row r="122" spans="1:5" hidden="1" x14ac:dyDescent="0.3">
      <c r="A122" t="s">
        <v>61</v>
      </c>
      <c r="B122" t="s">
        <v>3</v>
      </c>
      <c r="C122">
        <v>0</v>
      </c>
      <c r="E122">
        <f t="shared" si="1"/>
        <v>0</v>
      </c>
    </row>
    <row r="123" spans="1:5" x14ac:dyDescent="0.3">
      <c r="A123" t="s">
        <v>102</v>
      </c>
      <c r="B123" t="s">
        <v>3</v>
      </c>
      <c r="C123">
        <v>15</v>
      </c>
      <c r="D123">
        <v>11000</v>
      </c>
      <c r="E123">
        <f t="shared" si="1"/>
        <v>165000</v>
      </c>
    </row>
    <row r="124" spans="1:5" hidden="1" x14ac:dyDescent="0.3">
      <c r="A124" t="s">
        <v>2</v>
      </c>
      <c r="B124" t="s">
        <v>3</v>
      </c>
      <c r="C124">
        <v>0</v>
      </c>
      <c r="E124">
        <f t="shared" si="1"/>
        <v>0</v>
      </c>
    </row>
    <row r="125" spans="1:5" x14ac:dyDescent="0.3">
      <c r="A125" t="s">
        <v>4</v>
      </c>
      <c r="B125" t="s">
        <v>3</v>
      </c>
      <c r="C125">
        <v>260</v>
      </c>
      <c r="D125">
        <v>4000</v>
      </c>
      <c r="E125">
        <f t="shared" si="1"/>
        <v>1040000</v>
      </c>
    </row>
    <row r="126" spans="1:5" x14ac:dyDescent="0.3">
      <c r="A126" t="s">
        <v>5</v>
      </c>
      <c r="B126" t="s">
        <v>3</v>
      </c>
      <c r="C126">
        <v>428</v>
      </c>
      <c r="D126">
        <v>6000</v>
      </c>
      <c r="E126">
        <f t="shared" si="1"/>
        <v>2568000</v>
      </c>
    </row>
    <row r="127" spans="1:5" hidden="1" x14ac:dyDescent="0.3">
      <c r="A127" t="s">
        <v>38</v>
      </c>
      <c r="B127" t="s">
        <v>3</v>
      </c>
      <c r="C127">
        <v>0</v>
      </c>
      <c r="E127">
        <f t="shared" si="1"/>
        <v>0</v>
      </c>
    </row>
    <row r="128" spans="1:5" x14ac:dyDescent="0.3">
      <c r="A128" t="s">
        <v>39</v>
      </c>
      <c r="B128" t="s">
        <v>3</v>
      </c>
      <c r="C128">
        <v>20</v>
      </c>
      <c r="D128">
        <v>11000</v>
      </c>
      <c r="E128">
        <f t="shared" si="1"/>
        <v>220000</v>
      </c>
    </row>
    <row r="129" spans="1:5" x14ac:dyDescent="0.3">
      <c r="A129" t="s">
        <v>71</v>
      </c>
      <c r="B129" t="s">
        <v>3</v>
      </c>
      <c r="C129">
        <v>20</v>
      </c>
      <c r="D129">
        <v>12000</v>
      </c>
      <c r="E129">
        <f t="shared" si="1"/>
        <v>240000</v>
      </c>
    </row>
    <row r="130" spans="1:5" hidden="1" x14ac:dyDescent="0.3">
      <c r="A130" t="s">
        <v>95</v>
      </c>
      <c r="B130" t="s">
        <v>40</v>
      </c>
      <c r="C130">
        <v>0</v>
      </c>
      <c r="E130">
        <f t="shared" si="1"/>
        <v>0</v>
      </c>
    </row>
    <row r="131" spans="1:5" hidden="1" x14ac:dyDescent="0.3">
      <c r="A131" t="s">
        <v>97</v>
      </c>
      <c r="B131" t="s">
        <v>40</v>
      </c>
      <c r="C131">
        <v>0</v>
      </c>
      <c r="E131">
        <f t="shared" si="1"/>
        <v>0</v>
      </c>
    </row>
    <row r="132" spans="1:5" hidden="1" x14ac:dyDescent="0.3">
      <c r="A132" t="s">
        <v>100</v>
      </c>
      <c r="B132" t="s">
        <v>40</v>
      </c>
      <c r="C132">
        <v>0</v>
      </c>
      <c r="E132">
        <f t="shared" si="1"/>
        <v>0</v>
      </c>
    </row>
    <row r="133" spans="1:5" hidden="1" x14ac:dyDescent="0.3">
      <c r="A133" t="s">
        <v>119</v>
      </c>
      <c r="B133" t="s">
        <v>3</v>
      </c>
      <c r="C133">
        <v>0</v>
      </c>
      <c r="E133">
        <f t="shared" si="1"/>
        <v>0</v>
      </c>
    </row>
    <row r="134" spans="1:5" x14ac:dyDescent="0.3">
      <c r="A134" t="s">
        <v>7</v>
      </c>
      <c r="B134" t="s">
        <v>3</v>
      </c>
      <c r="C134">
        <v>33</v>
      </c>
      <c r="D134">
        <v>11000</v>
      </c>
      <c r="E134">
        <f t="shared" ref="E134:E152" si="2">C134*D134</f>
        <v>363000</v>
      </c>
    </row>
    <row r="135" spans="1:5" x14ac:dyDescent="0.3">
      <c r="A135" t="s">
        <v>8</v>
      </c>
      <c r="B135" t="s">
        <v>3</v>
      </c>
      <c r="C135">
        <v>22</v>
      </c>
      <c r="D135">
        <v>10000</v>
      </c>
      <c r="E135">
        <f t="shared" si="2"/>
        <v>220000</v>
      </c>
    </row>
    <row r="136" spans="1:5" x14ac:dyDescent="0.3">
      <c r="A136" t="s">
        <v>18</v>
      </c>
      <c r="B136" t="s">
        <v>3</v>
      </c>
      <c r="C136">
        <v>44</v>
      </c>
      <c r="D136">
        <v>18000</v>
      </c>
      <c r="E136">
        <f t="shared" si="2"/>
        <v>792000</v>
      </c>
    </row>
    <row r="137" spans="1:5" x14ac:dyDescent="0.3">
      <c r="A137" t="s">
        <v>28</v>
      </c>
      <c r="B137" t="s">
        <v>3</v>
      </c>
      <c r="C137">
        <v>176</v>
      </c>
      <c r="D137">
        <v>17000</v>
      </c>
      <c r="E137">
        <f t="shared" si="2"/>
        <v>2992000</v>
      </c>
    </row>
    <row r="138" spans="1:5" hidden="1" x14ac:dyDescent="0.3">
      <c r="A138" t="s">
        <v>33</v>
      </c>
      <c r="B138" t="s">
        <v>3</v>
      </c>
      <c r="C138">
        <v>0</v>
      </c>
      <c r="E138">
        <f t="shared" si="2"/>
        <v>0</v>
      </c>
    </row>
    <row r="139" spans="1:5" x14ac:dyDescent="0.3">
      <c r="A139" t="s">
        <v>78</v>
      </c>
      <c r="B139" t="s">
        <v>3</v>
      </c>
      <c r="C139">
        <v>16.5</v>
      </c>
      <c r="D139">
        <v>42000</v>
      </c>
      <c r="E139">
        <f t="shared" si="2"/>
        <v>693000</v>
      </c>
    </row>
    <row r="140" spans="1:5" x14ac:dyDescent="0.3">
      <c r="A140" t="s">
        <v>80</v>
      </c>
      <c r="B140" t="s">
        <v>3</v>
      </c>
      <c r="C140">
        <v>5.5</v>
      </c>
      <c r="D140">
        <v>30000</v>
      </c>
      <c r="E140">
        <f t="shared" si="2"/>
        <v>165000</v>
      </c>
    </row>
    <row r="141" spans="1:5" x14ac:dyDescent="0.3">
      <c r="A141" t="s">
        <v>82</v>
      </c>
      <c r="B141" t="s">
        <v>3</v>
      </c>
      <c r="C141">
        <v>7</v>
      </c>
      <c r="D141">
        <v>35000</v>
      </c>
      <c r="E141">
        <f t="shared" si="2"/>
        <v>245000</v>
      </c>
    </row>
    <row r="142" spans="1:5" x14ac:dyDescent="0.3">
      <c r="A142" t="s">
        <v>92</v>
      </c>
      <c r="B142" t="s">
        <v>3</v>
      </c>
      <c r="C142">
        <v>27.500000000000004</v>
      </c>
      <c r="D142">
        <v>10000</v>
      </c>
      <c r="E142">
        <f t="shared" si="2"/>
        <v>275000.00000000006</v>
      </c>
    </row>
    <row r="143" spans="1:5" x14ac:dyDescent="0.3">
      <c r="A143" t="s">
        <v>41</v>
      </c>
      <c r="B143" t="s">
        <v>3</v>
      </c>
      <c r="C143">
        <v>30</v>
      </c>
      <c r="D143">
        <v>14000</v>
      </c>
      <c r="E143">
        <f t="shared" si="2"/>
        <v>420000</v>
      </c>
    </row>
    <row r="144" spans="1:5" hidden="1" x14ac:dyDescent="0.3">
      <c r="A144" t="s">
        <v>105</v>
      </c>
      <c r="B144" t="s">
        <v>3</v>
      </c>
      <c r="C144">
        <v>0</v>
      </c>
      <c r="E144">
        <f t="shared" si="2"/>
        <v>0</v>
      </c>
    </row>
    <row r="145" spans="1:5" hidden="1" x14ac:dyDescent="0.3">
      <c r="A145" t="s">
        <v>103</v>
      </c>
      <c r="B145" t="s">
        <v>3</v>
      </c>
      <c r="C145">
        <v>0</v>
      </c>
      <c r="E145">
        <f t="shared" si="2"/>
        <v>0</v>
      </c>
    </row>
    <row r="146" spans="1:5" hidden="1" x14ac:dyDescent="0.3">
      <c r="A146" t="s">
        <v>68</v>
      </c>
      <c r="B146" t="s">
        <v>3</v>
      </c>
      <c r="C146">
        <v>0</v>
      </c>
      <c r="E146">
        <f t="shared" si="2"/>
        <v>0</v>
      </c>
    </row>
    <row r="147" spans="1:5" x14ac:dyDescent="0.3">
      <c r="A147" t="s">
        <v>68</v>
      </c>
      <c r="B147" t="s">
        <v>17</v>
      </c>
      <c r="C147">
        <v>13</v>
      </c>
      <c r="D147">
        <v>6500</v>
      </c>
      <c r="E147">
        <f t="shared" si="2"/>
        <v>84500</v>
      </c>
    </row>
    <row r="148" spans="1:5" hidden="1" x14ac:dyDescent="0.3">
      <c r="A148" t="s">
        <v>72</v>
      </c>
      <c r="B148" t="s">
        <v>3</v>
      </c>
      <c r="C148">
        <v>0</v>
      </c>
      <c r="E148">
        <f t="shared" si="2"/>
        <v>0</v>
      </c>
    </row>
    <row r="149" spans="1:5" hidden="1" x14ac:dyDescent="0.3">
      <c r="A149" t="s">
        <v>62</v>
      </c>
      <c r="B149" t="s">
        <v>30</v>
      </c>
      <c r="C149">
        <v>0</v>
      </c>
      <c r="E149">
        <f t="shared" si="2"/>
        <v>0</v>
      </c>
    </row>
    <row r="150" spans="1:5" x14ac:dyDescent="0.3">
      <c r="A150" t="s">
        <v>63</v>
      </c>
      <c r="B150" t="s">
        <v>30</v>
      </c>
      <c r="C150">
        <v>18</v>
      </c>
      <c r="D150">
        <v>9500</v>
      </c>
      <c r="E150">
        <f t="shared" si="2"/>
        <v>171000</v>
      </c>
    </row>
    <row r="151" spans="1:5" hidden="1" x14ac:dyDescent="0.3">
      <c r="A151" t="s">
        <v>73</v>
      </c>
      <c r="B151" t="s">
        <v>3</v>
      </c>
      <c r="C151">
        <v>0</v>
      </c>
      <c r="E151">
        <f t="shared" si="2"/>
        <v>0</v>
      </c>
    </row>
    <row r="152" spans="1:5" hidden="1" x14ac:dyDescent="0.3">
      <c r="A152" t="s">
        <v>94</v>
      </c>
      <c r="B152" t="s">
        <v>40</v>
      </c>
      <c r="C152">
        <v>0</v>
      </c>
      <c r="E152">
        <f t="shared" si="2"/>
        <v>0</v>
      </c>
    </row>
    <row r="153" spans="1:5" x14ac:dyDescent="0.3">
      <c r="E153">
        <f>SUM(E116:E150)</f>
        <v>14407500</v>
      </c>
    </row>
    <row r="154" spans="1:5" x14ac:dyDescent="0.3">
      <c r="E154">
        <f>E153+E113</f>
        <v>359357010</v>
      </c>
    </row>
  </sheetData>
  <autoFilter ref="A2:E152" xr:uid="{00000000-0009-0000-0000-000017000000}">
    <filterColumn colId="2">
      <filters>
        <filter val="0.5"/>
        <filter val="10"/>
        <filter val="100"/>
        <filter val="110"/>
        <filter val="1130"/>
        <filter val="1154"/>
        <filter val="1287"/>
        <filter val="13"/>
        <filter val="130"/>
        <filter val="139"/>
        <filter val="140"/>
        <filter val="15"/>
        <filter val="1515"/>
        <filter val="16"/>
        <filter val="16.5"/>
        <filter val="1670"/>
        <filter val="176"/>
        <filter val="18"/>
        <filter val="185"/>
        <filter val="2"/>
        <filter val="2.5"/>
        <filter val="2.8"/>
        <filter val="20"/>
        <filter val="200"/>
        <filter val="212"/>
        <filter val="22"/>
        <filter val="231"/>
        <filter val="233"/>
        <filter val="2380"/>
        <filter val="25"/>
        <filter val="250"/>
        <filter val="260"/>
        <filter val="27.5"/>
        <filter val="3"/>
        <filter val="30"/>
        <filter val="308"/>
        <filter val="314"/>
        <filter val="322"/>
        <filter val="33"/>
        <filter val="35"/>
        <filter val="40"/>
        <filter val="410"/>
        <filter val="428"/>
        <filter val="44"/>
        <filter val="45"/>
        <filter val="450"/>
        <filter val="46"/>
        <filter val="48"/>
        <filter val="5"/>
        <filter val="5.5"/>
        <filter val="50"/>
        <filter val="55"/>
        <filter val="65"/>
        <filter val="66"/>
        <filter val="7"/>
        <filter val="75"/>
        <filter val="912"/>
        <filter val="93"/>
        <filter val="95"/>
        <filter val="Tồn_x000a_ĐL_x000a__x000a_現在庫"/>
      </filters>
    </filterColumn>
  </autoFilter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filterMode="1"/>
  <dimension ref="A1:E150"/>
  <sheetViews>
    <sheetView topLeftCell="A99" workbookViewId="0">
      <selection activeCell="E150" sqref="E150"/>
    </sheetView>
  </sheetViews>
  <sheetFormatPr defaultRowHeight="14.4" x14ac:dyDescent="0.3"/>
  <cols>
    <col min="1" max="1" width="25.77734375" customWidth="1"/>
    <col min="4" max="4" width="11.21875" style="2" customWidth="1"/>
    <col min="5" max="5" width="17.33203125" style="2" customWidth="1"/>
  </cols>
  <sheetData>
    <row r="1" spans="1:5" x14ac:dyDescent="0.3">
      <c r="A1" t="s">
        <v>166</v>
      </c>
    </row>
    <row r="2" spans="1:5" x14ac:dyDescent="0.3">
      <c r="A2" t="s">
        <v>0</v>
      </c>
      <c r="B2" t="s">
        <v>1</v>
      </c>
      <c r="C2" t="s">
        <v>107</v>
      </c>
      <c r="D2" s="2" t="s">
        <v>108</v>
      </c>
      <c r="E2" s="2" t="s">
        <v>109</v>
      </c>
    </row>
    <row r="3" spans="1:5" hidden="1" x14ac:dyDescent="0.3">
      <c r="A3" t="s">
        <v>31</v>
      </c>
      <c r="B3" t="s">
        <v>3</v>
      </c>
      <c r="C3">
        <v>0</v>
      </c>
      <c r="D3"/>
      <c r="E3">
        <f>C3*D3</f>
        <v>0</v>
      </c>
    </row>
    <row r="4" spans="1:5" hidden="1" x14ac:dyDescent="0.3">
      <c r="A4" t="s">
        <v>31</v>
      </c>
      <c r="B4" t="s">
        <v>30</v>
      </c>
      <c r="C4">
        <v>0</v>
      </c>
      <c r="D4"/>
      <c r="E4">
        <f t="shared" ref="E4:E67" si="0">C4*D4</f>
        <v>0</v>
      </c>
    </row>
    <row r="5" spans="1:5" hidden="1" x14ac:dyDescent="0.3">
      <c r="A5" t="s">
        <v>32</v>
      </c>
      <c r="B5" t="s">
        <v>17</v>
      </c>
      <c r="C5">
        <v>0</v>
      </c>
      <c r="D5"/>
      <c r="E5">
        <f t="shared" si="0"/>
        <v>0</v>
      </c>
    </row>
    <row r="6" spans="1:5" hidden="1" x14ac:dyDescent="0.3">
      <c r="A6" t="s">
        <v>42</v>
      </c>
      <c r="B6" t="s">
        <v>25</v>
      </c>
      <c r="C6">
        <v>0</v>
      </c>
      <c r="D6"/>
      <c r="E6">
        <f t="shared" si="0"/>
        <v>0</v>
      </c>
    </row>
    <row r="7" spans="1:5" hidden="1" x14ac:dyDescent="0.3">
      <c r="A7" t="s">
        <v>45</v>
      </c>
      <c r="B7" t="s">
        <v>3</v>
      </c>
      <c r="C7">
        <v>0</v>
      </c>
      <c r="D7"/>
      <c r="E7">
        <f t="shared" si="0"/>
        <v>0</v>
      </c>
    </row>
    <row r="8" spans="1:5" hidden="1" x14ac:dyDescent="0.3">
      <c r="A8" t="s">
        <v>45</v>
      </c>
      <c r="B8" t="s">
        <v>30</v>
      </c>
      <c r="C8">
        <v>0</v>
      </c>
      <c r="D8"/>
      <c r="E8">
        <f t="shared" si="0"/>
        <v>0</v>
      </c>
    </row>
    <row r="9" spans="1:5" x14ac:dyDescent="0.3">
      <c r="A9" t="s">
        <v>47</v>
      </c>
      <c r="B9" t="s">
        <v>3</v>
      </c>
      <c r="C9">
        <v>382</v>
      </c>
      <c r="D9" s="2">
        <v>9000</v>
      </c>
      <c r="E9" s="2">
        <f t="shared" si="0"/>
        <v>3438000</v>
      </c>
    </row>
    <row r="10" spans="1:5" hidden="1" x14ac:dyDescent="0.3">
      <c r="A10" t="s">
        <v>47</v>
      </c>
      <c r="B10" t="s">
        <v>48</v>
      </c>
      <c r="C10">
        <v>0</v>
      </c>
      <c r="D10"/>
      <c r="E10">
        <f t="shared" si="0"/>
        <v>0</v>
      </c>
    </row>
    <row r="11" spans="1:5" x14ac:dyDescent="0.3">
      <c r="A11" t="s">
        <v>50</v>
      </c>
      <c r="B11" t="s">
        <v>30</v>
      </c>
      <c r="C11">
        <v>250</v>
      </c>
      <c r="D11" s="2">
        <v>2400</v>
      </c>
      <c r="E11" s="2">
        <f t="shared" si="0"/>
        <v>600000</v>
      </c>
    </row>
    <row r="12" spans="1:5" x14ac:dyDescent="0.3">
      <c r="A12" t="s">
        <v>52</v>
      </c>
      <c r="B12" t="s">
        <v>3</v>
      </c>
      <c r="C12">
        <v>1845</v>
      </c>
      <c r="D12" s="2">
        <v>27000</v>
      </c>
      <c r="E12" s="2">
        <f t="shared" si="0"/>
        <v>49815000</v>
      </c>
    </row>
    <row r="13" spans="1:5" hidden="1" x14ac:dyDescent="0.3">
      <c r="A13" t="s">
        <v>52</v>
      </c>
      <c r="B13" t="s">
        <v>30</v>
      </c>
      <c r="C13">
        <v>0</v>
      </c>
      <c r="D13"/>
      <c r="E13">
        <f t="shared" si="0"/>
        <v>0</v>
      </c>
    </row>
    <row r="14" spans="1:5" x14ac:dyDescent="0.3">
      <c r="A14" t="s">
        <v>54</v>
      </c>
      <c r="B14" t="s">
        <v>3</v>
      </c>
      <c r="C14">
        <v>40</v>
      </c>
      <c r="D14" s="2">
        <v>15000</v>
      </c>
      <c r="E14" s="2">
        <f t="shared" si="0"/>
        <v>600000</v>
      </c>
    </row>
    <row r="15" spans="1:5" x14ac:dyDescent="0.3">
      <c r="A15" t="s">
        <v>59</v>
      </c>
      <c r="B15" t="s">
        <v>3</v>
      </c>
      <c r="C15">
        <v>940</v>
      </c>
      <c r="D15" s="2">
        <v>16000</v>
      </c>
      <c r="E15" s="2">
        <f t="shared" si="0"/>
        <v>15040000</v>
      </c>
    </row>
    <row r="16" spans="1:5" hidden="1" x14ac:dyDescent="0.3">
      <c r="A16" t="s">
        <v>59</v>
      </c>
      <c r="B16" t="s">
        <v>30</v>
      </c>
      <c r="C16">
        <v>0</v>
      </c>
      <c r="D16"/>
      <c r="E16">
        <f t="shared" si="0"/>
        <v>0</v>
      </c>
    </row>
    <row r="17" spans="1:5" x14ac:dyDescent="0.3">
      <c r="A17" t="s">
        <v>16</v>
      </c>
      <c r="B17" t="s">
        <v>17</v>
      </c>
      <c r="C17">
        <v>4</v>
      </c>
      <c r="D17" s="2">
        <v>6000</v>
      </c>
      <c r="E17" s="2">
        <f t="shared" si="0"/>
        <v>24000</v>
      </c>
    </row>
    <row r="18" spans="1:5" x14ac:dyDescent="0.3">
      <c r="A18" t="s">
        <v>5</v>
      </c>
      <c r="B18" t="s">
        <v>3</v>
      </c>
      <c r="C18">
        <v>330</v>
      </c>
      <c r="D18" s="2">
        <v>5500</v>
      </c>
      <c r="E18" s="2">
        <f t="shared" si="0"/>
        <v>1815000</v>
      </c>
    </row>
    <row r="19" spans="1:5" x14ac:dyDescent="0.3">
      <c r="A19" t="s">
        <v>35</v>
      </c>
      <c r="B19" t="s">
        <v>3</v>
      </c>
      <c r="C19">
        <v>10</v>
      </c>
      <c r="D19" s="2">
        <v>22000</v>
      </c>
      <c r="E19" s="2">
        <f t="shared" si="0"/>
        <v>220000</v>
      </c>
    </row>
    <row r="20" spans="1:5" hidden="1" x14ac:dyDescent="0.3">
      <c r="A20" t="s">
        <v>35</v>
      </c>
      <c r="B20" t="s">
        <v>30</v>
      </c>
      <c r="C20">
        <v>0</v>
      </c>
      <c r="D20"/>
      <c r="E20">
        <f t="shared" si="0"/>
        <v>0</v>
      </c>
    </row>
    <row r="21" spans="1:5" x14ac:dyDescent="0.3">
      <c r="A21" t="s">
        <v>37</v>
      </c>
      <c r="B21" t="s">
        <v>30</v>
      </c>
      <c r="C21">
        <v>34</v>
      </c>
      <c r="D21" s="2">
        <v>4300</v>
      </c>
      <c r="E21" s="2">
        <f t="shared" si="0"/>
        <v>146200</v>
      </c>
    </row>
    <row r="22" spans="1:5" hidden="1" x14ac:dyDescent="0.3">
      <c r="A22" t="s">
        <v>38</v>
      </c>
      <c r="B22" t="s">
        <v>3</v>
      </c>
      <c r="C22">
        <v>0</v>
      </c>
      <c r="D22"/>
      <c r="E22">
        <f t="shared" si="0"/>
        <v>0</v>
      </c>
    </row>
    <row r="23" spans="1:5" hidden="1" x14ac:dyDescent="0.3">
      <c r="A23" t="s">
        <v>39</v>
      </c>
      <c r="B23" t="s">
        <v>40</v>
      </c>
      <c r="C23">
        <v>0</v>
      </c>
      <c r="D23"/>
      <c r="E23">
        <f t="shared" si="0"/>
        <v>0</v>
      </c>
    </row>
    <row r="24" spans="1:5" x14ac:dyDescent="0.3">
      <c r="A24" t="s">
        <v>39</v>
      </c>
      <c r="B24" t="s">
        <v>3</v>
      </c>
      <c r="C24">
        <v>163</v>
      </c>
      <c r="D24" s="2">
        <v>13000</v>
      </c>
      <c r="E24" s="2">
        <f t="shared" si="0"/>
        <v>2119000</v>
      </c>
    </row>
    <row r="25" spans="1:5" x14ac:dyDescent="0.3">
      <c r="A25" t="s">
        <v>94</v>
      </c>
      <c r="B25" t="s">
        <v>3</v>
      </c>
      <c r="C25">
        <v>4</v>
      </c>
      <c r="D25" s="2">
        <v>28000</v>
      </c>
      <c r="E25" s="2">
        <f t="shared" si="0"/>
        <v>112000</v>
      </c>
    </row>
    <row r="26" spans="1:5" x14ac:dyDescent="0.3">
      <c r="A26" t="s">
        <v>7</v>
      </c>
      <c r="B26" t="s">
        <v>3</v>
      </c>
      <c r="C26">
        <v>548</v>
      </c>
      <c r="D26" s="2">
        <v>11000</v>
      </c>
      <c r="E26" s="2">
        <f t="shared" si="0"/>
        <v>6028000</v>
      </c>
    </row>
    <row r="27" spans="1:5" x14ac:dyDescent="0.3">
      <c r="A27" t="s">
        <v>8</v>
      </c>
      <c r="B27" t="s">
        <v>3</v>
      </c>
      <c r="C27">
        <v>178</v>
      </c>
      <c r="D27" s="2">
        <v>10000</v>
      </c>
      <c r="E27" s="2">
        <f t="shared" si="0"/>
        <v>1780000</v>
      </c>
    </row>
    <row r="28" spans="1:5" hidden="1" x14ac:dyDescent="0.3">
      <c r="A28" t="s">
        <v>8</v>
      </c>
      <c r="B28" t="s">
        <v>9</v>
      </c>
      <c r="C28">
        <v>0</v>
      </c>
      <c r="D28"/>
      <c r="E28">
        <f t="shared" si="0"/>
        <v>0</v>
      </c>
    </row>
    <row r="29" spans="1:5" x14ac:dyDescent="0.3">
      <c r="A29" t="s">
        <v>10</v>
      </c>
      <c r="B29" t="s">
        <v>3</v>
      </c>
      <c r="C29">
        <v>15</v>
      </c>
      <c r="D29" s="2">
        <v>14000</v>
      </c>
      <c r="E29" s="2">
        <f t="shared" si="0"/>
        <v>210000</v>
      </c>
    </row>
    <row r="30" spans="1:5" hidden="1" x14ac:dyDescent="0.3">
      <c r="A30" t="s">
        <v>10</v>
      </c>
      <c r="B30" t="s">
        <v>9</v>
      </c>
      <c r="C30">
        <v>0</v>
      </c>
      <c r="D30"/>
      <c r="E30">
        <f t="shared" si="0"/>
        <v>0</v>
      </c>
    </row>
    <row r="31" spans="1:5" x14ac:dyDescent="0.3">
      <c r="A31" t="s">
        <v>18</v>
      </c>
      <c r="B31" t="s">
        <v>3</v>
      </c>
      <c r="C31">
        <v>126</v>
      </c>
      <c r="D31" s="2">
        <v>18000</v>
      </c>
      <c r="E31" s="2">
        <f t="shared" si="0"/>
        <v>2268000</v>
      </c>
    </row>
    <row r="32" spans="1:5" hidden="1" x14ac:dyDescent="0.3">
      <c r="A32" t="s">
        <v>18</v>
      </c>
      <c r="B32" t="s">
        <v>17</v>
      </c>
      <c r="C32">
        <v>0</v>
      </c>
      <c r="D32"/>
      <c r="E32">
        <f t="shared" si="0"/>
        <v>0</v>
      </c>
    </row>
    <row r="33" spans="1:5" hidden="1" x14ac:dyDescent="0.3">
      <c r="A33" t="s">
        <v>28</v>
      </c>
      <c r="B33" t="s">
        <v>3</v>
      </c>
      <c r="C33">
        <v>0</v>
      </c>
      <c r="D33"/>
      <c r="E33">
        <f t="shared" si="0"/>
        <v>0</v>
      </c>
    </row>
    <row r="34" spans="1:5" hidden="1" x14ac:dyDescent="0.3">
      <c r="A34" t="s">
        <v>28</v>
      </c>
      <c r="B34" t="s">
        <v>17</v>
      </c>
      <c r="C34">
        <v>0</v>
      </c>
      <c r="D34"/>
      <c r="E34">
        <f t="shared" si="0"/>
        <v>0</v>
      </c>
    </row>
    <row r="35" spans="1:5" hidden="1" x14ac:dyDescent="0.3">
      <c r="A35" t="s">
        <v>29</v>
      </c>
      <c r="B35" t="s">
        <v>30</v>
      </c>
      <c r="C35">
        <v>0</v>
      </c>
      <c r="D35"/>
      <c r="E35">
        <f t="shared" si="0"/>
        <v>0</v>
      </c>
    </row>
    <row r="36" spans="1:5" x14ac:dyDescent="0.3">
      <c r="A36" t="s">
        <v>68</v>
      </c>
      <c r="B36" t="s">
        <v>3</v>
      </c>
      <c r="C36">
        <v>55</v>
      </c>
      <c r="D36" s="2">
        <v>9500</v>
      </c>
      <c r="E36" s="2">
        <f t="shared" si="0"/>
        <v>522500</v>
      </c>
    </row>
    <row r="37" spans="1:5" x14ac:dyDescent="0.3">
      <c r="A37" t="s">
        <v>68</v>
      </c>
      <c r="B37" t="s">
        <v>17</v>
      </c>
      <c r="C37">
        <v>100</v>
      </c>
      <c r="D37" s="2">
        <v>6500</v>
      </c>
      <c r="E37" s="2">
        <f t="shared" si="0"/>
        <v>650000</v>
      </c>
    </row>
    <row r="38" spans="1:5" x14ac:dyDescent="0.3">
      <c r="A38" t="s">
        <v>70</v>
      </c>
      <c r="B38" t="s">
        <v>3</v>
      </c>
      <c r="C38">
        <v>45</v>
      </c>
      <c r="D38" s="2">
        <v>16000</v>
      </c>
      <c r="E38" s="2">
        <f t="shared" si="0"/>
        <v>720000</v>
      </c>
    </row>
    <row r="39" spans="1:5" x14ac:dyDescent="0.3">
      <c r="A39" t="s">
        <v>78</v>
      </c>
      <c r="B39" t="s">
        <v>3</v>
      </c>
      <c r="C39">
        <v>23</v>
      </c>
      <c r="D39" s="2">
        <v>42000</v>
      </c>
      <c r="E39" s="2">
        <f t="shared" si="0"/>
        <v>966000</v>
      </c>
    </row>
    <row r="40" spans="1:5" hidden="1" x14ac:dyDescent="0.3">
      <c r="A40" t="s">
        <v>78</v>
      </c>
      <c r="B40" t="s">
        <v>9</v>
      </c>
      <c r="C40">
        <v>0</v>
      </c>
      <c r="D40"/>
      <c r="E40">
        <f t="shared" si="0"/>
        <v>0</v>
      </c>
    </row>
    <row r="41" spans="1:5" x14ac:dyDescent="0.3">
      <c r="A41" t="s">
        <v>80</v>
      </c>
      <c r="B41" t="s">
        <v>3</v>
      </c>
      <c r="C41">
        <v>49</v>
      </c>
      <c r="D41" s="2">
        <v>30000</v>
      </c>
      <c r="E41" s="2">
        <f t="shared" si="0"/>
        <v>1470000</v>
      </c>
    </row>
    <row r="42" spans="1:5" hidden="1" x14ac:dyDescent="0.3">
      <c r="A42" t="s">
        <v>80</v>
      </c>
      <c r="B42" t="s">
        <v>9</v>
      </c>
      <c r="C42">
        <v>0</v>
      </c>
      <c r="D42"/>
      <c r="E42">
        <f t="shared" si="0"/>
        <v>0</v>
      </c>
    </row>
    <row r="43" spans="1:5" x14ac:dyDescent="0.3">
      <c r="A43" t="s">
        <v>82</v>
      </c>
      <c r="B43" t="s">
        <v>3</v>
      </c>
      <c r="C43">
        <v>24</v>
      </c>
      <c r="D43" s="2">
        <v>35000</v>
      </c>
      <c r="E43" s="2">
        <f t="shared" si="0"/>
        <v>840000</v>
      </c>
    </row>
    <row r="44" spans="1:5" hidden="1" x14ac:dyDescent="0.3">
      <c r="A44" t="s">
        <v>82</v>
      </c>
      <c r="B44" t="s">
        <v>9</v>
      </c>
      <c r="C44">
        <v>0</v>
      </c>
      <c r="D44"/>
      <c r="E44">
        <f t="shared" si="0"/>
        <v>0</v>
      </c>
    </row>
    <row r="45" spans="1:5" hidden="1" x14ac:dyDescent="0.3">
      <c r="A45" t="s">
        <v>11</v>
      </c>
      <c r="B45" t="s">
        <v>3</v>
      </c>
      <c r="C45">
        <v>0</v>
      </c>
      <c r="D45"/>
      <c r="E45">
        <f t="shared" si="0"/>
        <v>0</v>
      </c>
    </row>
    <row r="46" spans="1:5" hidden="1" x14ac:dyDescent="0.3">
      <c r="A46" t="s">
        <v>76</v>
      </c>
      <c r="B46" t="s">
        <v>17</v>
      </c>
      <c r="C46">
        <v>0</v>
      </c>
      <c r="D46"/>
      <c r="E46">
        <f t="shared" si="0"/>
        <v>0</v>
      </c>
    </row>
    <row r="47" spans="1:5" x14ac:dyDescent="0.3">
      <c r="A47" t="s">
        <v>51</v>
      </c>
      <c r="B47" t="s">
        <v>3</v>
      </c>
      <c r="C47">
        <v>1915</v>
      </c>
      <c r="D47" s="2">
        <v>28000</v>
      </c>
      <c r="E47" s="2">
        <f t="shared" si="0"/>
        <v>53620000</v>
      </c>
    </row>
    <row r="48" spans="1:5" x14ac:dyDescent="0.3">
      <c r="A48" t="s">
        <v>22</v>
      </c>
      <c r="B48" t="s">
        <v>3</v>
      </c>
      <c r="C48">
        <v>1.5</v>
      </c>
      <c r="D48" s="2">
        <v>18000</v>
      </c>
      <c r="E48" s="2">
        <f t="shared" si="0"/>
        <v>27000</v>
      </c>
    </row>
    <row r="49" spans="1:5" x14ac:dyDescent="0.3">
      <c r="A49" t="s">
        <v>22</v>
      </c>
      <c r="B49" t="s">
        <v>23</v>
      </c>
      <c r="C49">
        <v>56</v>
      </c>
      <c r="D49" s="2">
        <v>5400</v>
      </c>
      <c r="E49" s="2">
        <f t="shared" si="0"/>
        <v>302400</v>
      </c>
    </row>
    <row r="50" spans="1:5" hidden="1" x14ac:dyDescent="0.3">
      <c r="A50" t="s">
        <v>56</v>
      </c>
      <c r="B50" t="s">
        <v>3</v>
      </c>
      <c r="C50">
        <v>0</v>
      </c>
      <c r="D50"/>
      <c r="E50">
        <f t="shared" si="0"/>
        <v>0</v>
      </c>
    </row>
    <row r="51" spans="1:5" x14ac:dyDescent="0.3">
      <c r="A51" t="s">
        <v>72</v>
      </c>
      <c r="B51" t="s">
        <v>3</v>
      </c>
      <c r="C51">
        <v>1270</v>
      </c>
      <c r="D51" s="2">
        <v>27600</v>
      </c>
      <c r="E51" s="2">
        <f t="shared" si="0"/>
        <v>35052000</v>
      </c>
    </row>
    <row r="52" spans="1:5" hidden="1" x14ac:dyDescent="0.3">
      <c r="A52" t="s">
        <v>2</v>
      </c>
      <c r="B52" t="s">
        <v>3</v>
      </c>
      <c r="C52">
        <v>0</v>
      </c>
      <c r="D52"/>
      <c r="E52">
        <f t="shared" si="0"/>
        <v>0</v>
      </c>
    </row>
    <row r="53" spans="1:5" x14ac:dyDescent="0.3">
      <c r="A53" t="s">
        <v>4</v>
      </c>
      <c r="B53" t="s">
        <v>3</v>
      </c>
      <c r="C53">
        <v>376</v>
      </c>
      <c r="D53" s="2">
        <v>4000</v>
      </c>
      <c r="E53" s="2">
        <f t="shared" si="0"/>
        <v>1504000</v>
      </c>
    </row>
    <row r="54" spans="1:5" x14ac:dyDescent="0.3">
      <c r="A54" t="s">
        <v>12</v>
      </c>
      <c r="B54" t="s">
        <v>3</v>
      </c>
      <c r="C54">
        <v>7</v>
      </c>
      <c r="D54" s="2">
        <v>12000</v>
      </c>
      <c r="E54" s="2">
        <f t="shared" si="0"/>
        <v>84000</v>
      </c>
    </row>
    <row r="55" spans="1:5" hidden="1" x14ac:dyDescent="0.3">
      <c r="A55" t="s">
        <v>13</v>
      </c>
      <c r="B55" t="s">
        <v>3</v>
      </c>
      <c r="C55">
        <v>0</v>
      </c>
      <c r="D55"/>
      <c r="E55">
        <f t="shared" si="0"/>
        <v>0</v>
      </c>
    </row>
    <row r="56" spans="1:5" x14ac:dyDescent="0.3">
      <c r="A56" t="s">
        <v>20</v>
      </c>
      <c r="B56" t="s">
        <v>3</v>
      </c>
      <c r="C56">
        <v>25</v>
      </c>
      <c r="D56" s="2">
        <v>16000</v>
      </c>
      <c r="E56" s="2">
        <f t="shared" si="0"/>
        <v>400000</v>
      </c>
    </row>
    <row r="57" spans="1:5" hidden="1" x14ac:dyDescent="0.3">
      <c r="A57" t="s">
        <v>20</v>
      </c>
      <c r="B57" t="s">
        <v>21</v>
      </c>
      <c r="C57">
        <v>0</v>
      </c>
      <c r="D57"/>
      <c r="E57">
        <f t="shared" si="0"/>
        <v>0</v>
      </c>
    </row>
    <row r="58" spans="1:5" x14ac:dyDescent="0.3">
      <c r="A58" t="s">
        <v>24</v>
      </c>
      <c r="B58" t="s">
        <v>25</v>
      </c>
      <c r="C58">
        <v>26</v>
      </c>
      <c r="D58" s="2">
        <v>11100</v>
      </c>
      <c r="E58" s="2">
        <f t="shared" si="0"/>
        <v>288600</v>
      </c>
    </row>
    <row r="59" spans="1:5" hidden="1" x14ac:dyDescent="0.3">
      <c r="A59" t="s">
        <v>26</v>
      </c>
      <c r="B59" t="s">
        <v>3</v>
      </c>
      <c r="C59">
        <v>0</v>
      </c>
      <c r="D59"/>
      <c r="E59">
        <f t="shared" si="0"/>
        <v>0</v>
      </c>
    </row>
    <row r="60" spans="1:5" x14ac:dyDescent="0.3">
      <c r="A60" t="s">
        <v>26</v>
      </c>
      <c r="B60" t="s">
        <v>27</v>
      </c>
      <c r="C60">
        <v>205</v>
      </c>
      <c r="D60" s="2">
        <v>9500</v>
      </c>
      <c r="E60" s="2">
        <f t="shared" si="0"/>
        <v>1947500</v>
      </c>
    </row>
    <row r="61" spans="1:5" x14ac:dyDescent="0.3">
      <c r="A61" t="s">
        <v>33</v>
      </c>
      <c r="B61" t="s">
        <v>3</v>
      </c>
      <c r="C61">
        <v>89</v>
      </c>
      <c r="D61" s="2">
        <v>8000</v>
      </c>
      <c r="E61" s="2">
        <f t="shared" si="0"/>
        <v>712000</v>
      </c>
    </row>
    <row r="62" spans="1:5" hidden="1" x14ac:dyDescent="0.3">
      <c r="A62" t="s">
        <v>33</v>
      </c>
      <c r="B62" t="s">
        <v>34</v>
      </c>
      <c r="C62">
        <v>0</v>
      </c>
      <c r="D62"/>
      <c r="E62">
        <f t="shared" si="0"/>
        <v>0</v>
      </c>
    </row>
    <row r="63" spans="1:5" x14ac:dyDescent="0.3">
      <c r="A63" t="s">
        <v>36</v>
      </c>
      <c r="B63" t="s">
        <v>30</v>
      </c>
      <c r="C63">
        <v>30</v>
      </c>
      <c r="D63" s="2">
        <v>5000</v>
      </c>
      <c r="E63" s="2">
        <f t="shared" si="0"/>
        <v>150000</v>
      </c>
    </row>
    <row r="64" spans="1:5" x14ac:dyDescent="0.3">
      <c r="A64" t="s">
        <v>55</v>
      </c>
      <c r="B64" t="s">
        <v>3</v>
      </c>
      <c r="C64">
        <v>8</v>
      </c>
      <c r="D64" s="2">
        <v>24000</v>
      </c>
      <c r="E64" s="2">
        <f t="shared" si="0"/>
        <v>192000</v>
      </c>
    </row>
    <row r="65" spans="1:5" x14ac:dyDescent="0.3">
      <c r="A65" t="s">
        <v>41</v>
      </c>
      <c r="B65" t="s">
        <v>3</v>
      </c>
      <c r="C65">
        <v>27</v>
      </c>
      <c r="D65" s="2">
        <v>14000</v>
      </c>
      <c r="E65" s="2">
        <f t="shared" si="0"/>
        <v>378000</v>
      </c>
    </row>
    <row r="66" spans="1:5" x14ac:dyDescent="0.3">
      <c r="A66" t="s">
        <v>44</v>
      </c>
      <c r="B66" t="s">
        <v>3</v>
      </c>
      <c r="C66">
        <v>28</v>
      </c>
      <c r="D66" s="2">
        <v>6000</v>
      </c>
      <c r="E66" s="2">
        <f t="shared" si="0"/>
        <v>168000</v>
      </c>
    </row>
    <row r="67" spans="1:5" x14ac:dyDescent="0.3">
      <c r="A67" t="s">
        <v>46</v>
      </c>
      <c r="B67" t="s">
        <v>3</v>
      </c>
      <c r="C67">
        <v>5</v>
      </c>
      <c r="D67" s="2">
        <v>18000</v>
      </c>
      <c r="E67" s="2">
        <f t="shared" si="0"/>
        <v>90000</v>
      </c>
    </row>
    <row r="68" spans="1:5" hidden="1" x14ac:dyDescent="0.3">
      <c r="A68" t="s">
        <v>61</v>
      </c>
      <c r="B68" t="s">
        <v>3</v>
      </c>
      <c r="C68">
        <v>0</v>
      </c>
      <c r="D68"/>
      <c r="E68">
        <f t="shared" ref="E68:E133" si="1">C68*D68</f>
        <v>0</v>
      </c>
    </row>
    <row r="69" spans="1:5" x14ac:dyDescent="0.3">
      <c r="A69" t="s">
        <v>62</v>
      </c>
      <c r="B69" t="s">
        <v>30</v>
      </c>
      <c r="C69">
        <v>5</v>
      </c>
      <c r="D69" s="2">
        <v>6000</v>
      </c>
      <c r="E69" s="2">
        <f t="shared" si="1"/>
        <v>30000</v>
      </c>
    </row>
    <row r="70" spans="1:5" hidden="1" x14ac:dyDescent="0.3">
      <c r="A70" t="s">
        <v>63</v>
      </c>
      <c r="B70" t="s">
        <v>3</v>
      </c>
      <c r="C70">
        <v>0</v>
      </c>
      <c r="D70"/>
      <c r="E70">
        <f t="shared" si="1"/>
        <v>0</v>
      </c>
    </row>
    <row r="71" spans="1:5" hidden="1" x14ac:dyDescent="0.3">
      <c r="A71" t="s">
        <v>63</v>
      </c>
      <c r="B71" t="s">
        <v>64</v>
      </c>
      <c r="C71">
        <v>0</v>
      </c>
      <c r="D71"/>
      <c r="E71">
        <f t="shared" si="1"/>
        <v>0</v>
      </c>
    </row>
    <row r="72" spans="1:5" x14ac:dyDescent="0.3">
      <c r="A72" t="s">
        <v>65</v>
      </c>
      <c r="B72" t="s">
        <v>3</v>
      </c>
      <c r="C72">
        <v>3</v>
      </c>
      <c r="D72" s="2">
        <v>80000</v>
      </c>
      <c r="E72" s="2">
        <f t="shared" si="1"/>
        <v>240000</v>
      </c>
    </row>
    <row r="73" spans="1:5" x14ac:dyDescent="0.3">
      <c r="A73" t="s">
        <v>66</v>
      </c>
      <c r="B73" t="s">
        <v>3</v>
      </c>
      <c r="C73">
        <v>3</v>
      </c>
      <c r="D73" s="2">
        <v>70000</v>
      </c>
      <c r="E73" s="2">
        <f t="shared" si="1"/>
        <v>210000</v>
      </c>
    </row>
    <row r="74" spans="1:5" x14ac:dyDescent="0.3">
      <c r="A74" t="s">
        <v>67</v>
      </c>
      <c r="B74" t="s">
        <v>3</v>
      </c>
      <c r="C74">
        <v>3</v>
      </c>
      <c r="D74" s="2">
        <v>70000</v>
      </c>
      <c r="E74" s="2">
        <f t="shared" si="1"/>
        <v>210000</v>
      </c>
    </row>
    <row r="75" spans="1:5" hidden="1" x14ac:dyDescent="0.3">
      <c r="A75" t="s">
        <v>71</v>
      </c>
      <c r="B75" t="s">
        <v>40</v>
      </c>
      <c r="C75">
        <v>0</v>
      </c>
      <c r="D75"/>
      <c r="E75">
        <f t="shared" si="1"/>
        <v>0</v>
      </c>
    </row>
    <row r="76" spans="1:5" hidden="1" x14ac:dyDescent="0.3">
      <c r="A76" t="s">
        <v>71</v>
      </c>
      <c r="B76" t="s">
        <v>3</v>
      </c>
      <c r="C76">
        <v>0</v>
      </c>
      <c r="D76"/>
      <c r="E76">
        <f t="shared" si="1"/>
        <v>0</v>
      </c>
    </row>
    <row r="77" spans="1:5" hidden="1" x14ac:dyDescent="0.3">
      <c r="A77" t="s">
        <v>90</v>
      </c>
      <c r="B77" t="s">
        <v>3</v>
      </c>
      <c r="C77">
        <v>0</v>
      </c>
      <c r="D77"/>
      <c r="E77">
        <f t="shared" si="1"/>
        <v>0</v>
      </c>
    </row>
    <row r="78" spans="1:5" hidden="1" x14ac:dyDescent="0.3">
      <c r="A78" t="s">
        <v>74</v>
      </c>
      <c r="B78" t="s">
        <v>30</v>
      </c>
      <c r="C78">
        <v>0</v>
      </c>
      <c r="D78"/>
      <c r="E78">
        <f t="shared" si="1"/>
        <v>0</v>
      </c>
    </row>
    <row r="79" spans="1:5" hidden="1" x14ac:dyDescent="0.3">
      <c r="A79" t="s">
        <v>75</v>
      </c>
      <c r="B79" t="s">
        <v>3</v>
      </c>
      <c r="C79">
        <v>0</v>
      </c>
      <c r="D79"/>
      <c r="E79">
        <f t="shared" si="1"/>
        <v>0</v>
      </c>
    </row>
    <row r="80" spans="1:5" hidden="1" x14ac:dyDescent="0.3">
      <c r="A80" t="s">
        <v>77</v>
      </c>
      <c r="B80" t="s">
        <v>25</v>
      </c>
      <c r="C80">
        <v>0</v>
      </c>
      <c r="D80"/>
      <c r="E80">
        <f t="shared" si="1"/>
        <v>0</v>
      </c>
    </row>
    <row r="81" spans="1:5" x14ac:dyDescent="0.3">
      <c r="A81" t="s">
        <v>84</v>
      </c>
      <c r="B81" t="s">
        <v>3</v>
      </c>
      <c r="C81">
        <v>30</v>
      </c>
      <c r="D81" s="2">
        <v>50000</v>
      </c>
      <c r="E81" s="2">
        <f t="shared" si="1"/>
        <v>1500000</v>
      </c>
    </row>
    <row r="82" spans="1:5" x14ac:dyDescent="0.3">
      <c r="A82" t="s">
        <v>84</v>
      </c>
      <c r="B82" t="s">
        <v>30</v>
      </c>
      <c r="C82">
        <v>195</v>
      </c>
      <c r="D82" s="2">
        <v>17000</v>
      </c>
      <c r="E82" s="2">
        <f t="shared" si="1"/>
        <v>3315000</v>
      </c>
    </row>
    <row r="83" spans="1:5" x14ac:dyDescent="0.3">
      <c r="A83" t="s">
        <v>92</v>
      </c>
      <c r="B83" t="s">
        <v>3</v>
      </c>
      <c r="C83">
        <v>347</v>
      </c>
      <c r="D83" s="2">
        <v>8500</v>
      </c>
      <c r="E83" s="2">
        <f t="shared" si="1"/>
        <v>2949500</v>
      </c>
    </row>
    <row r="84" spans="1:5" x14ac:dyDescent="0.3">
      <c r="A84" t="s">
        <v>106</v>
      </c>
      <c r="B84" t="s">
        <v>9</v>
      </c>
      <c r="C84">
        <v>1200</v>
      </c>
      <c r="D84" s="2">
        <v>9000</v>
      </c>
      <c r="E84" s="2">
        <f t="shared" si="1"/>
        <v>10800000</v>
      </c>
    </row>
    <row r="85" spans="1:5" x14ac:dyDescent="0.3">
      <c r="A85" t="s">
        <v>89</v>
      </c>
      <c r="B85" t="s">
        <v>3</v>
      </c>
      <c r="C85">
        <v>1940</v>
      </c>
      <c r="D85" s="2">
        <v>24000</v>
      </c>
      <c r="E85" s="2">
        <f t="shared" si="1"/>
        <v>46560000</v>
      </c>
    </row>
    <row r="86" spans="1:5" hidden="1" x14ac:dyDescent="0.3">
      <c r="A86" t="s">
        <v>96</v>
      </c>
      <c r="B86" t="s">
        <v>3</v>
      </c>
      <c r="C86">
        <v>0</v>
      </c>
      <c r="D86"/>
      <c r="E86">
        <f t="shared" si="1"/>
        <v>0</v>
      </c>
    </row>
    <row r="87" spans="1:5" hidden="1" x14ac:dyDescent="0.3">
      <c r="A87" t="s">
        <v>98</v>
      </c>
      <c r="B87" t="s">
        <v>3</v>
      </c>
      <c r="C87">
        <v>0</v>
      </c>
      <c r="D87"/>
      <c r="E87">
        <f t="shared" si="1"/>
        <v>0</v>
      </c>
    </row>
    <row r="88" spans="1:5" x14ac:dyDescent="0.3">
      <c r="A88" t="s">
        <v>99</v>
      </c>
      <c r="B88" t="s">
        <v>3</v>
      </c>
      <c r="C88">
        <v>2</v>
      </c>
      <c r="D88" s="2">
        <v>30000</v>
      </c>
      <c r="E88" s="2">
        <f t="shared" si="1"/>
        <v>60000</v>
      </c>
    </row>
    <row r="89" spans="1:5" x14ac:dyDescent="0.3">
      <c r="A89" t="s">
        <v>154</v>
      </c>
      <c r="B89" t="s">
        <v>9</v>
      </c>
      <c r="C89">
        <v>641</v>
      </c>
      <c r="D89" s="2">
        <v>26000</v>
      </c>
      <c r="E89" s="2">
        <f t="shared" si="1"/>
        <v>16666000</v>
      </c>
    </row>
    <row r="90" spans="1:5" hidden="1" x14ac:dyDescent="0.3">
      <c r="A90" t="s">
        <v>15</v>
      </c>
      <c r="B90" t="s">
        <v>3</v>
      </c>
      <c r="C90">
        <v>0</v>
      </c>
      <c r="D90"/>
      <c r="E90">
        <f t="shared" si="1"/>
        <v>0</v>
      </c>
    </row>
    <row r="91" spans="1:5" x14ac:dyDescent="0.3">
      <c r="A91" t="s">
        <v>6</v>
      </c>
      <c r="B91" t="s">
        <v>3</v>
      </c>
      <c r="C91">
        <v>150</v>
      </c>
      <c r="D91" s="2">
        <v>9500</v>
      </c>
      <c r="E91" s="2">
        <f t="shared" si="1"/>
        <v>1425000</v>
      </c>
    </row>
    <row r="92" spans="1:5" hidden="1" x14ac:dyDescent="0.3">
      <c r="A92" t="s">
        <v>97</v>
      </c>
      <c r="B92" t="s">
        <v>40</v>
      </c>
      <c r="C92">
        <v>0</v>
      </c>
      <c r="D92"/>
      <c r="E92">
        <f t="shared" si="1"/>
        <v>0</v>
      </c>
    </row>
    <row r="93" spans="1:5" hidden="1" x14ac:dyDescent="0.3">
      <c r="A93" t="s">
        <v>60</v>
      </c>
      <c r="B93" t="s">
        <v>30</v>
      </c>
      <c r="C93">
        <v>0</v>
      </c>
      <c r="D93"/>
      <c r="E93">
        <f t="shared" si="1"/>
        <v>0</v>
      </c>
    </row>
    <row r="94" spans="1:5" hidden="1" x14ac:dyDescent="0.3">
      <c r="A94" t="s">
        <v>100</v>
      </c>
      <c r="B94" t="s">
        <v>40</v>
      </c>
      <c r="C94">
        <v>0</v>
      </c>
      <c r="D94"/>
      <c r="E94">
        <f t="shared" si="1"/>
        <v>0</v>
      </c>
    </row>
    <row r="95" spans="1:5" hidden="1" x14ac:dyDescent="0.3">
      <c r="A95" t="s">
        <v>95</v>
      </c>
      <c r="B95" t="s">
        <v>40</v>
      </c>
      <c r="C95">
        <v>0</v>
      </c>
      <c r="D95"/>
      <c r="E95">
        <f t="shared" si="1"/>
        <v>0</v>
      </c>
    </row>
    <row r="96" spans="1:5" hidden="1" x14ac:dyDescent="0.3">
      <c r="A96" t="s">
        <v>85</v>
      </c>
      <c r="B96" t="s">
        <v>30</v>
      </c>
      <c r="C96">
        <v>0</v>
      </c>
      <c r="D96"/>
      <c r="E96">
        <f t="shared" si="1"/>
        <v>0</v>
      </c>
    </row>
    <row r="97" spans="1:5" hidden="1" x14ac:dyDescent="0.3">
      <c r="A97" t="s">
        <v>57</v>
      </c>
      <c r="B97" t="s">
        <v>30</v>
      </c>
      <c r="C97">
        <v>0</v>
      </c>
      <c r="D97"/>
      <c r="E97">
        <f t="shared" si="1"/>
        <v>0</v>
      </c>
    </row>
    <row r="98" spans="1:5" hidden="1" x14ac:dyDescent="0.3">
      <c r="A98" t="s">
        <v>14</v>
      </c>
      <c r="B98" t="s">
        <v>3</v>
      </c>
      <c r="C98">
        <v>0</v>
      </c>
      <c r="D98"/>
      <c r="E98">
        <f t="shared" si="1"/>
        <v>0</v>
      </c>
    </row>
    <row r="99" spans="1:5" x14ac:dyDescent="0.3">
      <c r="A99" t="s">
        <v>93</v>
      </c>
      <c r="B99" t="s">
        <v>3</v>
      </c>
      <c r="C99">
        <v>42</v>
      </c>
      <c r="D99" s="2">
        <v>13000</v>
      </c>
      <c r="E99" s="2">
        <f t="shared" si="1"/>
        <v>546000</v>
      </c>
    </row>
    <row r="100" spans="1:5" hidden="1" x14ac:dyDescent="0.3">
      <c r="A100" t="s">
        <v>69</v>
      </c>
      <c r="B100" t="s">
        <v>3</v>
      </c>
      <c r="C100">
        <v>0</v>
      </c>
      <c r="D100"/>
      <c r="E100">
        <f t="shared" si="1"/>
        <v>0</v>
      </c>
    </row>
    <row r="101" spans="1:5" x14ac:dyDescent="0.3">
      <c r="A101" t="s">
        <v>119</v>
      </c>
      <c r="B101" t="s">
        <v>3</v>
      </c>
      <c r="C101">
        <v>50</v>
      </c>
      <c r="D101" s="2">
        <v>10000</v>
      </c>
      <c r="E101" s="2">
        <f t="shared" si="1"/>
        <v>500000</v>
      </c>
    </row>
    <row r="102" spans="1:5" x14ac:dyDescent="0.3">
      <c r="A102" t="s">
        <v>111</v>
      </c>
      <c r="B102" t="s">
        <v>3</v>
      </c>
      <c r="C102">
        <v>1</v>
      </c>
      <c r="D102" s="2">
        <v>12000</v>
      </c>
      <c r="E102" s="2">
        <f t="shared" si="1"/>
        <v>12000</v>
      </c>
    </row>
    <row r="103" spans="1:5" x14ac:dyDescent="0.3">
      <c r="A103" t="s">
        <v>43</v>
      </c>
      <c r="B103" t="s">
        <v>3</v>
      </c>
      <c r="C103">
        <v>2</v>
      </c>
      <c r="D103" s="2">
        <v>16000</v>
      </c>
      <c r="E103" s="2">
        <f t="shared" si="1"/>
        <v>32000</v>
      </c>
    </row>
    <row r="104" spans="1:5" x14ac:dyDescent="0.3">
      <c r="A104" t="s">
        <v>158</v>
      </c>
      <c r="B104" t="s">
        <v>3</v>
      </c>
      <c r="C104">
        <v>450</v>
      </c>
      <c r="D104" s="2">
        <v>23000</v>
      </c>
      <c r="E104" s="2">
        <f t="shared" si="1"/>
        <v>10350000</v>
      </c>
    </row>
    <row r="105" spans="1:5" x14ac:dyDescent="0.3">
      <c r="A105" t="s">
        <v>79</v>
      </c>
      <c r="B105" t="s">
        <v>3</v>
      </c>
      <c r="C105">
        <v>28</v>
      </c>
      <c r="D105" s="2">
        <v>37000</v>
      </c>
      <c r="E105" s="2">
        <f t="shared" si="1"/>
        <v>1036000</v>
      </c>
    </row>
    <row r="106" spans="1:5" x14ac:dyDescent="0.3">
      <c r="A106" t="s">
        <v>81</v>
      </c>
      <c r="B106" t="s">
        <v>3</v>
      </c>
      <c r="C106">
        <v>35</v>
      </c>
      <c r="D106" s="2">
        <v>25000</v>
      </c>
      <c r="E106" s="2">
        <f t="shared" si="1"/>
        <v>875000</v>
      </c>
    </row>
    <row r="107" spans="1:5" x14ac:dyDescent="0.3">
      <c r="A107" t="s">
        <v>88</v>
      </c>
      <c r="B107" t="s">
        <v>9</v>
      </c>
      <c r="C107">
        <v>270</v>
      </c>
      <c r="D107" s="2">
        <v>11361</v>
      </c>
      <c r="E107" s="2">
        <f t="shared" si="1"/>
        <v>3067470</v>
      </c>
    </row>
    <row r="108" spans="1:5" x14ac:dyDescent="0.3">
      <c r="E108" s="2">
        <f>SUM(E9:E107)</f>
        <v>284683170</v>
      </c>
    </row>
    <row r="109" spans="1:5" x14ac:dyDescent="0.3">
      <c r="A109" t="s">
        <v>110</v>
      </c>
    </row>
    <row r="110" spans="1:5" x14ac:dyDescent="0.3">
      <c r="A110" t="s">
        <v>0</v>
      </c>
      <c r="B110" t="s">
        <v>1</v>
      </c>
      <c r="C110" t="s">
        <v>107</v>
      </c>
      <c r="D110" s="2" t="s">
        <v>108</v>
      </c>
      <c r="E110" s="2" t="s">
        <v>109</v>
      </c>
    </row>
    <row r="111" spans="1:5" x14ac:dyDescent="0.3">
      <c r="A111" t="s">
        <v>31</v>
      </c>
      <c r="B111" t="s">
        <v>3</v>
      </c>
      <c r="C111">
        <v>90</v>
      </c>
      <c r="D111" s="2">
        <v>10000</v>
      </c>
      <c r="E111" s="2">
        <f t="shared" si="1"/>
        <v>900000</v>
      </c>
    </row>
    <row r="112" spans="1:5" x14ac:dyDescent="0.3">
      <c r="A112" t="s">
        <v>44</v>
      </c>
      <c r="B112" t="s">
        <v>3</v>
      </c>
      <c r="C112">
        <v>28</v>
      </c>
      <c r="D112" s="2">
        <v>6000</v>
      </c>
      <c r="E112" s="2">
        <f t="shared" si="1"/>
        <v>168000</v>
      </c>
    </row>
    <row r="113" spans="1:5" hidden="1" x14ac:dyDescent="0.3">
      <c r="A113" t="s">
        <v>45</v>
      </c>
      <c r="B113" t="s">
        <v>3</v>
      </c>
      <c r="C113">
        <v>0</v>
      </c>
      <c r="D113"/>
      <c r="E113">
        <f t="shared" si="1"/>
        <v>0</v>
      </c>
    </row>
    <row r="114" spans="1:5" x14ac:dyDescent="0.3">
      <c r="A114" t="s">
        <v>47</v>
      </c>
      <c r="B114" t="s">
        <v>3</v>
      </c>
      <c r="C114">
        <v>88</v>
      </c>
      <c r="D114" s="2">
        <v>9000</v>
      </c>
      <c r="E114" s="2">
        <f t="shared" si="1"/>
        <v>792000</v>
      </c>
    </row>
    <row r="115" spans="1:5" x14ac:dyDescent="0.3">
      <c r="A115" t="s">
        <v>54</v>
      </c>
      <c r="B115" t="s">
        <v>3</v>
      </c>
      <c r="C115">
        <v>40</v>
      </c>
      <c r="D115" s="2">
        <v>15000</v>
      </c>
      <c r="E115" s="2">
        <f t="shared" si="1"/>
        <v>600000</v>
      </c>
    </row>
    <row r="116" spans="1:5" x14ac:dyDescent="0.3">
      <c r="A116" t="s">
        <v>59</v>
      </c>
      <c r="B116" t="s">
        <v>3</v>
      </c>
      <c r="C116">
        <v>55.000000000000007</v>
      </c>
      <c r="D116" s="2">
        <v>16000</v>
      </c>
      <c r="E116" s="2">
        <f t="shared" si="1"/>
        <v>880000.00000000012</v>
      </c>
    </row>
    <row r="117" spans="1:5" hidden="1" x14ac:dyDescent="0.3">
      <c r="A117" t="s">
        <v>61</v>
      </c>
      <c r="B117" t="s">
        <v>3</v>
      </c>
      <c r="C117">
        <v>0</v>
      </c>
      <c r="D117"/>
      <c r="E117">
        <f t="shared" si="1"/>
        <v>0</v>
      </c>
    </row>
    <row r="118" spans="1:5" hidden="1" x14ac:dyDescent="0.3">
      <c r="A118" t="s">
        <v>102</v>
      </c>
      <c r="B118" t="s">
        <v>3</v>
      </c>
      <c r="C118">
        <v>0</v>
      </c>
      <c r="D118"/>
      <c r="E118">
        <f t="shared" si="1"/>
        <v>0</v>
      </c>
    </row>
    <row r="119" spans="1:5" x14ac:dyDescent="0.3">
      <c r="A119" t="s">
        <v>2</v>
      </c>
      <c r="B119" t="s">
        <v>3</v>
      </c>
      <c r="C119">
        <v>4</v>
      </c>
      <c r="D119" s="2">
        <v>8000</v>
      </c>
      <c r="E119" s="2">
        <f t="shared" si="1"/>
        <v>32000</v>
      </c>
    </row>
    <row r="120" spans="1:5" x14ac:dyDescent="0.3">
      <c r="A120" t="s">
        <v>4</v>
      </c>
      <c r="B120" t="s">
        <v>3</v>
      </c>
      <c r="C120">
        <v>44</v>
      </c>
      <c r="D120" s="2">
        <v>4000</v>
      </c>
      <c r="E120" s="2">
        <f t="shared" si="1"/>
        <v>176000</v>
      </c>
    </row>
    <row r="121" spans="1:5" x14ac:dyDescent="0.3">
      <c r="A121" t="s">
        <v>5</v>
      </c>
      <c r="B121" t="s">
        <v>3</v>
      </c>
      <c r="C121">
        <v>220.00000000000003</v>
      </c>
      <c r="D121" s="2">
        <v>6000</v>
      </c>
      <c r="E121" s="2">
        <f t="shared" si="1"/>
        <v>1320000.0000000002</v>
      </c>
    </row>
    <row r="122" spans="1:5" hidden="1" x14ac:dyDescent="0.3">
      <c r="A122" t="s">
        <v>38</v>
      </c>
      <c r="B122" t="s">
        <v>3</v>
      </c>
      <c r="C122">
        <v>0</v>
      </c>
      <c r="D122"/>
      <c r="E122">
        <f t="shared" si="1"/>
        <v>0</v>
      </c>
    </row>
    <row r="123" spans="1:5" x14ac:dyDescent="0.3">
      <c r="A123" t="s">
        <v>39</v>
      </c>
      <c r="B123" t="s">
        <v>3</v>
      </c>
      <c r="C123">
        <v>44</v>
      </c>
      <c r="D123" s="2">
        <v>13000</v>
      </c>
      <c r="E123" s="2">
        <f t="shared" si="1"/>
        <v>572000</v>
      </c>
    </row>
    <row r="124" spans="1:5" hidden="1" x14ac:dyDescent="0.3">
      <c r="A124" t="s">
        <v>71</v>
      </c>
      <c r="B124" t="s">
        <v>3</v>
      </c>
      <c r="C124">
        <v>0</v>
      </c>
      <c r="D124"/>
      <c r="E124">
        <f t="shared" si="1"/>
        <v>0</v>
      </c>
    </row>
    <row r="125" spans="1:5" hidden="1" x14ac:dyDescent="0.3">
      <c r="A125" t="s">
        <v>95</v>
      </c>
      <c r="B125" t="s">
        <v>40</v>
      </c>
      <c r="C125">
        <v>0</v>
      </c>
      <c r="D125"/>
      <c r="E125">
        <f t="shared" si="1"/>
        <v>0</v>
      </c>
    </row>
    <row r="126" spans="1:5" hidden="1" x14ac:dyDescent="0.3">
      <c r="A126" t="s">
        <v>97</v>
      </c>
      <c r="B126" t="s">
        <v>40</v>
      </c>
      <c r="C126">
        <v>0</v>
      </c>
      <c r="D126"/>
      <c r="E126">
        <f t="shared" si="1"/>
        <v>0</v>
      </c>
    </row>
    <row r="127" spans="1:5" hidden="1" x14ac:dyDescent="0.3">
      <c r="A127" t="s">
        <v>100</v>
      </c>
      <c r="B127" t="s">
        <v>40</v>
      </c>
      <c r="C127">
        <v>0</v>
      </c>
      <c r="D127"/>
      <c r="E127">
        <f t="shared" si="1"/>
        <v>0</v>
      </c>
    </row>
    <row r="128" spans="1:5" hidden="1" x14ac:dyDescent="0.3">
      <c r="A128" t="s">
        <v>119</v>
      </c>
      <c r="B128" t="s">
        <v>3</v>
      </c>
      <c r="C128">
        <v>0</v>
      </c>
      <c r="D128"/>
      <c r="E128">
        <f t="shared" si="1"/>
        <v>0</v>
      </c>
    </row>
    <row r="129" spans="1:5" x14ac:dyDescent="0.3">
      <c r="A129" t="s">
        <v>7</v>
      </c>
      <c r="B129" t="s">
        <v>3</v>
      </c>
      <c r="C129">
        <v>33</v>
      </c>
      <c r="D129" s="2">
        <v>11000</v>
      </c>
      <c r="E129" s="2">
        <f t="shared" si="1"/>
        <v>363000</v>
      </c>
    </row>
    <row r="130" spans="1:5" x14ac:dyDescent="0.3">
      <c r="A130" t="s">
        <v>8</v>
      </c>
      <c r="B130" t="s">
        <v>3</v>
      </c>
      <c r="C130">
        <v>22</v>
      </c>
      <c r="D130" s="2">
        <v>10000</v>
      </c>
      <c r="E130" s="2">
        <f t="shared" si="1"/>
        <v>220000</v>
      </c>
    </row>
    <row r="131" spans="1:5" x14ac:dyDescent="0.3">
      <c r="A131" t="s">
        <v>18</v>
      </c>
      <c r="B131" t="s">
        <v>3</v>
      </c>
      <c r="C131">
        <v>44</v>
      </c>
      <c r="D131" s="2">
        <v>18000</v>
      </c>
      <c r="E131" s="2">
        <f t="shared" si="1"/>
        <v>792000</v>
      </c>
    </row>
    <row r="132" spans="1:5" x14ac:dyDescent="0.3">
      <c r="A132" t="s">
        <v>28</v>
      </c>
      <c r="B132" t="s">
        <v>3</v>
      </c>
      <c r="C132">
        <v>200</v>
      </c>
      <c r="D132" s="2">
        <v>22000</v>
      </c>
      <c r="E132" s="2">
        <f t="shared" si="1"/>
        <v>4400000</v>
      </c>
    </row>
    <row r="133" spans="1:5" x14ac:dyDescent="0.3">
      <c r="A133" t="s">
        <v>33</v>
      </c>
      <c r="B133" t="s">
        <v>3</v>
      </c>
      <c r="C133">
        <v>11</v>
      </c>
      <c r="D133" s="2">
        <v>10000</v>
      </c>
      <c r="E133" s="2">
        <f t="shared" si="1"/>
        <v>110000</v>
      </c>
    </row>
    <row r="134" spans="1:5" x14ac:dyDescent="0.3">
      <c r="A134" t="s">
        <v>78</v>
      </c>
      <c r="B134" t="s">
        <v>3</v>
      </c>
      <c r="C134">
        <v>16.5</v>
      </c>
      <c r="D134" s="2">
        <v>42000</v>
      </c>
      <c r="E134" s="2">
        <f t="shared" ref="E134:E148" si="2">C134*D134</f>
        <v>693000</v>
      </c>
    </row>
    <row r="135" spans="1:5" x14ac:dyDescent="0.3">
      <c r="A135" t="s">
        <v>80</v>
      </c>
      <c r="B135" t="s">
        <v>3</v>
      </c>
      <c r="C135">
        <v>11</v>
      </c>
      <c r="D135" s="2">
        <v>30000</v>
      </c>
      <c r="E135" s="2">
        <f t="shared" si="2"/>
        <v>330000</v>
      </c>
    </row>
    <row r="136" spans="1:5" x14ac:dyDescent="0.3">
      <c r="A136" t="s">
        <v>82</v>
      </c>
      <c r="B136" t="s">
        <v>3</v>
      </c>
      <c r="C136">
        <v>5.5</v>
      </c>
      <c r="D136" s="2">
        <v>35000</v>
      </c>
      <c r="E136" s="2">
        <f t="shared" si="2"/>
        <v>192500</v>
      </c>
    </row>
    <row r="137" spans="1:5" x14ac:dyDescent="0.3">
      <c r="A137" t="s">
        <v>92</v>
      </c>
      <c r="B137" t="s">
        <v>3</v>
      </c>
      <c r="C137">
        <v>33</v>
      </c>
      <c r="D137" s="2">
        <v>8500</v>
      </c>
      <c r="E137" s="2">
        <f t="shared" si="2"/>
        <v>280500</v>
      </c>
    </row>
    <row r="138" spans="1:5" x14ac:dyDescent="0.3">
      <c r="A138" t="s">
        <v>41</v>
      </c>
      <c r="B138" t="s">
        <v>3</v>
      </c>
      <c r="C138">
        <v>33</v>
      </c>
      <c r="D138" s="2">
        <v>14000</v>
      </c>
      <c r="E138" s="2">
        <f t="shared" si="2"/>
        <v>462000</v>
      </c>
    </row>
    <row r="139" spans="1:5" hidden="1" x14ac:dyDescent="0.3">
      <c r="A139" t="s">
        <v>105</v>
      </c>
      <c r="B139" t="s">
        <v>3</v>
      </c>
      <c r="C139">
        <v>0</v>
      </c>
      <c r="D139"/>
      <c r="E139">
        <f t="shared" si="2"/>
        <v>0</v>
      </c>
    </row>
    <row r="140" spans="1:5" hidden="1" x14ac:dyDescent="0.3">
      <c r="A140" t="s">
        <v>103</v>
      </c>
      <c r="B140" t="s">
        <v>3</v>
      </c>
      <c r="C140">
        <v>0</v>
      </c>
      <c r="D140"/>
      <c r="E140">
        <f t="shared" si="2"/>
        <v>0</v>
      </c>
    </row>
    <row r="141" spans="1:5" hidden="1" x14ac:dyDescent="0.3">
      <c r="A141" t="s">
        <v>68</v>
      </c>
      <c r="B141" t="s">
        <v>3</v>
      </c>
      <c r="C141">
        <v>0</v>
      </c>
      <c r="D141"/>
      <c r="E141">
        <f t="shared" si="2"/>
        <v>0</v>
      </c>
    </row>
    <row r="142" spans="1:5" hidden="1" x14ac:dyDescent="0.3">
      <c r="A142" t="s">
        <v>68</v>
      </c>
      <c r="B142" t="s">
        <v>17</v>
      </c>
      <c r="C142">
        <v>0</v>
      </c>
      <c r="D142"/>
      <c r="E142">
        <f t="shared" si="2"/>
        <v>0</v>
      </c>
    </row>
    <row r="143" spans="1:5" hidden="1" x14ac:dyDescent="0.3">
      <c r="A143" t="s">
        <v>72</v>
      </c>
      <c r="B143" t="s">
        <v>3</v>
      </c>
      <c r="C143">
        <v>0</v>
      </c>
      <c r="D143"/>
      <c r="E143">
        <f t="shared" si="2"/>
        <v>0</v>
      </c>
    </row>
    <row r="144" spans="1:5" hidden="1" x14ac:dyDescent="0.3">
      <c r="A144" t="s">
        <v>62</v>
      </c>
      <c r="B144" t="s">
        <v>30</v>
      </c>
      <c r="C144">
        <v>0</v>
      </c>
      <c r="D144"/>
      <c r="E144">
        <f t="shared" si="2"/>
        <v>0</v>
      </c>
    </row>
    <row r="145" spans="1:5" x14ac:dyDescent="0.3">
      <c r="A145" t="s">
        <v>63</v>
      </c>
      <c r="B145" t="s">
        <v>30</v>
      </c>
      <c r="C145">
        <v>18</v>
      </c>
      <c r="D145" s="2">
        <v>9000</v>
      </c>
      <c r="E145" s="2">
        <f t="shared" si="2"/>
        <v>162000</v>
      </c>
    </row>
    <row r="146" spans="1:5" hidden="1" x14ac:dyDescent="0.3">
      <c r="A146" t="s">
        <v>73</v>
      </c>
      <c r="B146" t="s">
        <v>3</v>
      </c>
      <c r="C146">
        <v>0</v>
      </c>
      <c r="D146"/>
      <c r="E146">
        <f t="shared" si="2"/>
        <v>0</v>
      </c>
    </row>
    <row r="147" spans="1:5" hidden="1" x14ac:dyDescent="0.3">
      <c r="A147" t="s">
        <v>94</v>
      </c>
      <c r="B147" t="s">
        <v>40</v>
      </c>
      <c r="C147">
        <v>0</v>
      </c>
      <c r="D147"/>
      <c r="E147">
        <f t="shared" si="2"/>
        <v>0</v>
      </c>
    </row>
    <row r="148" spans="1:5" x14ac:dyDescent="0.3">
      <c r="A148" t="s">
        <v>104</v>
      </c>
      <c r="B148" t="s">
        <v>3</v>
      </c>
      <c r="C148">
        <v>30</v>
      </c>
      <c r="D148" s="2">
        <v>3000</v>
      </c>
      <c r="E148" s="2">
        <f t="shared" si="2"/>
        <v>90000</v>
      </c>
    </row>
    <row r="149" spans="1:5" x14ac:dyDescent="0.3">
      <c r="E149" s="2">
        <f>SUM(E111:E148)</f>
        <v>13535000</v>
      </c>
    </row>
    <row r="150" spans="1:5" x14ac:dyDescent="0.3">
      <c r="E150" s="2">
        <f>E149+E108</f>
        <v>298218170</v>
      </c>
    </row>
  </sheetData>
  <autoFilter ref="A2:E148" xr:uid="{00000000-0009-0000-0000-000018000000}">
    <filterColumn colId="2">
      <filters>
        <filter val="1"/>
        <filter val="1.5"/>
        <filter val="10"/>
        <filter val="100"/>
        <filter val="1070"/>
        <filter val="11"/>
        <filter val="1200"/>
        <filter val="126"/>
        <filter val="1270"/>
        <filter val="15"/>
        <filter val="150"/>
        <filter val="16.5"/>
        <filter val="163"/>
        <filter val="178"/>
        <filter val="18"/>
        <filter val="1845"/>
        <filter val="1915"/>
        <filter val="1940"/>
        <filter val="195"/>
        <filter val="2"/>
        <filter val="200"/>
        <filter val="205"/>
        <filter val="22"/>
        <filter val="220"/>
        <filter val="23"/>
        <filter val="24"/>
        <filter val="25"/>
        <filter val="250"/>
        <filter val="26"/>
        <filter val="27"/>
        <filter val="270"/>
        <filter val="28"/>
        <filter val="3"/>
        <filter val="30"/>
        <filter val="33"/>
        <filter val="330"/>
        <filter val="34"/>
        <filter val="347"/>
        <filter val="35"/>
        <filter val="376"/>
        <filter val="382"/>
        <filter val="4"/>
        <filter val="40"/>
        <filter val="42"/>
        <filter val="44"/>
        <filter val="45"/>
        <filter val="450"/>
        <filter val="49"/>
        <filter val="5"/>
        <filter val="5.5"/>
        <filter val="50"/>
        <filter val="548"/>
        <filter val="55"/>
        <filter val="56"/>
        <filter val="641"/>
        <filter val="7"/>
        <filter val="8"/>
        <filter val="88"/>
        <filter val="89"/>
        <filter val="90"/>
        <filter val="940"/>
        <filter val="Tồn_x000a_ĐL_x000a__x000a_現在庫"/>
      </filters>
    </filterColumn>
  </autoFilter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CF77B-62BE-4EE5-842E-064F99787E05}">
  <sheetPr filterMode="1"/>
  <dimension ref="A1:E135"/>
  <sheetViews>
    <sheetView workbookViewId="0">
      <pane xSplit="1" ySplit="1" topLeftCell="B123" activePane="bottomRight" state="frozen"/>
      <selection pane="topRight" activeCell="B1" sqref="B1"/>
      <selection pane="bottomLeft" activeCell="A2" sqref="A2"/>
      <selection pane="bottomRight" activeCell="E135" sqref="E135"/>
    </sheetView>
  </sheetViews>
  <sheetFormatPr defaultRowHeight="15.6" x14ac:dyDescent="0.3"/>
  <cols>
    <col min="1" max="1" width="26.21875" style="32" bestFit="1" customWidth="1"/>
    <col min="2" max="2" width="11.33203125" style="32" bestFit="1" customWidth="1"/>
    <col min="3" max="3" width="18.44140625" style="32" customWidth="1"/>
    <col min="4" max="4" width="20.109375" style="38" customWidth="1"/>
    <col min="5" max="5" width="16.6640625" style="32" customWidth="1"/>
    <col min="6" max="16384" width="8.88671875" style="32"/>
  </cols>
  <sheetData>
    <row r="1" spans="1:5" ht="62.4" x14ac:dyDescent="0.3">
      <c r="A1" s="35" t="s">
        <v>130</v>
      </c>
      <c r="B1" s="16" t="s">
        <v>1</v>
      </c>
      <c r="C1" s="15" t="s">
        <v>137</v>
      </c>
      <c r="D1" s="31" t="s">
        <v>140</v>
      </c>
      <c r="E1" s="31" t="s">
        <v>141</v>
      </c>
    </row>
    <row r="2" spans="1:5" x14ac:dyDescent="0.3">
      <c r="A2" s="12" t="s">
        <v>2</v>
      </c>
      <c r="B2" s="12" t="s">
        <v>3</v>
      </c>
      <c r="C2" s="33">
        <v>7</v>
      </c>
      <c r="D2" s="37">
        <v>8000</v>
      </c>
      <c r="E2" s="36">
        <f>+D2*C2</f>
        <v>56000</v>
      </c>
    </row>
    <row r="3" spans="1:5" x14ac:dyDescent="0.3">
      <c r="A3" s="12" t="s">
        <v>4</v>
      </c>
      <c r="B3" s="12" t="s">
        <v>3</v>
      </c>
      <c r="C3" s="33">
        <v>318</v>
      </c>
      <c r="D3" s="37">
        <f>VLOOKUP(A3,'25.1'!A10:E149,4,0)</f>
        <v>4000</v>
      </c>
      <c r="E3" s="36">
        <f t="shared" ref="E3:E9" si="0">+D3*C3</f>
        <v>1272000</v>
      </c>
    </row>
    <row r="4" spans="1:5" x14ac:dyDescent="0.3">
      <c r="A4" s="12" t="s">
        <v>5</v>
      </c>
      <c r="B4" s="12" t="s">
        <v>3</v>
      </c>
      <c r="C4" s="33">
        <v>348</v>
      </c>
      <c r="D4" s="37">
        <f>VLOOKUP(A4,'25.1'!A11:E150,4,0)</f>
        <v>5500</v>
      </c>
      <c r="E4" s="36">
        <f t="shared" si="0"/>
        <v>1914000</v>
      </c>
    </row>
    <row r="5" spans="1:5" x14ac:dyDescent="0.3">
      <c r="A5" s="12" t="s">
        <v>119</v>
      </c>
      <c r="B5" s="12" t="s">
        <v>3</v>
      </c>
      <c r="C5" s="33">
        <v>54</v>
      </c>
      <c r="D5" s="37">
        <f>VLOOKUP(A5,'25.1'!A12:E151,4,0)</f>
        <v>10000</v>
      </c>
      <c r="E5" s="36">
        <f t="shared" si="0"/>
        <v>540000</v>
      </c>
    </row>
    <row r="6" spans="1:5" x14ac:dyDescent="0.3">
      <c r="A6" s="12" t="s">
        <v>6</v>
      </c>
      <c r="B6" s="12" t="s">
        <v>3</v>
      </c>
      <c r="C6" s="33">
        <v>150</v>
      </c>
      <c r="D6" s="37">
        <f>VLOOKUP(A6,'25.1'!A13:E152,4,0)</f>
        <v>9500</v>
      </c>
      <c r="E6" s="36">
        <f t="shared" si="0"/>
        <v>1425000</v>
      </c>
    </row>
    <row r="7" spans="1:5" x14ac:dyDescent="0.3">
      <c r="A7" s="12" t="s">
        <v>7</v>
      </c>
      <c r="B7" s="12" t="s">
        <v>3</v>
      </c>
      <c r="C7" s="33">
        <v>348</v>
      </c>
      <c r="D7" s="37">
        <f>VLOOKUP(A7,'25.1'!A14:E153,4,0)</f>
        <v>11000</v>
      </c>
      <c r="E7" s="36">
        <f t="shared" si="0"/>
        <v>3828000</v>
      </c>
    </row>
    <row r="8" spans="1:5" x14ac:dyDescent="0.3">
      <c r="A8" s="12" t="s">
        <v>111</v>
      </c>
      <c r="B8" s="12" t="s">
        <v>3</v>
      </c>
      <c r="C8" s="33">
        <v>1</v>
      </c>
      <c r="D8" s="37">
        <f>VLOOKUP(A8,'25.1'!A15:E154,4,0)</f>
        <v>12000</v>
      </c>
      <c r="E8" s="36">
        <f t="shared" si="0"/>
        <v>12000</v>
      </c>
    </row>
    <row r="9" spans="1:5" x14ac:dyDescent="0.3">
      <c r="A9" s="12" t="s">
        <v>8</v>
      </c>
      <c r="B9" s="12" t="s">
        <v>3</v>
      </c>
      <c r="C9" s="33">
        <v>167</v>
      </c>
      <c r="D9" s="37">
        <f>VLOOKUP(A9,'25.1'!A16:E155,4,0)</f>
        <v>10000</v>
      </c>
      <c r="E9" s="36">
        <f t="shared" si="0"/>
        <v>1670000</v>
      </c>
    </row>
    <row r="10" spans="1:5" hidden="1" x14ac:dyDescent="0.3">
      <c r="A10" s="12" t="s">
        <v>8</v>
      </c>
      <c r="B10" s="12" t="s">
        <v>9</v>
      </c>
      <c r="C10" s="33">
        <v>0</v>
      </c>
      <c r="D10" s="34"/>
      <c r="E10" s="34"/>
    </row>
    <row r="11" spans="1:5" x14ac:dyDescent="0.3">
      <c r="A11" s="12" t="s">
        <v>10</v>
      </c>
      <c r="B11" s="12" t="s">
        <v>3</v>
      </c>
      <c r="C11" s="33">
        <v>10</v>
      </c>
      <c r="D11" s="37">
        <f>VLOOKUP(A11,'25.1'!A18:E157,4,0)</f>
        <v>14000</v>
      </c>
      <c r="E11" s="36">
        <f>+D11*C11</f>
        <v>140000</v>
      </c>
    </row>
    <row r="12" spans="1:5" hidden="1" x14ac:dyDescent="0.3">
      <c r="A12" s="12" t="s">
        <v>12</v>
      </c>
      <c r="B12" s="12" t="s">
        <v>3</v>
      </c>
      <c r="C12" s="33">
        <v>0</v>
      </c>
      <c r="D12" s="34"/>
      <c r="E12" s="34"/>
    </row>
    <row r="13" spans="1:5" hidden="1" x14ac:dyDescent="0.3">
      <c r="A13" s="12" t="s">
        <v>15</v>
      </c>
      <c r="B13" s="12" t="s">
        <v>3</v>
      </c>
      <c r="C13" s="33">
        <v>0</v>
      </c>
      <c r="D13" s="34"/>
      <c r="E13" s="34"/>
    </row>
    <row r="14" spans="1:5" x14ac:dyDescent="0.3">
      <c r="A14" s="12" t="s">
        <v>16</v>
      </c>
      <c r="B14" s="12" t="s">
        <v>17</v>
      </c>
      <c r="C14" s="33">
        <v>26</v>
      </c>
      <c r="D14" s="37">
        <v>6000</v>
      </c>
      <c r="E14" s="36">
        <f t="shared" ref="E14:E15" si="1">+D14*C14</f>
        <v>156000</v>
      </c>
    </row>
    <row r="15" spans="1:5" x14ac:dyDescent="0.3">
      <c r="A15" s="12" t="s">
        <v>18</v>
      </c>
      <c r="B15" s="12" t="s">
        <v>3</v>
      </c>
      <c r="C15" s="33">
        <v>92</v>
      </c>
      <c r="D15" s="37">
        <f>VLOOKUP(A15,'25.1'!A22:E161,4,0)</f>
        <v>18000</v>
      </c>
      <c r="E15" s="36">
        <f t="shared" si="1"/>
        <v>1656000</v>
      </c>
    </row>
    <row r="16" spans="1:5" hidden="1" x14ac:dyDescent="0.3">
      <c r="A16" s="12" t="s">
        <v>18</v>
      </c>
      <c r="B16" s="12" t="s">
        <v>19</v>
      </c>
      <c r="C16" s="33">
        <v>0</v>
      </c>
      <c r="D16" s="34"/>
      <c r="E16" s="34"/>
    </row>
    <row r="17" spans="1:5" x14ac:dyDescent="0.3">
      <c r="A17" s="12" t="s">
        <v>131</v>
      </c>
      <c r="B17" s="12" t="s">
        <v>19</v>
      </c>
      <c r="C17" s="33">
        <v>80</v>
      </c>
      <c r="D17" s="37">
        <v>17000</v>
      </c>
      <c r="E17" s="36">
        <f t="shared" ref="E17:E21" si="2">+D17*C17</f>
        <v>1360000</v>
      </c>
    </row>
    <row r="18" spans="1:5" x14ac:dyDescent="0.3">
      <c r="A18" s="12" t="s">
        <v>20</v>
      </c>
      <c r="B18" s="12" t="s">
        <v>3</v>
      </c>
      <c r="C18" s="33">
        <v>30</v>
      </c>
      <c r="D18" s="37">
        <f>VLOOKUP(A18,'25.1'!A25:E164,4,0)</f>
        <v>16000</v>
      </c>
      <c r="E18" s="36">
        <f t="shared" si="2"/>
        <v>480000</v>
      </c>
    </row>
    <row r="19" spans="1:5" x14ac:dyDescent="0.3">
      <c r="A19" s="12" t="s">
        <v>20</v>
      </c>
      <c r="B19" s="12" t="s">
        <v>21</v>
      </c>
      <c r="C19" s="33">
        <v>74</v>
      </c>
      <c r="D19" s="37">
        <f>VLOOKUP(A19,'25.1'!A26:E165,4,0)</f>
        <v>16000</v>
      </c>
      <c r="E19" s="36">
        <f t="shared" si="2"/>
        <v>1184000</v>
      </c>
    </row>
    <row r="20" spans="1:5" x14ac:dyDescent="0.3">
      <c r="A20" s="12" t="s">
        <v>22</v>
      </c>
      <c r="B20" s="12" t="s">
        <v>23</v>
      </c>
      <c r="C20" s="33">
        <v>103</v>
      </c>
      <c r="D20" s="37">
        <f>VLOOKUP(A20,'25.1'!A27:E166,4,0)*0.3</f>
        <v>5400</v>
      </c>
      <c r="E20" s="36">
        <f t="shared" si="2"/>
        <v>556200</v>
      </c>
    </row>
    <row r="21" spans="1:5" x14ac:dyDescent="0.3">
      <c r="A21" s="12" t="s">
        <v>24</v>
      </c>
      <c r="B21" s="12" t="s">
        <v>25</v>
      </c>
      <c r="C21" s="33">
        <v>25</v>
      </c>
      <c r="D21" s="37">
        <f>VLOOKUP(A21,'25.1'!A28:E167,4,0)</f>
        <v>11100</v>
      </c>
      <c r="E21" s="36">
        <f t="shared" si="2"/>
        <v>277500</v>
      </c>
    </row>
    <row r="22" spans="1:5" hidden="1" x14ac:dyDescent="0.3">
      <c r="A22" s="12" t="s">
        <v>26</v>
      </c>
      <c r="B22" s="12" t="s">
        <v>27</v>
      </c>
      <c r="C22" s="33">
        <v>0</v>
      </c>
      <c r="D22" s="34"/>
      <c r="E22" s="34"/>
    </row>
    <row r="23" spans="1:5" x14ac:dyDescent="0.3">
      <c r="A23" s="12" t="s">
        <v>28</v>
      </c>
      <c r="B23" s="12" t="s">
        <v>3</v>
      </c>
      <c r="C23" s="33">
        <v>494</v>
      </c>
      <c r="D23" s="37">
        <v>22000</v>
      </c>
      <c r="E23" s="36">
        <f>+D23*C23</f>
        <v>10868000</v>
      </c>
    </row>
    <row r="24" spans="1:5" hidden="1" x14ac:dyDescent="0.3">
      <c r="A24" s="12" t="s">
        <v>28</v>
      </c>
      <c r="B24" s="12" t="s">
        <v>17</v>
      </c>
      <c r="C24" s="33">
        <v>0</v>
      </c>
      <c r="D24" s="34"/>
      <c r="E24" s="34"/>
    </row>
    <row r="25" spans="1:5" x14ac:dyDescent="0.3">
      <c r="A25" s="12" t="s">
        <v>29</v>
      </c>
      <c r="B25" s="12" t="s">
        <v>30</v>
      </c>
      <c r="C25" s="33">
        <v>215</v>
      </c>
      <c r="D25" s="37">
        <v>18000</v>
      </c>
      <c r="E25" s="36">
        <f t="shared" ref="E25:E26" si="3">+D25*C25</f>
        <v>3870000</v>
      </c>
    </row>
    <row r="26" spans="1:5" x14ac:dyDescent="0.3">
      <c r="A26" s="12" t="s">
        <v>31</v>
      </c>
      <c r="B26" s="12" t="s">
        <v>3</v>
      </c>
      <c r="C26" s="33">
        <v>61</v>
      </c>
      <c r="D26" s="37">
        <f>VLOOKUP(A26,'25.1'!A33:E172,4,0)</f>
        <v>10000</v>
      </c>
      <c r="E26" s="36">
        <f t="shared" si="3"/>
        <v>610000</v>
      </c>
    </row>
    <row r="27" spans="1:5" hidden="1" x14ac:dyDescent="0.3">
      <c r="A27" s="12" t="s">
        <v>31</v>
      </c>
      <c r="B27" s="12" t="s">
        <v>30</v>
      </c>
      <c r="C27" s="33">
        <v>0</v>
      </c>
      <c r="D27" s="34"/>
      <c r="E27" s="34"/>
    </row>
    <row r="28" spans="1:5" x14ac:dyDescent="0.3">
      <c r="A28" s="12" t="s">
        <v>32</v>
      </c>
      <c r="B28" s="12" t="s">
        <v>17</v>
      </c>
      <c r="C28" s="33">
        <v>9</v>
      </c>
      <c r="D28" s="37">
        <v>8000</v>
      </c>
      <c r="E28" s="36">
        <f t="shared" ref="E28:E29" si="4">+D28*C28</f>
        <v>72000</v>
      </c>
    </row>
    <row r="29" spans="1:5" x14ac:dyDescent="0.3">
      <c r="A29" s="12" t="s">
        <v>33</v>
      </c>
      <c r="B29" s="12" t="s">
        <v>3</v>
      </c>
      <c r="C29" s="33">
        <v>95</v>
      </c>
      <c r="D29" s="37">
        <f>VLOOKUP(A29,'25.1'!A36:E175,4,0)</f>
        <v>8000</v>
      </c>
      <c r="E29" s="36">
        <f t="shared" si="4"/>
        <v>760000</v>
      </c>
    </row>
    <row r="30" spans="1:5" hidden="1" x14ac:dyDescent="0.3">
      <c r="A30" s="12" t="s">
        <v>33</v>
      </c>
      <c r="B30" s="12" t="s">
        <v>34</v>
      </c>
      <c r="C30" s="33">
        <v>0</v>
      </c>
      <c r="D30" s="34"/>
      <c r="E30" s="34"/>
    </row>
    <row r="31" spans="1:5" x14ac:dyDescent="0.3">
      <c r="A31" s="12" t="s">
        <v>35</v>
      </c>
      <c r="B31" s="12" t="s">
        <v>3</v>
      </c>
      <c r="C31" s="33">
        <v>19</v>
      </c>
      <c r="D31" s="37">
        <v>22000</v>
      </c>
      <c r="E31" s="36">
        <f>+D31*C31</f>
        <v>418000</v>
      </c>
    </row>
    <row r="32" spans="1:5" hidden="1" x14ac:dyDescent="0.3">
      <c r="A32" s="12" t="s">
        <v>35</v>
      </c>
      <c r="B32" s="12" t="s">
        <v>30</v>
      </c>
      <c r="C32" s="33">
        <v>0</v>
      </c>
      <c r="D32" s="34"/>
      <c r="E32" s="34"/>
    </row>
    <row r="33" spans="1:5" x14ac:dyDescent="0.3">
      <c r="A33" s="12" t="s">
        <v>36</v>
      </c>
      <c r="B33" s="12" t="s">
        <v>30</v>
      </c>
      <c r="C33" s="33">
        <v>37</v>
      </c>
      <c r="D33" s="37">
        <f>VLOOKUP(A33,'25.1'!A40:E179,4,0)</f>
        <v>5000</v>
      </c>
      <c r="E33" s="36">
        <f t="shared" ref="E33:E34" si="5">+D33*C33</f>
        <v>185000</v>
      </c>
    </row>
    <row r="34" spans="1:5" x14ac:dyDescent="0.3">
      <c r="A34" s="12" t="s">
        <v>37</v>
      </c>
      <c r="B34" s="12" t="s">
        <v>30</v>
      </c>
      <c r="C34" s="33">
        <v>42</v>
      </c>
      <c r="D34" s="37">
        <v>4300</v>
      </c>
      <c r="E34" s="36">
        <f t="shared" si="5"/>
        <v>180600</v>
      </c>
    </row>
    <row r="35" spans="1:5" hidden="1" x14ac:dyDescent="0.3">
      <c r="A35" s="12" t="s">
        <v>38</v>
      </c>
      <c r="B35" s="12" t="s">
        <v>3</v>
      </c>
      <c r="C35" s="33">
        <v>0</v>
      </c>
      <c r="D35" s="34"/>
      <c r="E35" s="34"/>
    </row>
    <row r="36" spans="1:5" hidden="1" x14ac:dyDescent="0.3">
      <c r="A36" s="12" t="s">
        <v>39</v>
      </c>
      <c r="B36" s="12" t="s">
        <v>40</v>
      </c>
      <c r="C36" s="33">
        <v>0</v>
      </c>
      <c r="D36" s="34"/>
      <c r="E36" s="34"/>
    </row>
    <row r="37" spans="1:5" x14ac:dyDescent="0.3">
      <c r="A37" s="12" t="s">
        <v>39</v>
      </c>
      <c r="B37" s="12" t="s">
        <v>3</v>
      </c>
      <c r="C37" s="33">
        <v>100</v>
      </c>
      <c r="D37" s="37">
        <f>VLOOKUP(A37,'25.1'!A44:E183,4,0)</f>
        <v>13000</v>
      </c>
      <c r="E37" s="36">
        <f t="shared" ref="E37:E39" si="6">+D37*C37</f>
        <v>1300000</v>
      </c>
    </row>
    <row r="38" spans="1:5" x14ac:dyDescent="0.3">
      <c r="A38" s="12" t="s">
        <v>41</v>
      </c>
      <c r="B38" s="12" t="s">
        <v>3</v>
      </c>
      <c r="C38" s="33">
        <v>93</v>
      </c>
      <c r="D38" s="37">
        <f>VLOOKUP(A38,'25.1'!A45:E184,4,0)</f>
        <v>14000</v>
      </c>
      <c r="E38" s="36">
        <f t="shared" si="6"/>
        <v>1302000</v>
      </c>
    </row>
    <row r="39" spans="1:5" x14ac:dyDescent="0.3">
      <c r="A39" s="12" t="s">
        <v>43</v>
      </c>
      <c r="B39" s="12" t="s">
        <v>3</v>
      </c>
      <c r="C39" s="33">
        <v>2</v>
      </c>
      <c r="D39" s="37">
        <f>VLOOKUP(A39,'25.1'!A46:E185,4,0)</f>
        <v>16000</v>
      </c>
      <c r="E39" s="36">
        <f t="shared" si="6"/>
        <v>32000</v>
      </c>
    </row>
    <row r="40" spans="1:5" hidden="1" x14ac:dyDescent="0.3">
      <c r="A40" s="12" t="s">
        <v>44</v>
      </c>
      <c r="B40" s="12" t="s">
        <v>3</v>
      </c>
      <c r="C40" s="33">
        <v>0</v>
      </c>
      <c r="D40" s="34"/>
      <c r="E40" s="34"/>
    </row>
    <row r="41" spans="1:5" x14ac:dyDescent="0.3">
      <c r="A41" s="12" t="s">
        <v>45</v>
      </c>
      <c r="B41" s="12" t="s">
        <v>3</v>
      </c>
      <c r="C41" s="33">
        <v>30</v>
      </c>
      <c r="D41" s="37">
        <v>11000</v>
      </c>
      <c r="E41" s="36">
        <f>+D41*C41</f>
        <v>330000</v>
      </c>
    </row>
    <row r="42" spans="1:5" hidden="1" x14ac:dyDescent="0.3">
      <c r="A42" s="12" t="s">
        <v>45</v>
      </c>
      <c r="B42" s="12" t="s">
        <v>30</v>
      </c>
      <c r="C42" s="33">
        <v>0</v>
      </c>
      <c r="D42" s="34"/>
      <c r="E42" s="34"/>
    </row>
    <row r="43" spans="1:5" x14ac:dyDescent="0.3">
      <c r="A43" s="12" t="s">
        <v>46</v>
      </c>
      <c r="B43" s="12" t="s">
        <v>3</v>
      </c>
      <c r="C43" s="33">
        <v>7</v>
      </c>
      <c r="D43" s="37">
        <f>VLOOKUP(A43,'27.1'!A2:D143,4,0)</f>
        <v>18000</v>
      </c>
      <c r="E43" s="36">
        <f t="shared" ref="E43:E44" si="7">+D43*C43</f>
        <v>126000</v>
      </c>
    </row>
    <row r="44" spans="1:5" x14ac:dyDescent="0.3">
      <c r="A44" s="12" t="s">
        <v>47</v>
      </c>
      <c r="B44" s="12" t="s">
        <v>3</v>
      </c>
      <c r="C44" s="33">
        <v>347</v>
      </c>
      <c r="D44" s="37">
        <f>VLOOKUP(A44,'27.1'!A3:D144,4,0)</f>
        <v>10000</v>
      </c>
      <c r="E44" s="36">
        <f t="shared" si="7"/>
        <v>3470000</v>
      </c>
    </row>
    <row r="45" spans="1:5" hidden="1" x14ac:dyDescent="0.3">
      <c r="A45" s="12" t="s">
        <v>47</v>
      </c>
      <c r="B45" s="12" t="s">
        <v>48</v>
      </c>
      <c r="C45" s="33">
        <v>0</v>
      </c>
      <c r="D45" s="34"/>
      <c r="E45" s="34"/>
    </row>
    <row r="46" spans="1:5" x14ac:dyDescent="0.3">
      <c r="A46" s="12" t="s">
        <v>50</v>
      </c>
      <c r="B46" s="12" t="s">
        <v>30</v>
      </c>
      <c r="C46" s="33">
        <v>380</v>
      </c>
      <c r="D46" s="37">
        <f>VLOOKUP(A46,'27.1'!A5:D146,4,0)</f>
        <v>2400</v>
      </c>
      <c r="E46" s="36">
        <f t="shared" ref="E46:E48" si="8">+D46*C46</f>
        <v>912000</v>
      </c>
    </row>
    <row r="47" spans="1:5" x14ac:dyDescent="0.3">
      <c r="A47" s="12" t="s">
        <v>51</v>
      </c>
      <c r="B47" s="12" t="s">
        <v>3</v>
      </c>
      <c r="C47" s="33">
        <v>1400</v>
      </c>
      <c r="D47" s="37">
        <v>28000</v>
      </c>
      <c r="E47" s="36">
        <f t="shared" si="8"/>
        <v>39200000</v>
      </c>
    </row>
    <row r="48" spans="1:5" x14ac:dyDescent="0.3">
      <c r="A48" s="12" t="s">
        <v>52</v>
      </c>
      <c r="B48" s="12" t="s">
        <v>3</v>
      </c>
      <c r="C48" s="33">
        <v>1940</v>
      </c>
      <c r="D48" s="37">
        <v>27000</v>
      </c>
      <c r="E48" s="36">
        <f t="shared" si="8"/>
        <v>52380000</v>
      </c>
    </row>
    <row r="49" spans="1:5" hidden="1" x14ac:dyDescent="0.3">
      <c r="A49" s="12" t="s">
        <v>52</v>
      </c>
      <c r="B49" s="12" t="s">
        <v>30</v>
      </c>
      <c r="C49" s="33">
        <v>0</v>
      </c>
      <c r="D49" s="34"/>
      <c r="E49" s="34"/>
    </row>
    <row r="50" spans="1:5" x14ac:dyDescent="0.3">
      <c r="A50" s="12" t="s">
        <v>158</v>
      </c>
      <c r="B50" s="12" t="s">
        <v>3</v>
      </c>
      <c r="C50" s="33">
        <v>350</v>
      </c>
      <c r="D50" s="37">
        <v>27000</v>
      </c>
      <c r="E50" s="36">
        <f t="shared" ref="E50:E52" si="9">+D50*C50</f>
        <v>9450000</v>
      </c>
    </row>
    <row r="51" spans="1:5" x14ac:dyDescent="0.3">
      <c r="A51" s="12" t="s">
        <v>54</v>
      </c>
      <c r="B51" s="12" t="s">
        <v>3</v>
      </c>
      <c r="C51" s="33">
        <v>76</v>
      </c>
      <c r="D51" s="37">
        <f>VLOOKUP(A51,'27.1'!A10:D151,4,0)</f>
        <v>16000</v>
      </c>
      <c r="E51" s="36">
        <f t="shared" si="9"/>
        <v>1216000</v>
      </c>
    </row>
    <row r="52" spans="1:5" x14ac:dyDescent="0.3">
      <c r="A52" s="12" t="s">
        <v>55</v>
      </c>
      <c r="B52" s="12" t="s">
        <v>3</v>
      </c>
      <c r="C52" s="33">
        <v>8</v>
      </c>
      <c r="D52" s="37">
        <f>VLOOKUP(A52,'27.1'!A11:D152,4,0)</f>
        <v>24000</v>
      </c>
      <c r="E52" s="36">
        <f t="shared" si="9"/>
        <v>192000</v>
      </c>
    </row>
    <row r="53" spans="1:5" hidden="1" x14ac:dyDescent="0.3">
      <c r="A53" s="12" t="s">
        <v>57</v>
      </c>
      <c r="B53" s="12" t="s">
        <v>30</v>
      </c>
      <c r="C53" s="33">
        <v>0</v>
      </c>
      <c r="D53" s="34"/>
      <c r="E53" s="34"/>
    </row>
    <row r="54" spans="1:5" hidden="1" x14ac:dyDescent="0.3">
      <c r="A54" s="12" t="s">
        <v>59</v>
      </c>
      <c r="B54" s="12" t="s">
        <v>3</v>
      </c>
      <c r="C54" s="33">
        <v>0</v>
      </c>
      <c r="D54" s="34"/>
      <c r="E54" s="34"/>
    </row>
    <row r="55" spans="1:5" hidden="1" x14ac:dyDescent="0.3">
      <c r="A55" s="12" t="s">
        <v>59</v>
      </c>
      <c r="B55" s="12" t="s">
        <v>30</v>
      </c>
      <c r="C55" s="33">
        <v>0</v>
      </c>
      <c r="D55" s="34"/>
      <c r="E55" s="34"/>
    </row>
    <row r="56" spans="1:5" x14ac:dyDescent="0.3">
      <c r="A56" s="12" t="s">
        <v>60</v>
      </c>
      <c r="B56" s="12" t="s">
        <v>30</v>
      </c>
      <c r="C56" s="33">
        <v>300</v>
      </c>
      <c r="D56" s="37">
        <f>VLOOKUP(A56,'27.1'!A15:D156,4,0)</f>
        <v>14000</v>
      </c>
      <c r="E56" s="36">
        <f>+D56*C56</f>
        <v>4200000</v>
      </c>
    </row>
    <row r="57" spans="1:5" hidden="1" x14ac:dyDescent="0.3">
      <c r="A57" s="12" t="s">
        <v>61</v>
      </c>
      <c r="B57" s="12" t="s">
        <v>3</v>
      </c>
      <c r="C57" s="33">
        <v>0</v>
      </c>
      <c r="D57" s="34"/>
      <c r="E57" s="34"/>
    </row>
    <row r="58" spans="1:5" x14ac:dyDescent="0.3">
      <c r="A58" s="12" t="s">
        <v>62</v>
      </c>
      <c r="B58" s="12" t="s">
        <v>30</v>
      </c>
      <c r="C58" s="33">
        <v>7</v>
      </c>
      <c r="D58" s="37">
        <v>6000</v>
      </c>
      <c r="E58" s="36">
        <f t="shared" ref="E58:E63" si="10">+D58*C58</f>
        <v>42000</v>
      </c>
    </row>
    <row r="59" spans="1:5" x14ac:dyDescent="0.3">
      <c r="A59" s="12" t="s">
        <v>63</v>
      </c>
      <c r="B59" s="12" t="s">
        <v>64</v>
      </c>
      <c r="C59" s="33">
        <v>25</v>
      </c>
      <c r="D59" s="37">
        <v>13000</v>
      </c>
      <c r="E59" s="36">
        <f t="shared" si="10"/>
        <v>325000</v>
      </c>
    </row>
    <row r="60" spans="1:5" x14ac:dyDescent="0.3">
      <c r="A60" s="12" t="s">
        <v>65</v>
      </c>
      <c r="B60" s="12" t="s">
        <v>3</v>
      </c>
      <c r="C60" s="33">
        <v>3</v>
      </c>
      <c r="D60" s="37">
        <v>80000</v>
      </c>
      <c r="E60" s="36">
        <f t="shared" si="10"/>
        <v>240000</v>
      </c>
    </row>
    <row r="61" spans="1:5" x14ac:dyDescent="0.3">
      <c r="A61" s="12" t="s">
        <v>66</v>
      </c>
      <c r="B61" s="12" t="s">
        <v>3</v>
      </c>
      <c r="C61" s="33">
        <v>3</v>
      </c>
      <c r="D61" s="37">
        <v>70000</v>
      </c>
      <c r="E61" s="36">
        <f t="shared" si="10"/>
        <v>210000</v>
      </c>
    </row>
    <row r="62" spans="1:5" x14ac:dyDescent="0.3">
      <c r="A62" s="12" t="s">
        <v>67</v>
      </c>
      <c r="B62" s="12" t="s">
        <v>3</v>
      </c>
      <c r="C62" s="33">
        <v>3</v>
      </c>
      <c r="D62" s="37">
        <v>70000</v>
      </c>
      <c r="E62" s="36">
        <f t="shared" si="10"/>
        <v>210000</v>
      </c>
    </row>
    <row r="63" spans="1:5" x14ac:dyDescent="0.3">
      <c r="A63" s="12" t="s">
        <v>68</v>
      </c>
      <c r="B63" s="12" t="s">
        <v>3</v>
      </c>
      <c r="C63" s="33">
        <v>145</v>
      </c>
      <c r="D63" s="37">
        <f>VLOOKUP(A63,'27.1'!A22:D163,4,0)</f>
        <v>6500</v>
      </c>
      <c r="E63" s="36">
        <f t="shared" si="10"/>
        <v>942500</v>
      </c>
    </row>
    <row r="64" spans="1:5" hidden="1" x14ac:dyDescent="0.3">
      <c r="A64" s="12" t="s">
        <v>68</v>
      </c>
      <c r="B64" s="12" t="s">
        <v>17</v>
      </c>
      <c r="C64" s="33">
        <v>0</v>
      </c>
      <c r="D64" s="34"/>
      <c r="E64" s="34"/>
    </row>
    <row r="65" spans="1:5" x14ac:dyDescent="0.3">
      <c r="A65" s="12" t="s">
        <v>69</v>
      </c>
      <c r="B65" s="12" t="s">
        <v>3</v>
      </c>
      <c r="C65" s="33">
        <v>4</v>
      </c>
      <c r="D65" s="37">
        <f>VLOOKUP(A65,'27.1'!A24:D165,4,0)</f>
        <v>18000</v>
      </c>
      <c r="E65" s="36">
        <f t="shared" ref="E65:E66" si="11">+D65*C65</f>
        <v>72000</v>
      </c>
    </row>
    <row r="66" spans="1:5" x14ac:dyDescent="0.3">
      <c r="A66" s="12" t="s">
        <v>70</v>
      </c>
      <c r="B66" s="12" t="s">
        <v>3</v>
      </c>
      <c r="C66" s="33">
        <v>100</v>
      </c>
      <c r="D66" s="37">
        <f>VLOOKUP(A66,'27.1'!A25:D166,4,0)</f>
        <v>16000</v>
      </c>
      <c r="E66" s="36">
        <f t="shared" si="11"/>
        <v>1600000</v>
      </c>
    </row>
    <row r="67" spans="1:5" hidden="1" x14ac:dyDescent="0.3">
      <c r="A67" s="12" t="s">
        <v>71</v>
      </c>
      <c r="B67" s="12" t="s">
        <v>40</v>
      </c>
      <c r="C67" s="33">
        <v>0</v>
      </c>
      <c r="D67" s="34"/>
      <c r="E67" s="34"/>
    </row>
    <row r="68" spans="1:5" x14ac:dyDescent="0.3">
      <c r="A68" s="12" t="s">
        <v>71</v>
      </c>
      <c r="B68" s="12" t="s">
        <v>3</v>
      </c>
      <c r="C68" s="33">
        <v>5</v>
      </c>
      <c r="D68" s="37">
        <v>14000</v>
      </c>
      <c r="E68" s="36">
        <f t="shared" ref="E68:E71" si="12">+D68*C68</f>
        <v>70000</v>
      </c>
    </row>
    <row r="69" spans="1:5" x14ac:dyDescent="0.3">
      <c r="A69" s="12" t="s">
        <v>72</v>
      </c>
      <c r="B69" s="12" t="s">
        <v>3</v>
      </c>
      <c r="C69" s="33">
        <v>820</v>
      </c>
      <c r="D69" s="37">
        <v>27600</v>
      </c>
      <c r="E69" s="36">
        <f t="shared" si="12"/>
        <v>22632000</v>
      </c>
    </row>
    <row r="70" spans="1:5" x14ac:dyDescent="0.3">
      <c r="A70" s="12" t="s">
        <v>74</v>
      </c>
      <c r="B70" s="12" t="s">
        <v>30</v>
      </c>
      <c r="C70" s="33">
        <v>140</v>
      </c>
      <c r="D70" s="37">
        <f>VLOOKUP(A70,'27.1'!A29:D170,4,0)</f>
        <v>3200</v>
      </c>
      <c r="E70" s="36">
        <f t="shared" si="12"/>
        <v>448000</v>
      </c>
    </row>
    <row r="71" spans="1:5" x14ac:dyDescent="0.3">
      <c r="A71" s="12" t="s">
        <v>75</v>
      </c>
      <c r="B71" s="12" t="s">
        <v>3</v>
      </c>
      <c r="C71" s="33">
        <v>7</v>
      </c>
      <c r="D71" s="37">
        <f>VLOOKUP(A71,'27.1'!A30:D171,4,0)</f>
        <v>14000</v>
      </c>
      <c r="E71" s="36">
        <f t="shared" si="12"/>
        <v>98000</v>
      </c>
    </row>
    <row r="72" spans="1:5" hidden="1" x14ac:dyDescent="0.3">
      <c r="A72" s="12" t="s">
        <v>76</v>
      </c>
      <c r="B72" s="12" t="s">
        <v>17</v>
      </c>
      <c r="C72" s="33">
        <v>0</v>
      </c>
      <c r="D72" s="34"/>
      <c r="E72" s="34"/>
    </row>
    <row r="73" spans="1:5" x14ac:dyDescent="0.3">
      <c r="A73" s="12" t="s">
        <v>78</v>
      </c>
      <c r="B73" s="12" t="s">
        <v>3</v>
      </c>
      <c r="C73" s="33">
        <v>6</v>
      </c>
      <c r="D73" s="37">
        <f>VLOOKUP(A73,'27.1'!A32:D173,4,0)</f>
        <v>40000</v>
      </c>
      <c r="E73" s="36">
        <f>+D73*C73</f>
        <v>240000</v>
      </c>
    </row>
    <row r="74" spans="1:5" hidden="1" x14ac:dyDescent="0.3">
      <c r="A74" s="12" t="s">
        <v>78</v>
      </c>
      <c r="B74" s="12" t="s">
        <v>9</v>
      </c>
      <c r="C74" s="33">
        <v>0</v>
      </c>
      <c r="D74" s="34"/>
      <c r="E74" s="34"/>
    </row>
    <row r="75" spans="1:5" x14ac:dyDescent="0.3">
      <c r="A75" s="12" t="s">
        <v>79</v>
      </c>
      <c r="B75" s="12" t="s">
        <v>3</v>
      </c>
      <c r="C75" s="33">
        <v>20</v>
      </c>
      <c r="D75" s="37">
        <v>29000</v>
      </c>
      <c r="E75" s="36">
        <f t="shared" ref="E75:E76" si="13">+D75*C75</f>
        <v>580000</v>
      </c>
    </row>
    <row r="76" spans="1:5" x14ac:dyDescent="0.3">
      <c r="A76" s="12" t="s">
        <v>80</v>
      </c>
      <c r="B76" s="12" t="s">
        <v>3</v>
      </c>
      <c r="C76" s="33">
        <v>68</v>
      </c>
      <c r="D76" s="37">
        <v>26000</v>
      </c>
      <c r="E76" s="36">
        <f t="shared" si="13"/>
        <v>1768000</v>
      </c>
    </row>
    <row r="77" spans="1:5" hidden="1" x14ac:dyDescent="0.3">
      <c r="A77" s="12" t="s">
        <v>80</v>
      </c>
      <c r="B77" s="12" t="s">
        <v>9</v>
      </c>
      <c r="C77" s="33">
        <v>0</v>
      </c>
      <c r="D77" s="34"/>
      <c r="E77" s="34"/>
    </row>
    <row r="78" spans="1:5" x14ac:dyDescent="0.3">
      <c r="A78" s="12" t="s">
        <v>81</v>
      </c>
      <c r="B78" s="12" t="s">
        <v>3</v>
      </c>
      <c r="C78" s="33">
        <v>10</v>
      </c>
      <c r="D78" s="37">
        <v>21000</v>
      </c>
      <c r="E78" s="36">
        <f t="shared" ref="E78:E79" si="14">+D78*C78</f>
        <v>210000</v>
      </c>
    </row>
    <row r="79" spans="1:5" x14ac:dyDescent="0.3">
      <c r="A79" s="12" t="s">
        <v>82</v>
      </c>
      <c r="B79" s="12" t="s">
        <v>3</v>
      </c>
      <c r="C79" s="33">
        <v>23</v>
      </c>
      <c r="D79" s="37">
        <v>26000</v>
      </c>
      <c r="E79" s="36">
        <f t="shared" si="14"/>
        <v>598000</v>
      </c>
    </row>
    <row r="80" spans="1:5" hidden="1" x14ac:dyDescent="0.3">
      <c r="A80" s="12" t="s">
        <v>82</v>
      </c>
      <c r="B80" s="12" t="s">
        <v>9</v>
      </c>
      <c r="C80" s="33">
        <v>0</v>
      </c>
      <c r="D80" s="34"/>
      <c r="E80" s="34"/>
    </row>
    <row r="81" spans="1:5" x14ac:dyDescent="0.3">
      <c r="A81" s="12" t="s">
        <v>84</v>
      </c>
      <c r="B81" s="12" t="s">
        <v>30</v>
      </c>
      <c r="C81" s="33">
        <v>26</v>
      </c>
      <c r="D81" s="37">
        <f>VLOOKUP(A81,'27.1'!A40:D181,4,0)</f>
        <v>18000</v>
      </c>
      <c r="E81" s="36">
        <f>+D81*C81</f>
        <v>468000</v>
      </c>
    </row>
    <row r="82" spans="1:5" hidden="1" x14ac:dyDescent="0.3">
      <c r="A82" s="12" t="s">
        <v>85</v>
      </c>
      <c r="B82" s="12" t="s">
        <v>30</v>
      </c>
      <c r="C82" s="33">
        <v>0</v>
      </c>
      <c r="D82" s="34"/>
      <c r="E82" s="34"/>
    </row>
    <row r="83" spans="1:5" x14ac:dyDescent="0.3">
      <c r="A83" s="12" t="s">
        <v>106</v>
      </c>
      <c r="B83" s="12" t="s">
        <v>9</v>
      </c>
      <c r="C83" s="33">
        <v>30</v>
      </c>
      <c r="D83" s="37">
        <f>VLOOKUP(A83,'27.1'!A42:D183,4,0)</f>
        <v>9000</v>
      </c>
      <c r="E83" s="36">
        <f t="shared" ref="E83:E84" si="15">+D83*C83</f>
        <v>270000</v>
      </c>
    </row>
    <row r="84" spans="1:5" x14ac:dyDescent="0.3">
      <c r="A84" s="12" t="s">
        <v>88</v>
      </c>
      <c r="B84" s="12" t="s">
        <v>9</v>
      </c>
      <c r="C84" s="33">
        <v>270</v>
      </c>
      <c r="D84" s="37">
        <v>11361</v>
      </c>
      <c r="E84" s="36">
        <f t="shared" si="15"/>
        <v>3067470</v>
      </c>
    </row>
    <row r="85" spans="1:5" hidden="1" x14ac:dyDescent="0.3">
      <c r="A85" s="12" t="s">
        <v>89</v>
      </c>
      <c r="B85" s="12" t="s">
        <v>3</v>
      </c>
      <c r="C85" s="33">
        <v>0</v>
      </c>
      <c r="D85" s="34"/>
      <c r="E85" s="34"/>
    </row>
    <row r="86" spans="1:5" hidden="1" x14ac:dyDescent="0.3">
      <c r="A86" s="12" t="s">
        <v>90</v>
      </c>
      <c r="B86" s="12" t="s">
        <v>3</v>
      </c>
      <c r="C86" s="33">
        <v>0</v>
      </c>
      <c r="D86" s="34"/>
      <c r="E86" s="34"/>
    </row>
    <row r="87" spans="1:5" x14ac:dyDescent="0.3">
      <c r="A87" s="12" t="s">
        <v>154</v>
      </c>
      <c r="B87" s="12" t="s">
        <v>9</v>
      </c>
      <c r="C87" s="33">
        <v>22</v>
      </c>
      <c r="D87" s="37">
        <v>26000</v>
      </c>
      <c r="E87" s="36">
        <f t="shared" ref="E87:E90" si="16">+D87*C87</f>
        <v>572000</v>
      </c>
    </row>
    <row r="88" spans="1:5" x14ac:dyDescent="0.3">
      <c r="A88" s="12" t="s">
        <v>92</v>
      </c>
      <c r="B88" s="12" t="s">
        <v>3</v>
      </c>
      <c r="C88" s="33">
        <v>263</v>
      </c>
      <c r="D88" s="37">
        <f>VLOOKUP(A88,'27.1'!A47:D188,4,0)</f>
        <v>8000</v>
      </c>
      <c r="E88" s="36">
        <f t="shared" si="16"/>
        <v>2104000</v>
      </c>
    </row>
    <row r="89" spans="1:5" x14ac:dyDescent="0.3">
      <c r="A89" s="12" t="s">
        <v>93</v>
      </c>
      <c r="B89" s="12" t="s">
        <v>3</v>
      </c>
      <c r="C89" s="33">
        <v>50</v>
      </c>
      <c r="D89" s="37">
        <f>VLOOKUP(A89,'27.1'!A48:D189,4,0)</f>
        <v>25000</v>
      </c>
      <c r="E89" s="36">
        <f t="shared" si="16"/>
        <v>1250000</v>
      </c>
    </row>
    <row r="90" spans="1:5" x14ac:dyDescent="0.3">
      <c r="A90" s="12" t="s">
        <v>94</v>
      </c>
      <c r="B90" s="12" t="s">
        <v>3</v>
      </c>
      <c r="C90" s="33">
        <v>6</v>
      </c>
      <c r="D90" s="37">
        <v>26000</v>
      </c>
      <c r="E90" s="36">
        <f t="shared" si="16"/>
        <v>156000</v>
      </c>
    </row>
    <row r="91" spans="1:5" hidden="1" x14ac:dyDescent="0.3">
      <c r="A91" s="12" t="s">
        <v>95</v>
      </c>
      <c r="B91" s="12" t="s">
        <v>40</v>
      </c>
      <c r="C91" s="33">
        <v>0</v>
      </c>
      <c r="D91" s="34"/>
      <c r="E91" s="34"/>
    </row>
    <row r="92" spans="1:5" hidden="1" x14ac:dyDescent="0.3">
      <c r="A92" s="12" t="s">
        <v>97</v>
      </c>
      <c r="B92" s="12" t="s">
        <v>40</v>
      </c>
      <c r="C92" s="33">
        <v>0</v>
      </c>
      <c r="D92" s="34"/>
      <c r="E92" s="34"/>
    </row>
    <row r="93" spans="1:5" x14ac:dyDescent="0.3">
      <c r="A93" s="12" t="s">
        <v>99</v>
      </c>
      <c r="B93" s="12" t="s">
        <v>3</v>
      </c>
      <c r="C93" s="33">
        <v>20</v>
      </c>
      <c r="D93" s="37">
        <v>26000</v>
      </c>
      <c r="E93" s="36">
        <f>+D93*C93</f>
        <v>520000</v>
      </c>
    </row>
    <row r="94" spans="1:5" hidden="1" x14ac:dyDescent="0.3">
      <c r="A94" s="12" t="s">
        <v>100</v>
      </c>
      <c r="B94" s="12" t="s">
        <v>40</v>
      </c>
      <c r="C94" s="33">
        <v>0</v>
      </c>
      <c r="D94" s="34"/>
      <c r="E94" s="34"/>
    </row>
    <row r="95" spans="1:5" x14ac:dyDescent="0.3">
      <c r="A95" s="19" t="e">
        <v>#N/A</v>
      </c>
      <c r="B95" s="19">
        <v>0</v>
      </c>
      <c r="C95" s="41">
        <v>9914</v>
      </c>
      <c r="D95" s="41">
        <v>9914</v>
      </c>
      <c r="E95" s="39">
        <f>SUBTOTAL(9,E2:E93)</f>
        <v>186293270</v>
      </c>
    </row>
    <row r="96" spans="1:5" ht="62.4" x14ac:dyDescent="0.3">
      <c r="A96" s="35" t="s">
        <v>130</v>
      </c>
      <c r="B96" s="16" t="s">
        <v>1</v>
      </c>
      <c r="C96" s="15" t="s">
        <v>137</v>
      </c>
      <c r="D96" s="31" t="s">
        <v>140</v>
      </c>
      <c r="E96" s="31" t="s">
        <v>141</v>
      </c>
    </row>
    <row r="97" spans="1:5" x14ac:dyDescent="0.3">
      <c r="A97" s="12" t="s">
        <v>2</v>
      </c>
      <c r="B97" s="12" t="s">
        <v>3</v>
      </c>
      <c r="C97" s="13">
        <v>5.5</v>
      </c>
      <c r="D97" s="37">
        <f>VLOOKUP(A97,'27.1'!A56:D197,4,0)</f>
        <v>8000</v>
      </c>
      <c r="E97" s="36">
        <f t="shared" ref="E97:E98" si="17">+D97*C97</f>
        <v>44000</v>
      </c>
    </row>
    <row r="98" spans="1:5" x14ac:dyDescent="0.3">
      <c r="A98" s="12" t="s">
        <v>4</v>
      </c>
      <c r="B98" s="12" t="s">
        <v>3</v>
      </c>
      <c r="C98" s="13">
        <v>22</v>
      </c>
      <c r="D98" s="37">
        <f>VLOOKUP(A98,'27.1'!A57:D198,4,0)</f>
        <v>4000</v>
      </c>
      <c r="E98" s="36">
        <f t="shared" si="17"/>
        <v>88000</v>
      </c>
    </row>
    <row r="99" spans="1:5" hidden="1" x14ac:dyDescent="0.3">
      <c r="A99" s="12" t="s">
        <v>5</v>
      </c>
      <c r="B99" s="12" t="s">
        <v>3</v>
      </c>
      <c r="C99" s="13">
        <v>0</v>
      </c>
      <c r="D99" s="34"/>
      <c r="E99" s="34"/>
    </row>
    <row r="100" spans="1:5" x14ac:dyDescent="0.3">
      <c r="A100" s="12" t="s">
        <v>119</v>
      </c>
      <c r="B100" s="12" t="s">
        <v>3</v>
      </c>
      <c r="C100" s="13">
        <v>11</v>
      </c>
      <c r="D100" s="37">
        <f>VLOOKUP(A100,'27.1'!A59:D200,4,0)</f>
        <v>10000</v>
      </c>
      <c r="E100" s="36">
        <f t="shared" ref="E100:E102" si="18">+D100*C100</f>
        <v>110000</v>
      </c>
    </row>
    <row r="101" spans="1:5" x14ac:dyDescent="0.3">
      <c r="A101" s="12" t="s">
        <v>7</v>
      </c>
      <c r="B101" s="12" t="s">
        <v>3</v>
      </c>
      <c r="C101" s="13">
        <v>22</v>
      </c>
      <c r="D101" s="37">
        <v>11000</v>
      </c>
      <c r="E101" s="36">
        <f t="shared" si="18"/>
        <v>242000</v>
      </c>
    </row>
    <row r="102" spans="1:5" x14ac:dyDescent="0.3">
      <c r="A102" s="12" t="s">
        <v>8</v>
      </c>
      <c r="B102" s="12" t="s">
        <v>3</v>
      </c>
      <c r="C102" s="13">
        <v>11</v>
      </c>
      <c r="D102" s="37">
        <f>VLOOKUP(A102,'27.1'!A61:D202,4,0)</f>
        <v>13000</v>
      </c>
      <c r="E102" s="36">
        <f t="shared" si="18"/>
        <v>143000</v>
      </c>
    </row>
    <row r="103" spans="1:5" hidden="1" x14ac:dyDescent="0.3">
      <c r="A103" s="12" t="s">
        <v>102</v>
      </c>
      <c r="B103" s="12" t="s">
        <v>3</v>
      </c>
      <c r="C103" s="13">
        <v>0</v>
      </c>
      <c r="D103" s="34"/>
      <c r="E103" s="34"/>
    </row>
    <row r="104" spans="1:5" x14ac:dyDescent="0.3">
      <c r="A104" s="12" t="s">
        <v>18</v>
      </c>
      <c r="B104" s="12" t="s">
        <v>3</v>
      </c>
      <c r="C104" s="13">
        <v>27.500000000000004</v>
      </c>
      <c r="D104" s="37">
        <f>VLOOKUP(A104,'27.1'!A63:D204,4,0)</f>
        <v>16000</v>
      </c>
      <c r="E104" s="36">
        <f t="shared" ref="E104:E106" si="19">+D104*C104</f>
        <v>440000.00000000006</v>
      </c>
    </row>
    <row r="105" spans="1:5" x14ac:dyDescent="0.3">
      <c r="A105" s="12" t="s">
        <v>28</v>
      </c>
      <c r="B105" s="12" t="s">
        <v>3</v>
      </c>
      <c r="C105" s="13">
        <v>66</v>
      </c>
      <c r="D105" s="37">
        <f>VLOOKUP(A105,'27.1'!A64:D205,4,0)</f>
        <v>22000</v>
      </c>
      <c r="E105" s="36">
        <f t="shared" si="19"/>
        <v>1452000</v>
      </c>
    </row>
    <row r="106" spans="1:5" x14ac:dyDescent="0.3">
      <c r="A106" s="12" t="s">
        <v>31</v>
      </c>
      <c r="B106" s="12" t="s">
        <v>3</v>
      </c>
      <c r="C106" s="13">
        <v>44</v>
      </c>
      <c r="D106" s="37">
        <v>11000</v>
      </c>
      <c r="E106" s="36">
        <f t="shared" si="19"/>
        <v>484000</v>
      </c>
    </row>
    <row r="107" spans="1:5" hidden="1" x14ac:dyDescent="0.3">
      <c r="A107" s="12" t="s">
        <v>33</v>
      </c>
      <c r="B107" s="12" t="s">
        <v>3</v>
      </c>
      <c r="C107" s="13">
        <v>0</v>
      </c>
      <c r="D107" s="34"/>
      <c r="E107" s="34"/>
    </row>
    <row r="108" spans="1:5" hidden="1" x14ac:dyDescent="0.3">
      <c r="A108" s="12" t="s">
        <v>38</v>
      </c>
      <c r="B108" s="12" t="s">
        <v>3</v>
      </c>
      <c r="C108" s="13">
        <v>0</v>
      </c>
      <c r="D108" s="34"/>
      <c r="E108" s="34"/>
    </row>
    <row r="109" spans="1:5" hidden="1" x14ac:dyDescent="0.3">
      <c r="A109" s="12" t="s">
        <v>103</v>
      </c>
      <c r="B109" s="12" t="s">
        <v>3</v>
      </c>
      <c r="C109" s="13">
        <v>0</v>
      </c>
      <c r="D109" s="34"/>
      <c r="E109" s="34"/>
    </row>
    <row r="110" spans="1:5" x14ac:dyDescent="0.3">
      <c r="A110" s="12" t="s">
        <v>39</v>
      </c>
      <c r="B110" s="12" t="s">
        <v>3</v>
      </c>
      <c r="C110" s="13">
        <v>22</v>
      </c>
      <c r="D110" s="37">
        <f>VLOOKUP(A110,'27.1'!A69:D210,4,0)</f>
        <v>18000</v>
      </c>
      <c r="E110" s="36">
        <f t="shared" ref="E110:E113" si="20">+D110*C110</f>
        <v>396000</v>
      </c>
    </row>
    <row r="111" spans="1:5" x14ac:dyDescent="0.3">
      <c r="A111" s="12" t="s">
        <v>105</v>
      </c>
      <c r="B111" s="12" t="s">
        <v>3</v>
      </c>
      <c r="C111" s="13">
        <v>11</v>
      </c>
      <c r="D111" s="37">
        <v>27000</v>
      </c>
      <c r="E111" s="36">
        <f t="shared" si="20"/>
        <v>297000</v>
      </c>
    </row>
    <row r="112" spans="1:5" x14ac:dyDescent="0.3">
      <c r="A112" s="12" t="s">
        <v>41</v>
      </c>
      <c r="B112" s="12" t="s">
        <v>3</v>
      </c>
      <c r="C112" s="13">
        <v>16.5</v>
      </c>
      <c r="D112" s="37">
        <f>VLOOKUP(A112,'27.1'!A71:D212,4,0)</f>
        <v>14000</v>
      </c>
      <c r="E112" s="36">
        <f t="shared" si="20"/>
        <v>231000</v>
      </c>
    </row>
    <row r="113" spans="1:5" x14ac:dyDescent="0.3">
      <c r="A113" s="12" t="s">
        <v>44</v>
      </c>
      <c r="B113" s="12" t="s">
        <v>3</v>
      </c>
      <c r="C113" s="13">
        <v>15</v>
      </c>
      <c r="D113" s="37">
        <v>6000</v>
      </c>
      <c r="E113" s="36">
        <f t="shared" si="20"/>
        <v>90000</v>
      </c>
    </row>
    <row r="114" spans="1:5" hidden="1" x14ac:dyDescent="0.3">
      <c r="A114" s="12" t="s">
        <v>45</v>
      </c>
      <c r="B114" s="12" t="s">
        <v>3</v>
      </c>
      <c r="C114" s="13">
        <v>0</v>
      </c>
      <c r="D114" s="34"/>
      <c r="E114" s="34"/>
    </row>
    <row r="115" spans="1:5" x14ac:dyDescent="0.3">
      <c r="A115" s="12" t="s">
        <v>47</v>
      </c>
      <c r="B115" s="12" t="s">
        <v>3</v>
      </c>
      <c r="C115" s="13">
        <v>33</v>
      </c>
      <c r="D115" s="37">
        <f>VLOOKUP(A115,'27.1'!A74:D215,4,0)</f>
        <v>10000</v>
      </c>
      <c r="E115" s="36">
        <f t="shared" ref="E115:E116" si="21">+D115*C115</f>
        <v>330000</v>
      </c>
    </row>
    <row r="116" spans="1:5" x14ac:dyDescent="0.3">
      <c r="A116" s="12" t="s">
        <v>54</v>
      </c>
      <c r="B116" s="12" t="s">
        <v>3</v>
      </c>
      <c r="C116" s="13">
        <v>44</v>
      </c>
      <c r="D116" s="37">
        <f>VLOOKUP(A116,'27.1'!A75:D216,4,0)</f>
        <v>16000</v>
      </c>
      <c r="E116" s="36">
        <f t="shared" si="21"/>
        <v>704000</v>
      </c>
    </row>
    <row r="117" spans="1:5" hidden="1" x14ac:dyDescent="0.3">
      <c r="A117" s="12" t="s">
        <v>59</v>
      </c>
      <c r="B117" s="12" t="s">
        <v>3</v>
      </c>
      <c r="C117" s="13">
        <v>0</v>
      </c>
      <c r="D117" s="34"/>
      <c r="E117" s="34"/>
    </row>
    <row r="118" spans="1:5" hidden="1" x14ac:dyDescent="0.3">
      <c r="A118" s="12" t="s">
        <v>61</v>
      </c>
      <c r="B118" s="12" t="s">
        <v>3</v>
      </c>
      <c r="C118" s="13">
        <v>0</v>
      </c>
      <c r="D118" s="34"/>
      <c r="E118" s="34"/>
    </row>
    <row r="119" spans="1:5" hidden="1" x14ac:dyDescent="0.3">
      <c r="A119" s="12" t="s">
        <v>62</v>
      </c>
      <c r="B119" s="12" t="s">
        <v>30</v>
      </c>
      <c r="C119" s="13">
        <v>0</v>
      </c>
      <c r="D119" s="34"/>
      <c r="E119" s="34"/>
    </row>
    <row r="120" spans="1:5" x14ac:dyDescent="0.3">
      <c r="A120" s="12" t="s">
        <v>63</v>
      </c>
      <c r="B120" s="12" t="s">
        <v>30</v>
      </c>
      <c r="C120" s="13">
        <v>10</v>
      </c>
      <c r="D120" s="37">
        <v>12000</v>
      </c>
      <c r="E120" s="36">
        <f>+D120*C120</f>
        <v>120000</v>
      </c>
    </row>
    <row r="121" spans="1:5" hidden="1" x14ac:dyDescent="0.3">
      <c r="A121" s="12" t="s">
        <v>68</v>
      </c>
      <c r="B121" s="12" t="s">
        <v>3</v>
      </c>
      <c r="C121" s="13">
        <v>0</v>
      </c>
      <c r="D121" s="34"/>
      <c r="E121" s="34"/>
    </row>
    <row r="122" spans="1:5" hidden="1" x14ac:dyDescent="0.3">
      <c r="A122" s="12" t="s">
        <v>68</v>
      </c>
      <c r="B122" s="12" t="s">
        <v>17</v>
      </c>
      <c r="C122" s="13">
        <v>0</v>
      </c>
      <c r="D122" s="34"/>
      <c r="E122" s="34"/>
    </row>
    <row r="123" spans="1:5" x14ac:dyDescent="0.3">
      <c r="A123" s="12" t="s">
        <v>71</v>
      </c>
      <c r="B123" s="12" t="s">
        <v>3</v>
      </c>
      <c r="C123" s="13">
        <v>5</v>
      </c>
      <c r="D123" s="37">
        <v>15000</v>
      </c>
      <c r="E123" s="36">
        <f>+D123*C123</f>
        <v>75000</v>
      </c>
    </row>
    <row r="124" spans="1:5" hidden="1" x14ac:dyDescent="0.3">
      <c r="A124" s="12" t="s">
        <v>72</v>
      </c>
      <c r="B124" s="12" t="s">
        <v>3</v>
      </c>
      <c r="C124" s="13">
        <v>0</v>
      </c>
      <c r="D124" s="34"/>
      <c r="E124" s="34"/>
    </row>
    <row r="125" spans="1:5" hidden="1" x14ac:dyDescent="0.3">
      <c r="A125" s="12" t="s">
        <v>73</v>
      </c>
      <c r="B125" s="12" t="s">
        <v>3</v>
      </c>
      <c r="C125" s="13">
        <v>0</v>
      </c>
      <c r="D125" s="34"/>
      <c r="E125" s="34"/>
    </row>
    <row r="126" spans="1:5" x14ac:dyDescent="0.3">
      <c r="A126" s="12" t="s">
        <v>78</v>
      </c>
      <c r="B126" s="12" t="s">
        <v>3</v>
      </c>
      <c r="C126" s="13">
        <v>4.4000000000000004</v>
      </c>
      <c r="D126" s="37">
        <f>VLOOKUP(A126,'27.1'!A85:D226,4,0)</f>
        <v>40000</v>
      </c>
      <c r="E126" s="36">
        <f t="shared" ref="E126:E129" si="22">+D126*C126</f>
        <v>176000</v>
      </c>
    </row>
    <row r="127" spans="1:5" x14ac:dyDescent="0.3">
      <c r="A127" s="12" t="s">
        <v>80</v>
      </c>
      <c r="B127" s="12" t="s">
        <v>3</v>
      </c>
      <c r="C127" s="13">
        <v>2.2000000000000002</v>
      </c>
      <c r="D127" s="37">
        <v>26000</v>
      </c>
      <c r="E127" s="36">
        <f t="shared" si="22"/>
        <v>57200.000000000007</v>
      </c>
    </row>
    <row r="128" spans="1:5" x14ac:dyDescent="0.3">
      <c r="A128" s="12" t="s">
        <v>82</v>
      </c>
      <c r="B128" s="12" t="s">
        <v>3</v>
      </c>
      <c r="C128" s="13">
        <v>2.2000000000000002</v>
      </c>
      <c r="D128" s="37">
        <v>26000</v>
      </c>
      <c r="E128" s="36">
        <f t="shared" si="22"/>
        <v>57200.000000000007</v>
      </c>
    </row>
    <row r="129" spans="1:5" x14ac:dyDescent="0.3">
      <c r="A129" s="12" t="s">
        <v>92</v>
      </c>
      <c r="B129" s="12" t="s">
        <v>3</v>
      </c>
      <c r="C129" s="13">
        <v>16.5</v>
      </c>
      <c r="D129" s="37">
        <f>VLOOKUP(A129,'27.1'!A88:D229,4,0)</f>
        <v>8000</v>
      </c>
      <c r="E129" s="36">
        <f t="shared" si="22"/>
        <v>132000</v>
      </c>
    </row>
    <row r="130" spans="1:5" hidden="1" x14ac:dyDescent="0.3">
      <c r="A130" s="12" t="s">
        <v>94</v>
      </c>
      <c r="B130" s="12" t="s">
        <v>40</v>
      </c>
      <c r="C130" s="13">
        <v>0</v>
      </c>
      <c r="D130" s="34"/>
      <c r="E130" s="34"/>
    </row>
    <row r="131" spans="1:5" hidden="1" x14ac:dyDescent="0.3">
      <c r="A131" s="12" t="s">
        <v>95</v>
      </c>
      <c r="B131" s="12" t="s">
        <v>40</v>
      </c>
      <c r="C131" s="13">
        <v>0</v>
      </c>
      <c r="D131" s="34"/>
      <c r="E131" s="34"/>
    </row>
    <row r="132" spans="1:5" hidden="1" x14ac:dyDescent="0.3">
      <c r="A132" s="12" t="s">
        <v>97</v>
      </c>
      <c r="B132" s="12" t="s">
        <v>40</v>
      </c>
      <c r="C132" s="13">
        <v>0</v>
      </c>
      <c r="D132" s="34"/>
      <c r="E132" s="34"/>
    </row>
    <row r="133" spans="1:5" hidden="1" x14ac:dyDescent="0.3">
      <c r="A133" s="12" t="s">
        <v>100</v>
      </c>
      <c r="B133" s="12" t="s">
        <v>40</v>
      </c>
      <c r="C133" s="13">
        <v>0</v>
      </c>
      <c r="D133" s="34"/>
      <c r="E133" s="34"/>
    </row>
    <row r="134" spans="1:5" x14ac:dyDescent="0.3">
      <c r="A134" s="19" t="e">
        <v>#N/A</v>
      </c>
      <c r="B134" s="19">
        <v>0</v>
      </c>
      <c r="C134" s="20">
        <v>390.79999999999995</v>
      </c>
      <c r="D134" s="39">
        <v>1</v>
      </c>
      <c r="E134" s="39">
        <f>SUBTOTAL(9,E97:E129)</f>
        <v>5668400</v>
      </c>
    </row>
    <row r="135" spans="1:5" x14ac:dyDescent="0.3">
      <c r="E135" s="58">
        <f>+E134+E95</f>
        <v>191961670</v>
      </c>
    </row>
  </sheetData>
  <autoFilter ref="A1:E134" xr:uid="{CD5CF77B-62BE-4EE5-842E-064F99787E05}">
    <filterColumn colId="2">
      <filters>
        <filter val="1"/>
        <filter val="1,400"/>
        <filter val="1,940"/>
        <filter val="10"/>
        <filter val="100"/>
        <filter val="103"/>
        <filter val="11"/>
        <filter val="140"/>
        <filter val="145"/>
        <filter val="15"/>
        <filter val="150"/>
        <filter val="16.5"/>
        <filter val="167"/>
        <filter val="19"/>
        <filter val="2"/>
        <filter val="2.2"/>
        <filter val="20"/>
        <filter val="215"/>
        <filter val="22"/>
        <filter val="23"/>
        <filter val="25"/>
        <filter val="26"/>
        <filter val="263"/>
        <filter val="27.5"/>
        <filter val="270"/>
        <filter val="3"/>
        <filter val="30"/>
        <filter val="300"/>
        <filter val="318"/>
        <filter val="33"/>
        <filter val="347"/>
        <filter val="348"/>
        <filter val="350"/>
        <filter val="37"/>
        <filter val="380"/>
        <filter val="390.8"/>
        <filter val="4"/>
        <filter val="4.4"/>
        <filter val="42"/>
        <filter val="44"/>
        <filter val="494"/>
        <filter val="5"/>
        <filter val="5.5"/>
        <filter val="50"/>
        <filter val="54"/>
        <filter val="6"/>
        <filter val="61"/>
        <filter val="66"/>
        <filter val="68"/>
        <filter val="7"/>
        <filter val="74"/>
        <filter val="76"/>
        <filter val="8"/>
        <filter val="80"/>
        <filter val="820"/>
        <filter val="9"/>
        <filter val="9,914"/>
        <filter val="92"/>
        <filter val="93"/>
        <filter val="95"/>
        <filter val="Tồn_x000a_ĐL_x000a__x000a_現在個"/>
      </filters>
    </filterColumn>
  </autoFilter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ABA3C-4F00-414D-BADE-CD27C20C7320}">
  <sheetPr filterMode="1"/>
  <dimension ref="A1:E149"/>
  <sheetViews>
    <sheetView topLeftCell="A115" workbookViewId="0">
      <selection activeCell="E149" sqref="E149"/>
    </sheetView>
  </sheetViews>
  <sheetFormatPr defaultRowHeight="15.6" x14ac:dyDescent="0.3"/>
  <cols>
    <col min="1" max="1" width="31.44140625" style="32" customWidth="1"/>
    <col min="2" max="2" width="9.77734375" style="32" customWidth="1"/>
    <col min="3" max="3" width="13.77734375" style="32" customWidth="1"/>
    <col min="4" max="4" width="22.21875" style="38" customWidth="1"/>
    <col min="5" max="5" width="26" style="32" customWidth="1"/>
    <col min="6" max="16384" width="8.88671875" style="32"/>
  </cols>
  <sheetData>
    <row r="1" spans="1:5" ht="62.4" x14ac:dyDescent="0.3">
      <c r="A1" s="35" t="s">
        <v>127</v>
      </c>
      <c r="B1" s="16" t="s">
        <v>1</v>
      </c>
      <c r="C1" s="15" t="s">
        <v>137</v>
      </c>
      <c r="D1" s="31" t="s">
        <v>140</v>
      </c>
      <c r="E1" s="31" t="s">
        <v>141</v>
      </c>
    </row>
    <row r="2" spans="1:5" x14ac:dyDescent="0.3">
      <c r="A2" s="12" t="s">
        <v>2</v>
      </c>
      <c r="B2" s="12" t="s">
        <v>3</v>
      </c>
      <c r="C2" s="33">
        <v>9</v>
      </c>
      <c r="D2" s="37">
        <v>8000</v>
      </c>
      <c r="E2" s="36">
        <v>72000</v>
      </c>
    </row>
    <row r="3" spans="1:5" x14ac:dyDescent="0.3">
      <c r="A3" s="12" t="s">
        <v>4</v>
      </c>
      <c r="B3" s="12" t="s">
        <v>3</v>
      </c>
      <c r="C3" s="33">
        <v>180</v>
      </c>
      <c r="D3" s="37">
        <v>4000</v>
      </c>
      <c r="E3" s="36">
        <v>720000</v>
      </c>
    </row>
    <row r="4" spans="1:5" x14ac:dyDescent="0.3">
      <c r="A4" s="12" t="s">
        <v>5</v>
      </c>
      <c r="B4" s="12" t="s">
        <v>3</v>
      </c>
      <c r="C4" s="33">
        <v>980</v>
      </c>
      <c r="D4" s="37">
        <v>5500</v>
      </c>
      <c r="E4" s="36">
        <v>5390000</v>
      </c>
    </row>
    <row r="5" spans="1:5" x14ac:dyDescent="0.3">
      <c r="A5" s="12" t="s">
        <v>119</v>
      </c>
      <c r="B5" s="12" t="s">
        <v>3</v>
      </c>
      <c r="C5" s="33">
        <v>35</v>
      </c>
      <c r="D5" s="37">
        <v>10000</v>
      </c>
      <c r="E5" s="36">
        <v>350000</v>
      </c>
    </row>
    <row r="6" spans="1:5" x14ac:dyDescent="0.3">
      <c r="A6" s="12" t="s">
        <v>6</v>
      </c>
      <c r="B6" s="12" t="s">
        <v>3</v>
      </c>
      <c r="C6" s="33">
        <v>205</v>
      </c>
      <c r="D6" s="37">
        <v>9500</v>
      </c>
      <c r="E6" s="36">
        <v>1947500</v>
      </c>
    </row>
    <row r="7" spans="1:5" x14ac:dyDescent="0.3">
      <c r="A7" s="12" t="s">
        <v>7</v>
      </c>
      <c r="B7" s="12" t="s">
        <v>3</v>
      </c>
      <c r="C7" s="33">
        <v>1380</v>
      </c>
      <c r="D7" s="37">
        <v>11000</v>
      </c>
      <c r="E7" s="36">
        <v>15180000</v>
      </c>
    </row>
    <row r="8" spans="1:5" x14ac:dyDescent="0.3">
      <c r="A8" s="12" t="s">
        <v>111</v>
      </c>
      <c r="B8" s="12" t="s">
        <v>3</v>
      </c>
      <c r="C8" s="33">
        <v>2</v>
      </c>
      <c r="D8" s="37">
        <v>15000</v>
      </c>
      <c r="E8" s="36">
        <v>30000</v>
      </c>
    </row>
    <row r="9" spans="1:5" x14ac:dyDescent="0.3">
      <c r="A9" s="12" t="s">
        <v>8</v>
      </c>
      <c r="B9" s="12" t="s">
        <v>3</v>
      </c>
      <c r="C9" s="33">
        <v>190</v>
      </c>
      <c r="D9" s="37">
        <v>13000</v>
      </c>
      <c r="E9" s="36">
        <v>2470000</v>
      </c>
    </row>
    <row r="10" spans="1:5" s="54" customFormat="1" ht="14.4" hidden="1" x14ac:dyDescent="0.3">
      <c r="A10" s="55" t="s">
        <v>8</v>
      </c>
      <c r="B10" s="55" t="s">
        <v>9</v>
      </c>
      <c r="C10" s="56">
        <v>0</v>
      </c>
    </row>
    <row r="11" spans="1:5" x14ac:dyDescent="0.3">
      <c r="A11" s="12" t="s">
        <v>10</v>
      </c>
      <c r="B11" s="12" t="s">
        <v>3</v>
      </c>
      <c r="C11" s="33">
        <v>60</v>
      </c>
      <c r="D11" s="37">
        <v>10000</v>
      </c>
      <c r="E11" s="36">
        <v>600000</v>
      </c>
    </row>
    <row r="12" spans="1:5" s="54" customFormat="1" ht="14.4" hidden="1" x14ac:dyDescent="0.3">
      <c r="A12" s="55" t="s">
        <v>10</v>
      </c>
      <c r="B12" s="55" t="s">
        <v>9</v>
      </c>
      <c r="C12" s="56">
        <v>0</v>
      </c>
    </row>
    <row r="13" spans="1:5" s="54" customFormat="1" ht="14.4" hidden="1" x14ac:dyDescent="0.3">
      <c r="A13" s="55" t="s">
        <v>11</v>
      </c>
      <c r="B13" s="55" t="s">
        <v>3</v>
      </c>
      <c r="C13" s="56">
        <v>0</v>
      </c>
    </row>
    <row r="14" spans="1:5" s="54" customFormat="1" ht="14.4" hidden="1" x14ac:dyDescent="0.3">
      <c r="A14" s="55" t="s">
        <v>12</v>
      </c>
      <c r="B14" s="55" t="s">
        <v>3</v>
      </c>
      <c r="C14" s="56">
        <v>0</v>
      </c>
    </row>
    <row r="15" spans="1:5" s="54" customFormat="1" ht="14.4" hidden="1" x14ac:dyDescent="0.3">
      <c r="A15" s="55" t="s">
        <v>13</v>
      </c>
      <c r="B15" s="55" t="s">
        <v>3</v>
      </c>
      <c r="C15" s="56">
        <v>0</v>
      </c>
    </row>
    <row r="16" spans="1:5" s="54" customFormat="1" ht="14.4" hidden="1" x14ac:dyDescent="0.3">
      <c r="A16" s="55" t="s">
        <v>14</v>
      </c>
      <c r="B16" s="55" t="s">
        <v>3</v>
      </c>
      <c r="C16" s="56">
        <v>0</v>
      </c>
    </row>
    <row r="17" spans="1:5" s="54" customFormat="1" ht="14.4" hidden="1" x14ac:dyDescent="0.3">
      <c r="A17" s="55" t="s">
        <v>15</v>
      </c>
      <c r="B17" s="55" t="s">
        <v>3</v>
      </c>
      <c r="C17" s="56">
        <v>0</v>
      </c>
    </row>
    <row r="18" spans="1:5" x14ac:dyDescent="0.3">
      <c r="A18" s="12" t="s">
        <v>16</v>
      </c>
      <c r="B18" s="12" t="s">
        <v>17</v>
      </c>
      <c r="C18" s="33">
        <v>31</v>
      </c>
      <c r="D18" s="37">
        <v>6000</v>
      </c>
      <c r="E18" s="36">
        <v>186000</v>
      </c>
    </row>
    <row r="19" spans="1:5" x14ac:dyDescent="0.3">
      <c r="A19" s="12" t="s">
        <v>18</v>
      </c>
      <c r="B19" s="12" t="s">
        <v>3</v>
      </c>
      <c r="C19" s="33">
        <v>60</v>
      </c>
      <c r="D19" s="37">
        <v>16000</v>
      </c>
      <c r="E19" s="36">
        <v>960000</v>
      </c>
    </row>
    <row r="20" spans="1:5" s="54" customFormat="1" ht="14.4" hidden="1" x14ac:dyDescent="0.3">
      <c r="A20" s="55" t="s">
        <v>18</v>
      </c>
      <c r="B20" s="55" t="s">
        <v>17</v>
      </c>
      <c r="C20" s="56">
        <v>0</v>
      </c>
    </row>
    <row r="21" spans="1:5" s="54" customFormat="1" ht="14.4" hidden="1" x14ac:dyDescent="0.3">
      <c r="A21" s="55" t="s">
        <v>18</v>
      </c>
      <c r="B21" s="55" t="s">
        <v>19</v>
      </c>
      <c r="C21" s="56">
        <v>0</v>
      </c>
    </row>
    <row r="22" spans="1:5" x14ac:dyDescent="0.3">
      <c r="A22" s="12" t="s">
        <v>20</v>
      </c>
      <c r="B22" s="12" t="s">
        <v>3</v>
      </c>
      <c r="C22" s="33">
        <v>65</v>
      </c>
      <c r="D22" s="37">
        <v>18000</v>
      </c>
      <c r="E22" s="36">
        <v>1170000</v>
      </c>
    </row>
    <row r="23" spans="1:5" s="54" customFormat="1" ht="14.4" hidden="1" x14ac:dyDescent="0.3">
      <c r="A23" s="55" t="s">
        <v>20</v>
      </c>
      <c r="B23" s="55" t="s">
        <v>21</v>
      </c>
      <c r="C23" s="56">
        <v>0</v>
      </c>
    </row>
    <row r="24" spans="1:5" s="54" customFormat="1" ht="14.4" hidden="1" x14ac:dyDescent="0.3">
      <c r="A24" s="55" t="s">
        <v>22</v>
      </c>
      <c r="B24" s="55" t="s">
        <v>3</v>
      </c>
      <c r="C24" s="56">
        <v>0</v>
      </c>
    </row>
    <row r="25" spans="1:5" x14ac:dyDescent="0.3">
      <c r="A25" s="12" t="s">
        <v>22</v>
      </c>
      <c r="B25" s="12" t="s">
        <v>23</v>
      </c>
      <c r="C25" s="33">
        <v>64.5</v>
      </c>
      <c r="D25" s="37">
        <v>45000</v>
      </c>
      <c r="E25" s="36">
        <v>2902500</v>
      </c>
    </row>
    <row r="26" spans="1:5" x14ac:dyDescent="0.3">
      <c r="A26" s="12" t="s">
        <v>24</v>
      </c>
      <c r="B26" s="12" t="s">
        <v>25</v>
      </c>
      <c r="C26" s="33">
        <v>25</v>
      </c>
      <c r="D26" s="37">
        <v>13500</v>
      </c>
      <c r="E26" s="36">
        <v>337500</v>
      </c>
    </row>
    <row r="27" spans="1:5" s="54" customFormat="1" ht="14.4" hidden="1" x14ac:dyDescent="0.3">
      <c r="A27" s="55" t="s">
        <v>26</v>
      </c>
      <c r="B27" s="55" t="s">
        <v>3</v>
      </c>
      <c r="C27" s="56">
        <v>0</v>
      </c>
    </row>
    <row r="28" spans="1:5" x14ac:dyDescent="0.3">
      <c r="A28" s="12" t="s">
        <v>26</v>
      </c>
      <c r="B28" s="12" t="s">
        <v>27</v>
      </c>
      <c r="C28" s="33">
        <v>300</v>
      </c>
      <c r="D28" s="37">
        <v>11000</v>
      </c>
      <c r="E28" s="36">
        <v>3300000</v>
      </c>
    </row>
    <row r="29" spans="1:5" x14ac:dyDescent="0.3">
      <c r="A29" s="12" t="s">
        <v>28</v>
      </c>
      <c r="B29" s="12" t="s">
        <v>3</v>
      </c>
      <c r="C29" s="33">
        <v>90</v>
      </c>
      <c r="D29" s="37">
        <v>22000</v>
      </c>
      <c r="E29" s="36">
        <v>1980000</v>
      </c>
    </row>
    <row r="30" spans="1:5" s="54" customFormat="1" ht="14.4" hidden="1" x14ac:dyDescent="0.3">
      <c r="A30" s="55" t="s">
        <v>28</v>
      </c>
      <c r="B30" s="55" t="s">
        <v>17</v>
      </c>
      <c r="C30" s="56">
        <v>0</v>
      </c>
    </row>
    <row r="31" spans="1:5" x14ac:dyDescent="0.3">
      <c r="A31" s="12" t="s">
        <v>29</v>
      </c>
      <c r="B31" s="12" t="s">
        <v>30</v>
      </c>
      <c r="C31" s="33">
        <v>180</v>
      </c>
      <c r="D31" s="37">
        <v>18000</v>
      </c>
      <c r="E31" s="36">
        <v>3240000</v>
      </c>
    </row>
    <row r="32" spans="1:5" s="54" customFormat="1" ht="14.4" hidden="1" x14ac:dyDescent="0.3">
      <c r="A32" s="55" t="s">
        <v>31</v>
      </c>
      <c r="B32" s="55" t="s">
        <v>3</v>
      </c>
      <c r="C32" s="56">
        <v>0</v>
      </c>
    </row>
    <row r="33" spans="1:5" s="54" customFormat="1" ht="14.4" hidden="1" x14ac:dyDescent="0.3">
      <c r="A33" s="55" t="s">
        <v>31</v>
      </c>
      <c r="B33" s="55" t="s">
        <v>30</v>
      </c>
      <c r="C33" s="56">
        <v>0</v>
      </c>
    </row>
    <row r="34" spans="1:5" x14ac:dyDescent="0.3">
      <c r="A34" s="12" t="s">
        <v>32</v>
      </c>
      <c r="B34" s="12" t="s">
        <v>17</v>
      </c>
      <c r="C34" s="33">
        <v>8</v>
      </c>
      <c r="D34" s="37">
        <v>8000</v>
      </c>
      <c r="E34" s="36">
        <v>64000</v>
      </c>
    </row>
    <row r="35" spans="1:5" x14ac:dyDescent="0.3">
      <c r="A35" s="12" t="s">
        <v>33</v>
      </c>
      <c r="B35" s="12" t="s">
        <v>3</v>
      </c>
      <c r="C35" s="33">
        <v>120</v>
      </c>
      <c r="D35" s="37">
        <v>8000</v>
      </c>
      <c r="E35" s="36">
        <v>960000</v>
      </c>
    </row>
    <row r="36" spans="1:5" s="54" customFormat="1" ht="14.4" hidden="1" x14ac:dyDescent="0.3">
      <c r="A36" s="55" t="s">
        <v>33</v>
      </c>
      <c r="B36" s="55" t="s">
        <v>34</v>
      </c>
      <c r="C36" s="56">
        <v>0</v>
      </c>
    </row>
    <row r="37" spans="1:5" x14ac:dyDescent="0.3">
      <c r="A37" s="12" t="s">
        <v>35</v>
      </c>
      <c r="B37" s="12" t="s">
        <v>3</v>
      </c>
      <c r="C37" s="33">
        <v>15</v>
      </c>
      <c r="D37" s="37">
        <v>22000</v>
      </c>
      <c r="E37" s="36">
        <v>330000</v>
      </c>
    </row>
    <row r="38" spans="1:5" s="54" customFormat="1" ht="14.4" hidden="1" x14ac:dyDescent="0.3">
      <c r="A38" s="55" t="s">
        <v>35</v>
      </c>
      <c r="B38" s="55" t="s">
        <v>30</v>
      </c>
      <c r="C38" s="56">
        <v>0</v>
      </c>
    </row>
    <row r="39" spans="1:5" x14ac:dyDescent="0.3">
      <c r="A39" s="12" t="s">
        <v>36</v>
      </c>
      <c r="B39" s="12" t="s">
        <v>30</v>
      </c>
      <c r="C39" s="33">
        <v>34</v>
      </c>
      <c r="D39" s="37">
        <v>5000</v>
      </c>
      <c r="E39" s="36">
        <v>170000</v>
      </c>
    </row>
    <row r="40" spans="1:5" x14ac:dyDescent="0.3">
      <c r="A40" s="12" t="s">
        <v>37</v>
      </c>
      <c r="B40" s="12" t="s">
        <v>3</v>
      </c>
      <c r="C40" s="33">
        <v>10</v>
      </c>
      <c r="D40" s="37">
        <v>12900</v>
      </c>
      <c r="E40" s="36">
        <v>129000</v>
      </c>
    </row>
    <row r="41" spans="1:5" x14ac:dyDescent="0.3">
      <c r="A41" s="12" t="s">
        <v>37</v>
      </c>
      <c r="B41" s="12" t="s">
        <v>30</v>
      </c>
      <c r="C41" s="33">
        <v>32</v>
      </c>
      <c r="D41" s="37">
        <v>4300</v>
      </c>
      <c r="E41" s="36">
        <v>137600</v>
      </c>
    </row>
    <row r="42" spans="1:5" s="54" customFormat="1" ht="14.4" hidden="1" x14ac:dyDescent="0.3">
      <c r="A42" s="55" t="s">
        <v>38</v>
      </c>
      <c r="B42" s="55" t="s">
        <v>3</v>
      </c>
      <c r="C42" s="56">
        <v>0</v>
      </c>
    </row>
    <row r="43" spans="1:5" x14ac:dyDescent="0.3">
      <c r="A43" s="12" t="s">
        <v>104</v>
      </c>
      <c r="B43" s="12" t="s">
        <v>3</v>
      </c>
      <c r="C43" s="33">
        <v>30</v>
      </c>
      <c r="D43" s="37">
        <v>4000</v>
      </c>
      <c r="E43" s="36">
        <v>120000</v>
      </c>
    </row>
    <row r="44" spans="1:5" s="54" customFormat="1" ht="14.4" hidden="1" x14ac:dyDescent="0.3">
      <c r="A44" s="55" t="s">
        <v>39</v>
      </c>
      <c r="B44" s="55" t="s">
        <v>40</v>
      </c>
      <c r="C44" s="56">
        <v>0</v>
      </c>
    </row>
    <row r="45" spans="1:5" x14ac:dyDescent="0.3">
      <c r="A45" s="12" t="s">
        <v>39</v>
      </c>
      <c r="B45" s="12" t="s">
        <v>3</v>
      </c>
      <c r="C45" s="33">
        <v>35</v>
      </c>
      <c r="D45" s="37">
        <v>18000</v>
      </c>
      <c r="E45" s="36">
        <v>630000</v>
      </c>
    </row>
    <row r="46" spans="1:5" x14ac:dyDescent="0.3">
      <c r="A46" s="12" t="s">
        <v>41</v>
      </c>
      <c r="B46" s="12" t="s">
        <v>3</v>
      </c>
      <c r="C46" s="33">
        <v>40</v>
      </c>
      <c r="D46" s="37">
        <v>14000</v>
      </c>
      <c r="E46" s="36">
        <v>560000</v>
      </c>
    </row>
    <row r="47" spans="1:5" s="54" customFormat="1" ht="14.4" hidden="1" x14ac:dyDescent="0.3">
      <c r="A47" s="55" t="s">
        <v>42</v>
      </c>
      <c r="B47" s="55" t="s">
        <v>25</v>
      </c>
      <c r="C47" s="56">
        <v>0</v>
      </c>
    </row>
    <row r="48" spans="1:5" x14ac:dyDescent="0.3">
      <c r="A48" s="12" t="s">
        <v>42</v>
      </c>
      <c r="B48" s="12" t="s">
        <v>3</v>
      </c>
      <c r="C48" s="33">
        <v>50</v>
      </c>
      <c r="D48" s="37">
        <v>35000</v>
      </c>
      <c r="E48" s="36">
        <v>1750000</v>
      </c>
    </row>
    <row r="49" spans="1:5" x14ac:dyDescent="0.3">
      <c r="A49" s="12" t="s">
        <v>43</v>
      </c>
      <c r="B49" s="12" t="s">
        <v>3</v>
      </c>
      <c r="C49" s="33">
        <v>2</v>
      </c>
      <c r="D49" s="37">
        <v>16000</v>
      </c>
      <c r="E49" s="36">
        <v>32000</v>
      </c>
    </row>
    <row r="50" spans="1:5" s="54" customFormat="1" ht="14.4" hidden="1" x14ac:dyDescent="0.3">
      <c r="A50" s="55" t="s">
        <v>44</v>
      </c>
      <c r="B50" s="55" t="s">
        <v>3</v>
      </c>
      <c r="C50" s="56">
        <v>0</v>
      </c>
    </row>
    <row r="51" spans="1:5" x14ac:dyDescent="0.3">
      <c r="A51" s="12" t="s">
        <v>45</v>
      </c>
      <c r="B51" s="12" t="s">
        <v>3</v>
      </c>
      <c r="C51" s="33">
        <v>40</v>
      </c>
      <c r="D51" s="37">
        <v>11000</v>
      </c>
      <c r="E51" s="36">
        <v>440000</v>
      </c>
    </row>
    <row r="52" spans="1:5" s="54" customFormat="1" ht="14.4" hidden="1" x14ac:dyDescent="0.3">
      <c r="A52" s="55" t="s">
        <v>45</v>
      </c>
      <c r="B52" s="55" t="s">
        <v>30</v>
      </c>
      <c r="C52" s="56">
        <v>0</v>
      </c>
    </row>
    <row r="53" spans="1:5" x14ac:dyDescent="0.3">
      <c r="A53" s="12" t="s">
        <v>46</v>
      </c>
      <c r="B53" s="12" t="s">
        <v>3</v>
      </c>
      <c r="C53" s="33">
        <v>7</v>
      </c>
      <c r="D53" s="37">
        <v>18000</v>
      </c>
      <c r="E53" s="36">
        <v>126000</v>
      </c>
    </row>
    <row r="54" spans="1:5" x14ac:dyDescent="0.3">
      <c r="A54" s="12" t="s">
        <v>47</v>
      </c>
      <c r="B54" s="12" t="s">
        <v>3</v>
      </c>
      <c r="C54" s="33">
        <v>295</v>
      </c>
      <c r="D54" s="37">
        <v>10000</v>
      </c>
      <c r="E54" s="36">
        <v>2950000</v>
      </c>
    </row>
    <row r="55" spans="1:5" s="54" customFormat="1" ht="14.4" hidden="1" x14ac:dyDescent="0.3">
      <c r="A55" s="55" t="s">
        <v>47</v>
      </c>
      <c r="B55" s="55" t="s">
        <v>48</v>
      </c>
      <c r="C55" s="56">
        <v>0</v>
      </c>
    </row>
    <row r="56" spans="1:5" x14ac:dyDescent="0.3">
      <c r="A56" s="12" t="s">
        <v>50</v>
      </c>
      <c r="B56" s="12" t="s">
        <v>30</v>
      </c>
      <c r="C56" s="33">
        <v>380</v>
      </c>
      <c r="D56" s="37">
        <v>2400</v>
      </c>
      <c r="E56" s="36">
        <v>912000</v>
      </c>
    </row>
    <row r="57" spans="1:5" x14ac:dyDescent="0.3">
      <c r="A57" s="12" t="s">
        <v>51</v>
      </c>
      <c r="B57" s="12" t="s">
        <v>3</v>
      </c>
      <c r="C57" s="33">
        <v>620</v>
      </c>
      <c r="D57" s="37">
        <v>28000</v>
      </c>
      <c r="E57" s="36">
        <v>17360000</v>
      </c>
    </row>
    <row r="58" spans="1:5" x14ac:dyDescent="0.3">
      <c r="A58" s="12" t="s">
        <v>52</v>
      </c>
      <c r="B58" s="12" t="s">
        <v>3</v>
      </c>
      <c r="C58" s="33">
        <v>2250</v>
      </c>
      <c r="D58" s="37">
        <v>28000</v>
      </c>
      <c r="E58" s="36">
        <v>63000000</v>
      </c>
    </row>
    <row r="59" spans="1:5" s="54" customFormat="1" ht="14.4" hidden="1" x14ac:dyDescent="0.3">
      <c r="A59" s="55" t="s">
        <v>52</v>
      </c>
      <c r="B59" s="55" t="s">
        <v>30</v>
      </c>
      <c r="C59" s="56">
        <v>0</v>
      </c>
    </row>
    <row r="60" spans="1:5" x14ac:dyDescent="0.3">
      <c r="A60" s="12" t="s">
        <v>158</v>
      </c>
      <c r="B60" s="12" t="s">
        <v>3</v>
      </c>
      <c r="C60" s="33">
        <v>450</v>
      </c>
      <c r="D60" s="37">
        <v>27000</v>
      </c>
      <c r="E60" s="36">
        <v>12150000</v>
      </c>
    </row>
    <row r="61" spans="1:5" x14ac:dyDescent="0.3">
      <c r="A61" s="12" t="s">
        <v>54</v>
      </c>
      <c r="B61" s="12" t="s">
        <v>3</v>
      </c>
      <c r="C61" s="33">
        <v>330</v>
      </c>
      <c r="D61" s="37">
        <v>16000</v>
      </c>
      <c r="E61" s="36">
        <v>5280000</v>
      </c>
    </row>
    <row r="62" spans="1:5" x14ac:dyDescent="0.3">
      <c r="A62" s="12" t="s">
        <v>55</v>
      </c>
      <c r="B62" s="12" t="s">
        <v>3</v>
      </c>
      <c r="C62" s="33">
        <v>8</v>
      </c>
      <c r="D62" s="37">
        <v>24000</v>
      </c>
      <c r="E62" s="36">
        <v>192000</v>
      </c>
    </row>
    <row r="63" spans="1:5" s="54" customFormat="1" ht="14.4" hidden="1" x14ac:dyDescent="0.3">
      <c r="A63" s="55" t="s">
        <v>56</v>
      </c>
      <c r="B63" s="55" t="s">
        <v>3</v>
      </c>
      <c r="C63" s="56">
        <v>0</v>
      </c>
    </row>
    <row r="64" spans="1:5" s="54" customFormat="1" ht="14.4" hidden="1" x14ac:dyDescent="0.3">
      <c r="A64" s="55" t="s">
        <v>57</v>
      </c>
      <c r="B64" s="55" t="s">
        <v>30</v>
      </c>
      <c r="C64" s="56">
        <v>0</v>
      </c>
    </row>
    <row r="65" spans="1:5" s="54" customFormat="1" ht="14.4" hidden="1" x14ac:dyDescent="0.3">
      <c r="A65" s="55" t="s">
        <v>59</v>
      </c>
      <c r="B65" s="55" t="s">
        <v>3</v>
      </c>
      <c r="C65" s="56">
        <v>0</v>
      </c>
    </row>
    <row r="66" spans="1:5" s="54" customFormat="1" ht="14.4" hidden="1" x14ac:dyDescent="0.3">
      <c r="A66" s="55" t="s">
        <v>59</v>
      </c>
      <c r="B66" s="55" t="s">
        <v>30</v>
      </c>
      <c r="C66" s="56">
        <v>0</v>
      </c>
    </row>
    <row r="67" spans="1:5" x14ac:dyDescent="0.3">
      <c r="A67" s="12" t="s">
        <v>60</v>
      </c>
      <c r="B67" s="12" t="s">
        <v>30</v>
      </c>
      <c r="C67" s="33">
        <v>280</v>
      </c>
      <c r="D67" s="37">
        <v>14000</v>
      </c>
      <c r="E67" s="36">
        <v>3920000</v>
      </c>
    </row>
    <row r="68" spans="1:5" s="54" customFormat="1" ht="14.4" hidden="1" x14ac:dyDescent="0.3">
      <c r="A68" s="55" t="s">
        <v>61</v>
      </c>
      <c r="B68" s="55" t="s">
        <v>3</v>
      </c>
      <c r="C68" s="56">
        <v>0</v>
      </c>
    </row>
    <row r="69" spans="1:5" s="54" customFormat="1" ht="14.4" hidden="1" x14ac:dyDescent="0.3">
      <c r="A69" s="55" t="s">
        <v>62</v>
      </c>
      <c r="B69" s="55" t="s">
        <v>30</v>
      </c>
      <c r="C69" s="56">
        <v>0</v>
      </c>
    </row>
    <row r="70" spans="1:5" s="54" customFormat="1" ht="14.4" hidden="1" x14ac:dyDescent="0.3">
      <c r="A70" s="55" t="s">
        <v>63</v>
      </c>
      <c r="B70" s="55" t="s">
        <v>3</v>
      </c>
      <c r="C70" s="56">
        <v>0</v>
      </c>
    </row>
    <row r="71" spans="1:5" s="54" customFormat="1" ht="14.4" hidden="1" x14ac:dyDescent="0.3">
      <c r="A71" s="55" t="s">
        <v>63</v>
      </c>
      <c r="B71" s="55" t="s">
        <v>64</v>
      </c>
      <c r="C71" s="56">
        <v>0</v>
      </c>
    </row>
    <row r="72" spans="1:5" x14ac:dyDescent="0.3">
      <c r="A72" s="12" t="s">
        <v>65</v>
      </c>
      <c r="B72" s="12" t="s">
        <v>3</v>
      </c>
      <c r="C72" s="33">
        <v>3</v>
      </c>
      <c r="D72" s="37">
        <v>80000</v>
      </c>
      <c r="E72" s="36">
        <v>240000</v>
      </c>
    </row>
    <row r="73" spans="1:5" x14ac:dyDescent="0.3">
      <c r="A73" s="12" t="s">
        <v>66</v>
      </c>
      <c r="B73" s="12" t="s">
        <v>3</v>
      </c>
      <c r="C73" s="33">
        <v>3</v>
      </c>
      <c r="D73" s="37">
        <v>70000</v>
      </c>
      <c r="E73" s="36">
        <v>210000</v>
      </c>
    </row>
    <row r="74" spans="1:5" x14ac:dyDescent="0.3">
      <c r="A74" s="12" t="s">
        <v>67</v>
      </c>
      <c r="B74" s="12" t="s">
        <v>3</v>
      </c>
      <c r="C74" s="33">
        <v>3</v>
      </c>
      <c r="D74" s="37">
        <v>70000</v>
      </c>
      <c r="E74" s="36">
        <v>210000</v>
      </c>
    </row>
    <row r="75" spans="1:5" x14ac:dyDescent="0.3">
      <c r="A75" s="12" t="s">
        <v>68</v>
      </c>
      <c r="B75" s="12" t="s">
        <v>3</v>
      </c>
      <c r="C75" s="33">
        <v>70</v>
      </c>
      <c r="D75" s="37">
        <v>6500</v>
      </c>
      <c r="E75" s="36">
        <v>455000</v>
      </c>
    </row>
    <row r="76" spans="1:5" x14ac:dyDescent="0.3">
      <c r="A76" s="12" t="s">
        <v>68</v>
      </c>
      <c r="B76" s="12" t="s">
        <v>17</v>
      </c>
      <c r="C76" s="33">
        <v>525</v>
      </c>
      <c r="D76" s="37">
        <v>6500</v>
      </c>
      <c r="E76" s="36">
        <v>3412500</v>
      </c>
    </row>
    <row r="77" spans="1:5" x14ac:dyDescent="0.3">
      <c r="A77" s="12" t="s">
        <v>69</v>
      </c>
      <c r="B77" s="12" t="s">
        <v>3</v>
      </c>
      <c r="C77" s="33">
        <v>5</v>
      </c>
      <c r="D77" s="37">
        <v>18000</v>
      </c>
      <c r="E77" s="36">
        <v>90000</v>
      </c>
    </row>
    <row r="78" spans="1:5" x14ac:dyDescent="0.3">
      <c r="A78" s="12" t="s">
        <v>70</v>
      </c>
      <c r="B78" s="12" t="s">
        <v>3</v>
      </c>
      <c r="C78" s="33">
        <v>11</v>
      </c>
      <c r="D78" s="37">
        <v>16000</v>
      </c>
      <c r="E78" s="36">
        <v>176000</v>
      </c>
    </row>
    <row r="79" spans="1:5" s="54" customFormat="1" ht="14.4" hidden="1" x14ac:dyDescent="0.3">
      <c r="A79" s="55" t="s">
        <v>71</v>
      </c>
      <c r="B79" s="55" t="s">
        <v>40</v>
      </c>
      <c r="C79" s="56">
        <v>0</v>
      </c>
    </row>
    <row r="80" spans="1:5" s="54" customFormat="1" ht="14.4" hidden="1" x14ac:dyDescent="0.3">
      <c r="A80" s="55" t="s">
        <v>71</v>
      </c>
      <c r="B80" s="55" t="s">
        <v>3</v>
      </c>
      <c r="C80" s="56">
        <v>0</v>
      </c>
    </row>
    <row r="81" spans="1:5" s="54" customFormat="1" ht="14.4" hidden="1" x14ac:dyDescent="0.3">
      <c r="A81" s="55" t="s">
        <v>72</v>
      </c>
      <c r="B81" s="55" t="s">
        <v>3</v>
      </c>
      <c r="C81" s="56">
        <v>0</v>
      </c>
    </row>
    <row r="82" spans="1:5" x14ac:dyDescent="0.3">
      <c r="A82" s="12" t="s">
        <v>74</v>
      </c>
      <c r="B82" s="12" t="s">
        <v>30</v>
      </c>
      <c r="C82" s="33">
        <v>146</v>
      </c>
      <c r="D82" s="37">
        <v>3200</v>
      </c>
      <c r="E82" s="36">
        <v>467200</v>
      </c>
    </row>
    <row r="83" spans="1:5" s="54" customFormat="1" ht="14.4" hidden="1" x14ac:dyDescent="0.3">
      <c r="A83" s="55" t="s">
        <v>74</v>
      </c>
      <c r="B83" s="55" t="s">
        <v>30</v>
      </c>
      <c r="C83" s="56">
        <v>0</v>
      </c>
    </row>
    <row r="84" spans="1:5" x14ac:dyDescent="0.3">
      <c r="A84" s="12" t="s">
        <v>75</v>
      </c>
      <c r="B84" s="12" t="s">
        <v>3</v>
      </c>
      <c r="C84" s="33">
        <v>5</v>
      </c>
      <c r="D84" s="37">
        <v>14000</v>
      </c>
      <c r="E84" s="36">
        <v>70000</v>
      </c>
    </row>
    <row r="85" spans="1:5" s="54" customFormat="1" ht="14.4" hidden="1" x14ac:dyDescent="0.3">
      <c r="A85" s="55" t="s">
        <v>76</v>
      </c>
      <c r="B85" s="55" t="s">
        <v>17</v>
      </c>
      <c r="C85" s="56">
        <v>0</v>
      </c>
    </row>
    <row r="86" spans="1:5" s="54" customFormat="1" ht="14.4" hidden="1" x14ac:dyDescent="0.3">
      <c r="A86" s="55" t="s">
        <v>77</v>
      </c>
      <c r="B86" s="55" t="s">
        <v>25</v>
      </c>
      <c r="C86" s="56">
        <v>0</v>
      </c>
    </row>
    <row r="87" spans="1:5" x14ac:dyDescent="0.3">
      <c r="A87" s="12" t="s">
        <v>77</v>
      </c>
      <c r="B87" s="12" t="s">
        <v>3</v>
      </c>
      <c r="C87" s="33">
        <v>5</v>
      </c>
      <c r="D87" s="37">
        <v>55000</v>
      </c>
      <c r="E87" s="36">
        <v>275000</v>
      </c>
    </row>
    <row r="88" spans="1:5" x14ac:dyDescent="0.3">
      <c r="A88" s="12" t="s">
        <v>78</v>
      </c>
      <c r="B88" s="12" t="s">
        <v>3</v>
      </c>
      <c r="C88" s="33">
        <v>83</v>
      </c>
      <c r="D88" s="37">
        <v>40000</v>
      </c>
      <c r="E88" s="36">
        <v>3320000</v>
      </c>
    </row>
    <row r="89" spans="1:5" s="54" customFormat="1" ht="14.4" hidden="1" x14ac:dyDescent="0.3">
      <c r="A89" s="55" t="s">
        <v>78</v>
      </c>
      <c r="B89" s="55" t="s">
        <v>9</v>
      </c>
      <c r="C89" s="56">
        <v>0</v>
      </c>
    </row>
    <row r="90" spans="1:5" s="54" customFormat="1" ht="14.4" hidden="1" x14ac:dyDescent="0.3">
      <c r="A90" s="55" t="s">
        <v>80</v>
      </c>
      <c r="B90" s="55" t="s">
        <v>3</v>
      </c>
      <c r="C90" s="56">
        <v>0</v>
      </c>
    </row>
    <row r="91" spans="1:5" s="54" customFormat="1" ht="14.4" hidden="1" x14ac:dyDescent="0.3">
      <c r="A91" s="55" t="s">
        <v>80</v>
      </c>
      <c r="B91" s="55" t="s">
        <v>9</v>
      </c>
      <c r="C91" s="56">
        <v>0</v>
      </c>
    </row>
    <row r="92" spans="1:5" s="54" customFormat="1" ht="14.4" hidden="1" x14ac:dyDescent="0.3">
      <c r="A92" s="55" t="s">
        <v>82</v>
      </c>
      <c r="B92" s="55" t="s">
        <v>3</v>
      </c>
      <c r="C92" s="56">
        <v>0</v>
      </c>
    </row>
    <row r="93" spans="1:5" s="54" customFormat="1" ht="14.4" hidden="1" x14ac:dyDescent="0.3">
      <c r="A93" s="55" t="s">
        <v>82</v>
      </c>
      <c r="B93" s="55" t="s">
        <v>9</v>
      </c>
      <c r="C93" s="56">
        <v>0</v>
      </c>
    </row>
    <row r="94" spans="1:5" x14ac:dyDescent="0.3">
      <c r="A94" s="12" t="s">
        <v>84</v>
      </c>
      <c r="B94" s="12" t="s">
        <v>30</v>
      </c>
      <c r="C94" s="33">
        <v>20</v>
      </c>
      <c r="D94" s="37">
        <v>18000</v>
      </c>
      <c r="E94" s="36">
        <v>360000</v>
      </c>
    </row>
    <row r="95" spans="1:5" x14ac:dyDescent="0.3">
      <c r="A95" s="12" t="s">
        <v>85</v>
      </c>
      <c r="B95" s="12" t="s">
        <v>30</v>
      </c>
      <c r="C95" s="33">
        <v>3</v>
      </c>
      <c r="D95" s="37">
        <v>35000</v>
      </c>
      <c r="E95" s="36">
        <v>105000</v>
      </c>
    </row>
    <row r="96" spans="1:5" x14ac:dyDescent="0.3">
      <c r="A96" s="12" t="s">
        <v>106</v>
      </c>
      <c r="B96" s="12" t="s">
        <v>9</v>
      </c>
      <c r="C96" s="33">
        <v>370</v>
      </c>
      <c r="D96" s="37">
        <v>9000</v>
      </c>
      <c r="E96" s="36">
        <v>3330000</v>
      </c>
    </row>
    <row r="97" spans="1:5" x14ac:dyDescent="0.3">
      <c r="A97" s="12" t="s">
        <v>88</v>
      </c>
      <c r="B97" s="12" t="s">
        <v>9</v>
      </c>
      <c r="C97" s="33">
        <v>270</v>
      </c>
      <c r="D97" s="37">
        <v>11361</v>
      </c>
      <c r="E97" s="36">
        <v>3067470</v>
      </c>
    </row>
    <row r="98" spans="1:5" s="54" customFormat="1" ht="14.4" hidden="1" x14ac:dyDescent="0.3">
      <c r="A98" s="55" t="s">
        <v>89</v>
      </c>
      <c r="B98" s="55" t="s">
        <v>3</v>
      </c>
      <c r="C98" s="56">
        <v>0</v>
      </c>
    </row>
    <row r="99" spans="1:5" s="54" customFormat="1" ht="14.4" hidden="1" x14ac:dyDescent="0.3">
      <c r="A99" s="55" t="s">
        <v>90</v>
      </c>
      <c r="B99" s="55" t="s">
        <v>3</v>
      </c>
      <c r="C99" s="56">
        <v>0</v>
      </c>
    </row>
    <row r="100" spans="1:5" x14ac:dyDescent="0.3">
      <c r="A100" s="12" t="s">
        <v>92</v>
      </c>
      <c r="B100" s="12" t="s">
        <v>3</v>
      </c>
      <c r="C100" s="33">
        <v>270</v>
      </c>
      <c r="D100" s="37">
        <v>8000</v>
      </c>
      <c r="E100" s="36">
        <v>2160000</v>
      </c>
    </row>
    <row r="101" spans="1:5" x14ac:dyDescent="0.3">
      <c r="A101" s="12" t="s">
        <v>93</v>
      </c>
      <c r="B101" s="12" t="s">
        <v>3</v>
      </c>
      <c r="C101" s="33">
        <v>30</v>
      </c>
      <c r="D101" s="37">
        <v>25000</v>
      </c>
      <c r="E101" s="36">
        <v>780000</v>
      </c>
    </row>
    <row r="102" spans="1:5" s="54" customFormat="1" ht="14.4" hidden="1" x14ac:dyDescent="0.3">
      <c r="A102" s="55" t="s">
        <v>94</v>
      </c>
      <c r="B102" s="55" t="s">
        <v>3</v>
      </c>
      <c r="C102" s="56">
        <v>0</v>
      </c>
    </row>
    <row r="103" spans="1:5" x14ac:dyDescent="0.3">
      <c r="A103" s="12" t="s">
        <v>95</v>
      </c>
      <c r="B103" s="12" t="s">
        <v>40</v>
      </c>
      <c r="C103" s="33">
        <v>7</v>
      </c>
      <c r="D103" s="37">
        <v>6800</v>
      </c>
      <c r="E103" s="36">
        <v>47600</v>
      </c>
    </row>
    <row r="104" spans="1:5" s="54" customFormat="1" ht="14.4" hidden="1" x14ac:dyDescent="0.3">
      <c r="A104" s="55" t="s">
        <v>96</v>
      </c>
      <c r="B104" s="55" t="s">
        <v>3</v>
      </c>
      <c r="C104" s="56">
        <v>0</v>
      </c>
    </row>
    <row r="105" spans="1:5" s="54" customFormat="1" ht="14.4" hidden="1" x14ac:dyDescent="0.3">
      <c r="A105" s="55" t="s">
        <v>97</v>
      </c>
      <c r="B105" s="55" t="s">
        <v>40</v>
      </c>
      <c r="C105" s="56">
        <v>0</v>
      </c>
    </row>
    <row r="106" spans="1:5" s="54" customFormat="1" ht="14.4" hidden="1" x14ac:dyDescent="0.3">
      <c r="A106" s="55" t="s">
        <v>98</v>
      </c>
      <c r="B106" s="55" t="s">
        <v>3</v>
      </c>
      <c r="C106" s="56">
        <v>0</v>
      </c>
    </row>
    <row r="107" spans="1:5" s="54" customFormat="1" ht="14.4" hidden="1" x14ac:dyDescent="0.3">
      <c r="A107" s="55" t="s">
        <v>99</v>
      </c>
      <c r="B107" s="55" t="s">
        <v>3</v>
      </c>
      <c r="C107" s="56">
        <v>0</v>
      </c>
    </row>
    <row r="108" spans="1:5" s="54" customFormat="1" ht="14.4" hidden="1" x14ac:dyDescent="0.3">
      <c r="A108" s="55" t="s">
        <v>100</v>
      </c>
      <c r="B108" s="55" t="s">
        <v>40</v>
      </c>
      <c r="C108" s="56">
        <v>0</v>
      </c>
    </row>
    <row r="109" spans="1:5" x14ac:dyDescent="0.3">
      <c r="A109" s="19" t="e">
        <v>#N/A</v>
      </c>
      <c r="B109" s="19">
        <v>0</v>
      </c>
      <c r="C109" s="41">
        <v>10721.5</v>
      </c>
      <c r="D109" s="41">
        <v>10721.5</v>
      </c>
      <c r="E109" s="42">
        <v>170823870</v>
      </c>
    </row>
    <row r="110" spans="1:5" ht="62.4" x14ac:dyDescent="0.3">
      <c r="A110" s="35" t="s">
        <v>130</v>
      </c>
      <c r="B110" s="16" t="s">
        <v>1</v>
      </c>
      <c r="C110" s="15" t="s">
        <v>137</v>
      </c>
      <c r="D110" s="31" t="s">
        <v>140</v>
      </c>
      <c r="E110" s="31" t="s">
        <v>141</v>
      </c>
    </row>
    <row r="111" spans="1:5" x14ac:dyDescent="0.3">
      <c r="A111" s="12" t="s">
        <v>2</v>
      </c>
      <c r="B111" s="12" t="s">
        <v>3</v>
      </c>
      <c r="C111" s="13">
        <v>5</v>
      </c>
      <c r="D111" s="37">
        <v>8000</v>
      </c>
      <c r="E111" s="36">
        <v>40000</v>
      </c>
    </row>
    <row r="112" spans="1:5" x14ac:dyDescent="0.3">
      <c r="A112" s="12" t="s">
        <v>4</v>
      </c>
      <c r="B112" s="12" t="s">
        <v>3</v>
      </c>
      <c r="C112" s="13">
        <v>20</v>
      </c>
      <c r="D112" s="37">
        <v>4000</v>
      </c>
      <c r="E112" s="36">
        <v>80000</v>
      </c>
    </row>
    <row r="113" spans="1:5" s="54" customFormat="1" hidden="1" x14ac:dyDescent="0.3">
      <c r="A113" s="57" t="s">
        <v>5</v>
      </c>
      <c r="B113" s="57" t="s">
        <v>3</v>
      </c>
      <c r="C113" s="30">
        <v>0</v>
      </c>
    </row>
    <row r="114" spans="1:5" x14ac:dyDescent="0.3">
      <c r="A114" s="12" t="s">
        <v>119</v>
      </c>
      <c r="B114" s="12" t="s">
        <v>3</v>
      </c>
      <c r="C114" s="13">
        <v>15</v>
      </c>
      <c r="D114" s="37">
        <v>10000</v>
      </c>
      <c r="E114" s="36">
        <v>150000</v>
      </c>
    </row>
    <row r="115" spans="1:5" x14ac:dyDescent="0.3">
      <c r="A115" s="12" t="s">
        <v>7</v>
      </c>
      <c r="B115" s="12" t="s">
        <v>3</v>
      </c>
      <c r="C115" s="13">
        <v>40</v>
      </c>
      <c r="D115" s="37">
        <v>11000</v>
      </c>
      <c r="E115" s="36">
        <v>440000</v>
      </c>
    </row>
    <row r="116" spans="1:5" x14ac:dyDescent="0.3">
      <c r="A116" s="12" t="s">
        <v>8</v>
      </c>
      <c r="B116" s="12" t="s">
        <v>3</v>
      </c>
      <c r="C116" s="13">
        <v>10</v>
      </c>
      <c r="D116" s="37">
        <v>13000</v>
      </c>
      <c r="E116" s="36">
        <v>130000</v>
      </c>
    </row>
    <row r="117" spans="1:5" s="54" customFormat="1" hidden="1" x14ac:dyDescent="0.3">
      <c r="A117" s="57" t="s">
        <v>102</v>
      </c>
      <c r="B117" s="57" t="s">
        <v>3</v>
      </c>
      <c r="C117" s="30">
        <v>0</v>
      </c>
    </row>
    <row r="118" spans="1:5" x14ac:dyDescent="0.3">
      <c r="A118" s="12" t="s">
        <v>18</v>
      </c>
      <c r="B118" s="12" t="s">
        <v>3</v>
      </c>
      <c r="C118" s="13">
        <v>25</v>
      </c>
      <c r="D118" s="37">
        <v>16000</v>
      </c>
      <c r="E118" s="36">
        <v>400000</v>
      </c>
    </row>
    <row r="119" spans="1:5" x14ac:dyDescent="0.3">
      <c r="A119" s="12" t="s">
        <v>28</v>
      </c>
      <c r="B119" s="12" t="s">
        <v>3</v>
      </c>
      <c r="C119" s="13">
        <v>80</v>
      </c>
      <c r="D119" s="37">
        <v>22000</v>
      </c>
      <c r="E119" s="36">
        <v>1760000</v>
      </c>
    </row>
    <row r="120" spans="1:5" s="54" customFormat="1" hidden="1" x14ac:dyDescent="0.3">
      <c r="A120" s="57" t="s">
        <v>31</v>
      </c>
      <c r="B120" s="57" t="s">
        <v>3</v>
      </c>
      <c r="C120" s="30">
        <v>0</v>
      </c>
    </row>
    <row r="121" spans="1:5" x14ac:dyDescent="0.3">
      <c r="A121" s="12" t="s">
        <v>33</v>
      </c>
      <c r="B121" s="12" t="s">
        <v>3</v>
      </c>
      <c r="C121" s="13">
        <v>5</v>
      </c>
      <c r="D121" s="37">
        <v>8000</v>
      </c>
      <c r="E121" s="36">
        <v>40000</v>
      </c>
    </row>
    <row r="122" spans="1:5" s="54" customFormat="1" hidden="1" x14ac:dyDescent="0.3">
      <c r="A122" s="57" t="s">
        <v>38</v>
      </c>
      <c r="B122" s="57" t="s">
        <v>3</v>
      </c>
      <c r="C122" s="30">
        <v>0</v>
      </c>
    </row>
    <row r="123" spans="1:5" s="54" customFormat="1" hidden="1" x14ac:dyDescent="0.3">
      <c r="A123" s="57" t="s">
        <v>103</v>
      </c>
      <c r="B123" s="57" t="s">
        <v>3</v>
      </c>
      <c r="C123" s="30">
        <v>0</v>
      </c>
    </row>
    <row r="124" spans="1:5" x14ac:dyDescent="0.3">
      <c r="A124" s="12" t="s">
        <v>39</v>
      </c>
      <c r="B124" s="12" t="s">
        <v>3</v>
      </c>
      <c r="C124" s="13">
        <v>20</v>
      </c>
      <c r="D124" s="37">
        <v>18000</v>
      </c>
      <c r="E124" s="36">
        <v>360000</v>
      </c>
    </row>
    <row r="125" spans="1:5" s="54" customFormat="1" hidden="1" x14ac:dyDescent="0.3">
      <c r="A125" s="57" t="s">
        <v>105</v>
      </c>
      <c r="B125" s="57" t="s">
        <v>3</v>
      </c>
      <c r="C125" s="30">
        <v>0</v>
      </c>
    </row>
    <row r="126" spans="1:5" x14ac:dyDescent="0.3">
      <c r="A126" s="12" t="s">
        <v>41</v>
      </c>
      <c r="B126" s="12" t="s">
        <v>3</v>
      </c>
      <c r="C126" s="13">
        <v>15</v>
      </c>
      <c r="D126" s="37">
        <v>14000</v>
      </c>
      <c r="E126" s="36">
        <v>210000</v>
      </c>
    </row>
    <row r="127" spans="1:5" s="54" customFormat="1" hidden="1" x14ac:dyDescent="0.3">
      <c r="A127" s="57" t="s">
        <v>44</v>
      </c>
      <c r="B127" s="57" t="s">
        <v>3</v>
      </c>
      <c r="C127" s="30">
        <v>0</v>
      </c>
    </row>
    <row r="128" spans="1:5" x14ac:dyDescent="0.3">
      <c r="A128" s="12" t="s">
        <v>45</v>
      </c>
      <c r="B128" s="12" t="s">
        <v>3</v>
      </c>
      <c r="C128" s="13">
        <v>5</v>
      </c>
      <c r="D128" s="37">
        <v>11000</v>
      </c>
      <c r="E128" s="36">
        <v>55000</v>
      </c>
    </row>
    <row r="129" spans="1:5" x14ac:dyDescent="0.3">
      <c r="A129" s="12" t="s">
        <v>47</v>
      </c>
      <c r="B129" s="12" t="s">
        <v>3</v>
      </c>
      <c r="C129" s="13">
        <v>30</v>
      </c>
      <c r="D129" s="37">
        <v>10000</v>
      </c>
      <c r="E129" s="36">
        <v>300000</v>
      </c>
    </row>
    <row r="130" spans="1:5" x14ac:dyDescent="0.3">
      <c r="A130" s="12" t="s">
        <v>54</v>
      </c>
      <c r="B130" s="12" t="s">
        <v>3</v>
      </c>
      <c r="C130" s="13">
        <v>40</v>
      </c>
      <c r="D130" s="37">
        <v>16000</v>
      </c>
      <c r="E130" s="36">
        <v>640000</v>
      </c>
    </row>
    <row r="131" spans="1:5" x14ac:dyDescent="0.3">
      <c r="A131" s="12" t="s">
        <v>59</v>
      </c>
      <c r="B131" s="12" t="s">
        <v>3</v>
      </c>
      <c r="C131" s="13">
        <v>40</v>
      </c>
      <c r="D131" s="37">
        <v>11000</v>
      </c>
      <c r="E131" s="36">
        <v>440000</v>
      </c>
    </row>
    <row r="132" spans="1:5" s="54" customFormat="1" hidden="1" x14ac:dyDescent="0.3">
      <c r="A132" s="57" t="s">
        <v>61</v>
      </c>
      <c r="B132" s="57" t="s">
        <v>3</v>
      </c>
      <c r="C132" s="30">
        <v>0</v>
      </c>
    </row>
    <row r="133" spans="1:5" s="54" customFormat="1" hidden="1" x14ac:dyDescent="0.3">
      <c r="A133" s="57" t="s">
        <v>62</v>
      </c>
      <c r="B133" s="57" t="s">
        <v>30</v>
      </c>
      <c r="C133" s="30">
        <v>0</v>
      </c>
    </row>
    <row r="134" spans="1:5" s="54" customFormat="1" hidden="1" x14ac:dyDescent="0.3">
      <c r="A134" s="57" t="s">
        <v>63</v>
      </c>
      <c r="B134" s="57" t="s">
        <v>30</v>
      </c>
      <c r="C134" s="30">
        <v>0</v>
      </c>
    </row>
    <row r="135" spans="1:5" s="54" customFormat="1" hidden="1" x14ac:dyDescent="0.3">
      <c r="A135" s="57" t="s">
        <v>68</v>
      </c>
      <c r="B135" s="57" t="s">
        <v>3</v>
      </c>
      <c r="C135" s="30">
        <v>0</v>
      </c>
    </row>
    <row r="136" spans="1:5" s="54" customFormat="1" hidden="1" x14ac:dyDescent="0.3">
      <c r="A136" s="57" t="s">
        <v>68</v>
      </c>
      <c r="B136" s="57" t="s">
        <v>17</v>
      </c>
      <c r="C136" s="30">
        <v>0</v>
      </c>
    </row>
    <row r="137" spans="1:5" s="54" customFormat="1" hidden="1" x14ac:dyDescent="0.3">
      <c r="A137" s="57" t="s">
        <v>71</v>
      </c>
      <c r="B137" s="57" t="s">
        <v>3</v>
      </c>
      <c r="C137" s="30">
        <v>0</v>
      </c>
    </row>
    <row r="138" spans="1:5" s="54" customFormat="1" hidden="1" x14ac:dyDescent="0.3">
      <c r="A138" s="57" t="s">
        <v>72</v>
      </c>
      <c r="B138" s="57" t="s">
        <v>3</v>
      </c>
      <c r="C138" s="30">
        <v>0</v>
      </c>
    </row>
    <row r="139" spans="1:5" s="54" customFormat="1" hidden="1" x14ac:dyDescent="0.3">
      <c r="A139" s="57" t="s">
        <v>73</v>
      </c>
      <c r="B139" s="57" t="s">
        <v>3</v>
      </c>
      <c r="C139" s="30">
        <v>0</v>
      </c>
    </row>
    <row r="140" spans="1:5" x14ac:dyDescent="0.3">
      <c r="A140" s="12" t="s">
        <v>78</v>
      </c>
      <c r="B140" s="12" t="s">
        <v>3</v>
      </c>
      <c r="C140" s="13">
        <v>5</v>
      </c>
      <c r="D140" s="37">
        <v>40000</v>
      </c>
      <c r="E140" s="36">
        <v>200000</v>
      </c>
    </row>
    <row r="141" spans="1:5" s="54" customFormat="1" hidden="1" x14ac:dyDescent="0.3">
      <c r="A141" s="57" t="s">
        <v>80</v>
      </c>
      <c r="B141" s="57" t="s">
        <v>3</v>
      </c>
      <c r="C141" s="30">
        <v>0</v>
      </c>
    </row>
    <row r="142" spans="1:5" s="54" customFormat="1" hidden="1" x14ac:dyDescent="0.3">
      <c r="A142" s="57" t="s">
        <v>82</v>
      </c>
      <c r="B142" s="57" t="s">
        <v>3</v>
      </c>
      <c r="C142" s="30">
        <v>0</v>
      </c>
    </row>
    <row r="143" spans="1:5" x14ac:dyDescent="0.3">
      <c r="A143" s="12" t="s">
        <v>92</v>
      </c>
      <c r="B143" s="12" t="s">
        <v>3</v>
      </c>
      <c r="C143" s="13">
        <v>20</v>
      </c>
      <c r="D143" s="37">
        <v>8000</v>
      </c>
      <c r="E143" s="36">
        <v>160000</v>
      </c>
    </row>
    <row r="144" spans="1:5" s="54" customFormat="1" hidden="1" x14ac:dyDescent="0.3">
      <c r="A144" s="57" t="s">
        <v>94</v>
      </c>
      <c r="B144" s="57" t="s">
        <v>40</v>
      </c>
      <c r="C144" s="30">
        <v>0</v>
      </c>
    </row>
    <row r="145" spans="1:5" s="54" customFormat="1" hidden="1" x14ac:dyDescent="0.3">
      <c r="A145" s="57" t="s">
        <v>95</v>
      </c>
      <c r="B145" s="57" t="s">
        <v>40</v>
      </c>
      <c r="C145" s="30">
        <v>0</v>
      </c>
    </row>
    <row r="146" spans="1:5" s="54" customFormat="1" hidden="1" x14ac:dyDescent="0.3">
      <c r="A146" s="57" t="s">
        <v>97</v>
      </c>
      <c r="B146" s="57" t="s">
        <v>40</v>
      </c>
      <c r="C146" s="30">
        <v>0</v>
      </c>
    </row>
    <row r="147" spans="1:5" s="54" customFormat="1" hidden="1" x14ac:dyDescent="0.3">
      <c r="A147" s="57" t="s">
        <v>100</v>
      </c>
      <c r="B147" s="57" t="s">
        <v>40</v>
      </c>
      <c r="C147" s="30">
        <v>0</v>
      </c>
    </row>
    <row r="148" spans="1:5" x14ac:dyDescent="0.3">
      <c r="A148" s="19" t="e">
        <v>#N/A</v>
      </c>
      <c r="B148" s="19">
        <v>0</v>
      </c>
      <c r="C148" s="20">
        <v>375</v>
      </c>
      <c r="D148" s="39">
        <v>1</v>
      </c>
      <c r="E148" s="42">
        <v>5405000</v>
      </c>
    </row>
    <row r="149" spans="1:5" x14ac:dyDescent="0.3">
      <c r="E149" s="43">
        <f>+E109+E148</f>
        <v>176228870</v>
      </c>
    </row>
  </sheetData>
  <autoFilter ref="A1:E148" xr:uid="{D60ABA3C-4F00-414D-BADE-CD27C20C7320}">
    <filterColumn colId="2">
      <filters>
        <filter val="1,380"/>
        <filter val="10"/>
        <filter val="10,722"/>
        <filter val="11"/>
        <filter val="120"/>
        <filter val="146"/>
        <filter val="15"/>
        <filter val="180"/>
        <filter val="190"/>
        <filter val="2"/>
        <filter val="2,250"/>
        <filter val="20"/>
        <filter val="205"/>
        <filter val="25"/>
        <filter val="270"/>
        <filter val="280"/>
        <filter val="295"/>
        <filter val="3"/>
        <filter val="30"/>
        <filter val="300"/>
        <filter val="31"/>
        <filter val="32"/>
        <filter val="330"/>
        <filter val="34"/>
        <filter val="35"/>
        <filter val="370"/>
        <filter val="375"/>
        <filter val="380"/>
        <filter val="40"/>
        <filter val="450"/>
        <filter val="5"/>
        <filter val="50"/>
        <filter val="525"/>
        <filter val="60"/>
        <filter val="620"/>
        <filter val="65"/>
        <filter val="7"/>
        <filter val="70"/>
        <filter val="8"/>
        <filter val="80"/>
        <filter val="83"/>
        <filter val="9"/>
        <filter val="90"/>
        <filter val="980"/>
        <filter val="Tồn_x000a_ĐL_x000a__x000a_現在個"/>
      </filters>
    </filterColumn>
  </autoFilter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54EF2-67A8-4921-840C-E692E455B250}">
  <sheetPr filterMode="1"/>
  <dimension ref="A1:E149"/>
  <sheetViews>
    <sheetView workbookViewId="0">
      <pane xSplit="1" ySplit="1" topLeftCell="B131" activePane="bottomRight" state="frozen"/>
      <selection pane="topRight" activeCell="B1" sqref="B1"/>
      <selection pane="bottomLeft" activeCell="A2" sqref="A2"/>
      <selection pane="bottomRight" activeCell="E149" sqref="E149"/>
    </sheetView>
  </sheetViews>
  <sheetFormatPr defaultRowHeight="15.6" x14ac:dyDescent="0.3"/>
  <cols>
    <col min="1" max="1" width="31.44140625" style="32" customWidth="1"/>
    <col min="2" max="2" width="9.77734375" style="32" customWidth="1"/>
    <col min="3" max="3" width="13.77734375" style="32" customWidth="1"/>
    <col min="4" max="4" width="22.21875" style="38" customWidth="1"/>
    <col min="5" max="5" width="26" style="32" customWidth="1"/>
    <col min="6" max="16384" width="8.88671875" style="32"/>
  </cols>
  <sheetData>
    <row r="1" spans="1:5" ht="62.4" x14ac:dyDescent="0.3">
      <c r="A1" s="35" t="s">
        <v>127</v>
      </c>
      <c r="B1" s="16" t="s">
        <v>1</v>
      </c>
      <c r="C1" s="15" t="s">
        <v>137</v>
      </c>
      <c r="D1" s="31" t="s">
        <v>140</v>
      </c>
      <c r="E1" s="31" t="s">
        <v>141</v>
      </c>
    </row>
    <row r="2" spans="1:5" x14ac:dyDescent="0.3">
      <c r="A2" s="12" t="s">
        <v>2</v>
      </c>
      <c r="B2" s="12" t="s">
        <v>3</v>
      </c>
      <c r="C2" s="33">
        <v>9</v>
      </c>
      <c r="D2" s="37">
        <v>8000</v>
      </c>
      <c r="E2" s="36">
        <f>+D2*C2</f>
        <v>72000</v>
      </c>
    </row>
    <row r="3" spans="1:5" x14ac:dyDescent="0.3">
      <c r="A3" s="12" t="s">
        <v>4</v>
      </c>
      <c r="B3" s="12" t="s">
        <v>3</v>
      </c>
      <c r="C3" s="33">
        <v>180</v>
      </c>
      <c r="D3" s="37">
        <v>4000</v>
      </c>
      <c r="E3" s="36">
        <f t="shared" ref="E3:E9" si="0">+D3*C3</f>
        <v>720000</v>
      </c>
    </row>
    <row r="4" spans="1:5" x14ac:dyDescent="0.3">
      <c r="A4" s="12" t="s">
        <v>5</v>
      </c>
      <c r="B4" s="12" t="s">
        <v>3</v>
      </c>
      <c r="C4" s="33">
        <v>980</v>
      </c>
      <c r="D4" s="37">
        <v>5500</v>
      </c>
      <c r="E4" s="36">
        <f t="shared" si="0"/>
        <v>5390000</v>
      </c>
    </row>
    <row r="5" spans="1:5" x14ac:dyDescent="0.3">
      <c r="A5" s="12" t="s">
        <v>119</v>
      </c>
      <c r="B5" s="12" t="s">
        <v>3</v>
      </c>
      <c r="C5" s="33">
        <v>35</v>
      </c>
      <c r="D5" s="37">
        <v>10000</v>
      </c>
      <c r="E5" s="36">
        <f t="shared" si="0"/>
        <v>350000</v>
      </c>
    </row>
    <row r="6" spans="1:5" x14ac:dyDescent="0.3">
      <c r="A6" s="12" t="s">
        <v>6</v>
      </c>
      <c r="B6" s="12" t="s">
        <v>3</v>
      </c>
      <c r="C6" s="33">
        <v>205</v>
      </c>
      <c r="D6" s="37">
        <v>9500</v>
      </c>
      <c r="E6" s="36">
        <f t="shared" si="0"/>
        <v>1947500</v>
      </c>
    </row>
    <row r="7" spans="1:5" x14ac:dyDescent="0.3">
      <c r="A7" s="12" t="s">
        <v>7</v>
      </c>
      <c r="B7" s="12" t="s">
        <v>3</v>
      </c>
      <c r="C7" s="33">
        <v>1380</v>
      </c>
      <c r="D7" s="37">
        <v>11000</v>
      </c>
      <c r="E7" s="36">
        <f t="shared" si="0"/>
        <v>15180000</v>
      </c>
    </row>
    <row r="8" spans="1:5" x14ac:dyDescent="0.3">
      <c r="A8" s="12" t="s">
        <v>111</v>
      </c>
      <c r="B8" s="12" t="s">
        <v>3</v>
      </c>
      <c r="C8" s="33">
        <v>2</v>
      </c>
      <c r="D8" s="37">
        <v>15000</v>
      </c>
      <c r="E8" s="36">
        <f t="shared" si="0"/>
        <v>30000</v>
      </c>
    </row>
    <row r="9" spans="1:5" x14ac:dyDescent="0.3">
      <c r="A9" s="12" t="s">
        <v>8</v>
      </c>
      <c r="B9" s="12" t="s">
        <v>3</v>
      </c>
      <c r="C9" s="33">
        <v>190</v>
      </c>
      <c r="D9" s="37">
        <v>13000</v>
      </c>
      <c r="E9" s="36">
        <f t="shared" si="0"/>
        <v>2470000</v>
      </c>
    </row>
    <row r="10" spans="1:5" s="54" customFormat="1" ht="14.4" hidden="1" x14ac:dyDescent="0.3">
      <c r="A10" s="55" t="s">
        <v>8</v>
      </c>
      <c r="B10" s="55" t="s">
        <v>9</v>
      </c>
      <c r="C10" s="56">
        <v>0</v>
      </c>
    </row>
    <row r="11" spans="1:5" x14ac:dyDescent="0.3">
      <c r="A11" s="12" t="s">
        <v>10</v>
      </c>
      <c r="B11" s="12" t="s">
        <v>3</v>
      </c>
      <c r="C11" s="33">
        <v>60</v>
      </c>
      <c r="D11" s="37">
        <v>10000</v>
      </c>
      <c r="E11" s="36">
        <f>+D11*C11</f>
        <v>600000</v>
      </c>
    </row>
    <row r="12" spans="1:5" s="54" customFormat="1" ht="14.4" hidden="1" x14ac:dyDescent="0.3">
      <c r="A12" s="55" t="s">
        <v>10</v>
      </c>
      <c r="B12" s="55" t="s">
        <v>9</v>
      </c>
      <c r="C12" s="56">
        <v>0</v>
      </c>
    </row>
    <row r="13" spans="1:5" s="54" customFormat="1" ht="14.4" hidden="1" x14ac:dyDescent="0.3">
      <c r="A13" s="55" t="s">
        <v>11</v>
      </c>
      <c r="B13" s="55" t="s">
        <v>3</v>
      </c>
      <c r="C13" s="56">
        <v>0</v>
      </c>
    </row>
    <row r="14" spans="1:5" s="54" customFormat="1" ht="14.4" hidden="1" x14ac:dyDescent="0.3">
      <c r="A14" s="55" t="s">
        <v>12</v>
      </c>
      <c r="B14" s="55" t="s">
        <v>3</v>
      </c>
      <c r="C14" s="56">
        <v>0</v>
      </c>
    </row>
    <row r="15" spans="1:5" s="54" customFormat="1" ht="14.4" hidden="1" x14ac:dyDescent="0.3">
      <c r="A15" s="55" t="s">
        <v>13</v>
      </c>
      <c r="B15" s="55" t="s">
        <v>3</v>
      </c>
      <c r="C15" s="56">
        <v>0</v>
      </c>
    </row>
    <row r="16" spans="1:5" s="54" customFormat="1" ht="14.4" hidden="1" x14ac:dyDescent="0.3">
      <c r="A16" s="55" t="s">
        <v>14</v>
      </c>
      <c r="B16" s="55" t="s">
        <v>3</v>
      </c>
      <c r="C16" s="56">
        <v>0</v>
      </c>
    </row>
    <row r="17" spans="1:5" s="54" customFormat="1" ht="14.4" hidden="1" x14ac:dyDescent="0.3">
      <c r="A17" s="55" t="s">
        <v>15</v>
      </c>
      <c r="B17" s="55" t="s">
        <v>3</v>
      </c>
      <c r="C17" s="56">
        <v>0</v>
      </c>
    </row>
    <row r="18" spans="1:5" x14ac:dyDescent="0.3">
      <c r="A18" s="12" t="s">
        <v>16</v>
      </c>
      <c r="B18" s="12" t="s">
        <v>17</v>
      </c>
      <c r="C18" s="33">
        <v>31</v>
      </c>
      <c r="D18" s="37">
        <v>6000</v>
      </c>
      <c r="E18" s="36">
        <f t="shared" ref="E18:E19" si="1">+D18*C18</f>
        <v>186000</v>
      </c>
    </row>
    <row r="19" spans="1:5" x14ac:dyDescent="0.3">
      <c r="A19" s="12" t="s">
        <v>18</v>
      </c>
      <c r="B19" s="12" t="s">
        <v>3</v>
      </c>
      <c r="C19" s="33">
        <v>60</v>
      </c>
      <c r="D19" s="37">
        <v>16000</v>
      </c>
      <c r="E19" s="36">
        <f t="shared" si="1"/>
        <v>960000</v>
      </c>
    </row>
    <row r="20" spans="1:5" s="54" customFormat="1" ht="14.4" hidden="1" x14ac:dyDescent="0.3">
      <c r="A20" s="55" t="s">
        <v>18</v>
      </c>
      <c r="B20" s="55" t="s">
        <v>17</v>
      </c>
      <c r="C20" s="56">
        <v>0</v>
      </c>
    </row>
    <row r="21" spans="1:5" s="54" customFormat="1" ht="14.4" hidden="1" x14ac:dyDescent="0.3">
      <c r="A21" s="55" t="s">
        <v>18</v>
      </c>
      <c r="B21" s="55" t="s">
        <v>19</v>
      </c>
      <c r="C21" s="56">
        <v>0</v>
      </c>
    </row>
    <row r="22" spans="1:5" x14ac:dyDescent="0.3">
      <c r="A22" s="12" t="s">
        <v>20</v>
      </c>
      <c r="B22" s="12" t="s">
        <v>3</v>
      </c>
      <c r="C22" s="33">
        <v>65</v>
      </c>
      <c r="D22" s="37">
        <v>18000</v>
      </c>
      <c r="E22" s="36">
        <f>+D22*C22</f>
        <v>1170000</v>
      </c>
    </row>
    <row r="23" spans="1:5" s="54" customFormat="1" ht="14.4" hidden="1" x14ac:dyDescent="0.3">
      <c r="A23" s="55" t="s">
        <v>20</v>
      </c>
      <c r="B23" s="55" t="s">
        <v>21</v>
      </c>
      <c r="C23" s="56">
        <v>0</v>
      </c>
    </row>
    <row r="24" spans="1:5" s="54" customFormat="1" ht="14.4" hidden="1" x14ac:dyDescent="0.3">
      <c r="A24" s="55" t="s">
        <v>22</v>
      </c>
      <c r="B24" s="55" t="s">
        <v>3</v>
      </c>
      <c r="C24" s="56">
        <v>0</v>
      </c>
    </row>
    <row r="25" spans="1:5" x14ac:dyDescent="0.3">
      <c r="A25" s="12" t="s">
        <v>22</v>
      </c>
      <c r="B25" s="12" t="s">
        <v>23</v>
      </c>
      <c r="C25" s="33">
        <v>64.5</v>
      </c>
      <c r="D25" s="37">
        <v>45000</v>
      </c>
      <c r="E25" s="36">
        <f t="shared" ref="E25:E26" si="2">+D25*C25</f>
        <v>2902500</v>
      </c>
    </row>
    <row r="26" spans="1:5" x14ac:dyDescent="0.3">
      <c r="A26" s="12" t="s">
        <v>24</v>
      </c>
      <c r="B26" s="12" t="s">
        <v>25</v>
      </c>
      <c r="C26" s="33">
        <v>25</v>
      </c>
      <c r="D26" s="37">
        <v>13500</v>
      </c>
      <c r="E26" s="36">
        <f t="shared" si="2"/>
        <v>337500</v>
      </c>
    </row>
    <row r="27" spans="1:5" s="54" customFormat="1" ht="14.4" hidden="1" x14ac:dyDescent="0.3">
      <c r="A27" s="55" t="s">
        <v>26</v>
      </c>
      <c r="B27" s="55" t="s">
        <v>3</v>
      </c>
      <c r="C27" s="56">
        <v>0</v>
      </c>
    </row>
    <row r="28" spans="1:5" x14ac:dyDescent="0.3">
      <c r="A28" s="12" t="s">
        <v>26</v>
      </c>
      <c r="B28" s="12" t="s">
        <v>27</v>
      </c>
      <c r="C28" s="33">
        <v>300</v>
      </c>
      <c r="D28" s="37">
        <v>11000</v>
      </c>
      <c r="E28" s="36">
        <f t="shared" ref="E28:E31" si="3">+D28*C28</f>
        <v>3300000</v>
      </c>
    </row>
    <row r="29" spans="1:5" x14ac:dyDescent="0.3">
      <c r="A29" s="12" t="s">
        <v>28</v>
      </c>
      <c r="B29" s="12" t="s">
        <v>3</v>
      </c>
      <c r="C29" s="33">
        <v>90</v>
      </c>
      <c r="D29" s="37">
        <v>22000</v>
      </c>
      <c r="E29" s="36">
        <f t="shared" si="3"/>
        <v>1980000</v>
      </c>
    </row>
    <row r="30" spans="1:5" x14ac:dyDescent="0.3">
      <c r="A30" s="12" t="s">
        <v>28</v>
      </c>
      <c r="B30" s="12" t="s">
        <v>17</v>
      </c>
      <c r="C30" s="33">
        <v>400</v>
      </c>
      <c r="D30" s="32">
        <v>18000</v>
      </c>
      <c r="E30" s="36">
        <f t="shared" si="3"/>
        <v>7200000</v>
      </c>
    </row>
    <row r="31" spans="1:5" x14ac:dyDescent="0.3">
      <c r="A31" s="12" t="s">
        <v>29</v>
      </c>
      <c r="B31" s="12" t="s">
        <v>30</v>
      </c>
      <c r="C31" s="33">
        <f>180+240</f>
        <v>420</v>
      </c>
      <c r="D31" s="37">
        <v>13000</v>
      </c>
      <c r="E31" s="36">
        <f t="shared" si="3"/>
        <v>5460000</v>
      </c>
    </row>
    <row r="32" spans="1:5" s="54" customFormat="1" ht="14.4" hidden="1" x14ac:dyDescent="0.3">
      <c r="A32" s="55" t="s">
        <v>31</v>
      </c>
      <c r="B32" s="55" t="s">
        <v>3</v>
      </c>
      <c r="C32" s="56">
        <v>0</v>
      </c>
    </row>
    <row r="33" spans="1:5" s="54" customFormat="1" ht="14.4" hidden="1" x14ac:dyDescent="0.3">
      <c r="A33" s="55" t="s">
        <v>31</v>
      </c>
      <c r="B33" s="55" t="s">
        <v>30</v>
      </c>
      <c r="C33" s="56">
        <v>0</v>
      </c>
    </row>
    <row r="34" spans="1:5" x14ac:dyDescent="0.3">
      <c r="A34" s="12" t="s">
        <v>32</v>
      </c>
      <c r="B34" s="12" t="s">
        <v>17</v>
      </c>
      <c r="C34" s="33">
        <v>8</v>
      </c>
      <c r="D34" s="37">
        <v>8000</v>
      </c>
      <c r="E34" s="36">
        <f t="shared" ref="E34:E35" si="4">+D34*C34</f>
        <v>64000</v>
      </c>
    </row>
    <row r="35" spans="1:5" x14ac:dyDescent="0.3">
      <c r="A35" s="12" t="s">
        <v>33</v>
      </c>
      <c r="B35" s="12" t="s">
        <v>3</v>
      </c>
      <c r="C35" s="33">
        <v>120</v>
      </c>
      <c r="D35" s="37">
        <v>8000</v>
      </c>
      <c r="E35" s="36">
        <f t="shared" si="4"/>
        <v>960000</v>
      </c>
    </row>
    <row r="36" spans="1:5" s="54" customFormat="1" ht="14.4" hidden="1" x14ac:dyDescent="0.3">
      <c r="A36" s="55" t="s">
        <v>33</v>
      </c>
      <c r="B36" s="55" t="s">
        <v>34</v>
      </c>
      <c r="C36" s="56">
        <v>0</v>
      </c>
    </row>
    <row r="37" spans="1:5" x14ac:dyDescent="0.3">
      <c r="A37" s="12" t="s">
        <v>35</v>
      </c>
      <c r="B37" s="12" t="s">
        <v>3</v>
      </c>
      <c r="C37" s="33">
        <v>15</v>
      </c>
      <c r="D37" s="37">
        <v>22000</v>
      </c>
      <c r="E37" s="36">
        <f>+D37*C37</f>
        <v>330000</v>
      </c>
    </row>
    <row r="38" spans="1:5" s="54" customFormat="1" ht="14.4" hidden="1" x14ac:dyDescent="0.3">
      <c r="A38" s="55" t="s">
        <v>35</v>
      </c>
      <c r="B38" s="55" t="s">
        <v>30</v>
      </c>
      <c r="C38" s="56">
        <v>0</v>
      </c>
    </row>
    <row r="39" spans="1:5" x14ac:dyDescent="0.3">
      <c r="A39" s="12" t="s">
        <v>36</v>
      </c>
      <c r="B39" s="12" t="s">
        <v>30</v>
      </c>
      <c r="C39" s="33">
        <v>34</v>
      </c>
      <c r="D39" s="37">
        <v>5000</v>
      </c>
      <c r="E39" s="36">
        <f t="shared" ref="E39:E41" si="5">+D39*C39</f>
        <v>170000</v>
      </c>
    </row>
    <row r="40" spans="1:5" x14ac:dyDescent="0.3">
      <c r="A40" s="12" t="s">
        <v>37</v>
      </c>
      <c r="B40" s="12" t="s">
        <v>3</v>
      </c>
      <c r="C40" s="33">
        <v>10</v>
      </c>
      <c r="D40" s="37">
        <v>12900</v>
      </c>
      <c r="E40" s="36">
        <f t="shared" si="5"/>
        <v>129000</v>
      </c>
    </row>
    <row r="41" spans="1:5" x14ac:dyDescent="0.3">
      <c r="A41" s="12" t="s">
        <v>37</v>
      </c>
      <c r="B41" s="12" t="s">
        <v>30</v>
      </c>
      <c r="C41" s="33">
        <v>32</v>
      </c>
      <c r="D41" s="37">
        <v>4300</v>
      </c>
      <c r="E41" s="36">
        <f t="shared" si="5"/>
        <v>137600</v>
      </c>
    </row>
    <row r="42" spans="1:5" s="54" customFormat="1" ht="14.4" hidden="1" x14ac:dyDescent="0.3">
      <c r="A42" s="55" t="s">
        <v>38</v>
      </c>
      <c r="B42" s="55" t="s">
        <v>3</v>
      </c>
      <c r="C42" s="56">
        <v>0</v>
      </c>
    </row>
    <row r="43" spans="1:5" x14ac:dyDescent="0.3">
      <c r="A43" s="12" t="s">
        <v>104</v>
      </c>
      <c r="B43" s="12" t="s">
        <v>3</v>
      </c>
      <c r="C43" s="33">
        <v>30</v>
      </c>
      <c r="D43" s="37">
        <v>4000</v>
      </c>
      <c r="E43" s="36">
        <f>+D43*C43</f>
        <v>120000</v>
      </c>
    </row>
    <row r="44" spans="1:5" s="54" customFormat="1" ht="14.4" hidden="1" x14ac:dyDescent="0.3">
      <c r="A44" s="55" t="s">
        <v>39</v>
      </c>
      <c r="B44" s="55" t="s">
        <v>40</v>
      </c>
      <c r="C44" s="56">
        <v>0</v>
      </c>
    </row>
    <row r="45" spans="1:5" x14ac:dyDescent="0.3">
      <c r="A45" s="12" t="s">
        <v>39</v>
      </c>
      <c r="B45" s="12" t="s">
        <v>3</v>
      </c>
      <c r="C45" s="33">
        <v>35</v>
      </c>
      <c r="D45" s="37">
        <v>18000</v>
      </c>
      <c r="E45" s="36">
        <f t="shared" ref="E45:E46" si="6">+D45*C45</f>
        <v>630000</v>
      </c>
    </row>
    <row r="46" spans="1:5" x14ac:dyDescent="0.3">
      <c r="A46" s="12" t="s">
        <v>41</v>
      </c>
      <c r="B46" s="12" t="s">
        <v>3</v>
      </c>
      <c r="C46" s="33">
        <v>40</v>
      </c>
      <c r="D46" s="37">
        <v>14000</v>
      </c>
      <c r="E46" s="36">
        <f t="shared" si="6"/>
        <v>560000</v>
      </c>
    </row>
    <row r="47" spans="1:5" s="54" customFormat="1" ht="14.4" hidden="1" x14ac:dyDescent="0.3">
      <c r="A47" s="55" t="s">
        <v>42</v>
      </c>
      <c r="B47" s="55" t="s">
        <v>25</v>
      </c>
      <c r="C47" s="56">
        <v>0</v>
      </c>
    </row>
    <row r="48" spans="1:5" x14ac:dyDescent="0.3">
      <c r="A48" s="12" t="s">
        <v>42</v>
      </c>
      <c r="B48" s="12" t="s">
        <v>3</v>
      </c>
      <c r="C48" s="33">
        <v>50</v>
      </c>
      <c r="D48" s="37">
        <v>35000</v>
      </c>
      <c r="E48" s="36">
        <f t="shared" ref="E48:E49" si="7">+D48*C48</f>
        <v>1750000</v>
      </c>
    </row>
    <row r="49" spans="1:5" x14ac:dyDescent="0.3">
      <c r="A49" s="12" t="s">
        <v>43</v>
      </c>
      <c r="B49" s="12" t="s">
        <v>3</v>
      </c>
      <c r="C49" s="33">
        <v>2</v>
      </c>
      <c r="D49" s="37">
        <v>16000</v>
      </c>
      <c r="E49" s="36">
        <f t="shared" si="7"/>
        <v>32000</v>
      </c>
    </row>
    <row r="50" spans="1:5" s="54" customFormat="1" ht="14.4" hidden="1" x14ac:dyDescent="0.3">
      <c r="A50" s="55" t="s">
        <v>44</v>
      </c>
      <c r="B50" s="55" t="s">
        <v>3</v>
      </c>
      <c r="C50" s="56">
        <v>0</v>
      </c>
    </row>
    <row r="51" spans="1:5" x14ac:dyDescent="0.3">
      <c r="A51" s="12" t="s">
        <v>45</v>
      </c>
      <c r="B51" s="12" t="s">
        <v>3</v>
      </c>
      <c r="C51" s="33">
        <v>40</v>
      </c>
      <c r="D51" s="37">
        <v>11000</v>
      </c>
      <c r="E51" s="36">
        <f>+D51*C51</f>
        <v>440000</v>
      </c>
    </row>
    <row r="52" spans="1:5" s="54" customFormat="1" ht="14.4" hidden="1" x14ac:dyDescent="0.3">
      <c r="A52" s="55" t="s">
        <v>45</v>
      </c>
      <c r="B52" s="55" t="s">
        <v>30</v>
      </c>
      <c r="C52" s="56">
        <v>0</v>
      </c>
    </row>
    <row r="53" spans="1:5" x14ac:dyDescent="0.3">
      <c r="A53" s="12" t="s">
        <v>46</v>
      </c>
      <c r="B53" s="12" t="s">
        <v>3</v>
      </c>
      <c r="C53" s="33">
        <v>7</v>
      </c>
      <c r="D53" s="37">
        <v>18000</v>
      </c>
      <c r="E53" s="36">
        <f t="shared" ref="E53:E54" si="8">+D53*C53</f>
        <v>126000</v>
      </c>
    </row>
    <row r="54" spans="1:5" x14ac:dyDescent="0.3">
      <c r="A54" s="12" t="s">
        <v>47</v>
      </c>
      <c r="B54" s="12" t="s">
        <v>3</v>
      </c>
      <c r="C54" s="33">
        <v>295</v>
      </c>
      <c r="D54" s="37">
        <v>10000</v>
      </c>
      <c r="E54" s="36">
        <f t="shared" si="8"/>
        <v>2950000</v>
      </c>
    </row>
    <row r="55" spans="1:5" s="54" customFormat="1" ht="14.4" hidden="1" x14ac:dyDescent="0.3">
      <c r="A55" s="55" t="s">
        <v>47</v>
      </c>
      <c r="B55" s="55" t="s">
        <v>48</v>
      </c>
      <c r="C55" s="56">
        <v>0</v>
      </c>
    </row>
    <row r="56" spans="1:5" x14ac:dyDescent="0.3">
      <c r="A56" s="12" t="s">
        <v>50</v>
      </c>
      <c r="B56" s="12" t="s">
        <v>30</v>
      </c>
      <c r="C56" s="33">
        <v>380</v>
      </c>
      <c r="D56" s="37">
        <v>2400</v>
      </c>
      <c r="E56" s="36">
        <f t="shared" ref="E56:E58" si="9">+D56*C56</f>
        <v>912000</v>
      </c>
    </row>
    <row r="57" spans="1:5" x14ac:dyDescent="0.3">
      <c r="A57" s="12" t="s">
        <v>51</v>
      </c>
      <c r="B57" s="12" t="s">
        <v>3</v>
      </c>
      <c r="C57" s="33">
        <v>620</v>
      </c>
      <c r="D57" s="37">
        <v>28000</v>
      </c>
      <c r="E57" s="36">
        <f t="shared" si="9"/>
        <v>17360000</v>
      </c>
    </row>
    <row r="58" spans="1:5" x14ac:dyDescent="0.3">
      <c r="A58" s="12" t="s">
        <v>52</v>
      </c>
      <c r="B58" s="12" t="s">
        <v>3</v>
      </c>
      <c r="C58" s="33">
        <v>2250</v>
      </c>
      <c r="D58" s="37">
        <v>28000</v>
      </c>
      <c r="E58" s="36">
        <f t="shared" si="9"/>
        <v>63000000</v>
      </c>
    </row>
    <row r="59" spans="1:5" s="54" customFormat="1" ht="14.4" hidden="1" x14ac:dyDescent="0.3">
      <c r="A59" s="55" t="s">
        <v>52</v>
      </c>
      <c r="B59" s="55" t="s">
        <v>30</v>
      </c>
      <c r="C59" s="56">
        <v>0</v>
      </c>
    </row>
    <row r="60" spans="1:5" x14ac:dyDescent="0.3">
      <c r="A60" s="12" t="s">
        <v>158</v>
      </c>
      <c r="B60" s="12" t="s">
        <v>3</v>
      </c>
      <c r="C60" s="33">
        <v>450</v>
      </c>
      <c r="D60" s="37">
        <v>27000</v>
      </c>
      <c r="E60" s="36">
        <f t="shared" ref="E60:E62" si="10">+D60*C60</f>
        <v>12150000</v>
      </c>
    </row>
    <row r="61" spans="1:5" x14ac:dyDescent="0.3">
      <c r="A61" s="12" t="s">
        <v>54</v>
      </c>
      <c r="B61" s="12" t="s">
        <v>3</v>
      </c>
      <c r="C61" s="33">
        <v>330</v>
      </c>
      <c r="D61" s="37">
        <v>16000</v>
      </c>
      <c r="E61" s="36">
        <f t="shared" si="10"/>
        <v>5280000</v>
      </c>
    </row>
    <row r="62" spans="1:5" x14ac:dyDescent="0.3">
      <c r="A62" s="12" t="s">
        <v>55</v>
      </c>
      <c r="B62" s="12" t="s">
        <v>3</v>
      </c>
      <c r="C62" s="33">
        <v>8</v>
      </c>
      <c r="D62" s="37">
        <v>24000</v>
      </c>
      <c r="E62" s="36">
        <f t="shared" si="10"/>
        <v>192000</v>
      </c>
    </row>
    <row r="63" spans="1:5" s="54" customFormat="1" ht="14.4" hidden="1" x14ac:dyDescent="0.3">
      <c r="A63" s="55" t="s">
        <v>56</v>
      </c>
      <c r="B63" s="55" t="s">
        <v>3</v>
      </c>
      <c r="C63" s="56">
        <v>0</v>
      </c>
    </row>
    <row r="64" spans="1:5" s="54" customFormat="1" ht="14.4" hidden="1" x14ac:dyDescent="0.3">
      <c r="A64" s="55" t="s">
        <v>57</v>
      </c>
      <c r="B64" s="55" t="s">
        <v>30</v>
      </c>
      <c r="C64" s="56">
        <v>0</v>
      </c>
    </row>
    <row r="65" spans="1:5" s="54" customFormat="1" ht="14.4" hidden="1" x14ac:dyDescent="0.3">
      <c r="A65" s="55" t="s">
        <v>59</v>
      </c>
      <c r="B65" s="55" t="s">
        <v>3</v>
      </c>
      <c r="C65" s="56">
        <v>0</v>
      </c>
    </row>
    <row r="66" spans="1:5" s="54" customFormat="1" ht="14.4" hidden="1" x14ac:dyDescent="0.3">
      <c r="A66" s="55" t="s">
        <v>59</v>
      </c>
      <c r="B66" s="55" t="s">
        <v>30</v>
      </c>
      <c r="C66" s="56">
        <v>0</v>
      </c>
    </row>
    <row r="67" spans="1:5" x14ac:dyDescent="0.3">
      <c r="A67" s="12" t="s">
        <v>60</v>
      </c>
      <c r="B67" s="12" t="s">
        <v>30</v>
      </c>
      <c r="C67" s="33">
        <v>280</v>
      </c>
      <c r="D67" s="37">
        <v>14000</v>
      </c>
      <c r="E67" s="36">
        <f>+D67*C67</f>
        <v>3920000</v>
      </c>
    </row>
    <row r="68" spans="1:5" s="54" customFormat="1" ht="14.4" hidden="1" x14ac:dyDescent="0.3">
      <c r="A68" s="55" t="s">
        <v>61</v>
      </c>
      <c r="B68" s="55" t="s">
        <v>3</v>
      </c>
      <c r="C68" s="56">
        <v>0</v>
      </c>
    </row>
    <row r="69" spans="1:5" s="54" customFormat="1" ht="14.4" hidden="1" x14ac:dyDescent="0.3">
      <c r="A69" s="55" t="s">
        <v>62</v>
      </c>
      <c r="B69" s="55" t="s">
        <v>30</v>
      </c>
      <c r="C69" s="56">
        <v>0</v>
      </c>
    </row>
    <row r="70" spans="1:5" s="54" customFormat="1" ht="14.4" hidden="1" x14ac:dyDescent="0.3">
      <c r="A70" s="55" t="s">
        <v>63</v>
      </c>
      <c r="B70" s="55" t="s">
        <v>3</v>
      </c>
      <c r="C70" s="56">
        <v>0</v>
      </c>
    </row>
    <row r="71" spans="1:5" s="54" customFormat="1" ht="14.4" hidden="1" x14ac:dyDescent="0.3">
      <c r="A71" s="55" t="s">
        <v>63</v>
      </c>
      <c r="B71" s="55" t="s">
        <v>64</v>
      </c>
      <c r="C71" s="56">
        <v>0</v>
      </c>
    </row>
    <row r="72" spans="1:5" x14ac:dyDescent="0.3">
      <c r="A72" s="12" t="s">
        <v>65</v>
      </c>
      <c r="B72" s="12" t="s">
        <v>3</v>
      </c>
      <c r="C72" s="33">
        <v>3</v>
      </c>
      <c r="D72" s="37">
        <v>80000</v>
      </c>
      <c r="E72" s="36">
        <f t="shared" ref="E72:E78" si="11">+D72*C72</f>
        <v>240000</v>
      </c>
    </row>
    <row r="73" spans="1:5" x14ac:dyDescent="0.3">
      <c r="A73" s="12" t="s">
        <v>66</v>
      </c>
      <c r="B73" s="12" t="s">
        <v>3</v>
      </c>
      <c r="C73" s="33">
        <v>3</v>
      </c>
      <c r="D73" s="37">
        <v>70000</v>
      </c>
      <c r="E73" s="36">
        <f t="shared" si="11"/>
        <v>210000</v>
      </c>
    </row>
    <row r="74" spans="1:5" x14ac:dyDescent="0.3">
      <c r="A74" s="12" t="s">
        <v>67</v>
      </c>
      <c r="B74" s="12" t="s">
        <v>3</v>
      </c>
      <c r="C74" s="33">
        <v>3</v>
      </c>
      <c r="D74" s="37">
        <v>70000</v>
      </c>
      <c r="E74" s="36">
        <f t="shared" si="11"/>
        <v>210000</v>
      </c>
    </row>
    <row r="75" spans="1:5" x14ac:dyDescent="0.3">
      <c r="A75" s="12" t="s">
        <v>68</v>
      </c>
      <c r="B75" s="12" t="s">
        <v>3</v>
      </c>
      <c r="C75" s="33">
        <v>70</v>
      </c>
      <c r="D75" s="37">
        <v>6500</v>
      </c>
      <c r="E75" s="36">
        <f t="shared" si="11"/>
        <v>455000</v>
      </c>
    </row>
    <row r="76" spans="1:5" x14ac:dyDescent="0.3">
      <c r="A76" s="12" t="s">
        <v>68</v>
      </c>
      <c r="B76" s="12" t="s">
        <v>17</v>
      </c>
      <c r="C76" s="33">
        <v>525</v>
      </c>
      <c r="D76" s="37">
        <v>6500</v>
      </c>
      <c r="E76" s="36">
        <f t="shared" si="11"/>
        <v>3412500</v>
      </c>
    </row>
    <row r="77" spans="1:5" x14ac:dyDescent="0.3">
      <c r="A77" s="12" t="s">
        <v>69</v>
      </c>
      <c r="B77" s="12" t="s">
        <v>3</v>
      </c>
      <c r="C77" s="33">
        <v>5</v>
      </c>
      <c r="D77" s="37">
        <v>18000</v>
      </c>
      <c r="E77" s="36">
        <f t="shared" si="11"/>
        <v>90000</v>
      </c>
    </row>
    <row r="78" spans="1:5" x14ac:dyDescent="0.3">
      <c r="A78" s="12" t="s">
        <v>70</v>
      </c>
      <c r="B78" s="12" t="s">
        <v>3</v>
      </c>
      <c r="C78" s="33">
        <v>11</v>
      </c>
      <c r="D78" s="37">
        <v>16000</v>
      </c>
      <c r="E78" s="36">
        <f t="shared" si="11"/>
        <v>176000</v>
      </c>
    </row>
    <row r="79" spans="1:5" s="54" customFormat="1" ht="14.4" hidden="1" x14ac:dyDescent="0.3">
      <c r="A79" s="55" t="s">
        <v>71</v>
      </c>
      <c r="B79" s="55" t="s">
        <v>40</v>
      </c>
      <c r="C79" s="56">
        <v>0</v>
      </c>
    </row>
    <row r="80" spans="1:5" s="54" customFormat="1" ht="14.4" hidden="1" x14ac:dyDescent="0.3">
      <c r="A80" s="55" t="s">
        <v>71</v>
      </c>
      <c r="B80" s="55" t="s">
        <v>3</v>
      </c>
      <c r="C80" s="56">
        <v>0</v>
      </c>
    </row>
    <row r="81" spans="1:5" s="54" customFormat="1" ht="14.4" hidden="1" x14ac:dyDescent="0.3">
      <c r="A81" s="55" t="s">
        <v>72</v>
      </c>
      <c r="B81" s="55" t="s">
        <v>3</v>
      </c>
      <c r="C81" s="56">
        <v>0</v>
      </c>
    </row>
    <row r="82" spans="1:5" x14ac:dyDescent="0.3">
      <c r="A82" s="12" t="s">
        <v>74</v>
      </c>
      <c r="B82" s="12" t="s">
        <v>30</v>
      </c>
      <c r="C82" s="33">
        <v>146</v>
      </c>
      <c r="D82" s="37">
        <v>3200</v>
      </c>
      <c r="E82" s="36">
        <f>+D82*C82</f>
        <v>467200</v>
      </c>
    </row>
    <row r="83" spans="1:5" s="54" customFormat="1" ht="14.4" hidden="1" x14ac:dyDescent="0.3">
      <c r="A83" s="55" t="s">
        <v>74</v>
      </c>
      <c r="B83" s="55" t="s">
        <v>30</v>
      </c>
      <c r="C83" s="56">
        <v>0</v>
      </c>
    </row>
    <row r="84" spans="1:5" x14ac:dyDescent="0.3">
      <c r="A84" s="12" t="s">
        <v>75</v>
      </c>
      <c r="B84" s="12" t="s">
        <v>3</v>
      </c>
      <c r="C84" s="33">
        <v>5</v>
      </c>
      <c r="D84" s="37">
        <v>14000</v>
      </c>
      <c r="E84" s="36">
        <f>+D84*C84</f>
        <v>70000</v>
      </c>
    </row>
    <row r="85" spans="1:5" s="54" customFormat="1" ht="14.4" hidden="1" x14ac:dyDescent="0.3">
      <c r="A85" s="55" t="s">
        <v>76</v>
      </c>
      <c r="B85" s="55" t="s">
        <v>17</v>
      </c>
      <c r="C85" s="56">
        <v>0</v>
      </c>
    </row>
    <row r="86" spans="1:5" s="54" customFormat="1" ht="14.4" hidden="1" x14ac:dyDescent="0.3">
      <c r="A86" s="55" t="s">
        <v>77</v>
      </c>
      <c r="B86" s="55" t="s">
        <v>25</v>
      </c>
      <c r="C86" s="56">
        <v>0</v>
      </c>
    </row>
    <row r="87" spans="1:5" x14ac:dyDescent="0.3">
      <c r="A87" s="12" t="s">
        <v>77</v>
      </c>
      <c r="B87" s="12" t="s">
        <v>3</v>
      </c>
      <c r="C87" s="33">
        <v>5</v>
      </c>
      <c r="D87" s="37">
        <v>55000</v>
      </c>
      <c r="E87" s="36">
        <f t="shared" ref="E87:E88" si="12">+D87*C87</f>
        <v>275000</v>
      </c>
    </row>
    <row r="88" spans="1:5" x14ac:dyDescent="0.3">
      <c r="A88" s="12" t="s">
        <v>78</v>
      </c>
      <c r="B88" s="12" t="s">
        <v>3</v>
      </c>
      <c r="C88" s="33">
        <v>83</v>
      </c>
      <c r="D88" s="37">
        <v>40000</v>
      </c>
      <c r="E88" s="36">
        <f t="shared" si="12"/>
        <v>3320000</v>
      </c>
    </row>
    <row r="89" spans="1:5" s="54" customFormat="1" ht="14.4" hidden="1" x14ac:dyDescent="0.3">
      <c r="A89" s="55" t="s">
        <v>78</v>
      </c>
      <c r="B89" s="55" t="s">
        <v>9</v>
      </c>
      <c r="C89" s="56">
        <v>0</v>
      </c>
    </row>
    <row r="90" spans="1:5" s="54" customFormat="1" ht="14.4" hidden="1" x14ac:dyDescent="0.3">
      <c r="A90" s="55" t="s">
        <v>80</v>
      </c>
      <c r="B90" s="55" t="s">
        <v>3</v>
      </c>
      <c r="C90" s="56">
        <v>0</v>
      </c>
    </row>
    <row r="91" spans="1:5" s="54" customFormat="1" ht="14.4" hidden="1" x14ac:dyDescent="0.3">
      <c r="A91" s="55" t="s">
        <v>80</v>
      </c>
      <c r="B91" s="55" t="s">
        <v>9</v>
      </c>
      <c r="C91" s="56">
        <v>0</v>
      </c>
    </row>
    <row r="92" spans="1:5" s="54" customFormat="1" ht="14.4" hidden="1" x14ac:dyDescent="0.3">
      <c r="A92" s="55" t="s">
        <v>82</v>
      </c>
      <c r="B92" s="55" t="s">
        <v>3</v>
      </c>
      <c r="C92" s="56">
        <v>0</v>
      </c>
    </row>
    <row r="93" spans="1:5" s="54" customFormat="1" ht="14.4" hidden="1" x14ac:dyDescent="0.3">
      <c r="A93" s="55" t="s">
        <v>82</v>
      </c>
      <c r="B93" s="55" t="s">
        <v>9</v>
      </c>
      <c r="C93" s="56">
        <v>0</v>
      </c>
    </row>
    <row r="94" spans="1:5" x14ac:dyDescent="0.3">
      <c r="A94" s="12" t="s">
        <v>84</v>
      </c>
      <c r="B94" s="12" t="s">
        <v>30</v>
      </c>
      <c r="C94" s="33">
        <v>20</v>
      </c>
      <c r="D94" s="37">
        <v>18000</v>
      </c>
      <c r="E94" s="36">
        <f t="shared" ref="E94:E97" si="13">+D94*C94</f>
        <v>360000</v>
      </c>
    </row>
    <row r="95" spans="1:5" x14ac:dyDescent="0.3">
      <c r="A95" s="12" t="s">
        <v>85</v>
      </c>
      <c r="B95" s="12" t="s">
        <v>30</v>
      </c>
      <c r="C95" s="33">
        <v>3</v>
      </c>
      <c r="D95" s="37">
        <v>35000</v>
      </c>
      <c r="E95" s="36">
        <f t="shared" si="13"/>
        <v>105000</v>
      </c>
    </row>
    <row r="96" spans="1:5" x14ac:dyDescent="0.3">
      <c r="A96" s="12" t="s">
        <v>106</v>
      </c>
      <c r="B96" s="12" t="s">
        <v>9</v>
      </c>
      <c r="C96" s="33">
        <v>370</v>
      </c>
      <c r="D96" s="37">
        <v>9000</v>
      </c>
      <c r="E96" s="36">
        <f t="shared" si="13"/>
        <v>3330000</v>
      </c>
    </row>
    <row r="97" spans="1:5" x14ac:dyDescent="0.3">
      <c r="A97" s="12" t="s">
        <v>88</v>
      </c>
      <c r="B97" s="12" t="s">
        <v>9</v>
      </c>
      <c r="C97" s="33">
        <v>270</v>
      </c>
      <c r="D97" s="37">
        <v>11361</v>
      </c>
      <c r="E97" s="36">
        <f t="shared" si="13"/>
        <v>3067470</v>
      </c>
    </row>
    <row r="98" spans="1:5" s="54" customFormat="1" ht="14.4" hidden="1" x14ac:dyDescent="0.3">
      <c r="A98" s="55" t="s">
        <v>89</v>
      </c>
      <c r="B98" s="55" t="s">
        <v>3</v>
      </c>
      <c r="C98" s="56">
        <v>0</v>
      </c>
    </row>
    <row r="99" spans="1:5" s="54" customFormat="1" ht="14.4" hidden="1" x14ac:dyDescent="0.3">
      <c r="A99" s="55" t="s">
        <v>90</v>
      </c>
      <c r="B99" s="55" t="s">
        <v>3</v>
      </c>
      <c r="C99" s="56">
        <v>0</v>
      </c>
    </row>
    <row r="100" spans="1:5" x14ac:dyDescent="0.3">
      <c r="A100" s="12" t="s">
        <v>92</v>
      </c>
      <c r="B100" s="12" t="s">
        <v>3</v>
      </c>
      <c r="C100" s="33">
        <v>270</v>
      </c>
      <c r="D100" s="37">
        <v>8000</v>
      </c>
      <c r="E100" s="36">
        <f t="shared" ref="E100:E101" si="14">+D100*C100</f>
        <v>2160000</v>
      </c>
    </row>
    <row r="101" spans="1:5" x14ac:dyDescent="0.3">
      <c r="A101" s="12" t="s">
        <v>93</v>
      </c>
      <c r="B101" s="12" t="s">
        <v>3</v>
      </c>
      <c r="C101" s="33">
        <v>30</v>
      </c>
      <c r="D101" s="37">
        <v>26000</v>
      </c>
      <c r="E101" s="36">
        <f t="shared" si="14"/>
        <v>780000</v>
      </c>
    </row>
    <row r="102" spans="1:5" s="54" customFormat="1" ht="14.4" hidden="1" x14ac:dyDescent="0.3">
      <c r="A102" s="55" t="s">
        <v>94</v>
      </c>
      <c r="B102" s="55" t="s">
        <v>3</v>
      </c>
      <c r="C102" s="56">
        <v>0</v>
      </c>
    </row>
    <row r="103" spans="1:5" x14ac:dyDescent="0.3">
      <c r="A103" s="12" t="s">
        <v>95</v>
      </c>
      <c r="B103" s="12" t="s">
        <v>40</v>
      </c>
      <c r="C103" s="33">
        <v>7</v>
      </c>
      <c r="D103" s="37">
        <v>6800</v>
      </c>
      <c r="E103" s="36">
        <f>+D103*C103</f>
        <v>47600</v>
      </c>
    </row>
    <row r="104" spans="1:5" s="54" customFormat="1" ht="14.4" hidden="1" x14ac:dyDescent="0.3">
      <c r="A104" s="55" t="s">
        <v>96</v>
      </c>
      <c r="B104" s="55" t="s">
        <v>3</v>
      </c>
      <c r="C104" s="56">
        <v>0</v>
      </c>
    </row>
    <row r="105" spans="1:5" s="54" customFormat="1" ht="14.4" hidden="1" x14ac:dyDescent="0.3">
      <c r="A105" s="55" t="s">
        <v>97</v>
      </c>
      <c r="B105" s="55" t="s">
        <v>40</v>
      </c>
      <c r="C105" s="56">
        <v>0</v>
      </c>
    </row>
    <row r="106" spans="1:5" s="54" customFormat="1" ht="14.4" hidden="1" x14ac:dyDescent="0.3">
      <c r="A106" s="55" t="s">
        <v>98</v>
      </c>
      <c r="B106" s="55" t="s">
        <v>3</v>
      </c>
      <c r="C106" s="56">
        <v>0</v>
      </c>
    </row>
    <row r="107" spans="1:5" s="54" customFormat="1" ht="14.4" hidden="1" x14ac:dyDescent="0.3">
      <c r="A107" s="55" t="s">
        <v>99</v>
      </c>
      <c r="B107" s="55" t="s">
        <v>3</v>
      </c>
      <c r="C107" s="56">
        <v>0</v>
      </c>
    </row>
    <row r="108" spans="1:5" x14ac:dyDescent="0.3">
      <c r="A108" s="12" t="s">
        <v>100</v>
      </c>
      <c r="B108" s="12" t="s">
        <v>40</v>
      </c>
      <c r="C108" s="33">
        <v>626</v>
      </c>
      <c r="D108" s="32">
        <v>7000</v>
      </c>
      <c r="E108" s="36">
        <f>+D108*C108</f>
        <v>4382000</v>
      </c>
    </row>
    <row r="109" spans="1:5" x14ac:dyDescent="0.3">
      <c r="A109" s="19" t="e">
        <v>#N/A</v>
      </c>
      <c r="B109" s="19">
        <v>0</v>
      </c>
      <c r="C109" s="41">
        <v>10721.5</v>
      </c>
      <c r="D109" s="41">
        <v>10721.5</v>
      </c>
      <c r="E109" s="42">
        <f>SUBTOTAL(9,E2:E108)</f>
        <v>184625870</v>
      </c>
    </row>
    <row r="110" spans="1:5" ht="62.4" x14ac:dyDescent="0.3">
      <c r="A110" s="35" t="s">
        <v>130</v>
      </c>
      <c r="B110" s="16" t="s">
        <v>1</v>
      </c>
      <c r="C110" s="15" t="s">
        <v>137</v>
      </c>
      <c r="D110" s="31" t="s">
        <v>140</v>
      </c>
      <c r="E110" s="31" t="s">
        <v>141</v>
      </c>
    </row>
    <row r="111" spans="1:5" x14ac:dyDescent="0.3">
      <c r="A111" s="12" t="s">
        <v>2</v>
      </c>
      <c r="B111" s="12" t="s">
        <v>3</v>
      </c>
      <c r="C111" s="13">
        <v>5</v>
      </c>
      <c r="D111" s="37">
        <v>8000</v>
      </c>
      <c r="E111" s="36">
        <v>40000</v>
      </c>
    </row>
    <row r="112" spans="1:5" x14ac:dyDescent="0.3">
      <c r="A112" s="12" t="s">
        <v>4</v>
      </c>
      <c r="B112" s="12" t="s">
        <v>3</v>
      </c>
      <c r="C112" s="13">
        <v>20</v>
      </c>
      <c r="D112" s="37">
        <v>4000</v>
      </c>
      <c r="E112" s="36">
        <v>80000</v>
      </c>
    </row>
    <row r="113" spans="1:5" s="54" customFormat="1" hidden="1" x14ac:dyDescent="0.3">
      <c r="A113" s="57" t="s">
        <v>5</v>
      </c>
      <c r="B113" s="57" t="s">
        <v>3</v>
      </c>
      <c r="C113" s="30">
        <v>0</v>
      </c>
    </row>
    <row r="114" spans="1:5" x14ac:dyDescent="0.3">
      <c r="A114" s="12" t="s">
        <v>119</v>
      </c>
      <c r="B114" s="12" t="s">
        <v>3</v>
      </c>
      <c r="C114" s="13">
        <v>15</v>
      </c>
      <c r="D114" s="37">
        <v>10000</v>
      </c>
      <c r="E114" s="36">
        <v>150000</v>
      </c>
    </row>
    <row r="115" spans="1:5" x14ac:dyDescent="0.3">
      <c r="A115" s="12" t="s">
        <v>7</v>
      </c>
      <c r="B115" s="12" t="s">
        <v>3</v>
      </c>
      <c r="C115" s="13">
        <v>40</v>
      </c>
      <c r="D115" s="37">
        <v>11000</v>
      </c>
      <c r="E115" s="36">
        <v>440000</v>
      </c>
    </row>
    <row r="116" spans="1:5" x14ac:dyDescent="0.3">
      <c r="A116" s="12" t="s">
        <v>8</v>
      </c>
      <c r="B116" s="12" t="s">
        <v>3</v>
      </c>
      <c r="C116" s="13">
        <v>10</v>
      </c>
      <c r="D116" s="37">
        <v>13000</v>
      </c>
      <c r="E116" s="36">
        <v>130000</v>
      </c>
    </row>
    <row r="117" spans="1:5" s="54" customFormat="1" hidden="1" x14ac:dyDescent="0.3">
      <c r="A117" s="57" t="s">
        <v>102</v>
      </c>
      <c r="B117" s="57" t="s">
        <v>3</v>
      </c>
      <c r="C117" s="30">
        <v>0</v>
      </c>
    </row>
    <row r="118" spans="1:5" x14ac:dyDescent="0.3">
      <c r="A118" s="12" t="s">
        <v>18</v>
      </c>
      <c r="B118" s="12" t="s">
        <v>3</v>
      </c>
      <c r="C118" s="13">
        <v>25</v>
      </c>
      <c r="D118" s="37">
        <v>16000</v>
      </c>
      <c r="E118" s="36">
        <v>400000</v>
      </c>
    </row>
    <row r="119" spans="1:5" x14ac:dyDescent="0.3">
      <c r="A119" s="12" t="s">
        <v>28</v>
      </c>
      <c r="B119" s="12" t="s">
        <v>3</v>
      </c>
      <c r="C119" s="13">
        <v>80</v>
      </c>
      <c r="D119" s="37">
        <v>22000</v>
      </c>
      <c r="E119" s="36">
        <v>1760000</v>
      </c>
    </row>
    <row r="120" spans="1:5" s="54" customFormat="1" hidden="1" x14ac:dyDescent="0.3">
      <c r="A120" s="57" t="s">
        <v>31</v>
      </c>
      <c r="B120" s="57" t="s">
        <v>3</v>
      </c>
      <c r="C120" s="30">
        <v>0</v>
      </c>
    </row>
    <row r="121" spans="1:5" x14ac:dyDescent="0.3">
      <c r="A121" s="12" t="s">
        <v>33</v>
      </c>
      <c r="B121" s="12" t="s">
        <v>3</v>
      </c>
      <c r="C121" s="13">
        <v>5</v>
      </c>
      <c r="D121" s="37">
        <v>8000</v>
      </c>
      <c r="E121" s="36">
        <v>40000</v>
      </c>
    </row>
    <row r="122" spans="1:5" s="54" customFormat="1" hidden="1" x14ac:dyDescent="0.3">
      <c r="A122" s="57" t="s">
        <v>38</v>
      </c>
      <c r="B122" s="57" t="s">
        <v>3</v>
      </c>
      <c r="C122" s="30">
        <v>0</v>
      </c>
    </row>
    <row r="123" spans="1:5" s="54" customFormat="1" hidden="1" x14ac:dyDescent="0.3">
      <c r="A123" s="57" t="s">
        <v>103</v>
      </c>
      <c r="B123" s="57" t="s">
        <v>3</v>
      </c>
      <c r="C123" s="30">
        <v>0</v>
      </c>
    </row>
    <row r="124" spans="1:5" x14ac:dyDescent="0.3">
      <c r="A124" s="12" t="s">
        <v>39</v>
      </c>
      <c r="B124" s="12" t="s">
        <v>3</v>
      </c>
      <c r="C124" s="13">
        <v>20</v>
      </c>
      <c r="D124" s="37">
        <v>18000</v>
      </c>
      <c r="E124" s="36">
        <v>360000</v>
      </c>
    </row>
    <row r="125" spans="1:5" s="54" customFormat="1" hidden="1" x14ac:dyDescent="0.3">
      <c r="A125" s="57" t="s">
        <v>105</v>
      </c>
      <c r="B125" s="57" t="s">
        <v>3</v>
      </c>
      <c r="C125" s="30">
        <v>0</v>
      </c>
    </row>
    <row r="126" spans="1:5" x14ac:dyDescent="0.3">
      <c r="A126" s="12" t="s">
        <v>41</v>
      </c>
      <c r="B126" s="12" t="s">
        <v>3</v>
      </c>
      <c r="C126" s="13">
        <v>15</v>
      </c>
      <c r="D126" s="37">
        <v>14000</v>
      </c>
      <c r="E126" s="36">
        <v>210000</v>
      </c>
    </row>
    <row r="127" spans="1:5" s="54" customFormat="1" hidden="1" x14ac:dyDescent="0.3">
      <c r="A127" s="57" t="s">
        <v>44</v>
      </c>
      <c r="B127" s="57" t="s">
        <v>3</v>
      </c>
      <c r="C127" s="30">
        <v>0</v>
      </c>
    </row>
    <row r="128" spans="1:5" x14ac:dyDescent="0.3">
      <c r="A128" s="12" t="s">
        <v>45</v>
      </c>
      <c r="B128" s="12" t="s">
        <v>3</v>
      </c>
      <c r="C128" s="13">
        <v>5</v>
      </c>
      <c r="D128" s="37">
        <v>11000</v>
      </c>
      <c r="E128" s="36">
        <v>55000</v>
      </c>
    </row>
    <row r="129" spans="1:5" x14ac:dyDescent="0.3">
      <c r="A129" s="12" t="s">
        <v>47</v>
      </c>
      <c r="B129" s="12" t="s">
        <v>3</v>
      </c>
      <c r="C129" s="13">
        <v>30</v>
      </c>
      <c r="D129" s="37">
        <v>10000</v>
      </c>
      <c r="E129" s="36">
        <v>300000</v>
      </c>
    </row>
    <row r="130" spans="1:5" x14ac:dyDescent="0.3">
      <c r="A130" s="12" t="s">
        <v>54</v>
      </c>
      <c r="B130" s="12" t="s">
        <v>3</v>
      </c>
      <c r="C130" s="13">
        <v>40</v>
      </c>
      <c r="D130" s="37">
        <v>16000</v>
      </c>
      <c r="E130" s="36">
        <v>640000</v>
      </c>
    </row>
    <row r="131" spans="1:5" x14ac:dyDescent="0.3">
      <c r="A131" s="12" t="s">
        <v>59</v>
      </c>
      <c r="B131" s="12" t="s">
        <v>3</v>
      </c>
      <c r="C131" s="13">
        <v>40</v>
      </c>
      <c r="D131" s="37">
        <v>11000</v>
      </c>
      <c r="E131" s="36">
        <v>440000</v>
      </c>
    </row>
    <row r="132" spans="1:5" s="54" customFormat="1" hidden="1" x14ac:dyDescent="0.3">
      <c r="A132" s="57" t="s">
        <v>61</v>
      </c>
      <c r="B132" s="57" t="s">
        <v>3</v>
      </c>
      <c r="C132" s="30">
        <v>0</v>
      </c>
    </row>
    <row r="133" spans="1:5" s="54" customFormat="1" hidden="1" x14ac:dyDescent="0.3">
      <c r="A133" s="57" t="s">
        <v>62</v>
      </c>
      <c r="B133" s="57" t="s">
        <v>30</v>
      </c>
      <c r="C133" s="30">
        <v>0</v>
      </c>
    </row>
    <row r="134" spans="1:5" s="54" customFormat="1" hidden="1" x14ac:dyDescent="0.3">
      <c r="A134" s="57" t="s">
        <v>63</v>
      </c>
      <c r="B134" s="57" t="s">
        <v>30</v>
      </c>
      <c r="C134" s="30">
        <v>0</v>
      </c>
    </row>
    <row r="135" spans="1:5" s="54" customFormat="1" hidden="1" x14ac:dyDescent="0.3">
      <c r="A135" s="57" t="s">
        <v>68</v>
      </c>
      <c r="B135" s="57" t="s">
        <v>3</v>
      </c>
      <c r="C135" s="30">
        <v>0</v>
      </c>
    </row>
    <row r="136" spans="1:5" s="54" customFormat="1" hidden="1" x14ac:dyDescent="0.3">
      <c r="A136" s="57" t="s">
        <v>68</v>
      </c>
      <c r="B136" s="57" t="s">
        <v>17</v>
      </c>
      <c r="C136" s="30">
        <v>0</v>
      </c>
    </row>
    <row r="137" spans="1:5" s="54" customFormat="1" hidden="1" x14ac:dyDescent="0.3">
      <c r="A137" s="57" t="s">
        <v>71</v>
      </c>
      <c r="B137" s="57" t="s">
        <v>3</v>
      </c>
      <c r="C137" s="30">
        <v>0</v>
      </c>
    </row>
    <row r="138" spans="1:5" s="54" customFormat="1" hidden="1" x14ac:dyDescent="0.3">
      <c r="A138" s="57" t="s">
        <v>72</v>
      </c>
      <c r="B138" s="57" t="s">
        <v>3</v>
      </c>
      <c r="C138" s="30">
        <v>0</v>
      </c>
    </row>
    <row r="139" spans="1:5" s="54" customFormat="1" hidden="1" x14ac:dyDescent="0.3">
      <c r="A139" s="57" t="s">
        <v>73</v>
      </c>
      <c r="B139" s="57" t="s">
        <v>3</v>
      </c>
      <c r="C139" s="30">
        <v>0</v>
      </c>
    </row>
    <row r="140" spans="1:5" x14ac:dyDescent="0.3">
      <c r="A140" s="12" t="s">
        <v>78</v>
      </c>
      <c r="B140" s="12" t="s">
        <v>3</v>
      </c>
      <c r="C140" s="13">
        <v>5</v>
      </c>
      <c r="D140" s="37">
        <v>40000</v>
      </c>
      <c r="E140" s="36">
        <v>200000</v>
      </c>
    </row>
    <row r="141" spans="1:5" s="54" customFormat="1" hidden="1" x14ac:dyDescent="0.3">
      <c r="A141" s="57" t="s">
        <v>80</v>
      </c>
      <c r="B141" s="57" t="s">
        <v>3</v>
      </c>
      <c r="C141" s="30">
        <v>0</v>
      </c>
    </row>
    <row r="142" spans="1:5" s="54" customFormat="1" hidden="1" x14ac:dyDescent="0.3">
      <c r="A142" s="57" t="s">
        <v>82</v>
      </c>
      <c r="B142" s="57" t="s">
        <v>3</v>
      </c>
      <c r="C142" s="30">
        <v>0</v>
      </c>
    </row>
    <row r="143" spans="1:5" x14ac:dyDescent="0.3">
      <c r="A143" s="12" t="s">
        <v>92</v>
      </c>
      <c r="B143" s="12" t="s">
        <v>3</v>
      </c>
      <c r="C143" s="13">
        <v>20</v>
      </c>
      <c r="D143" s="37">
        <v>8000</v>
      </c>
      <c r="E143" s="36">
        <v>160000</v>
      </c>
    </row>
    <row r="144" spans="1:5" s="54" customFormat="1" hidden="1" x14ac:dyDescent="0.3">
      <c r="A144" s="57" t="s">
        <v>94</v>
      </c>
      <c r="B144" s="57" t="s">
        <v>40</v>
      </c>
      <c r="C144" s="30">
        <v>0</v>
      </c>
    </row>
    <row r="145" spans="1:5" s="54" customFormat="1" hidden="1" x14ac:dyDescent="0.3">
      <c r="A145" s="57" t="s">
        <v>95</v>
      </c>
      <c r="B145" s="57" t="s">
        <v>40</v>
      </c>
      <c r="C145" s="30">
        <v>0</v>
      </c>
    </row>
    <row r="146" spans="1:5" s="54" customFormat="1" hidden="1" x14ac:dyDescent="0.3">
      <c r="A146" s="57" t="s">
        <v>97</v>
      </c>
      <c r="B146" s="57" t="s">
        <v>40</v>
      </c>
      <c r="C146" s="30">
        <v>0</v>
      </c>
    </row>
    <row r="147" spans="1:5" s="54" customFormat="1" hidden="1" x14ac:dyDescent="0.3">
      <c r="A147" s="57" t="s">
        <v>100</v>
      </c>
      <c r="B147" s="57" t="s">
        <v>40</v>
      </c>
      <c r="C147" s="30">
        <v>0</v>
      </c>
    </row>
    <row r="148" spans="1:5" x14ac:dyDescent="0.3">
      <c r="A148" s="19" t="e">
        <v>#N/A</v>
      </c>
      <c r="B148" s="19">
        <v>0</v>
      </c>
      <c r="C148" s="20">
        <v>375</v>
      </c>
      <c r="D148" s="39">
        <v>1</v>
      </c>
      <c r="E148" s="42">
        <v>5405000</v>
      </c>
    </row>
    <row r="149" spans="1:5" x14ac:dyDescent="0.3">
      <c r="E149" s="43">
        <f>+E148+E109</f>
        <v>190030870</v>
      </c>
    </row>
  </sheetData>
  <autoFilter ref="A1:C149" xr:uid="{B9854EF2-67A8-4921-840C-E692E455B250}">
    <filterColumn colId="2">
      <filters blank="1">
        <filter val="1,380"/>
        <filter val="10"/>
        <filter val="10,722"/>
        <filter val="11"/>
        <filter val="120"/>
        <filter val="146"/>
        <filter val="15"/>
        <filter val="180"/>
        <filter val="190"/>
        <filter val="2"/>
        <filter val="2,250"/>
        <filter val="20"/>
        <filter val="205"/>
        <filter val="25"/>
        <filter val="270"/>
        <filter val="280"/>
        <filter val="295"/>
        <filter val="3"/>
        <filter val="30"/>
        <filter val="300"/>
        <filter val="31"/>
        <filter val="32"/>
        <filter val="330"/>
        <filter val="34"/>
        <filter val="35"/>
        <filter val="370"/>
        <filter val="375"/>
        <filter val="380"/>
        <filter val="40"/>
        <filter val="400"/>
        <filter val="420"/>
        <filter val="450"/>
        <filter val="5"/>
        <filter val="50"/>
        <filter val="525"/>
        <filter val="60"/>
        <filter val="620"/>
        <filter val="626"/>
        <filter val="65"/>
        <filter val="7"/>
        <filter val="70"/>
        <filter val="8"/>
        <filter val="80"/>
        <filter val="83"/>
        <filter val="9"/>
        <filter val="90"/>
        <filter val="980"/>
        <filter val="Tồn_x000a_ĐL_x000a__x000a_現在個"/>
      </filters>
    </filterColumn>
  </autoFilter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A88AD-56C7-49B6-A563-82F0E3C968CB}">
  <sheetPr filterMode="1"/>
  <dimension ref="A2:E154"/>
  <sheetViews>
    <sheetView workbookViewId="0">
      <pane xSplit="1" ySplit="2" topLeftCell="B135" activePane="bottomRight" state="frozen"/>
      <selection pane="topRight" activeCell="B1" sqref="B1"/>
      <selection pane="bottomLeft" activeCell="A3" sqref="A3"/>
      <selection pane="bottomRight" activeCell="E154" sqref="E154"/>
    </sheetView>
  </sheetViews>
  <sheetFormatPr defaultRowHeight="15.6" x14ac:dyDescent="0.3"/>
  <cols>
    <col min="1" max="1" width="27.88671875" style="32" bestFit="1" customWidth="1"/>
    <col min="2" max="2" width="12.109375" style="32" bestFit="1" customWidth="1"/>
    <col min="3" max="3" width="8.6640625" style="32" bestFit="1" customWidth="1"/>
    <col min="4" max="4" width="16.33203125" style="38" customWidth="1"/>
    <col min="5" max="5" width="18.88671875" style="32" customWidth="1"/>
    <col min="6" max="16384" width="8.88671875" style="32"/>
  </cols>
  <sheetData>
    <row r="2" spans="1:5" ht="62.4" x14ac:dyDescent="0.3">
      <c r="A2" s="35" t="s">
        <v>127</v>
      </c>
      <c r="B2" s="16" t="s">
        <v>1</v>
      </c>
      <c r="C2" s="15" t="s">
        <v>137</v>
      </c>
      <c r="D2" s="31" t="s">
        <v>140</v>
      </c>
      <c r="E2" s="31" t="s">
        <v>141</v>
      </c>
    </row>
    <row r="3" spans="1:5" x14ac:dyDescent="0.3">
      <c r="A3" s="12" t="s">
        <v>2</v>
      </c>
      <c r="B3" s="12" t="s">
        <v>3</v>
      </c>
      <c r="C3" s="33">
        <v>15</v>
      </c>
      <c r="D3" s="37">
        <f>VLOOKUP(A3,'28.1'!A2:D108,4,0)</f>
        <v>8000</v>
      </c>
      <c r="E3" s="36">
        <f>+D3*C3</f>
        <v>120000</v>
      </c>
    </row>
    <row r="4" spans="1:5" x14ac:dyDescent="0.3">
      <c r="A4" s="12" t="s">
        <v>4</v>
      </c>
      <c r="B4" s="12" t="s">
        <v>3</v>
      </c>
      <c r="C4" s="33">
        <v>100</v>
      </c>
      <c r="D4" s="37">
        <f>VLOOKUP(A4,'28.1'!A3:D109,4,0)</f>
        <v>4000</v>
      </c>
      <c r="E4" s="36">
        <f t="shared" ref="E4:E10" si="0">+D4*C4</f>
        <v>400000</v>
      </c>
    </row>
    <row r="5" spans="1:5" x14ac:dyDescent="0.3">
      <c r="A5" s="12" t="s">
        <v>5</v>
      </c>
      <c r="B5" s="12" t="s">
        <v>3</v>
      </c>
      <c r="C5" s="33">
        <v>930</v>
      </c>
      <c r="D5" s="37">
        <f>VLOOKUP(A5,'28.1'!A4:D110,4,0)</f>
        <v>5500</v>
      </c>
      <c r="E5" s="36">
        <f t="shared" si="0"/>
        <v>5115000</v>
      </c>
    </row>
    <row r="6" spans="1:5" x14ac:dyDescent="0.3">
      <c r="A6" s="12" t="s">
        <v>119</v>
      </c>
      <c r="B6" s="12" t="s">
        <v>3</v>
      </c>
      <c r="C6" s="33">
        <v>21</v>
      </c>
      <c r="D6" s="37">
        <f>VLOOKUP(A6,'28.1'!A5:D111,4,0)</f>
        <v>10000</v>
      </c>
      <c r="E6" s="36">
        <f t="shared" si="0"/>
        <v>210000</v>
      </c>
    </row>
    <row r="7" spans="1:5" x14ac:dyDescent="0.3">
      <c r="A7" s="12" t="s">
        <v>6</v>
      </c>
      <c r="B7" s="12" t="s">
        <v>3</v>
      </c>
      <c r="C7" s="33">
        <v>130</v>
      </c>
      <c r="D7" s="37">
        <f>VLOOKUP(A7,'28.1'!A6:D112,4,0)</f>
        <v>9500</v>
      </c>
      <c r="E7" s="36">
        <f t="shared" si="0"/>
        <v>1235000</v>
      </c>
    </row>
    <row r="8" spans="1:5" x14ac:dyDescent="0.3">
      <c r="A8" s="12" t="s">
        <v>7</v>
      </c>
      <c r="B8" s="12" t="s">
        <v>3</v>
      </c>
      <c r="C8" s="33">
        <v>1220</v>
      </c>
      <c r="D8" s="37">
        <f>VLOOKUP(A8,'28.1'!A7:D113,4,0)</f>
        <v>11000</v>
      </c>
      <c r="E8" s="36">
        <f t="shared" si="0"/>
        <v>13420000</v>
      </c>
    </row>
    <row r="9" spans="1:5" x14ac:dyDescent="0.3">
      <c r="A9" s="12" t="s">
        <v>111</v>
      </c>
      <c r="B9" s="12" t="s">
        <v>3</v>
      </c>
      <c r="C9" s="33">
        <v>1</v>
      </c>
      <c r="D9" s="37">
        <f>VLOOKUP(A9,'28.1'!A8:D114,4,0)</f>
        <v>15000</v>
      </c>
      <c r="E9" s="36">
        <f t="shared" si="0"/>
        <v>15000</v>
      </c>
    </row>
    <row r="10" spans="1:5" x14ac:dyDescent="0.3">
      <c r="A10" s="12" t="s">
        <v>8</v>
      </c>
      <c r="B10" s="12" t="s">
        <v>3</v>
      </c>
      <c r="C10" s="33">
        <v>245</v>
      </c>
      <c r="D10" s="37">
        <f>VLOOKUP(A10,'28.1'!A9:D115,4,0)</f>
        <v>13000</v>
      </c>
      <c r="E10" s="36">
        <f t="shared" si="0"/>
        <v>3185000</v>
      </c>
    </row>
    <row r="11" spans="1:5" hidden="1" x14ac:dyDescent="0.3">
      <c r="A11" s="12" t="s">
        <v>8</v>
      </c>
      <c r="B11" s="12" t="s">
        <v>9</v>
      </c>
      <c r="C11" s="33">
        <v>0</v>
      </c>
      <c r="D11" s="34"/>
      <c r="E11" s="34"/>
    </row>
    <row r="12" spans="1:5" x14ac:dyDescent="0.3">
      <c r="A12" s="12" t="s">
        <v>10</v>
      </c>
      <c r="B12" s="12" t="s">
        <v>3</v>
      </c>
      <c r="C12" s="33">
        <v>85</v>
      </c>
      <c r="D12" s="37">
        <f>VLOOKUP(A12,'28.1'!A11:D117,4,0)</f>
        <v>10000</v>
      </c>
      <c r="E12" s="36">
        <f>+D12*C12</f>
        <v>850000</v>
      </c>
    </row>
    <row r="13" spans="1:5" hidden="1" x14ac:dyDescent="0.3">
      <c r="A13" s="12" t="s">
        <v>10</v>
      </c>
      <c r="B13" s="12" t="s">
        <v>9</v>
      </c>
      <c r="C13" s="33">
        <v>0</v>
      </c>
      <c r="D13" s="34"/>
      <c r="E13" s="34"/>
    </row>
    <row r="14" spans="1:5" hidden="1" x14ac:dyDescent="0.3">
      <c r="A14" s="12" t="s">
        <v>11</v>
      </c>
      <c r="B14" s="12" t="s">
        <v>3</v>
      </c>
      <c r="C14" s="33">
        <v>0</v>
      </c>
      <c r="D14" s="34"/>
      <c r="E14" s="34"/>
    </row>
    <row r="15" spans="1:5" x14ac:dyDescent="0.3">
      <c r="A15" s="12" t="s">
        <v>12</v>
      </c>
      <c r="B15" s="12" t="s">
        <v>3</v>
      </c>
      <c r="C15" s="33">
        <v>3</v>
      </c>
      <c r="D15" s="37">
        <v>12000</v>
      </c>
      <c r="E15" s="36">
        <f>+D15*C15</f>
        <v>36000</v>
      </c>
    </row>
    <row r="16" spans="1:5" hidden="1" x14ac:dyDescent="0.3">
      <c r="A16" s="12" t="s">
        <v>13</v>
      </c>
      <c r="B16" s="12" t="s">
        <v>3</v>
      </c>
      <c r="C16" s="33">
        <v>0</v>
      </c>
      <c r="D16" s="34"/>
      <c r="E16" s="34"/>
    </row>
    <row r="17" spans="1:5" hidden="1" x14ac:dyDescent="0.3">
      <c r="A17" s="12" t="s">
        <v>14</v>
      </c>
      <c r="B17" s="12" t="s">
        <v>3</v>
      </c>
      <c r="C17" s="33">
        <v>0</v>
      </c>
      <c r="D17" s="34"/>
      <c r="E17" s="34"/>
    </row>
    <row r="18" spans="1:5" x14ac:dyDescent="0.3">
      <c r="A18" s="12" t="s">
        <v>15</v>
      </c>
      <c r="B18" s="12" t="s">
        <v>3</v>
      </c>
      <c r="C18" s="33">
        <v>13</v>
      </c>
      <c r="D18" s="37">
        <v>22000</v>
      </c>
      <c r="E18" s="36">
        <f t="shared" ref="E18:E20" si="1">+D18*C18</f>
        <v>286000</v>
      </c>
    </row>
    <row r="19" spans="1:5" x14ac:dyDescent="0.3">
      <c r="A19" s="12" t="s">
        <v>16</v>
      </c>
      <c r="B19" s="12" t="s">
        <v>17</v>
      </c>
      <c r="C19" s="33">
        <v>29</v>
      </c>
      <c r="D19" s="37">
        <f>VLOOKUP(A19,'28.1'!A18:D124,4,0)</f>
        <v>6000</v>
      </c>
      <c r="E19" s="36">
        <f t="shared" si="1"/>
        <v>174000</v>
      </c>
    </row>
    <row r="20" spans="1:5" x14ac:dyDescent="0.3">
      <c r="A20" s="12" t="s">
        <v>18</v>
      </c>
      <c r="B20" s="12" t="s">
        <v>3</v>
      </c>
      <c r="C20" s="33">
        <v>460</v>
      </c>
      <c r="D20" s="37">
        <f>VLOOKUP(A20,'28.1'!A19:D125,4,0)</f>
        <v>16000</v>
      </c>
      <c r="E20" s="36">
        <f t="shared" si="1"/>
        <v>7360000</v>
      </c>
    </row>
    <row r="21" spans="1:5" hidden="1" x14ac:dyDescent="0.3">
      <c r="A21" s="12" t="s">
        <v>18</v>
      </c>
      <c r="B21" s="12" t="s">
        <v>17</v>
      </c>
      <c r="C21" s="33">
        <v>0</v>
      </c>
      <c r="D21" s="34"/>
      <c r="E21" s="34"/>
    </row>
    <row r="22" spans="1:5" hidden="1" x14ac:dyDescent="0.3">
      <c r="A22" s="12" t="s">
        <v>18</v>
      </c>
      <c r="B22" s="12" t="s">
        <v>19</v>
      </c>
      <c r="C22" s="33">
        <v>0</v>
      </c>
      <c r="D22" s="34"/>
      <c r="E22" s="34"/>
    </row>
    <row r="23" spans="1:5" x14ac:dyDescent="0.3">
      <c r="A23" s="12" t="s">
        <v>20</v>
      </c>
      <c r="B23" s="12" t="s">
        <v>3</v>
      </c>
      <c r="C23" s="33">
        <v>110</v>
      </c>
      <c r="D23" s="37">
        <f>VLOOKUP(A23,'28.1'!A22:D128,4,0)</f>
        <v>18000</v>
      </c>
      <c r="E23" s="36">
        <f>+D23*C23</f>
        <v>1980000</v>
      </c>
    </row>
    <row r="24" spans="1:5" hidden="1" x14ac:dyDescent="0.3">
      <c r="A24" s="12" t="s">
        <v>20</v>
      </c>
      <c r="B24" s="12" t="s">
        <v>21</v>
      </c>
      <c r="C24" s="33">
        <v>0</v>
      </c>
      <c r="D24" s="34"/>
      <c r="E24" s="34"/>
    </row>
    <row r="25" spans="1:5" x14ac:dyDescent="0.3">
      <c r="A25" s="12" t="s">
        <v>22</v>
      </c>
      <c r="B25" s="12" t="s">
        <v>3</v>
      </c>
      <c r="C25" s="33">
        <v>4.5</v>
      </c>
      <c r="D25" s="37">
        <f>5400*3</f>
        <v>16200</v>
      </c>
      <c r="E25" s="36">
        <f t="shared" ref="E25:E28" si="2">+D25*C25</f>
        <v>72900</v>
      </c>
    </row>
    <row r="26" spans="1:5" x14ac:dyDescent="0.3">
      <c r="A26" s="12" t="s">
        <v>22</v>
      </c>
      <c r="B26" s="12" t="s">
        <v>23</v>
      </c>
      <c r="C26" s="33">
        <v>140</v>
      </c>
      <c r="D26" s="37">
        <v>5400</v>
      </c>
      <c r="E26" s="36">
        <f t="shared" si="2"/>
        <v>756000</v>
      </c>
    </row>
    <row r="27" spans="1:5" x14ac:dyDescent="0.3">
      <c r="A27" s="12" t="s">
        <v>24</v>
      </c>
      <c r="B27" s="12" t="s">
        <v>25</v>
      </c>
      <c r="C27" s="33">
        <v>22</v>
      </c>
      <c r="D27" s="37">
        <f>VLOOKUP(A27,'28.1'!A26:D132,4,0)</f>
        <v>13500</v>
      </c>
      <c r="E27" s="36">
        <f t="shared" si="2"/>
        <v>297000</v>
      </c>
    </row>
    <row r="28" spans="1:5" x14ac:dyDescent="0.3">
      <c r="A28" s="12" t="s">
        <v>170</v>
      </c>
      <c r="B28" s="12" t="s">
        <v>3</v>
      </c>
      <c r="C28" s="33">
        <v>24</v>
      </c>
      <c r="D28" s="37">
        <v>45000</v>
      </c>
      <c r="E28" s="36">
        <f t="shared" si="2"/>
        <v>1080000</v>
      </c>
    </row>
    <row r="29" spans="1:5" hidden="1" x14ac:dyDescent="0.3">
      <c r="A29" s="12" t="s">
        <v>26</v>
      </c>
      <c r="B29" s="12" t="s">
        <v>3</v>
      </c>
      <c r="C29" s="33">
        <v>0</v>
      </c>
      <c r="D29" s="34"/>
      <c r="E29" s="34"/>
    </row>
    <row r="30" spans="1:5" x14ac:dyDescent="0.3">
      <c r="A30" s="12" t="s">
        <v>26</v>
      </c>
      <c r="B30" s="12" t="s">
        <v>27</v>
      </c>
      <c r="C30" s="33">
        <v>87</v>
      </c>
      <c r="D30" s="37">
        <v>12000</v>
      </c>
      <c r="E30" s="36">
        <f t="shared" ref="E30:E31" si="3">+D30*C30</f>
        <v>1044000</v>
      </c>
    </row>
    <row r="31" spans="1:5" x14ac:dyDescent="0.3">
      <c r="A31" s="12" t="s">
        <v>28</v>
      </c>
      <c r="B31" s="12" t="s">
        <v>3</v>
      </c>
      <c r="C31" s="33">
        <v>840</v>
      </c>
      <c r="D31" s="37">
        <f>VLOOKUP(A31,'28.1'!A30:D136,4,0)</f>
        <v>18000</v>
      </c>
      <c r="E31" s="36">
        <f t="shared" si="3"/>
        <v>15120000</v>
      </c>
    </row>
    <row r="32" spans="1:5" hidden="1" x14ac:dyDescent="0.3">
      <c r="A32" s="12" t="s">
        <v>28</v>
      </c>
      <c r="B32" s="12" t="s">
        <v>17</v>
      </c>
      <c r="C32" s="33">
        <v>0</v>
      </c>
      <c r="D32" s="34"/>
      <c r="E32" s="34"/>
    </row>
    <row r="33" spans="1:5" x14ac:dyDescent="0.3">
      <c r="A33" s="12" t="s">
        <v>29</v>
      </c>
      <c r="B33" s="12" t="s">
        <v>30</v>
      </c>
      <c r="C33" s="33">
        <v>335</v>
      </c>
      <c r="D33" s="37">
        <v>13000</v>
      </c>
      <c r="E33" s="36">
        <f t="shared" ref="E33:E34" si="4">+D33*C33</f>
        <v>4355000</v>
      </c>
    </row>
    <row r="34" spans="1:5" x14ac:dyDescent="0.3">
      <c r="A34" s="12" t="s">
        <v>31</v>
      </c>
      <c r="B34" s="12" t="s">
        <v>3</v>
      </c>
      <c r="C34" s="33">
        <v>220</v>
      </c>
      <c r="D34" s="37">
        <v>10000</v>
      </c>
      <c r="E34" s="36">
        <f t="shared" si="4"/>
        <v>2200000</v>
      </c>
    </row>
    <row r="35" spans="1:5" hidden="1" x14ac:dyDescent="0.3">
      <c r="A35" s="12" t="s">
        <v>31</v>
      </c>
      <c r="B35" s="12" t="s">
        <v>30</v>
      </c>
      <c r="C35" s="33">
        <v>0</v>
      </c>
      <c r="D35" s="34"/>
      <c r="E35" s="34"/>
    </row>
    <row r="36" spans="1:5" x14ac:dyDescent="0.3">
      <c r="A36" s="12" t="s">
        <v>32</v>
      </c>
      <c r="B36" s="12" t="s">
        <v>17</v>
      </c>
      <c r="C36" s="33">
        <v>6</v>
      </c>
      <c r="D36" s="37">
        <v>8000</v>
      </c>
      <c r="E36" s="36">
        <f t="shared" ref="E36:E37" si="5">+D36*C36</f>
        <v>48000</v>
      </c>
    </row>
    <row r="37" spans="1:5" x14ac:dyDescent="0.3">
      <c r="A37" s="12" t="s">
        <v>33</v>
      </c>
      <c r="B37" s="12" t="s">
        <v>3</v>
      </c>
      <c r="C37" s="33">
        <v>177</v>
      </c>
      <c r="D37" s="37">
        <v>8000</v>
      </c>
      <c r="E37" s="36">
        <f t="shared" si="5"/>
        <v>1416000</v>
      </c>
    </row>
    <row r="38" spans="1:5" hidden="1" x14ac:dyDescent="0.3">
      <c r="A38" s="12" t="s">
        <v>33</v>
      </c>
      <c r="B38" s="12" t="s">
        <v>34</v>
      </c>
      <c r="C38" s="33">
        <v>0</v>
      </c>
      <c r="D38" s="34"/>
      <c r="E38" s="34"/>
    </row>
    <row r="39" spans="1:5" x14ac:dyDescent="0.3">
      <c r="A39" s="12" t="s">
        <v>35</v>
      </c>
      <c r="B39" s="12" t="s">
        <v>3</v>
      </c>
      <c r="C39" s="33">
        <v>20</v>
      </c>
      <c r="D39" s="37">
        <v>22000</v>
      </c>
      <c r="E39" s="36">
        <f>+D39*C39</f>
        <v>440000</v>
      </c>
    </row>
    <row r="40" spans="1:5" hidden="1" x14ac:dyDescent="0.3">
      <c r="A40" s="12" t="s">
        <v>35</v>
      </c>
      <c r="B40" s="12" t="s">
        <v>30</v>
      </c>
      <c r="C40" s="33">
        <v>0</v>
      </c>
      <c r="D40" s="34"/>
      <c r="E40" s="34"/>
    </row>
    <row r="41" spans="1:5" x14ac:dyDescent="0.3">
      <c r="A41" s="12" t="s">
        <v>36</v>
      </c>
      <c r="B41" s="12" t="s">
        <v>30</v>
      </c>
      <c r="C41" s="33">
        <v>34</v>
      </c>
      <c r="D41" s="37">
        <v>8000</v>
      </c>
      <c r="E41" s="36">
        <f t="shared" ref="E41:E43" si="6">+D41*C41</f>
        <v>272000</v>
      </c>
    </row>
    <row r="42" spans="1:5" x14ac:dyDescent="0.3">
      <c r="A42" s="12" t="s">
        <v>37</v>
      </c>
      <c r="B42" s="12" t="s">
        <v>3</v>
      </c>
      <c r="C42" s="33">
        <v>10</v>
      </c>
      <c r="D42" s="37">
        <f>4300*3</f>
        <v>12900</v>
      </c>
      <c r="E42" s="36">
        <f t="shared" si="6"/>
        <v>129000</v>
      </c>
    </row>
    <row r="43" spans="1:5" x14ac:dyDescent="0.3">
      <c r="A43" s="12" t="s">
        <v>37</v>
      </c>
      <c r="B43" s="12" t="s">
        <v>30</v>
      </c>
      <c r="C43" s="33">
        <v>37</v>
      </c>
      <c r="D43" s="37">
        <v>4300</v>
      </c>
      <c r="E43" s="36">
        <f t="shared" si="6"/>
        <v>159100</v>
      </c>
    </row>
    <row r="44" spans="1:5" hidden="1" x14ac:dyDescent="0.3">
      <c r="A44" s="12" t="s">
        <v>38</v>
      </c>
      <c r="B44" s="12" t="s">
        <v>3</v>
      </c>
      <c r="C44" s="33">
        <v>0</v>
      </c>
      <c r="D44" s="34"/>
      <c r="E44" s="34"/>
    </row>
    <row r="45" spans="1:5" hidden="1" x14ac:dyDescent="0.3">
      <c r="A45" s="12" t="s">
        <v>39</v>
      </c>
      <c r="B45" s="12" t="s">
        <v>40</v>
      </c>
      <c r="C45" s="33">
        <v>0</v>
      </c>
      <c r="D45" s="34"/>
      <c r="E45" s="34"/>
    </row>
    <row r="46" spans="1:5" hidden="1" x14ac:dyDescent="0.3">
      <c r="A46" s="12" t="s">
        <v>39</v>
      </c>
      <c r="B46" s="12" t="s">
        <v>3</v>
      </c>
      <c r="C46" s="33">
        <v>0</v>
      </c>
      <c r="D46" s="34"/>
      <c r="E46" s="34"/>
    </row>
    <row r="47" spans="1:5" x14ac:dyDescent="0.3">
      <c r="A47" s="12" t="s">
        <v>41</v>
      </c>
      <c r="B47" s="12" t="s">
        <v>3</v>
      </c>
      <c r="C47" s="33">
        <v>60</v>
      </c>
      <c r="D47" s="37">
        <f>VLOOKUP(A47,'28.1'!A46:D152,4,0)</f>
        <v>14000</v>
      </c>
      <c r="E47" s="36">
        <f t="shared" ref="E47:E51" si="7">+D47*C47</f>
        <v>840000</v>
      </c>
    </row>
    <row r="48" spans="1:5" x14ac:dyDescent="0.3">
      <c r="A48" s="12" t="s">
        <v>42</v>
      </c>
      <c r="B48" s="12" t="s">
        <v>25</v>
      </c>
      <c r="C48" s="33">
        <v>32</v>
      </c>
      <c r="D48" s="37">
        <v>12000</v>
      </c>
      <c r="E48" s="36">
        <f t="shared" si="7"/>
        <v>384000</v>
      </c>
    </row>
    <row r="49" spans="1:5" x14ac:dyDescent="0.3">
      <c r="A49" s="12" t="s">
        <v>43</v>
      </c>
      <c r="B49" s="12" t="s">
        <v>3</v>
      </c>
      <c r="C49" s="33">
        <v>2</v>
      </c>
      <c r="D49" s="37">
        <f>VLOOKUP(A49,'28.1'!A48:D154,4,0)</f>
        <v>16000</v>
      </c>
      <c r="E49" s="36">
        <f t="shared" si="7"/>
        <v>32000</v>
      </c>
    </row>
    <row r="50" spans="1:5" x14ac:dyDescent="0.3">
      <c r="A50" s="12" t="s">
        <v>44</v>
      </c>
      <c r="B50" s="12" t="s">
        <v>3</v>
      </c>
      <c r="C50" s="33">
        <v>50</v>
      </c>
      <c r="D50" s="37">
        <v>6500</v>
      </c>
      <c r="E50" s="36">
        <f t="shared" si="7"/>
        <v>325000</v>
      </c>
    </row>
    <row r="51" spans="1:5" x14ac:dyDescent="0.3">
      <c r="A51" s="12" t="s">
        <v>45</v>
      </c>
      <c r="B51" s="12" t="s">
        <v>3</v>
      </c>
      <c r="C51" s="33">
        <v>66</v>
      </c>
      <c r="D51" s="37">
        <f>VLOOKUP(A51,'28.1'!A50:D156,4,0)</f>
        <v>11000</v>
      </c>
      <c r="E51" s="36">
        <f t="shared" si="7"/>
        <v>726000</v>
      </c>
    </row>
    <row r="52" spans="1:5" hidden="1" x14ac:dyDescent="0.3">
      <c r="A52" s="12" t="s">
        <v>45</v>
      </c>
      <c r="B52" s="12" t="s">
        <v>30</v>
      </c>
      <c r="C52" s="33">
        <v>0</v>
      </c>
      <c r="D52" s="34"/>
      <c r="E52" s="34"/>
    </row>
    <row r="53" spans="1:5" x14ac:dyDescent="0.3">
      <c r="A53" s="12" t="s">
        <v>46</v>
      </c>
      <c r="B53" s="12" t="s">
        <v>3</v>
      </c>
      <c r="C53" s="33">
        <v>11</v>
      </c>
      <c r="D53" s="37">
        <f>VLOOKUP(A53,'28.1'!A52:D158,4,0)</f>
        <v>18000</v>
      </c>
      <c r="E53" s="36">
        <f t="shared" ref="E53:E54" si="8">+D53*C53</f>
        <v>198000</v>
      </c>
    </row>
    <row r="54" spans="1:5" x14ac:dyDescent="0.3">
      <c r="A54" s="12" t="s">
        <v>47</v>
      </c>
      <c r="B54" s="12" t="s">
        <v>3</v>
      </c>
      <c r="C54" s="33">
        <v>380</v>
      </c>
      <c r="D54" s="37">
        <f>VLOOKUP(A54,'28.1'!A53:D159,4,0)</f>
        <v>10000</v>
      </c>
      <c r="E54" s="36">
        <f t="shared" si="8"/>
        <v>3800000</v>
      </c>
    </row>
    <row r="55" spans="1:5" hidden="1" x14ac:dyDescent="0.3">
      <c r="A55" s="12" t="s">
        <v>47</v>
      </c>
      <c r="B55" s="12" t="s">
        <v>48</v>
      </c>
      <c r="C55" s="33">
        <v>0</v>
      </c>
      <c r="D55" s="34"/>
      <c r="E55" s="34"/>
    </row>
    <row r="56" spans="1:5" x14ac:dyDescent="0.3">
      <c r="A56" s="12" t="s">
        <v>50</v>
      </c>
      <c r="B56" s="12" t="s">
        <v>30</v>
      </c>
      <c r="C56" s="33">
        <v>360</v>
      </c>
      <c r="D56" s="37">
        <f>VLOOKUP(A56,'28.1'!A55:D161,4,0)</f>
        <v>2400</v>
      </c>
      <c r="E56" s="36">
        <f t="shared" ref="E56:E58" si="9">+D56*C56</f>
        <v>864000</v>
      </c>
    </row>
    <row r="57" spans="1:5" x14ac:dyDescent="0.3">
      <c r="A57" s="12" t="s">
        <v>51</v>
      </c>
      <c r="B57" s="12" t="s">
        <v>3</v>
      </c>
      <c r="C57" s="33">
        <v>820</v>
      </c>
      <c r="D57" s="37">
        <f>VLOOKUP(A57,'28.1'!A56:D162,4,0)</f>
        <v>28000</v>
      </c>
      <c r="E57" s="36">
        <f t="shared" si="9"/>
        <v>22960000</v>
      </c>
    </row>
    <row r="58" spans="1:5" x14ac:dyDescent="0.3">
      <c r="A58" s="12" t="s">
        <v>52</v>
      </c>
      <c r="B58" s="12" t="s">
        <v>3</v>
      </c>
      <c r="C58" s="33">
        <v>2230</v>
      </c>
      <c r="D58" s="37">
        <f>VLOOKUP(A58,'28.1'!A57:D163,4,0)</f>
        <v>28000</v>
      </c>
      <c r="E58" s="36">
        <f t="shared" si="9"/>
        <v>62440000</v>
      </c>
    </row>
    <row r="59" spans="1:5" hidden="1" x14ac:dyDescent="0.3">
      <c r="A59" s="12" t="s">
        <v>52</v>
      </c>
      <c r="B59" s="12" t="s">
        <v>30</v>
      </c>
      <c r="C59" s="33">
        <v>0</v>
      </c>
      <c r="D59" s="34"/>
      <c r="E59" s="34"/>
    </row>
    <row r="60" spans="1:5" x14ac:dyDescent="0.3">
      <c r="A60" s="12" t="s">
        <v>167</v>
      </c>
      <c r="B60" s="12" t="s">
        <v>3</v>
      </c>
      <c r="C60" s="33">
        <v>450</v>
      </c>
      <c r="D60" s="37">
        <f>VLOOKUP(A60,'28.1'!A59:D165,4,0)</f>
        <v>27000</v>
      </c>
      <c r="E60" s="36">
        <f t="shared" ref="E60:E62" si="10">+D60*C60</f>
        <v>12150000</v>
      </c>
    </row>
    <row r="61" spans="1:5" x14ac:dyDescent="0.3">
      <c r="A61" s="12" t="s">
        <v>54</v>
      </c>
      <c r="B61" s="12" t="s">
        <v>3</v>
      </c>
      <c r="C61" s="33">
        <v>310</v>
      </c>
      <c r="D61" s="37">
        <f>VLOOKUP(A61,'28.1'!A60:D166,4,0)</f>
        <v>16000</v>
      </c>
      <c r="E61" s="36">
        <f t="shared" si="10"/>
        <v>4960000</v>
      </c>
    </row>
    <row r="62" spans="1:5" x14ac:dyDescent="0.3">
      <c r="A62" s="12" t="s">
        <v>55</v>
      </c>
      <c r="B62" s="12" t="s">
        <v>3</v>
      </c>
      <c r="C62" s="33">
        <v>17</v>
      </c>
      <c r="D62" s="37">
        <f>VLOOKUP(A62,'28.1'!A61:D167,4,0)</f>
        <v>24000</v>
      </c>
      <c r="E62" s="36">
        <f t="shared" si="10"/>
        <v>408000</v>
      </c>
    </row>
    <row r="63" spans="1:5" hidden="1" x14ac:dyDescent="0.3">
      <c r="A63" s="12" t="s">
        <v>56</v>
      </c>
      <c r="B63" s="12" t="s">
        <v>3</v>
      </c>
      <c r="C63" s="33">
        <v>0</v>
      </c>
      <c r="D63" s="34"/>
      <c r="E63" s="34"/>
    </row>
    <row r="64" spans="1:5" hidden="1" x14ac:dyDescent="0.3">
      <c r="A64" s="12" t="s">
        <v>57</v>
      </c>
      <c r="B64" s="12" t="s">
        <v>30</v>
      </c>
      <c r="C64" s="33">
        <v>0</v>
      </c>
      <c r="D64" s="34"/>
      <c r="E64" s="34"/>
    </row>
    <row r="65" spans="1:5" hidden="1" x14ac:dyDescent="0.3">
      <c r="A65" s="12" t="s">
        <v>59</v>
      </c>
      <c r="B65" s="12" t="s">
        <v>3</v>
      </c>
      <c r="C65" s="33">
        <v>0</v>
      </c>
      <c r="D65" s="34"/>
      <c r="E65" s="34"/>
    </row>
    <row r="66" spans="1:5" hidden="1" x14ac:dyDescent="0.3">
      <c r="A66" s="12" t="s">
        <v>59</v>
      </c>
      <c r="B66" s="12" t="s">
        <v>30</v>
      </c>
      <c r="C66" s="33">
        <v>0</v>
      </c>
      <c r="D66" s="34"/>
      <c r="E66" s="34"/>
    </row>
    <row r="67" spans="1:5" x14ac:dyDescent="0.3">
      <c r="A67" s="12" t="s">
        <v>60</v>
      </c>
      <c r="B67" s="12" t="s">
        <v>30</v>
      </c>
      <c r="C67" s="33">
        <v>220</v>
      </c>
      <c r="D67" s="37">
        <f>VLOOKUP(A67,'28.1'!A66:D172,4,0)</f>
        <v>14000</v>
      </c>
      <c r="E67" s="36">
        <f t="shared" ref="E67:E69" si="11">+D67*C67</f>
        <v>3080000</v>
      </c>
    </row>
    <row r="68" spans="1:5" x14ac:dyDescent="0.3">
      <c r="A68" s="12" t="s">
        <v>61</v>
      </c>
      <c r="B68" s="12" t="s">
        <v>3</v>
      </c>
      <c r="C68" s="33">
        <v>6</v>
      </c>
      <c r="D68" s="37">
        <v>13000</v>
      </c>
      <c r="E68" s="36">
        <f t="shared" si="11"/>
        <v>78000</v>
      </c>
    </row>
    <row r="69" spans="1:5" x14ac:dyDescent="0.3">
      <c r="A69" s="12" t="s">
        <v>62</v>
      </c>
      <c r="B69" s="12" t="s">
        <v>30</v>
      </c>
      <c r="C69" s="33">
        <v>12</v>
      </c>
      <c r="D69" s="37">
        <v>6000</v>
      </c>
      <c r="E69" s="36">
        <f t="shared" si="11"/>
        <v>72000</v>
      </c>
    </row>
    <row r="70" spans="1:5" hidden="1" x14ac:dyDescent="0.3">
      <c r="A70" s="12" t="s">
        <v>63</v>
      </c>
      <c r="B70" s="12" t="s">
        <v>3</v>
      </c>
      <c r="C70" s="33">
        <v>0</v>
      </c>
      <c r="D70" s="34"/>
      <c r="E70" s="34"/>
    </row>
    <row r="71" spans="1:5" x14ac:dyDescent="0.3">
      <c r="A71" s="12" t="s">
        <v>63</v>
      </c>
      <c r="B71" s="12" t="s">
        <v>64</v>
      </c>
      <c r="C71" s="33">
        <v>43</v>
      </c>
      <c r="D71" s="37">
        <v>13000</v>
      </c>
      <c r="E71" s="36">
        <f t="shared" ref="E71:E78" si="12">+D71*C71</f>
        <v>559000</v>
      </c>
    </row>
    <row r="72" spans="1:5" x14ac:dyDescent="0.3">
      <c r="A72" s="12" t="s">
        <v>65</v>
      </c>
      <c r="B72" s="12" t="s">
        <v>3</v>
      </c>
      <c r="C72" s="33">
        <v>3</v>
      </c>
      <c r="D72" s="37">
        <f>VLOOKUP(A72,'28.1'!A71:D177,4,0)</f>
        <v>80000</v>
      </c>
      <c r="E72" s="36">
        <f t="shared" si="12"/>
        <v>240000</v>
      </c>
    </row>
    <row r="73" spans="1:5" x14ac:dyDescent="0.3">
      <c r="A73" s="12" t="s">
        <v>66</v>
      </c>
      <c r="B73" s="12" t="s">
        <v>3</v>
      </c>
      <c r="C73" s="33">
        <v>3</v>
      </c>
      <c r="D73" s="37">
        <f>VLOOKUP(A73,'28.1'!A72:D178,4,0)</f>
        <v>70000</v>
      </c>
      <c r="E73" s="36">
        <f t="shared" si="12"/>
        <v>210000</v>
      </c>
    </row>
    <row r="74" spans="1:5" x14ac:dyDescent="0.3">
      <c r="A74" s="12" t="s">
        <v>67</v>
      </c>
      <c r="B74" s="12" t="s">
        <v>3</v>
      </c>
      <c r="C74" s="33">
        <v>3</v>
      </c>
      <c r="D74" s="37">
        <f>VLOOKUP(A74,'28.1'!A73:D179,4,0)</f>
        <v>70000</v>
      </c>
      <c r="E74" s="36">
        <f t="shared" si="12"/>
        <v>210000</v>
      </c>
    </row>
    <row r="75" spans="1:5" x14ac:dyDescent="0.3">
      <c r="A75" s="12" t="s">
        <v>68</v>
      </c>
      <c r="B75" s="12" t="s">
        <v>3</v>
      </c>
      <c r="C75" s="33">
        <v>140</v>
      </c>
      <c r="D75" s="37">
        <f>VLOOKUP(A75,'28.1'!A74:D180,4,0)</f>
        <v>6500</v>
      </c>
      <c r="E75" s="36">
        <f t="shared" si="12"/>
        <v>910000</v>
      </c>
    </row>
    <row r="76" spans="1:5" x14ac:dyDescent="0.3">
      <c r="A76" s="12" t="s">
        <v>68</v>
      </c>
      <c r="B76" s="12" t="s">
        <v>17</v>
      </c>
      <c r="C76" s="33">
        <v>930</v>
      </c>
      <c r="D76" s="37">
        <f>VLOOKUP(A76,'28.1'!A75:D181,4,0)</f>
        <v>6500</v>
      </c>
      <c r="E76" s="36">
        <f t="shared" si="12"/>
        <v>6045000</v>
      </c>
    </row>
    <row r="77" spans="1:5" x14ac:dyDescent="0.3">
      <c r="A77" s="12" t="s">
        <v>69</v>
      </c>
      <c r="B77" s="12" t="s">
        <v>3</v>
      </c>
      <c r="C77" s="33">
        <v>5</v>
      </c>
      <c r="D77" s="37">
        <f>VLOOKUP(A77,'28.1'!A76:D182,4,0)</f>
        <v>18000</v>
      </c>
      <c r="E77" s="36">
        <f t="shared" si="12"/>
        <v>90000</v>
      </c>
    </row>
    <row r="78" spans="1:5" x14ac:dyDescent="0.3">
      <c r="A78" s="12" t="s">
        <v>70</v>
      </c>
      <c r="B78" s="12" t="s">
        <v>3</v>
      </c>
      <c r="C78" s="33">
        <v>63</v>
      </c>
      <c r="D78" s="37">
        <f>VLOOKUP(A78,'28.1'!A77:D183,4,0)</f>
        <v>16000</v>
      </c>
      <c r="E78" s="36">
        <f t="shared" si="12"/>
        <v>1008000</v>
      </c>
    </row>
    <row r="79" spans="1:5" hidden="1" x14ac:dyDescent="0.3">
      <c r="A79" s="12" t="s">
        <v>71</v>
      </c>
      <c r="B79" s="12" t="s">
        <v>40</v>
      </c>
      <c r="C79" s="33">
        <v>0</v>
      </c>
      <c r="D79" s="34"/>
      <c r="E79" s="34"/>
    </row>
    <row r="80" spans="1:5" hidden="1" x14ac:dyDescent="0.3">
      <c r="A80" s="12" t="s">
        <v>71</v>
      </c>
      <c r="B80" s="12" t="s">
        <v>3</v>
      </c>
      <c r="C80" s="33">
        <v>0</v>
      </c>
      <c r="D80" s="34"/>
      <c r="E80" s="34"/>
    </row>
    <row r="81" spans="1:5" x14ac:dyDescent="0.3">
      <c r="A81" s="12" t="s">
        <v>72</v>
      </c>
      <c r="B81" s="12" t="s">
        <v>3</v>
      </c>
      <c r="C81" s="33">
        <v>820</v>
      </c>
      <c r="D81" s="37">
        <v>27600</v>
      </c>
      <c r="E81" s="36">
        <f>+D81*C81</f>
        <v>22632000</v>
      </c>
    </row>
    <row r="82" spans="1:5" hidden="1" x14ac:dyDescent="0.3">
      <c r="A82" s="12" t="s">
        <v>74</v>
      </c>
      <c r="B82" s="12" t="s">
        <v>30</v>
      </c>
      <c r="C82" s="33">
        <v>0</v>
      </c>
      <c r="D82" s="34"/>
      <c r="E82" s="34"/>
    </row>
    <row r="83" spans="1:5" hidden="1" x14ac:dyDescent="0.3">
      <c r="A83" s="12" t="s">
        <v>75</v>
      </c>
      <c r="B83" s="12" t="s">
        <v>3</v>
      </c>
      <c r="C83" s="33">
        <v>0</v>
      </c>
      <c r="D83" s="34"/>
      <c r="E83" s="34"/>
    </row>
    <row r="84" spans="1:5" hidden="1" x14ac:dyDescent="0.3">
      <c r="A84" s="12" t="s">
        <v>76</v>
      </c>
      <c r="B84" s="12" t="s">
        <v>17</v>
      </c>
      <c r="C84" s="33">
        <v>0</v>
      </c>
      <c r="D84" s="34"/>
      <c r="E84" s="34"/>
    </row>
    <row r="85" spans="1:5" hidden="1" x14ac:dyDescent="0.3">
      <c r="A85" s="12" t="s">
        <v>77</v>
      </c>
      <c r="B85" s="12" t="s">
        <v>25</v>
      </c>
      <c r="C85" s="33">
        <v>0</v>
      </c>
      <c r="D85" s="34"/>
      <c r="E85" s="34"/>
    </row>
    <row r="86" spans="1:5" x14ac:dyDescent="0.3">
      <c r="A86" s="12" t="s">
        <v>77</v>
      </c>
      <c r="B86" s="12" t="s">
        <v>3</v>
      </c>
      <c r="C86" s="33">
        <v>5</v>
      </c>
      <c r="D86" s="37">
        <v>50000</v>
      </c>
      <c r="E86" s="36">
        <f>+D86*C86</f>
        <v>250000</v>
      </c>
    </row>
    <row r="87" spans="1:5" hidden="1" x14ac:dyDescent="0.3">
      <c r="A87" s="12" t="s">
        <v>78</v>
      </c>
      <c r="B87" s="12" t="s">
        <v>3</v>
      </c>
      <c r="C87" s="33">
        <v>0</v>
      </c>
      <c r="D87" s="34"/>
      <c r="E87" s="34"/>
    </row>
    <row r="88" spans="1:5" hidden="1" x14ac:dyDescent="0.3">
      <c r="A88" s="12" t="s">
        <v>78</v>
      </c>
      <c r="B88" s="12" t="s">
        <v>9</v>
      </c>
      <c r="C88" s="33">
        <v>0</v>
      </c>
      <c r="D88" s="34"/>
      <c r="E88" s="34"/>
    </row>
    <row r="89" spans="1:5" hidden="1" x14ac:dyDescent="0.3">
      <c r="A89" s="12" t="s">
        <v>80</v>
      </c>
      <c r="B89" s="12" t="s">
        <v>3</v>
      </c>
      <c r="C89" s="33">
        <v>0</v>
      </c>
      <c r="D89" s="34"/>
      <c r="E89" s="34"/>
    </row>
    <row r="90" spans="1:5" hidden="1" x14ac:dyDescent="0.3">
      <c r="A90" s="12" t="s">
        <v>80</v>
      </c>
      <c r="B90" s="12" t="s">
        <v>9</v>
      </c>
      <c r="C90" s="33">
        <v>0</v>
      </c>
      <c r="D90" s="34"/>
      <c r="E90" s="34"/>
    </row>
    <row r="91" spans="1:5" x14ac:dyDescent="0.3">
      <c r="A91" s="12" t="s">
        <v>82</v>
      </c>
      <c r="B91" s="12" t="s">
        <v>3</v>
      </c>
      <c r="C91" s="33">
        <v>120</v>
      </c>
      <c r="D91" s="37">
        <v>30000</v>
      </c>
      <c r="E91" s="36">
        <f>+D91*C91</f>
        <v>3600000</v>
      </c>
    </row>
    <row r="92" spans="1:5" hidden="1" x14ac:dyDescent="0.3">
      <c r="A92" s="12" t="s">
        <v>82</v>
      </c>
      <c r="B92" s="12" t="s">
        <v>9</v>
      </c>
      <c r="C92" s="33">
        <v>0</v>
      </c>
      <c r="D92" s="34"/>
      <c r="E92" s="34"/>
    </row>
    <row r="93" spans="1:5" x14ac:dyDescent="0.3">
      <c r="A93" s="12" t="s">
        <v>84</v>
      </c>
      <c r="B93" s="12" t="s">
        <v>3</v>
      </c>
      <c r="C93" s="33">
        <v>250</v>
      </c>
      <c r="D93" s="37">
        <f>VLOOKUP(A93,'28.1'!A92:D198,4,0)</f>
        <v>18000</v>
      </c>
      <c r="E93" s="36">
        <f t="shared" ref="E93:E98" si="13">+D93*C93</f>
        <v>4500000</v>
      </c>
    </row>
    <row r="94" spans="1:5" x14ac:dyDescent="0.3">
      <c r="A94" s="12" t="s">
        <v>84</v>
      </c>
      <c r="B94" s="12" t="s">
        <v>30</v>
      </c>
      <c r="C94" s="33">
        <v>27</v>
      </c>
      <c r="D94" s="37">
        <f>VLOOKUP(A94,'28.1'!A93:D199,4,0)</f>
        <v>18000</v>
      </c>
      <c r="E94" s="36">
        <f t="shared" si="13"/>
        <v>486000</v>
      </c>
    </row>
    <row r="95" spans="1:5" x14ac:dyDescent="0.3">
      <c r="A95" s="12" t="s">
        <v>85</v>
      </c>
      <c r="B95" s="12" t="s">
        <v>30</v>
      </c>
      <c r="C95" s="33">
        <v>6</v>
      </c>
      <c r="D95" s="37">
        <f>VLOOKUP(A95,'28.1'!A94:D200,4,0)</f>
        <v>35000</v>
      </c>
      <c r="E95" s="36">
        <f t="shared" si="13"/>
        <v>210000</v>
      </c>
    </row>
    <row r="96" spans="1:5" x14ac:dyDescent="0.3">
      <c r="A96" s="12" t="s">
        <v>106</v>
      </c>
      <c r="B96" s="12" t="s">
        <v>9</v>
      </c>
      <c r="C96" s="33">
        <v>370</v>
      </c>
      <c r="D96" s="37">
        <f>VLOOKUP(A96,'28.1'!A95:D201,4,0)</f>
        <v>9000</v>
      </c>
      <c r="E96" s="36">
        <f t="shared" si="13"/>
        <v>3330000</v>
      </c>
    </row>
    <row r="97" spans="1:5" x14ac:dyDescent="0.3">
      <c r="A97" s="12" t="s">
        <v>88</v>
      </c>
      <c r="B97" s="12" t="s">
        <v>9</v>
      </c>
      <c r="C97" s="33">
        <v>270</v>
      </c>
      <c r="D97" s="37">
        <f>VLOOKUP(A97,'28.1'!A96:D202,4,0)</f>
        <v>11361</v>
      </c>
      <c r="E97" s="36">
        <f t="shared" si="13"/>
        <v>3067470</v>
      </c>
    </row>
    <row r="98" spans="1:5" x14ac:dyDescent="0.3">
      <c r="A98" s="12" t="s">
        <v>146</v>
      </c>
      <c r="B98" s="12" t="s">
        <v>9</v>
      </c>
      <c r="C98" s="33">
        <v>53</v>
      </c>
      <c r="D98" s="37">
        <v>100000</v>
      </c>
      <c r="E98" s="36">
        <f t="shared" si="13"/>
        <v>5300000</v>
      </c>
    </row>
    <row r="99" spans="1:5" hidden="1" x14ac:dyDescent="0.3">
      <c r="A99" s="12" t="s">
        <v>89</v>
      </c>
      <c r="B99" s="12" t="s">
        <v>3</v>
      </c>
      <c r="C99" s="33">
        <v>0</v>
      </c>
      <c r="D99" s="34"/>
      <c r="E99" s="34"/>
    </row>
    <row r="100" spans="1:5" x14ac:dyDescent="0.3">
      <c r="A100" s="12" t="s">
        <v>90</v>
      </c>
      <c r="B100" s="12" t="s">
        <v>3</v>
      </c>
      <c r="C100" s="33">
        <v>19</v>
      </c>
      <c r="D100" s="37">
        <v>32000</v>
      </c>
      <c r="E100" s="36">
        <f t="shared" ref="E100:E103" si="14">+D100*C100</f>
        <v>608000</v>
      </c>
    </row>
    <row r="101" spans="1:5" x14ac:dyDescent="0.3">
      <c r="A101" s="12" t="s">
        <v>154</v>
      </c>
      <c r="B101" s="12" t="s">
        <v>9</v>
      </c>
      <c r="C101" s="33">
        <v>21</v>
      </c>
      <c r="D101" s="37">
        <v>26000</v>
      </c>
      <c r="E101" s="36">
        <f t="shared" si="14"/>
        <v>546000</v>
      </c>
    </row>
    <row r="102" spans="1:5" x14ac:dyDescent="0.3">
      <c r="A102" s="12" t="s">
        <v>92</v>
      </c>
      <c r="B102" s="12" t="s">
        <v>3</v>
      </c>
      <c r="C102" s="33">
        <v>233</v>
      </c>
      <c r="D102" s="37">
        <f>VLOOKUP(A102,'28.1'!A101:D207,4,0)</f>
        <v>8000</v>
      </c>
      <c r="E102" s="36">
        <f t="shared" si="14"/>
        <v>1864000</v>
      </c>
    </row>
    <row r="103" spans="1:5" x14ac:dyDescent="0.3">
      <c r="A103" s="12" t="s">
        <v>93</v>
      </c>
      <c r="B103" s="12" t="s">
        <v>3</v>
      </c>
      <c r="C103" s="33">
        <v>43</v>
      </c>
      <c r="D103" s="37">
        <v>13000</v>
      </c>
      <c r="E103" s="36">
        <f t="shared" si="14"/>
        <v>559000</v>
      </c>
    </row>
    <row r="104" spans="1:5" hidden="1" x14ac:dyDescent="0.3">
      <c r="A104" s="12" t="s">
        <v>94</v>
      </c>
      <c r="B104" s="12" t="s">
        <v>3</v>
      </c>
      <c r="C104" s="33">
        <v>0</v>
      </c>
      <c r="D104" s="34"/>
      <c r="E104" s="34"/>
    </row>
    <row r="105" spans="1:5" hidden="1" x14ac:dyDescent="0.3">
      <c r="A105" s="12" t="s">
        <v>95</v>
      </c>
      <c r="B105" s="12" t="s">
        <v>40</v>
      </c>
      <c r="C105" s="33">
        <v>0</v>
      </c>
      <c r="D105" s="34"/>
      <c r="E105" s="34"/>
    </row>
    <row r="106" spans="1:5" hidden="1" x14ac:dyDescent="0.3">
      <c r="A106" s="12" t="s">
        <v>96</v>
      </c>
      <c r="B106" s="12" t="s">
        <v>3</v>
      </c>
      <c r="C106" s="33">
        <v>0</v>
      </c>
      <c r="D106" s="34"/>
      <c r="E106" s="34"/>
    </row>
    <row r="107" spans="1:5" hidden="1" x14ac:dyDescent="0.3">
      <c r="A107" s="12" t="s">
        <v>97</v>
      </c>
      <c r="B107" s="12" t="s">
        <v>40</v>
      </c>
      <c r="C107" s="33">
        <v>0</v>
      </c>
      <c r="D107" s="34"/>
      <c r="E107" s="34"/>
    </row>
    <row r="108" spans="1:5" hidden="1" x14ac:dyDescent="0.3">
      <c r="A108" s="12" t="s">
        <v>98</v>
      </c>
      <c r="B108" s="12" t="s">
        <v>3</v>
      </c>
      <c r="C108" s="33">
        <v>0</v>
      </c>
      <c r="D108" s="34"/>
      <c r="E108" s="34"/>
    </row>
    <row r="109" spans="1:5" hidden="1" x14ac:dyDescent="0.3">
      <c r="A109" s="12" t="s">
        <v>99</v>
      </c>
      <c r="B109" s="12" t="s">
        <v>3</v>
      </c>
      <c r="C109" s="33">
        <v>0</v>
      </c>
      <c r="D109" s="34"/>
      <c r="E109" s="34"/>
    </row>
    <row r="110" spans="1:5" x14ac:dyDescent="0.3">
      <c r="A110" s="12" t="s">
        <v>100</v>
      </c>
      <c r="B110" s="12" t="s">
        <v>40</v>
      </c>
      <c r="C110" s="33">
        <v>48</v>
      </c>
      <c r="D110" s="37">
        <v>6800</v>
      </c>
      <c r="E110" s="36">
        <f t="shared" ref="E110:E123" si="15">+D110*C110</f>
        <v>326400</v>
      </c>
    </row>
    <row r="111" spans="1:5" x14ac:dyDescent="0.3">
      <c r="A111" s="19" t="e">
        <v>#N/A</v>
      </c>
      <c r="B111" s="19">
        <v>0</v>
      </c>
      <c r="C111" s="41">
        <v>13819.5</v>
      </c>
      <c r="D111" s="39"/>
      <c r="E111" s="42">
        <f>SUBTOTAL(9,E3:E110)</f>
        <v>231642870</v>
      </c>
    </row>
    <row r="112" spans="1:5" ht="62.4" x14ac:dyDescent="0.3">
      <c r="A112" s="35" t="s">
        <v>130</v>
      </c>
      <c r="B112" s="16" t="s">
        <v>1</v>
      </c>
      <c r="C112" s="15" t="s">
        <v>137</v>
      </c>
      <c r="D112" s="31" t="s">
        <v>140</v>
      </c>
      <c r="E112" s="31" t="s">
        <v>141</v>
      </c>
    </row>
    <row r="113" spans="1:5" x14ac:dyDescent="0.3">
      <c r="A113" s="12" t="s">
        <v>2</v>
      </c>
      <c r="B113" s="12" t="s">
        <v>3</v>
      </c>
      <c r="C113" s="13">
        <v>5</v>
      </c>
      <c r="D113" s="37">
        <f>VLOOKUP(A113,'[1]SỔ CHI TIẾT MUA HÀNG'!$A$5:$C$82,3,0)</f>
        <v>8000</v>
      </c>
      <c r="E113" s="36">
        <f t="shared" si="15"/>
        <v>40000</v>
      </c>
    </row>
    <row r="114" spans="1:5" x14ac:dyDescent="0.3">
      <c r="A114" s="12" t="s">
        <v>4</v>
      </c>
      <c r="B114" s="12" t="s">
        <v>3</v>
      </c>
      <c r="C114" s="13">
        <v>20</v>
      </c>
      <c r="D114" s="37">
        <f>VLOOKUP(A114,'[1]SỔ CHI TIẾT MUA HÀNG'!$A$5:$C$82,3,0)</f>
        <v>4000</v>
      </c>
      <c r="E114" s="36">
        <f t="shared" si="15"/>
        <v>80000</v>
      </c>
    </row>
    <row r="115" spans="1:5" x14ac:dyDescent="0.3">
      <c r="A115" s="12" t="s">
        <v>5</v>
      </c>
      <c r="B115" s="12" t="s">
        <v>3</v>
      </c>
      <c r="C115" s="13">
        <v>150</v>
      </c>
      <c r="D115" s="37">
        <f>VLOOKUP(A115,'[1]SỔ CHI TIẾT MUA HÀNG'!$A$5:$C$82,3,0)</f>
        <v>6000</v>
      </c>
      <c r="E115" s="36">
        <f t="shared" si="15"/>
        <v>900000</v>
      </c>
    </row>
    <row r="116" spans="1:5" x14ac:dyDescent="0.3">
      <c r="A116" s="12" t="s">
        <v>119</v>
      </c>
      <c r="B116" s="12" t="s">
        <v>3</v>
      </c>
      <c r="C116" s="13">
        <v>15</v>
      </c>
      <c r="D116" s="37">
        <f>VLOOKUP(A116,'[1]SỔ CHI TIẾT MUA HÀNG'!$A$5:$C$82,3,0)</f>
        <v>10000</v>
      </c>
      <c r="E116" s="36">
        <f t="shared" si="15"/>
        <v>150000</v>
      </c>
    </row>
    <row r="117" spans="1:5" x14ac:dyDescent="0.3">
      <c r="A117" s="12" t="s">
        <v>7</v>
      </c>
      <c r="B117" s="12" t="s">
        <v>3</v>
      </c>
      <c r="C117" s="13">
        <v>40</v>
      </c>
      <c r="D117" s="37">
        <v>11000</v>
      </c>
      <c r="E117" s="36">
        <f t="shared" si="15"/>
        <v>440000</v>
      </c>
    </row>
    <row r="118" spans="1:5" x14ac:dyDescent="0.3">
      <c r="A118" s="12" t="s">
        <v>8</v>
      </c>
      <c r="B118" s="12" t="s">
        <v>3</v>
      </c>
      <c r="C118" s="13">
        <v>10</v>
      </c>
      <c r="D118" s="37">
        <f>VLOOKUP(A118,'[1]SỔ CHI TIẾT MUA HÀNG'!$A$5:$C$82,3,0)</f>
        <v>13000</v>
      </c>
      <c r="E118" s="36">
        <f t="shared" si="15"/>
        <v>130000</v>
      </c>
    </row>
    <row r="119" spans="1:5" x14ac:dyDescent="0.3">
      <c r="A119" s="12" t="s">
        <v>102</v>
      </c>
      <c r="B119" s="12" t="s">
        <v>3</v>
      </c>
      <c r="C119" s="13">
        <v>22</v>
      </c>
      <c r="D119" s="37">
        <v>12000</v>
      </c>
      <c r="E119" s="36">
        <f t="shared" si="15"/>
        <v>264000</v>
      </c>
    </row>
    <row r="120" spans="1:5" x14ac:dyDescent="0.3">
      <c r="A120" s="12" t="s">
        <v>18</v>
      </c>
      <c r="B120" s="12" t="s">
        <v>3</v>
      </c>
      <c r="C120" s="13">
        <v>25</v>
      </c>
      <c r="D120" s="37">
        <f>VLOOKUP(A120,'[1]SỔ CHI TIẾT MUA HÀNG'!$A$5:$C$82,3,0)</f>
        <v>22000</v>
      </c>
      <c r="E120" s="36">
        <f t="shared" si="15"/>
        <v>550000</v>
      </c>
    </row>
    <row r="121" spans="1:5" x14ac:dyDescent="0.3">
      <c r="A121" s="12" t="s">
        <v>28</v>
      </c>
      <c r="B121" s="12" t="s">
        <v>3</v>
      </c>
      <c r="C121" s="13">
        <v>100</v>
      </c>
      <c r="D121" s="37">
        <v>18000</v>
      </c>
      <c r="E121" s="36">
        <f t="shared" si="15"/>
        <v>1800000</v>
      </c>
    </row>
    <row r="122" spans="1:5" x14ac:dyDescent="0.3">
      <c r="A122" s="12" t="s">
        <v>31</v>
      </c>
      <c r="B122" s="12" t="s">
        <v>3</v>
      </c>
      <c r="C122" s="13">
        <v>75</v>
      </c>
      <c r="D122" s="37">
        <f>VLOOKUP(A122,'[1]SỔ CHI TIẾT MUA HÀNG'!$A$5:$C$82,3,0)</f>
        <v>10000</v>
      </c>
      <c r="E122" s="36">
        <f t="shared" si="15"/>
        <v>750000</v>
      </c>
    </row>
    <row r="123" spans="1:5" x14ac:dyDescent="0.3">
      <c r="A123" s="12" t="s">
        <v>33</v>
      </c>
      <c r="B123" s="12" t="s">
        <v>3</v>
      </c>
      <c r="C123" s="13">
        <v>8</v>
      </c>
      <c r="D123" s="37">
        <f>VLOOKUP(A123,'[1]SỔ CHI TIẾT MUA HÀNG'!$A$5:$C$82,3,0)</f>
        <v>8000</v>
      </c>
      <c r="E123" s="36">
        <f t="shared" si="15"/>
        <v>64000</v>
      </c>
    </row>
    <row r="124" spans="1:5" hidden="1" x14ac:dyDescent="0.3">
      <c r="A124" s="12" t="s">
        <v>38</v>
      </c>
      <c r="B124" s="12" t="s">
        <v>3</v>
      </c>
      <c r="C124" s="13">
        <v>0</v>
      </c>
      <c r="D124" s="34"/>
      <c r="E124" s="34"/>
    </row>
    <row r="125" spans="1:5" x14ac:dyDescent="0.3">
      <c r="A125" s="12" t="s">
        <v>103</v>
      </c>
      <c r="B125" s="12" t="s">
        <v>3</v>
      </c>
      <c r="C125" s="13">
        <v>6</v>
      </c>
      <c r="D125" s="37">
        <f>VLOOKUP(A125,'[1]SỔ CHI TIẾT MUA HÀNG'!$A$5:$C$82,3,0)</f>
        <v>14000</v>
      </c>
      <c r="E125" s="36">
        <f t="shared" ref="E125:E127" si="16">+D125*C125</f>
        <v>84000</v>
      </c>
    </row>
    <row r="126" spans="1:5" x14ac:dyDescent="0.3">
      <c r="A126" s="12" t="s">
        <v>104</v>
      </c>
      <c r="B126" s="12" t="s">
        <v>3</v>
      </c>
      <c r="C126" s="13">
        <v>190</v>
      </c>
      <c r="D126" s="37">
        <v>3000</v>
      </c>
      <c r="E126" s="36">
        <f t="shared" si="16"/>
        <v>570000</v>
      </c>
    </row>
    <row r="127" spans="1:5" x14ac:dyDescent="0.3">
      <c r="A127" s="12" t="s">
        <v>39</v>
      </c>
      <c r="B127" s="12" t="s">
        <v>3</v>
      </c>
      <c r="C127" s="13">
        <v>5</v>
      </c>
      <c r="D127" s="37">
        <f>VLOOKUP(A127,'[1]SỔ CHI TIẾT MUA HÀNG'!$A$5:$C$82,3,0)</f>
        <v>19000</v>
      </c>
      <c r="E127" s="36">
        <f t="shared" si="16"/>
        <v>95000</v>
      </c>
    </row>
    <row r="128" spans="1:5" hidden="1" x14ac:dyDescent="0.3">
      <c r="A128" s="12" t="s">
        <v>105</v>
      </c>
      <c r="B128" s="12" t="s">
        <v>3</v>
      </c>
      <c r="C128" s="13">
        <v>0</v>
      </c>
      <c r="D128" s="34"/>
      <c r="E128" s="34"/>
    </row>
    <row r="129" spans="1:5" x14ac:dyDescent="0.3">
      <c r="A129" s="12" t="s">
        <v>41</v>
      </c>
      <c r="B129" s="12" t="s">
        <v>3</v>
      </c>
      <c r="C129" s="13">
        <v>20</v>
      </c>
      <c r="D129" s="37">
        <f>VLOOKUP(A129,'[1]SỔ CHI TIẾT MUA HÀNG'!$A$5:$C$82,3,0)</f>
        <v>14000</v>
      </c>
      <c r="E129" s="36">
        <f t="shared" ref="E129:E133" si="17">+D129*C129</f>
        <v>280000</v>
      </c>
    </row>
    <row r="130" spans="1:5" x14ac:dyDescent="0.3">
      <c r="A130" s="12" t="s">
        <v>44</v>
      </c>
      <c r="B130" s="12" t="s">
        <v>3</v>
      </c>
      <c r="C130" s="13">
        <v>20</v>
      </c>
      <c r="D130" s="37">
        <f>VLOOKUP(A130,'[1]SỔ CHI TIẾT MUA HÀNG'!$A$5:$C$82,3,0)</f>
        <v>7000</v>
      </c>
      <c r="E130" s="36">
        <f t="shared" si="17"/>
        <v>140000</v>
      </c>
    </row>
    <row r="131" spans="1:5" x14ac:dyDescent="0.3">
      <c r="A131" s="12" t="s">
        <v>45</v>
      </c>
      <c r="B131" s="12" t="s">
        <v>3</v>
      </c>
      <c r="C131" s="13">
        <v>4</v>
      </c>
      <c r="D131" s="37">
        <f>VLOOKUP(A131,'[1]SỔ CHI TIẾT MUA HÀNG'!$A$5:$C$82,3,0)</f>
        <v>11000</v>
      </c>
      <c r="E131" s="36">
        <f t="shared" si="17"/>
        <v>44000</v>
      </c>
    </row>
    <row r="132" spans="1:5" x14ac:dyDescent="0.3">
      <c r="A132" s="12" t="s">
        <v>47</v>
      </c>
      <c r="B132" s="12" t="s">
        <v>3</v>
      </c>
      <c r="C132" s="13">
        <v>30</v>
      </c>
      <c r="D132" s="37">
        <f>VLOOKUP(A132,'[1]SỔ CHI TIẾT MUA HÀNG'!$A$5:$C$82,3,0)</f>
        <v>9500</v>
      </c>
      <c r="E132" s="36">
        <f t="shared" si="17"/>
        <v>285000</v>
      </c>
    </row>
    <row r="133" spans="1:5" x14ac:dyDescent="0.3">
      <c r="A133" s="12" t="s">
        <v>54</v>
      </c>
      <c r="B133" s="12" t="s">
        <v>3</v>
      </c>
      <c r="C133" s="13">
        <v>60</v>
      </c>
      <c r="D133" s="37">
        <f>VLOOKUP(A133,'[1]SỔ CHI TIẾT MUA HÀNG'!$A$5:$C$82,3,0)</f>
        <v>16000</v>
      </c>
      <c r="E133" s="36">
        <f t="shared" si="17"/>
        <v>960000</v>
      </c>
    </row>
    <row r="134" spans="1:5" hidden="1" x14ac:dyDescent="0.3">
      <c r="A134" s="12" t="s">
        <v>59</v>
      </c>
      <c r="B134" s="12" t="s">
        <v>3</v>
      </c>
      <c r="C134" s="13">
        <v>0</v>
      </c>
      <c r="D134" s="34"/>
      <c r="E134" s="34"/>
    </row>
    <row r="135" spans="1:5" x14ac:dyDescent="0.3">
      <c r="A135" s="12" t="s">
        <v>61</v>
      </c>
      <c r="B135" s="12" t="s">
        <v>3</v>
      </c>
      <c r="C135" s="13">
        <v>4</v>
      </c>
      <c r="D135" s="37">
        <f>VLOOKUP(A135,'[1]SỔ CHI TIẾT MUA HÀNG'!$A$5:$C$82,3,0)</f>
        <v>13000</v>
      </c>
      <c r="E135" s="36">
        <f>+D135*C135</f>
        <v>52000</v>
      </c>
    </row>
    <row r="136" spans="1:5" hidden="1" x14ac:dyDescent="0.3">
      <c r="A136" s="12" t="s">
        <v>62</v>
      </c>
      <c r="B136" s="12" t="s">
        <v>30</v>
      </c>
      <c r="C136" s="13">
        <v>0</v>
      </c>
      <c r="D136" s="34"/>
      <c r="E136" s="34"/>
    </row>
    <row r="137" spans="1:5" x14ac:dyDescent="0.3">
      <c r="A137" s="12" t="s">
        <v>63</v>
      </c>
      <c r="B137" s="12" t="s">
        <v>30</v>
      </c>
      <c r="C137" s="13">
        <v>20</v>
      </c>
      <c r="D137" s="37">
        <f>VLOOKUP(A137,'[1]SỔ CHI TIẾT MUA HÀNG'!$A$5:$C$82,3,0)</f>
        <v>13000</v>
      </c>
      <c r="E137" s="36">
        <f>+D137*C137</f>
        <v>260000</v>
      </c>
    </row>
    <row r="138" spans="1:5" hidden="1" x14ac:dyDescent="0.3">
      <c r="A138" s="12" t="s">
        <v>68</v>
      </c>
      <c r="B138" s="12" t="s">
        <v>3</v>
      </c>
      <c r="C138" s="13">
        <v>0</v>
      </c>
      <c r="D138" s="34"/>
      <c r="E138" s="34"/>
    </row>
    <row r="139" spans="1:5" x14ac:dyDescent="0.3">
      <c r="A139" s="12" t="s">
        <v>68</v>
      </c>
      <c r="B139" s="12" t="s">
        <v>17</v>
      </c>
      <c r="C139" s="13">
        <v>120</v>
      </c>
      <c r="D139" s="37">
        <f>VLOOKUP(A139,'[1]SỔ CHI TIẾT MUA HÀNG'!$A$5:$C$82,3,0)</f>
        <v>6500</v>
      </c>
      <c r="E139" s="36">
        <f t="shared" ref="E139:E140" si="18">+D139*C139</f>
        <v>780000</v>
      </c>
    </row>
    <row r="140" spans="1:5" x14ac:dyDescent="0.3">
      <c r="A140" s="12" t="s">
        <v>71</v>
      </c>
      <c r="B140" s="12" t="s">
        <v>3</v>
      </c>
      <c r="C140" s="13">
        <v>10</v>
      </c>
      <c r="D140" s="37">
        <f>VLOOKUP(A140,'[1]SỔ CHI TIẾT MUA HÀNG'!$A$5:$C$82,3,0)</f>
        <v>17000</v>
      </c>
      <c r="E140" s="36">
        <f t="shared" si="18"/>
        <v>170000</v>
      </c>
    </row>
    <row r="141" spans="1:5" hidden="1" x14ac:dyDescent="0.3">
      <c r="A141" s="12" t="s">
        <v>72</v>
      </c>
      <c r="B141" s="12" t="s">
        <v>3</v>
      </c>
      <c r="C141" s="13">
        <v>0</v>
      </c>
      <c r="D141" s="34"/>
      <c r="E141" s="34"/>
    </row>
    <row r="142" spans="1:5" hidden="1" x14ac:dyDescent="0.3">
      <c r="A142" s="12" t="s">
        <v>73</v>
      </c>
      <c r="B142" s="12" t="s">
        <v>3</v>
      </c>
      <c r="C142" s="13">
        <v>0</v>
      </c>
      <c r="D142" s="34"/>
      <c r="E142" s="34"/>
    </row>
    <row r="143" spans="1:5" hidden="1" x14ac:dyDescent="0.3">
      <c r="A143" s="12" t="s">
        <v>78</v>
      </c>
      <c r="B143" s="12" t="s">
        <v>3</v>
      </c>
      <c r="C143" s="13">
        <v>0</v>
      </c>
      <c r="D143" s="34"/>
      <c r="E143" s="34"/>
    </row>
    <row r="144" spans="1:5" hidden="1" x14ac:dyDescent="0.3">
      <c r="A144" s="12" t="s">
        <v>80</v>
      </c>
      <c r="B144" s="12" t="s">
        <v>3</v>
      </c>
      <c r="C144" s="13">
        <v>0</v>
      </c>
      <c r="D144" s="34"/>
      <c r="E144" s="34"/>
    </row>
    <row r="145" spans="1:5" x14ac:dyDescent="0.3">
      <c r="A145" s="12" t="s">
        <v>82</v>
      </c>
      <c r="B145" s="12" t="s">
        <v>3</v>
      </c>
      <c r="C145" s="13">
        <v>3</v>
      </c>
      <c r="D145" s="37">
        <v>30000</v>
      </c>
      <c r="E145" s="36">
        <f t="shared" ref="E145:E146" si="19">+D145*C145</f>
        <v>90000</v>
      </c>
    </row>
    <row r="146" spans="1:5" x14ac:dyDescent="0.3">
      <c r="A146" s="12" t="s">
        <v>92</v>
      </c>
      <c r="B146" s="12" t="s">
        <v>3</v>
      </c>
      <c r="C146" s="13">
        <v>12</v>
      </c>
      <c r="D146" s="37">
        <f>VLOOKUP(A146,'[1]SỔ CHI TIẾT MUA HÀNG'!$A$5:$C$82,3,0)</f>
        <v>8000</v>
      </c>
      <c r="E146" s="36">
        <f t="shared" si="19"/>
        <v>96000</v>
      </c>
    </row>
    <row r="147" spans="1:5" hidden="1" x14ac:dyDescent="0.3">
      <c r="A147" s="12" t="s">
        <v>94</v>
      </c>
      <c r="B147" s="12" t="s">
        <v>40</v>
      </c>
      <c r="C147" s="13">
        <v>0</v>
      </c>
      <c r="D147" s="34"/>
      <c r="E147" s="34"/>
    </row>
    <row r="148" spans="1:5" hidden="1" x14ac:dyDescent="0.3">
      <c r="A148" s="12" t="s">
        <v>95</v>
      </c>
      <c r="B148" s="12" t="s">
        <v>40</v>
      </c>
      <c r="C148" s="13">
        <v>0</v>
      </c>
      <c r="D148" s="34"/>
      <c r="E148" s="34"/>
    </row>
    <row r="149" spans="1:5" hidden="1" x14ac:dyDescent="0.3">
      <c r="A149" s="12" t="s">
        <v>97</v>
      </c>
      <c r="B149" s="12" t="s">
        <v>40</v>
      </c>
      <c r="C149" s="13">
        <v>0</v>
      </c>
      <c r="D149" s="34"/>
      <c r="E149" s="34"/>
    </row>
    <row r="150" spans="1:5" hidden="1" x14ac:dyDescent="0.3">
      <c r="A150" s="12" t="s">
        <v>100</v>
      </c>
      <c r="B150" s="12" t="s">
        <v>40</v>
      </c>
      <c r="C150" s="13">
        <v>0</v>
      </c>
      <c r="D150" s="34"/>
      <c r="E150" s="34"/>
    </row>
    <row r="151" spans="1:5" hidden="1" x14ac:dyDescent="0.3">
      <c r="A151" s="12" t="e">
        <v>#N/A</v>
      </c>
      <c r="B151" s="12" t="s">
        <v>169</v>
      </c>
      <c r="C151" s="13">
        <v>0</v>
      </c>
      <c r="D151" s="34"/>
      <c r="E151" s="34"/>
    </row>
    <row r="152" spans="1:5" hidden="1" x14ac:dyDescent="0.3">
      <c r="A152" s="12" t="e">
        <v>#N/A</v>
      </c>
      <c r="B152" s="12">
        <v>0</v>
      </c>
      <c r="C152" s="13">
        <v>0</v>
      </c>
      <c r="D152" s="34"/>
      <c r="E152" s="34"/>
    </row>
    <row r="153" spans="1:5" x14ac:dyDescent="0.3">
      <c r="A153" s="19" t="e">
        <v>#N/A</v>
      </c>
      <c r="B153" s="19">
        <v>0</v>
      </c>
      <c r="C153" s="20">
        <v>974</v>
      </c>
      <c r="D153" s="39"/>
      <c r="E153" s="39">
        <f>SUBTOTAL(9,E113:E146)</f>
        <v>9074000</v>
      </c>
    </row>
    <row r="154" spans="1:5" x14ac:dyDescent="0.3">
      <c r="E154" s="63">
        <f>+E153+E111</f>
        <v>240716870</v>
      </c>
    </row>
  </sheetData>
  <autoFilter ref="A2:E153" xr:uid="{D0DA88AD-56C7-49B6-A563-82F0E3C968CB}">
    <filterColumn colId="2">
      <filters>
        <filter val="1"/>
        <filter val="1,220"/>
        <filter val="10"/>
        <filter val="100"/>
        <filter val="11"/>
        <filter val="110"/>
        <filter val="12"/>
        <filter val="120"/>
        <filter val="13"/>
        <filter val="13,820"/>
        <filter val="130"/>
        <filter val="140"/>
        <filter val="15"/>
        <filter val="150"/>
        <filter val="17"/>
        <filter val="177"/>
        <filter val="19"/>
        <filter val="190"/>
        <filter val="2"/>
        <filter val="2,230"/>
        <filter val="20"/>
        <filter val="21"/>
        <filter val="22"/>
        <filter val="220"/>
        <filter val="233"/>
        <filter val="24"/>
        <filter val="245"/>
        <filter val="25"/>
        <filter val="250"/>
        <filter val="27"/>
        <filter val="270"/>
        <filter val="29"/>
        <filter val="3"/>
        <filter val="30"/>
        <filter val="310"/>
        <filter val="32"/>
        <filter val="335"/>
        <filter val="34"/>
        <filter val="360"/>
        <filter val="37"/>
        <filter val="370"/>
        <filter val="380"/>
        <filter val="4"/>
        <filter val="40"/>
        <filter val="43"/>
        <filter val="450"/>
        <filter val="460"/>
        <filter val="48"/>
        <filter val="5"/>
        <filter val="50"/>
        <filter val="53"/>
        <filter val="6"/>
        <filter val="60"/>
        <filter val="63"/>
        <filter val="66"/>
        <filter val="75"/>
        <filter val="8"/>
        <filter val="820"/>
        <filter val="840"/>
        <filter val="85"/>
        <filter val="87"/>
        <filter val="930"/>
        <filter val="974"/>
        <filter val="Tồn_x000a_ĐL_x000a__x000a_現在庫"/>
      </filters>
    </filterColumn>
  </autoFilter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9C2C7-037A-4308-8860-3C8DBD69B06F}">
  <sheetPr filterMode="1"/>
  <dimension ref="A1:E153"/>
  <sheetViews>
    <sheetView workbookViewId="0">
      <pane xSplit="1" ySplit="1" topLeftCell="B117" activePane="bottomRight" state="frozen"/>
      <selection pane="topRight" activeCell="B1" sqref="B1"/>
      <selection pane="bottomLeft" activeCell="A2" sqref="A2"/>
      <selection pane="bottomRight" activeCell="E153" sqref="E153"/>
    </sheetView>
  </sheetViews>
  <sheetFormatPr defaultRowHeight="15.6" x14ac:dyDescent="0.3"/>
  <cols>
    <col min="1" max="1" width="27.77734375" style="32" bestFit="1" customWidth="1"/>
    <col min="2" max="2" width="8.88671875" style="32"/>
    <col min="3" max="3" width="9.21875" style="32" customWidth="1"/>
    <col min="4" max="4" width="16.88671875" style="38" customWidth="1"/>
    <col min="5" max="5" width="18.44140625" style="32" customWidth="1"/>
    <col min="6" max="16384" width="8.88671875" style="32"/>
  </cols>
  <sheetData>
    <row r="1" spans="1:5" ht="62.4" x14ac:dyDescent="0.3">
      <c r="A1" s="35" t="s">
        <v>127</v>
      </c>
      <c r="B1" s="16" t="s">
        <v>1</v>
      </c>
      <c r="C1" s="15" t="s">
        <v>137</v>
      </c>
      <c r="D1" s="31" t="s">
        <v>140</v>
      </c>
      <c r="E1" s="31" t="s">
        <v>141</v>
      </c>
    </row>
    <row r="2" spans="1:5" x14ac:dyDescent="0.3">
      <c r="A2" s="12" t="s">
        <v>2</v>
      </c>
      <c r="B2" s="12" t="s">
        <v>3</v>
      </c>
      <c r="C2" s="33">
        <v>14</v>
      </c>
      <c r="D2" s="37">
        <f>VLOOKUP(A2,'[1]SỔ CHI TIẾT MUA HÀNG'!$A$5:$C$82,3,0)</f>
        <v>8000</v>
      </c>
      <c r="E2" s="36">
        <f>+D2*C2</f>
        <v>112000</v>
      </c>
    </row>
    <row r="3" spans="1:5" x14ac:dyDescent="0.3">
      <c r="A3" s="12" t="s">
        <v>4</v>
      </c>
      <c r="B3" s="12" t="s">
        <v>3</v>
      </c>
      <c r="C3" s="33">
        <v>740</v>
      </c>
      <c r="D3" s="37">
        <f>VLOOKUP(A3,'[1]SỔ CHI TIẾT MUA HÀNG'!$A$5:$C$82,3,0)</f>
        <v>4000</v>
      </c>
      <c r="E3" s="36">
        <f t="shared" ref="E3:E9" si="0">+D3*C3</f>
        <v>2960000</v>
      </c>
    </row>
    <row r="4" spans="1:5" x14ac:dyDescent="0.3">
      <c r="A4" s="12" t="s">
        <v>5</v>
      </c>
      <c r="B4" s="12" t="s">
        <v>3</v>
      </c>
      <c r="C4" s="33">
        <v>1214</v>
      </c>
      <c r="D4" s="37">
        <f>VLOOKUP(A4,'[1]SỔ CHI TIẾT MUA HÀNG'!$A$5:$C$82,3,0)</f>
        <v>6000</v>
      </c>
      <c r="E4" s="36">
        <f t="shared" si="0"/>
        <v>7284000</v>
      </c>
    </row>
    <row r="5" spans="1:5" x14ac:dyDescent="0.3">
      <c r="A5" s="12" t="s">
        <v>119</v>
      </c>
      <c r="B5" s="12" t="s">
        <v>3</v>
      </c>
      <c r="C5" s="33">
        <v>18</v>
      </c>
      <c r="D5" s="37">
        <f>VLOOKUP(A5,'[1]SỔ CHI TIẾT MUA HÀNG'!$A$5:$C$82,3,0)</f>
        <v>10000</v>
      </c>
      <c r="E5" s="36">
        <f t="shared" si="0"/>
        <v>180000</v>
      </c>
    </row>
    <row r="6" spans="1:5" x14ac:dyDescent="0.3">
      <c r="A6" s="12" t="s">
        <v>6</v>
      </c>
      <c r="B6" s="12" t="s">
        <v>3</v>
      </c>
      <c r="C6" s="33">
        <v>85</v>
      </c>
      <c r="D6" s="37">
        <v>9500</v>
      </c>
      <c r="E6" s="36">
        <f t="shared" si="0"/>
        <v>807500</v>
      </c>
    </row>
    <row r="7" spans="1:5" x14ac:dyDescent="0.3">
      <c r="A7" s="12" t="s">
        <v>7</v>
      </c>
      <c r="B7" s="12" t="s">
        <v>3</v>
      </c>
      <c r="C7" s="33">
        <v>1025</v>
      </c>
      <c r="D7" s="37">
        <v>11000</v>
      </c>
      <c r="E7" s="36">
        <f t="shared" si="0"/>
        <v>11275000</v>
      </c>
    </row>
    <row r="8" spans="1:5" x14ac:dyDescent="0.3">
      <c r="A8" s="12" t="s">
        <v>111</v>
      </c>
      <c r="B8" s="12" t="s">
        <v>3</v>
      </c>
      <c r="C8" s="33">
        <v>1</v>
      </c>
      <c r="D8" s="37">
        <v>15000</v>
      </c>
      <c r="E8" s="36">
        <f t="shared" si="0"/>
        <v>15000</v>
      </c>
    </row>
    <row r="9" spans="1:5" x14ac:dyDescent="0.3">
      <c r="A9" s="12" t="s">
        <v>8</v>
      </c>
      <c r="B9" s="12" t="s">
        <v>3</v>
      </c>
      <c r="C9" s="33">
        <v>363</v>
      </c>
      <c r="D9" s="37">
        <f>VLOOKUP(A9,'[1]SỔ CHI TIẾT MUA HÀNG'!$A$5:$C$82,3,0)</f>
        <v>13000</v>
      </c>
      <c r="E9" s="36">
        <f t="shared" si="0"/>
        <v>4719000</v>
      </c>
    </row>
    <row r="10" spans="1:5" customFormat="1" ht="14.4" hidden="1" x14ac:dyDescent="0.3">
      <c r="A10" s="59" t="s">
        <v>8</v>
      </c>
      <c r="B10" s="59" t="s">
        <v>9</v>
      </c>
      <c r="C10" s="60">
        <v>0</v>
      </c>
    </row>
    <row r="11" spans="1:5" x14ac:dyDescent="0.3">
      <c r="A11" s="12" t="s">
        <v>10</v>
      </c>
      <c r="B11" s="12" t="s">
        <v>3</v>
      </c>
      <c r="C11" s="33">
        <v>115</v>
      </c>
      <c r="D11" s="37">
        <f>VLOOKUP(A11,'[1]SỔ CHI TIẾT MUA HÀNG'!$A$5:$C$82,3,0)</f>
        <v>15000</v>
      </c>
      <c r="E11" s="36">
        <f>+D11*C11</f>
        <v>1725000</v>
      </c>
    </row>
    <row r="12" spans="1:5" customFormat="1" ht="14.4" hidden="1" x14ac:dyDescent="0.3">
      <c r="A12" s="59" t="s">
        <v>10</v>
      </c>
      <c r="B12" s="59" t="s">
        <v>9</v>
      </c>
      <c r="C12" s="60">
        <v>0</v>
      </c>
    </row>
    <row r="13" spans="1:5" customFormat="1" ht="14.4" hidden="1" x14ac:dyDescent="0.3">
      <c r="A13" s="59" t="s">
        <v>11</v>
      </c>
      <c r="B13" s="59" t="s">
        <v>3</v>
      </c>
      <c r="C13" s="60">
        <v>0</v>
      </c>
    </row>
    <row r="14" spans="1:5" x14ac:dyDescent="0.3">
      <c r="A14" s="12" t="s">
        <v>12</v>
      </c>
      <c r="B14" s="12" t="s">
        <v>3</v>
      </c>
      <c r="C14" s="33">
        <v>29</v>
      </c>
      <c r="D14" s="37">
        <f>VLOOKUP(A14,'[1]SỔ CHI TIẾT MUA HÀNG'!$A$5:$C$82,3,0)</f>
        <v>12000</v>
      </c>
      <c r="E14" s="36">
        <f t="shared" ref="E14:E19" si="1">+D14*C14</f>
        <v>348000</v>
      </c>
    </row>
    <row r="15" spans="1:5" x14ac:dyDescent="0.3">
      <c r="A15" s="12" t="s">
        <v>13</v>
      </c>
      <c r="B15" s="12" t="s">
        <v>3</v>
      </c>
      <c r="C15" s="33">
        <v>8</v>
      </c>
      <c r="D15" s="37">
        <v>10000</v>
      </c>
      <c r="E15" s="36">
        <f t="shared" si="1"/>
        <v>80000</v>
      </c>
    </row>
    <row r="16" spans="1:5" x14ac:dyDescent="0.3">
      <c r="A16" s="12" t="s">
        <v>14</v>
      </c>
      <c r="B16" s="12" t="s">
        <v>40</v>
      </c>
      <c r="C16" s="33">
        <v>190</v>
      </c>
      <c r="D16" s="37">
        <f>VLOOKUP(A16,'[1]SỔ CHI TIẾT MUA HÀNG'!$A$5:$C$82,3,0)</f>
        <v>10000</v>
      </c>
      <c r="E16" s="36">
        <f t="shared" si="1"/>
        <v>1900000</v>
      </c>
    </row>
    <row r="17" spans="1:5" x14ac:dyDescent="0.3">
      <c r="A17" s="12" t="s">
        <v>15</v>
      </c>
      <c r="B17" s="12" t="s">
        <v>3</v>
      </c>
      <c r="C17" s="33">
        <v>60</v>
      </c>
      <c r="D17" s="37">
        <f>VLOOKUP(A17,'[1]SỔ CHI TIẾT MUA HÀNG'!$A$5:$C$82,3,0)</f>
        <v>25000</v>
      </c>
      <c r="E17" s="36">
        <f t="shared" si="1"/>
        <v>1500000</v>
      </c>
    </row>
    <row r="18" spans="1:5" x14ac:dyDescent="0.3">
      <c r="A18" s="12" t="s">
        <v>16</v>
      </c>
      <c r="B18" s="12" t="s">
        <v>17</v>
      </c>
      <c r="C18" s="33">
        <v>29</v>
      </c>
      <c r="D18" s="37">
        <f>VLOOKUP(A18,'[1]SỔ CHI TIẾT MUA HÀNG'!$A$5:$C$82,3,0)</f>
        <v>25000</v>
      </c>
      <c r="E18" s="36">
        <f t="shared" si="1"/>
        <v>725000</v>
      </c>
    </row>
    <row r="19" spans="1:5" x14ac:dyDescent="0.3">
      <c r="A19" s="12" t="s">
        <v>18</v>
      </c>
      <c r="B19" s="12" t="s">
        <v>3</v>
      </c>
      <c r="C19" s="33">
        <v>595</v>
      </c>
      <c r="D19" s="37">
        <f>VLOOKUP(A19,'[1]SỔ CHI TIẾT MUA HÀNG'!$A$5:$C$82,3,0)</f>
        <v>22000</v>
      </c>
      <c r="E19" s="36">
        <f t="shared" si="1"/>
        <v>13090000</v>
      </c>
    </row>
    <row r="20" spans="1:5" customFormat="1" ht="14.4" hidden="1" x14ac:dyDescent="0.3">
      <c r="A20" s="59" t="s">
        <v>18</v>
      </c>
      <c r="B20" s="59" t="s">
        <v>17</v>
      </c>
      <c r="C20" s="60">
        <v>0</v>
      </c>
    </row>
    <row r="21" spans="1:5" x14ac:dyDescent="0.3">
      <c r="A21" s="12" t="s">
        <v>20</v>
      </c>
      <c r="B21" s="12" t="s">
        <v>3</v>
      </c>
      <c r="C21" s="33">
        <v>100</v>
      </c>
      <c r="D21" s="37">
        <f>VLOOKUP(A21,'[1]SỔ CHI TIẾT MUA HÀNG'!$A$5:$C$82,3,0)</f>
        <v>17000</v>
      </c>
      <c r="E21" s="36">
        <f>+D21*C21</f>
        <v>1700000</v>
      </c>
    </row>
    <row r="22" spans="1:5" customFormat="1" ht="14.4" hidden="1" x14ac:dyDescent="0.3">
      <c r="A22" s="59" t="s">
        <v>20</v>
      </c>
      <c r="B22" s="59" t="s">
        <v>21</v>
      </c>
      <c r="C22" s="60">
        <v>0</v>
      </c>
    </row>
    <row r="23" spans="1:5" x14ac:dyDescent="0.3">
      <c r="A23" s="12" t="s">
        <v>22</v>
      </c>
      <c r="B23" s="12" t="s">
        <v>3</v>
      </c>
      <c r="C23" s="33">
        <v>4.5</v>
      </c>
      <c r="D23" s="37">
        <v>17000</v>
      </c>
      <c r="E23" s="36">
        <f t="shared" ref="E23:E25" si="2">+D23*C23</f>
        <v>76500</v>
      </c>
    </row>
    <row r="24" spans="1:5" x14ac:dyDescent="0.3">
      <c r="A24" s="12" t="s">
        <v>22</v>
      </c>
      <c r="B24" s="12" t="s">
        <v>23</v>
      </c>
      <c r="C24" s="33">
        <v>220</v>
      </c>
      <c r="D24" s="37">
        <f>VLOOKUP(A24,'[1]SỔ CHI TIẾT MUA HÀNG'!$A$5:$C$82,3,0)</f>
        <v>5400</v>
      </c>
      <c r="E24" s="36">
        <f t="shared" si="2"/>
        <v>1188000</v>
      </c>
    </row>
    <row r="25" spans="1:5" x14ac:dyDescent="0.3">
      <c r="A25" s="12" t="s">
        <v>24</v>
      </c>
      <c r="B25" s="12" t="s">
        <v>25</v>
      </c>
      <c r="C25" s="33">
        <v>22</v>
      </c>
      <c r="D25" s="37">
        <v>12000</v>
      </c>
      <c r="E25" s="36">
        <f t="shared" si="2"/>
        <v>264000</v>
      </c>
    </row>
    <row r="26" spans="1:5" customFormat="1" ht="14.4" hidden="1" x14ac:dyDescent="0.3">
      <c r="A26" s="59" t="s">
        <v>26</v>
      </c>
      <c r="B26" s="59" t="s">
        <v>3</v>
      </c>
      <c r="C26" s="60">
        <v>0</v>
      </c>
    </row>
    <row r="27" spans="1:5" customFormat="1" ht="14.4" hidden="1" x14ac:dyDescent="0.3">
      <c r="A27" s="59" t="s">
        <v>26</v>
      </c>
      <c r="B27" s="59" t="s">
        <v>27</v>
      </c>
      <c r="C27" s="60">
        <v>0</v>
      </c>
    </row>
    <row r="28" spans="1:5" x14ac:dyDescent="0.3">
      <c r="A28" s="12" t="s">
        <v>28</v>
      </c>
      <c r="B28" s="12" t="s">
        <v>3</v>
      </c>
      <c r="C28" s="33">
        <v>240</v>
      </c>
      <c r="D28" s="37">
        <v>18000</v>
      </c>
      <c r="E28" s="36">
        <f>+D28*C28</f>
        <v>4320000</v>
      </c>
    </row>
    <row r="29" spans="1:5" customFormat="1" ht="14.4" hidden="1" x14ac:dyDescent="0.3">
      <c r="A29" s="59" t="s">
        <v>28</v>
      </c>
      <c r="B29" s="59" t="s">
        <v>17</v>
      </c>
      <c r="C29" s="60">
        <v>0</v>
      </c>
    </row>
    <row r="30" spans="1:5" x14ac:dyDescent="0.3">
      <c r="A30" s="12" t="s">
        <v>29</v>
      </c>
      <c r="B30" s="12" t="s">
        <v>30</v>
      </c>
      <c r="C30" s="33">
        <v>500</v>
      </c>
      <c r="D30" s="37">
        <v>13000</v>
      </c>
      <c r="E30" s="36">
        <f t="shared" ref="E30:E31" si="3">+D30*C30</f>
        <v>6500000</v>
      </c>
    </row>
    <row r="31" spans="1:5" x14ac:dyDescent="0.3">
      <c r="A31" s="12" t="s">
        <v>31</v>
      </c>
      <c r="B31" s="12" t="s">
        <v>3</v>
      </c>
      <c r="C31" s="33">
        <v>595</v>
      </c>
      <c r="D31" s="37">
        <f>VLOOKUP(A31,'[1]SỔ CHI TIẾT MUA HÀNG'!$A$5:$C$82,3,0)</f>
        <v>10000</v>
      </c>
      <c r="E31" s="36">
        <f t="shared" si="3"/>
        <v>5950000</v>
      </c>
    </row>
    <row r="32" spans="1:5" customFormat="1" ht="14.4" hidden="1" x14ac:dyDescent="0.3">
      <c r="A32" s="59" t="s">
        <v>31</v>
      </c>
      <c r="B32" s="59" t="s">
        <v>30</v>
      </c>
      <c r="C32" s="60">
        <v>0</v>
      </c>
    </row>
    <row r="33" spans="1:5" x14ac:dyDescent="0.3">
      <c r="A33" s="12" t="s">
        <v>32</v>
      </c>
      <c r="B33" s="12" t="s">
        <v>17</v>
      </c>
      <c r="C33" s="33">
        <v>6</v>
      </c>
      <c r="D33" s="37">
        <v>8000</v>
      </c>
      <c r="E33" s="36">
        <f t="shared" ref="E33:E34" si="4">+D33*C33</f>
        <v>48000</v>
      </c>
    </row>
    <row r="34" spans="1:5" x14ac:dyDescent="0.3">
      <c r="A34" s="12" t="s">
        <v>33</v>
      </c>
      <c r="B34" s="12" t="s">
        <v>3</v>
      </c>
      <c r="C34" s="33">
        <v>240</v>
      </c>
      <c r="D34" s="37">
        <f>VLOOKUP(A34,'[1]SỔ CHI TIẾT MUA HÀNG'!$A$5:$C$82,3,0)</f>
        <v>8000</v>
      </c>
      <c r="E34" s="36">
        <f t="shared" si="4"/>
        <v>1920000</v>
      </c>
    </row>
    <row r="35" spans="1:5" customFormat="1" ht="14.4" hidden="1" x14ac:dyDescent="0.3">
      <c r="A35" s="59" t="s">
        <v>33</v>
      </c>
      <c r="B35" s="59" t="s">
        <v>34</v>
      </c>
      <c r="C35" s="60">
        <v>0</v>
      </c>
    </row>
    <row r="36" spans="1:5" x14ac:dyDescent="0.3">
      <c r="A36" s="12" t="s">
        <v>35</v>
      </c>
      <c r="B36" s="12" t="s">
        <v>3</v>
      </c>
      <c r="C36" s="33">
        <v>25</v>
      </c>
      <c r="D36" s="37">
        <f>VLOOKUP(A36,'[1]SỔ CHI TIẾT MUA HÀNG'!$A$5:$C$82,3,0)</f>
        <v>22000</v>
      </c>
      <c r="E36" s="36">
        <f>+D36*C36</f>
        <v>550000</v>
      </c>
    </row>
    <row r="37" spans="1:5" customFormat="1" ht="14.4" hidden="1" x14ac:dyDescent="0.3">
      <c r="A37" s="59" t="s">
        <v>35</v>
      </c>
      <c r="B37" s="59" t="s">
        <v>30</v>
      </c>
      <c r="C37" s="60">
        <v>0</v>
      </c>
    </row>
    <row r="38" spans="1:5" x14ac:dyDescent="0.3">
      <c r="A38" s="12" t="s">
        <v>36</v>
      </c>
      <c r="B38" s="12" t="s">
        <v>30</v>
      </c>
      <c r="C38" s="33">
        <v>34</v>
      </c>
      <c r="D38" s="37">
        <v>8000</v>
      </c>
      <c r="E38" s="36">
        <f t="shared" ref="E38:E40" si="5">+D38*C38</f>
        <v>272000</v>
      </c>
    </row>
    <row r="39" spans="1:5" x14ac:dyDescent="0.3">
      <c r="A39" s="12" t="s">
        <v>37</v>
      </c>
      <c r="B39" s="12" t="s">
        <v>3</v>
      </c>
      <c r="C39" s="33">
        <v>10</v>
      </c>
      <c r="D39" s="37">
        <f>VLOOKUP(A39,'[1]SỔ CHI TIẾT MUA HÀNG'!$A$5:$C$82,3,0)</f>
        <v>25000</v>
      </c>
      <c r="E39" s="36">
        <f t="shared" si="5"/>
        <v>250000</v>
      </c>
    </row>
    <row r="40" spans="1:5" x14ac:dyDescent="0.3">
      <c r="A40" s="12" t="s">
        <v>37</v>
      </c>
      <c r="B40" s="12" t="s">
        <v>30</v>
      </c>
      <c r="C40" s="33">
        <v>37</v>
      </c>
      <c r="D40" s="37">
        <f>VLOOKUP(A40,'[1]SỔ CHI TIẾT MUA HÀNG'!$A$5:$C$82,3,0)</f>
        <v>25000</v>
      </c>
      <c r="E40" s="36">
        <f t="shared" si="5"/>
        <v>925000</v>
      </c>
    </row>
    <row r="41" spans="1:5" customFormat="1" ht="14.4" hidden="1" x14ac:dyDescent="0.3">
      <c r="A41" s="59" t="s">
        <v>38</v>
      </c>
      <c r="B41" s="59" t="s">
        <v>3</v>
      </c>
      <c r="C41" s="60">
        <v>0</v>
      </c>
    </row>
    <row r="42" spans="1:5" customFormat="1" ht="14.4" hidden="1" x14ac:dyDescent="0.3">
      <c r="A42" s="59" t="s">
        <v>39</v>
      </c>
      <c r="B42" s="59" t="s">
        <v>40</v>
      </c>
      <c r="C42" s="60">
        <v>0</v>
      </c>
    </row>
    <row r="43" spans="1:5" x14ac:dyDescent="0.3">
      <c r="A43" s="12" t="s">
        <v>39</v>
      </c>
      <c r="B43" s="12" t="s">
        <v>3</v>
      </c>
      <c r="C43" s="33">
        <v>62</v>
      </c>
      <c r="D43" s="37">
        <f>VLOOKUP(A43,'[1]SỔ CHI TIẾT MUA HÀNG'!$A$5:$C$82,3,0)</f>
        <v>19000</v>
      </c>
      <c r="E43" s="36">
        <f t="shared" ref="E43:E47" si="6">+D43*C43</f>
        <v>1178000</v>
      </c>
    </row>
    <row r="44" spans="1:5" x14ac:dyDescent="0.3">
      <c r="A44" s="12" t="s">
        <v>41</v>
      </c>
      <c r="B44" s="12" t="s">
        <v>3</v>
      </c>
      <c r="C44" s="33">
        <v>61</v>
      </c>
      <c r="D44" s="37">
        <f>VLOOKUP(A44,'[1]SỔ CHI TIẾT MUA HÀNG'!$A$5:$C$82,3,0)</f>
        <v>14000</v>
      </c>
      <c r="E44" s="36">
        <f t="shared" si="6"/>
        <v>854000</v>
      </c>
    </row>
    <row r="45" spans="1:5" x14ac:dyDescent="0.3">
      <c r="A45" s="12" t="s">
        <v>42</v>
      </c>
      <c r="B45" s="12" t="s">
        <v>25</v>
      </c>
      <c r="C45" s="33">
        <v>32</v>
      </c>
      <c r="D45" s="37">
        <v>11000</v>
      </c>
      <c r="E45" s="36">
        <f t="shared" si="6"/>
        <v>352000</v>
      </c>
    </row>
    <row r="46" spans="1:5" x14ac:dyDescent="0.3">
      <c r="A46" s="12" t="s">
        <v>44</v>
      </c>
      <c r="B46" s="12" t="s">
        <v>3</v>
      </c>
      <c r="C46" s="33">
        <v>45</v>
      </c>
      <c r="D46" s="37">
        <f>VLOOKUP(A46,'[1]SỔ CHI TIẾT MUA HÀNG'!$A$5:$C$82,3,0)</f>
        <v>7000</v>
      </c>
      <c r="E46" s="36">
        <f t="shared" si="6"/>
        <v>315000</v>
      </c>
    </row>
    <row r="47" spans="1:5" x14ac:dyDescent="0.3">
      <c r="A47" s="12" t="s">
        <v>45</v>
      </c>
      <c r="B47" s="12" t="s">
        <v>3</v>
      </c>
      <c r="C47" s="33">
        <v>127</v>
      </c>
      <c r="D47" s="37">
        <f>VLOOKUP(A47,'[1]SỔ CHI TIẾT MUA HÀNG'!$A$5:$C$82,3,0)</f>
        <v>11000</v>
      </c>
      <c r="E47" s="36">
        <f t="shared" si="6"/>
        <v>1397000</v>
      </c>
    </row>
    <row r="48" spans="1:5" customFormat="1" ht="14.4" hidden="1" x14ac:dyDescent="0.3">
      <c r="A48" s="59" t="s">
        <v>45</v>
      </c>
      <c r="B48" s="59" t="s">
        <v>30</v>
      </c>
      <c r="C48" s="60">
        <v>0</v>
      </c>
    </row>
    <row r="49" spans="1:5" x14ac:dyDescent="0.3">
      <c r="A49" s="12" t="s">
        <v>46</v>
      </c>
      <c r="B49" s="12" t="s">
        <v>3</v>
      </c>
      <c r="C49" s="33">
        <v>10</v>
      </c>
      <c r="D49" s="37">
        <f>VLOOKUP(A49,'[1]SỔ CHI TIẾT MUA HÀNG'!$A$5:$C$82,3,0)</f>
        <v>18000</v>
      </c>
      <c r="E49" s="36">
        <f t="shared" ref="E49:E50" si="7">+D49*C49</f>
        <v>180000</v>
      </c>
    </row>
    <row r="50" spans="1:5" x14ac:dyDescent="0.3">
      <c r="A50" s="12" t="s">
        <v>47</v>
      </c>
      <c r="B50" s="12" t="s">
        <v>3</v>
      </c>
      <c r="C50" s="33">
        <v>640</v>
      </c>
      <c r="D50" s="37">
        <f>VLOOKUP(A50,'[1]SỔ CHI TIẾT MUA HÀNG'!$A$5:$C$82,3,0)</f>
        <v>9500</v>
      </c>
      <c r="E50" s="36">
        <f t="shared" si="7"/>
        <v>6080000</v>
      </c>
    </row>
    <row r="51" spans="1:5" customFormat="1" ht="14.4" hidden="1" x14ac:dyDescent="0.3">
      <c r="A51" s="59" t="s">
        <v>47</v>
      </c>
      <c r="B51" s="59" t="s">
        <v>48</v>
      </c>
      <c r="C51" s="60">
        <v>0</v>
      </c>
    </row>
    <row r="52" spans="1:5" x14ac:dyDescent="0.3">
      <c r="A52" s="12" t="s">
        <v>50</v>
      </c>
      <c r="B52" s="12" t="s">
        <v>30</v>
      </c>
      <c r="C52" s="33">
        <v>260</v>
      </c>
      <c r="D52" s="37">
        <f>7000*0.3</f>
        <v>2100</v>
      </c>
      <c r="E52" s="36">
        <f t="shared" ref="E52:E54" si="8">+D52*C52</f>
        <v>546000</v>
      </c>
    </row>
    <row r="53" spans="1:5" x14ac:dyDescent="0.3">
      <c r="A53" s="12" t="s">
        <v>51</v>
      </c>
      <c r="B53" s="12" t="s">
        <v>3</v>
      </c>
      <c r="C53" s="33">
        <v>700</v>
      </c>
      <c r="D53" s="37">
        <v>28000</v>
      </c>
      <c r="E53" s="36">
        <f t="shared" si="8"/>
        <v>19600000</v>
      </c>
    </row>
    <row r="54" spans="1:5" x14ac:dyDescent="0.3">
      <c r="A54" s="12" t="s">
        <v>52</v>
      </c>
      <c r="B54" s="12" t="s">
        <v>3</v>
      </c>
      <c r="C54" s="33">
        <v>2205</v>
      </c>
      <c r="D54" s="37">
        <v>27000</v>
      </c>
      <c r="E54" s="36">
        <f t="shared" si="8"/>
        <v>59535000</v>
      </c>
    </row>
    <row r="55" spans="1:5" customFormat="1" ht="14.4" hidden="1" x14ac:dyDescent="0.3">
      <c r="A55" s="59" t="s">
        <v>52</v>
      </c>
      <c r="B55" s="59" t="s">
        <v>30</v>
      </c>
      <c r="C55" s="60">
        <v>0</v>
      </c>
    </row>
    <row r="56" spans="1:5" x14ac:dyDescent="0.3">
      <c r="A56" s="12" t="s">
        <v>167</v>
      </c>
      <c r="B56" s="12" t="s">
        <v>3</v>
      </c>
      <c r="C56" s="33">
        <v>450</v>
      </c>
      <c r="D56" s="37">
        <v>27000</v>
      </c>
      <c r="E56" s="36">
        <f>+D56*C56</f>
        <v>12150000</v>
      </c>
    </row>
    <row r="57" spans="1:5" customFormat="1" ht="14.4" hidden="1" x14ac:dyDescent="0.3">
      <c r="A57" s="59" t="s">
        <v>54</v>
      </c>
      <c r="B57" s="59" t="s">
        <v>3</v>
      </c>
      <c r="C57" s="60">
        <v>0</v>
      </c>
    </row>
    <row r="58" spans="1:5" x14ac:dyDescent="0.3">
      <c r="A58" s="12" t="s">
        <v>55</v>
      </c>
      <c r="B58" s="12" t="s">
        <v>3</v>
      </c>
      <c r="C58" s="33">
        <v>17</v>
      </c>
      <c r="D58" s="37">
        <v>18000</v>
      </c>
      <c r="E58" s="36">
        <f>+D58*C58</f>
        <v>306000</v>
      </c>
    </row>
    <row r="59" spans="1:5" customFormat="1" ht="14.4" hidden="1" x14ac:dyDescent="0.3">
      <c r="A59" s="59" t="s">
        <v>56</v>
      </c>
      <c r="B59" s="59" t="s">
        <v>3</v>
      </c>
      <c r="C59" s="60">
        <v>0</v>
      </c>
    </row>
    <row r="60" spans="1:5" customFormat="1" ht="14.4" hidden="1" x14ac:dyDescent="0.3">
      <c r="A60" s="59" t="s">
        <v>57</v>
      </c>
      <c r="B60" s="59" t="s">
        <v>30</v>
      </c>
      <c r="C60" s="60">
        <v>0</v>
      </c>
    </row>
    <row r="61" spans="1:5" customFormat="1" ht="14.4" hidden="1" x14ac:dyDescent="0.3">
      <c r="A61" s="59" t="s">
        <v>58</v>
      </c>
      <c r="B61" s="59" t="s">
        <v>3</v>
      </c>
      <c r="C61" s="60">
        <v>0</v>
      </c>
    </row>
    <row r="62" spans="1:5" customFormat="1" ht="14.4" hidden="1" x14ac:dyDescent="0.3">
      <c r="A62" s="59" t="s">
        <v>59</v>
      </c>
      <c r="B62" s="59" t="s">
        <v>3</v>
      </c>
      <c r="C62" s="60">
        <v>0</v>
      </c>
    </row>
    <row r="63" spans="1:5" customFormat="1" ht="14.4" hidden="1" x14ac:dyDescent="0.3">
      <c r="A63" s="59" t="s">
        <v>59</v>
      </c>
      <c r="B63" s="59" t="s">
        <v>30</v>
      </c>
      <c r="C63" s="60">
        <v>0</v>
      </c>
    </row>
    <row r="64" spans="1:5" x14ac:dyDescent="0.3">
      <c r="A64" s="12" t="s">
        <v>60</v>
      </c>
      <c r="B64" s="12" t="s">
        <v>30</v>
      </c>
      <c r="C64" s="33">
        <v>220</v>
      </c>
      <c r="D64" s="37">
        <v>7000</v>
      </c>
      <c r="E64" s="36">
        <f t="shared" ref="E64:E66" si="9">+D64*C64</f>
        <v>1540000</v>
      </c>
    </row>
    <row r="65" spans="1:5" x14ac:dyDescent="0.3">
      <c r="A65" s="12" t="s">
        <v>61</v>
      </c>
      <c r="B65" s="12" t="s">
        <v>3</v>
      </c>
      <c r="C65" s="33">
        <v>10</v>
      </c>
      <c r="D65" s="37">
        <f>VLOOKUP(A65,'[1]SỔ CHI TIẾT MUA HÀNG'!$A$5:$C$82,3,0)</f>
        <v>13000</v>
      </c>
      <c r="E65" s="36">
        <f t="shared" si="9"/>
        <v>130000</v>
      </c>
    </row>
    <row r="66" spans="1:5" x14ac:dyDescent="0.3">
      <c r="A66" s="12" t="s">
        <v>62</v>
      </c>
      <c r="B66" s="12" t="s">
        <v>30</v>
      </c>
      <c r="C66" s="33">
        <v>6</v>
      </c>
      <c r="D66" s="37">
        <f>VLOOKUP(A66,'[1]SỔ CHI TIẾT MUA HÀNG'!$A$5:$C$82,3,0)</f>
        <v>11000</v>
      </c>
      <c r="E66" s="36">
        <f t="shared" si="9"/>
        <v>66000</v>
      </c>
    </row>
    <row r="67" spans="1:5" customFormat="1" ht="14.4" hidden="1" x14ac:dyDescent="0.3">
      <c r="A67" s="59" t="s">
        <v>63</v>
      </c>
      <c r="B67" s="59" t="s">
        <v>3</v>
      </c>
      <c r="C67" s="60">
        <v>0</v>
      </c>
    </row>
    <row r="68" spans="1:5" x14ac:dyDescent="0.3">
      <c r="A68" s="12" t="s">
        <v>63</v>
      </c>
      <c r="B68" s="12" t="s">
        <v>64</v>
      </c>
      <c r="C68" s="33">
        <v>105</v>
      </c>
      <c r="D68" s="37">
        <f>VLOOKUP(A68,'[1]SỔ CHI TIẾT MUA HÀNG'!$A$5:$C$82,3,0)</f>
        <v>13000</v>
      </c>
      <c r="E68" s="36">
        <f t="shared" ref="E68:E75" si="10">+D68*C68</f>
        <v>1365000</v>
      </c>
    </row>
    <row r="69" spans="1:5" x14ac:dyDescent="0.3">
      <c r="A69" s="12" t="s">
        <v>65</v>
      </c>
      <c r="B69" s="12" t="s">
        <v>3</v>
      </c>
      <c r="C69" s="33">
        <v>3</v>
      </c>
      <c r="D69" s="37">
        <v>80000</v>
      </c>
      <c r="E69" s="36">
        <f t="shared" si="10"/>
        <v>240000</v>
      </c>
    </row>
    <row r="70" spans="1:5" x14ac:dyDescent="0.3">
      <c r="A70" s="12" t="s">
        <v>66</v>
      </c>
      <c r="B70" s="12" t="s">
        <v>3</v>
      </c>
      <c r="C70" s="33">
        <v>3</v>
      </c>
      <c r="D70" s="37">
        <v>70000</v>
      </c>
      <c r="E70" s="36">
        <f t="shared" si="10"/>
        <v>210000</v>
      </c>
    </row>
    <row r="71" spans="1:5" x14ac:dyDescent="0.3">
      <c r="A71" s="12" t="s">
        <v>67</v>
      </c>
      <c r="B71" s="12" t="s">
        <v>3</v>
      </c>
      <c r="C71" s="33">
        <v>3</v>
      </c>
      <c r="D71" s="37">
        <v>70000</v>
      </c>
      <c r="E71" s="36">
        <f t="shared" si="10"/>
        <v>210000</v>
      </c>
    </row>
    <row r="72" spans="1:5" x14ac:dyDescent="0.3">
      <c r="A72" s="12" t="s">
        <v>68</v>
      </c>
      <c r="B72" s="12" t="s">
        <v>3</v>
      </c>
      <c r="C72" s="33">
        <v>170</v>
      </c>
      <c r="D72" s="37">
        <f>VLOOKUP(A72,'[1]SỔ CHI TIẾT MUA HÀNG'!$A$5:$C$82,3,0)</f>
        <v>6500</v>
      </c>
      <c r="E72" s="36">
        <f t="shared" si="10"/>
        <v>1105000</v>
      </c>
    </row>
    <row r="73" spans="1:5" x14ac:dyDescent="0.3">
      <c r="A73" s="12" t="s">
        <v>68</v>
      </c>
      <c r="B73" s="12" t="s">
        <v>17</v>
      </c>
      <c r="C73" s="33">
        <v>1266</v>
      </c>
      <c r="D73" s="37">
        <f>VLOOKUP(A73,'[1]SỔ CHI TIẾT MUA HÀNG'!$A$5:$C$82,3,0)</f>
        <v>6500</v>
      </c>
      <c r="E73" s="36">
        <f t="shared" si="10"/>
        <v>8229000</v>
      </c>
    </row>
    <row r="74" spans="1:5" x14ac:dyDescent="0.3">
      <c r="A74" s="12" t="s">
        <v>69</v>
      </c>
      <c r="B74" s="12" t="s">
        <v>3</v>
      </c>
      <c r="C74" s="33">
        <v>4</v>
      </c>
      <c r="D74" s="37">
        <v>11000</v>
      </c>
      <c r="E74" s="36">
        <f t="shared" si="10"/>
        <v>44000</v>
      </c>
    </row>
    <row r="75" spans="1:5" x14ac:dyDescent="0.3">
      <c r="A75" s="12" t="s">
        <v>70</v>
      </c>
      <c r="B75" s="12" t="s">
        <v>3</v>
      </c>
      <c r="C75" s="33">
        <v>100</v>
      </c>
      <c r="D75" s="37">
        <f>VLOOKUP(A75,'[1]SỔ CHI TIẾT MUA HÀNG'!$A$5:$C$82,3,0)</f>
        <v>20000</v>
      </c>
      <c r="E75" s="36">
        <f t="shared" si="10"/>
        <v>2000000</v>
      </c>
    </row>
    <row r="76" spans="1:5" customFormat="1" ht="14.4" hidden="1" x14ac:dyDescent="0.3">
      <c r="A76" s="59" t="s">
        <v>71</v>
      </c>
      <c r="B76" s="59" t="s">
        <v>40</v>
      </c>
      <c r="C76" s="60">
        <v>0</v>
      </c>
    </row>
    <row r="77" spans="1:5" x14ac:dyDescent="0.3">
      <c r="A77" s="12" t="s">
        <v>71</v>
      </c>
      <c r="B77" s="12" t="s">
        <v>3</v>
      </c>
      <c r="C77" s="33">
        <v>7</v>
      </c>
      <c r="D77" s="37">
        <f>VLOOKUP(A77,'[1]SỔ CHI TIẾT MUA HÀNG'!$A$5:$C$82,3,0)</f>
        <v>17000</v>
      </c>
      <c r="E77" s="36">
        <f t="shared" ref="E77:E79" si="11">+D77*C77</f>
        <v>119000</v>
      </c>
    </row>
    <row r="78" spans="1:5" x14ac:dyDescent="0.3">
      <c r="A78" s="12" t="s">
        <v>72</v>
      </c>
      <c r="B78" s="12" t="s">
        <v>3</v>
      </c>
      <c r="C78" s="33">
        <v>820</v>
      </c>
      <c r="D78" s="37">
        <v>27600</v>
      </c>
      <c r="E78" s="36">
        <f t="shared" si="11"/>
        <v>22632000</v>
      </c>
    </row>
    <row r="79" spans="1:5" x14ac:dyDescent="0.3">
      <c r="A79" s="12" t="s">
        <v>74</v>
      </c>
      <c r="B79" s="12" t="s">
        <v>30</v>
      </c>
      <c r="C79" s="33">
        <v>135</v>
      </c>
      <c r="D79" s="37">
        <v>3200</v>
      </c>
      <c r="E79" s="36">
        <f t="shared" si="11"/>
        <v>432000</v>
      </c>
    </row>
    <row r="80" spans="1:5" customFormat="1" ht="14.4" hidden="1" x14ac:dyDescent="0.3">
      <c r="A80" s="59" t="s">
        <v>74</v>
      </c>
      <c r="B80" s="59" t="s">
        <v>30</v>
      </c>
      <c r="C80" s="60">
        <v>0</v>
      </c>
    </row>
    <row r="81" spans="1:5" x14ac:dyDescent="0.3">
      <c r="A81" s="12" t="s">
        <v>75</v>
      </c>
      <c r="B81" s="12" t="s">
        <v>3</v>
      </c>
      <c r="C81" s="33">
        <v>10</v>
      </c>
      <c r="D81" s="37">
        <f>VLOOKUP(A81,'[1]SỔ CHI TIẾT MUA HÀNG'!$A$5:$C$82,3,0)</f>
        <v>14000</v>
      </c>
      <c r="E81" s="36">
        <f>+D81*C81</f>
        <v>140000</v>
      </c>
    </row>
    <row r="82" spans="1:5" customFormat="1" ht="14.4" hidden="1" x14ac:dyDescent="0.3">
      <c r="A82" s="59" t="s">
        <v>76</v>
      </c>
      <c r="B82" s="59" t="s">
        <v>17</v>
      </c>
      <c r="C82" s="60">
        <v>0</v>
      </c>
    </row>
    <row r="83" spans="1:5" customFormat="1" ht="14.4" hidden="1" x14ac:dyDescent="0.3">
      <c r="A83" s="59" t="s">
        <v>77</v>
      </c>
      <c r="B83" s="59" t="s">
        <v>25</v>
      </c>
      <c r="C83" s="60">
        <v>0</v>
      </c>
    </row>
    <row r="84" spans="1:5" x14ac:dyDescent="0.3">
      <c r="A84" s="12" t="s">
        <v>77</v>
      </c>
      <c r="B84" s="12" t="s">
        <v>3</v>
      </c>
      <c r="C84" s="33">
        <v>5</v>
      </c>
      <c r="D84" s="37">
        <v>55000</v>
      </c>
      <c r="E84" s="36">
        <f>+D84*C84</f>
        <v>275000</v>
      </c>
    </row>
    <row r="85" spans="1:5" customFormat="1" ht="14.4" hidden="1" x14ac:dyDescent="0.3">
      <c r="A85" s="59" t="s">
        <v>78</v>
      </c>
      <c r="B85" s="59" t="s">
        <v>3</v>
      </c>
      <c r="C85" s="60">
        <v>0</v>
      </c>
    </row>
    <row r="86" spans="1:5" customFormat="1" ht="14.4" hidden="1" x14ac:dyDescent="0.3">
      <c r="A86" s="59" t="s">
        <v>78</v>
      </c>
      <c r="B86" s="59" t="s">
        <v>9</v>
      </c>
      <c r="C86" s="60">
        <v>0</v>
      </c>
    </row>
    <row r="87" spans="1:5" customFormat="1" ht="14.4" hidden="1" x14ac:dyDescent="0.3">
      <c r="A87" s="59" t="s">
        <v>80</v>
      </c>
      <c r="B87" s="59" t="s">
        <v>3</v>
      </c>
      <c r="C87" s="60">
        <v>0</v>
      </c>
    </row>
    <row r="88" spans="1:5" customFormat="1" ht="14.4" hidden="1" x14ac:dyDescent="0.3">
      <c r="A88" s="59" t="s">
        <v>80</v>
      </c>
      <c r="B88" s="59" t="s">
        <v>9</v>
      </c>
      <c r="C88" s="60">
        <v>0</v>
      </c>
    </row>
    <row r="89" spans="1:5" x14ac:dyDescent="0.3">
      <c r="A89" s="12" t="s">
        <v>82</v>
      </c>
      <c r="B89" s="12" t="s">
        <v>3</v>
      </c>
      <c r="C89" s="33">
        <v>67</v>
      </c>
      <c r="D89" s="37">
        <v>30000</v>
      </c>
      <c r="E89" s="36">
        <f>+D89*C89</f>
        <v>2010000</v>
      </c>
    </row>
    <row r="90" spans="1:5" customFormat="1" ht="14.4" hidden="1" x14ac:dyDescent="0.3">
      <c r="A90" s="59" t="s">
        <v>82</v>
      </c>
      <c r="B90" s="59" t="s">
        <v>9</v>
      </c>
      <c r="C90" s="60">
        <v>0</v>
      </c>
    </row>
    <row r="91" spans="1:5" x14ac:dyDescent="0.3">
      <c r="A91" s="12" t="s">
        <v>84</v>
      </c>
      <c r="B91" s="12" t="s">
        <v>3</v>
      </c>
      <c r="C91" s="33">
        <v>63</v>
      </c>
      <c r="D91" s="37">
        <v>55000</v>
      </c>
      <c r="E91" s="36">
        <f t="shared" ref="E91:E96" si="12">+D91*C91</f>
        <v>3465000</v>
      </c>
    </row>
    <row r="92" spans="1:5" x14ac:dyDescent="0.3">
      <c r="A92" s="12" t="s">
        <v>84</v>
      </c>
      <c r="B92" s="12" t="s">
        <v>30</v>
      </c>
      <c r="C92" s="33">
        <v>12</v>
      </c>
      <c r="D92" s="37">
        <v>18000</v>
      </c>
      <c r="E92" s="36">
        <f t="shared" si="12"/>
        <v>216000</v>
      </c>
    </row>
    <row r="93" spans="1:5" x14ac:dyDescent="0.3">
      <c r="A93" s="12" t="s">
        <v>85</v>
      </c>
      <c r="B93" s="12" t="s">
        <v>30</v>
      </c>
      <c r="C93" s="33">
        <v>2</v>
      </c>
      <c r="D93" s="37">
        <f>35000*0.25</f>
        <v>8750</v>
      </c>
      <c r="E93" s="36">
        <f t="shared" si="12"/>
        <v>17500</v>
      </c>
    </row>
    <row r="94" spans="1:5" x14ac:dyDescent="0.3">
      <c r="A94" s="12" t="s">
        <v>106</v>
      </c>
      <c r="B94" s="12" t="s">
        <v>9</v>
      </c>
      <c r="C94" s="33">
        <v>370</v>
      </c>
      <c r="D94" s="37">
        <v>10000</v>
      </c>
      <c r="E94" s="36">
        <f t="shared" si="12"/>
        <v>3700000</v>
      </c>
    </row>
    <row r="95" spans="1:5" x14ac:dyDescent="0.3">
      <c r="A95" s="12" t="s">
        <v>88</v>
      </c>
      <c r="B95" s="12" t="s">
        <v>9</v>
      </c>
      <c r="C95" s="33">
        <v>270</v>
      </c>
      <c r="D95" s="37">
        <v>11361</v>
      </c>
      <c r="E95" s="36">
        <f t="shared" si="12"/>
        <v>3067470</v>
      </c>
    </row>
    <row r="96" spans="1:5" x14ac:dyDescent="0.3">
      <c r="A96" s="12" t="s">
        <v>146</v>
      </c>
      <c r="B96" s="12" t="s">
        <v>9</v>
      </c>
      <c r="C96" s="33">
        <v>53</v>
      </c>
      <c r="D96" s="37">
        <v>100000</v>
      </c>
      <c r="E96" s="36">
        <f t="shared" si="12"/>
        <v>5300000</v>
      </c>
    </row>
    <row r="97" spans="1:5" customFormat="1" ht="14.4" hidden="1" x14ac:dyDescent="0.3">
      <c r="A97" s="59" t="s">
        <v>89</v>
      </c>
      <c r="B97" s="59" t="s">
        <v>3</v>
      </c>
      <c r="C97" s="60">
        <v>0</v>
      </c>
    </row>
    <row r="98" spans="1:5" x14ac:dyDescent="0.3">
      <c r="A98" s="12" t="s">
        <v>90</v>
      </c>
      <c r="B98" s="12" t="s">
        <v>3</v>
      </c>
      <c r="C98" s="33">
        <v>40</v>
      </c>
      <c r="D98" s="37">
        <f>VLOOKUP(A98,'[1]SỔ CHI TIẾT MUA HÀNG'!$A$5:$C$82,3,0)</f>
        <v>32000</v>
      </c>
      <c r="E98" s="36">
        <f t="shared" ref="E98:E101" si="13">+D98*C98</f>
        <v>1280000</v>
      </c>
    </row>
    <row r="99" spans="1:5" x14ac:dyDescent="0.3">
      <c r="A99" s="12" t="s">
        <v>154</v>
      </c>
      <c r="B99" s="12" t="s">
        <v>9</v>
      </c>
      <c r="C99" s="33">
        <v>21</v>
      </c>
      <c r="D99" s="37">
        <v>26000</v>
      </c>
      <c r="E99" s="36">
        <f t="shared" si="13"/>
        <v>546000</v>
      </c>
    </row>
    <row r="100" spans="1:5" x14ac:dyDescent="0.3">
      <c r="A100" s="12" t="s">
        <v>92</v>
      </c>
      <c r="B100" s="12" t="s">
        <v>3</v>
      </c>
      <c r="C100" s="33">
        <v>365</v>
      </c>
      <c r="D100" s="37">
        <f>VLOOKUP(A100,'[1]SỔ CHI TIẾT MUA HÀNG'!$A$5:$C$82,3,0)</f>
        <v>8000</v>
      </c>
      <c r="E100" s="36">
        <f t="shared" si="13"/>
        <v>2920000</v>
      </c>
    </row>
    <row r="101" spans="1:5" x14ac:dyDescent="0.3">
      <c r="A101" s="12" t="s">
        <v>93</v>
      </c>
      <c r="B101" s="12" t="s">
        <v>3</v>
      </c>
      <c r="C101" s="33">
        <v>30</v>
      </c>
      <c r="D101" s="37">
        <v>13000</v>
      </c>
      <c r="E101" s="36">
        <f t="shared" si="13"/>
        <v>390000</v>
      </c>
    </row>
    <row r="102" spans="1:5" customFormat="1" ht="14.4" hidden="1" x14ac:dyDescent="0.3">
      <c r="A102" s="59" t="s">
        <v>94</v>
      </c>
      <c r="B102" s="59" t="s">
        <v>3</v>
      </c>
      <c r="C102" s="60">
        <v>0</v>
      </c>
    </row>
    <row r="103" spans="1:5" customFormat="1" ht="14.4" hidden="1" x14ac:dyDescent="0.3">
      <c r="A103" s="59" t="s">
        <v>95</v>
      </c>
      <c r="B103" s="59" t="s">
        <v>40</v>
      </c>
      <c r="C103" s="60">
        <v>0</v>
      </c>
    </row>
    <row r="104" spans="1:5" customFormat="1" ht="14.4" hidden="1" x14ac:dyDescent="0.3">
      <c r="A104" s="59" t="s">
        <v>96</v>
      </c>
      <c r="B104" s="59" t="s">
        <v>3</v>
      </c>
      <c r="C104" s="60">
        <v>0</v>
      </c>
    </row>
    <row r="105" spans="1:5" customFormat="1" ht="14.4" hidden="1" x14ac:dyDescent="0.3">
      <c r="A105" s="59" t="s">
        <v>97</v>
      </c>
      <c r="B105" s="59" t="s">
        <v>40</v>
      </c>
      <c r="C105" s="60">
        <v>0</v>
      </c>
    </row>
    <row r="106" spans="1:5" customFormat="1" ht="14.4" hidden="1" x14ac:dyDescent="0.3">
      <c r="A106" s="59" t="s">
        <v>98</v>
      </c>
      <c r="B106" s="59" t="s">
        <v>3</v>
      </c>
      <c r="C106" s="60">
        <v>0</v>
      </c>
    </row>
    <row r="107" spans="1:5" customFormat="1" ht="14.4" hidden="1" x14ac:dyDescent="0.3">
      <c r="A107" s="59" t="s">
        <v>99</v>
      </c>
      <c r="B107" s="59" t="s">
        <v>3</v>
      </c>
      <c r="C107" s="60">
        <v>0</v>
      </c>
    </row>
    <row r="108" spans="1:5" x14ac:dyDescent="0.3">
      <c r="A108" s="12" t="s">
        <v>100</v>
      </c>
      <c r="B108" s="12" t="s">
        <v>40</v>
      </c>
      <c r="C108" s="33">
        <v>58</v>
      </c>
      <c r="D108" s="37">
        <f>VLOOKUP(A108,'[1]SỔ CHI TIẾT MUA HÀNG'!$A$5:$C$82,3,0)</f>
        <v>6800</v>
      </c>
      <c r="E108" s="36">
        <f>+D108*C108</f>
        <v>394400</v>
      </c>
    </row>
    <row r="109" spans="1:5" customFormat="1" ht="14.4" hidden="1" x14ac:dyDescent="0.3">
      <c r="A109" s="59" t="e">
        <v>#N/A</v>
      </c>
      <c r="B109" s="59" t="s">
        <v>3</v>
      </c>
      <c r="C109" s="60">
        <v>0</v>
      </c>
    </row>
    <row r="110" spans="1:5" x14ac:dyDescent="0.3">
      <c r="A110" s="19" t="e">
        <v>#N/A</v>
      </c>
      <c r="B110" s="19">
        <v>0</v>
      </c>
      <c r="C110" s="41">
        <v>15346.5</v>
      </c>
      <c r="D110" s="41">
        <v>15346.5</v>
      </c>
      <c r="E110" s="42">
        <f>SUBTOTAL(9,E2:E108)</f>
        <v>235220370</v>
      </c>
    </row>
    <row r="111" spans="1:5" ht="62.4" x14ac:dyDescent="0.3">
      <c r="A111" s="35" t="s">
        <v>130</v>
      </c>
      <c r="B111" s="16" t="s">
        <v>1</v>
      </c>
      <c r="C111" s="15" t="s">
        <v>137</v>
      </c>
      <c r="D111" s="31" t="s">
        <v>140</v>
      </c>
      <c r="E111" s="31" t="s">
        <v>141</v>
      </c>
    </row>
    <row r="112" spans="1:5" x14ac:dyDescent="0.3">
      <c r="A112" s="12" t="s">
        <v>2</v>
      </c>
      <c r="B112" s="12" t="s">
        <v>3</v>
      </c>
      <c r="C112" s="13">
        <v>6</v>
      </c>
      <c r="D112" s="37">
        <f>VLOOKUP(A112,'[1]SỔ CHI TIẾT MUA HÀNG'!$A$5:$C$82,3,0)</f>
        <v>8000</v>
      </c>
      <c r="E112" s="36">
        <f t="shared" ref="E112:E117" si="14">+D112*C112</f>
        <v>48000</v>
      </c>
    </row>
    <row r="113" spans="1:5" x14ac:dyDescent="0.3">
      <c r="A113" s="12" t="s">
        <v>4</v>
      </c>
      <c r="B113" s="12" t="s">
        <v>3</v>
      </c>
      <c r="C113" s="13">
        <v>20</v>
      </c>
      <c r="D113" s="37">
        <f>VLOOKUP(A113,'[1]SỔ CHI TIẾT MUA HÀNG'!$A$5:$C$82,3,0)</f>
        <v>4000</v>
      </c>
      <c r="E113" s="36">
        <f t="shared" si="14"/>
        <v>80000</v>
      </c>
    </row>
    <row r="114" spans="1:5" x14ac:dyDescent="0.3">
      <c r="A114" s="12" t="s">
        <v>5</v>
      </c>
      <c r="B114" s="12" t="s">
        <v>3</v>
      </c>
      <c r="C114" s="13">
        <v>150</v>
      </c>
      <c r="D114" s="37">
        <f>VLOOKUP(A114,'[1]SỔ CHI TIẾT MUA HÀNG'!$A$5:$C$82,3,0)</f>
        <v>6000</v>
      </c>
      <c r="E114" s="36">
        <f t="shared" si="14"/>
        <v>900000</v>
      </c>
    </row>
    <row r="115" spans="1:5" x14ac:dyDescent="0.3">
      <c r="A115" s="12" t="s">
        <v>119</v>
      </c>
      <c r="B115" s="12" t="s">
        <v>3</v>
      </c>
      <c r="C115" s="13">
        <v>15</v>
      </c>
      <c r="D115" s="37">
        <f>VLOOKUP(A115,'[1]SỔ CHI TIẾT MUA HÀNG'!$A$5:$C$82,3,0)</f>
        <v>10000</v>
      </c>
      <c r="E115" s="36">
        <f t="shared" si="14"/>
        <v>150000</v>
      </c>
    </row>
    <row r="116" spans="1:5" x14ac:dyDescent="0.3">
      <c r="A116" s="12" t="s">
        <v>7</v>
      </c>
      <c r="B116" s="12" t="s">
        <v>3</v>
      </c>
      <c r="C116" s="13">
        <v>40</v>
      </c>
      <c r="D116" s="37">
        <v>11000</v>
      </c>
      <c r="E116" s="36">
        <f t="shared" si="14"/>
        <v>440000</v>
      </c>
    </row>
    <row r="117" spans="1:5" x14ac:dyDescent="0.3">
      <c r="A117" s="12" t="s">
        <v>8</v>
      </c>
      <c r="B117" s="12" t="s">
        <v>3</v>
      </c>
      <c r="C117" s="13">
        <v>12</v>
      </c>
      <c r="D117" s="37">
        <f>VLOOKUP(A117,'[1]SỔ CHI TIẾT MUA HÀNG'!$A$5:$C$82,3,0)</f>
        <v>13000</v>
      </c>
      <c r="E117" s="36">
        <f t="shared" si="14"/>
        <v>156000</v>
      </c>
    </row>
    <row r="118" spans="1:5" customFormat="1" hidden="1" x14ac:dyDescent="0.3">
      <c r="A118" s="27" t="s">
        <v>102</v>
      </c>
      <c r="B118" s="27" t="s">
        <v>3</v>
      </c>
      <c r="C118" s="28">
        <v>0</v>
      </c>
    </row>
    <row r="119" spans="1:5" x14ac:dyDescent="0.3">
      <c r="A119" s="12" t="s">
        <v>18</v>
      </c>
      <c r="B119" s="12" t="s">
        <v>3</v>
      </c>
      <c r="C119" s="13">
        <v>20</v>
      </c>
      <c r="D119" s="37">
        <f>VLOOKUP(A119,'[1]SỔ CHI TIẾT MUA HÀNG'!$A$5:$C$82,3,0)</f>
        <v>22000</v>
      </c>
      <c r="E119" s="36">
        <f t="shared" ref="E119:E122" si="15">+D119*C119</f>
        <v>440000</v>
      </c>
    </row>
    <row r="120" spans="1:5" x14ac:dyDescent="0.3">
      <c r="A120" s="12" t="s">
        <v>28</v>
      </c>
      <c r="B120" s="12" t="s">
        <v>3</v>
      </c>
      <c r="C120" s="13">
        <v>100</v>
      </c>
      <c r="D120" s="37">
        <v>18000</v>
      </c>
      <c r="E120" s="36">
        <f t="shared" si="15"/>
        <v>1800000</v>
      </c>
    </row>
    <row r="121" spans="1:5" x14ac:dyDescent="0.3">
      <c r="A121" s="12" t="s">
        <v>31</v>
      </c>
      <c r="B121" s="12" t="s">
        <v>3</v>
      </c>
      <c r="C121" s="13">
        <v>75</v>
      </c>
      <c r="D121" s="37">
        <f>VLOOKUP(A121,'[1]SỔ CHI TIẾT MUA HÀNG'!$A$5:$C$82,3,0)</f>
        <v>10000</v>
      </c>
      <c r="E121" s="36">
        <f t="shared" si="15"/>
        <v>750000</v>
      </c>
    </row>
    <row r="122" spans="1:5" x14ac:dyDescent="0.3">
      <c r="A122" s="12" t="s">
        <v>33</v>
      </c>
      <c r="B122" s="12" t="s">
        <v>3</v>
      </c>
      <c r="C122" s="13">
        <v>10</v>
      </c>
      <c r="D122" s="37">
        <f>VLOOKUP(A122,'[1]SỔ CHI TIẾT MUA HÀNG'!$A$5:$C$82,3,0)</f>
        <v>8000</v>
      </c>
      <c r="E122" s="36">
        <f t="shared" si="15"/>
        <v>80000</v>
      </c>
    </row>
    <row r="123" spans="1:5" customFormat="1" hidden="1" x14ac:dyDescent="0.3">
      <c r="A123" s="27" t="s">
        <v>38</v>
      </c>
      <c r="B123" s="27" t="s">
        <v>3</v>
      </c>
      <c r="C123" s="28">
        <v>0</v>
      </c>
    </row>
    <row r="124" spans="1:5" x14ac:dyDescent="0.3">
      <c r="A124" s="12" t="s">
        <v>103</v>
      </c>
      <c r="B124" s="12" t="s">
        <v>3</v>
      </c>
      <c r="C124" s="13">
        <v>7</v>
      </c>
      <c r="D124" s="37">
        <f>VLOOKUP(A124,'[1]SỔ CHI TIẾT MUA HÀNG'!$A$5:$C$82,3,0)</f>
        <v>14000</v>
      </c>
      <c r="E124" s="36">
        <f t="shared" ref="E124:E126" si="16">+D124*C124</f>
        <v>98000</v>
      </c>
    </row>
    <row r="125" spans="1:5" x14ac:dyDescent="0.3">
      <c r="A125" s="12" t="s">
        <v>104</v>
      </c>
      <c r="B125" s="12" t="s">
        <v>3</v>
      </c>
      <c r="C125" s="13">
        <v>370</v>
      </c>
      <c r="D125" s="37">
        <v>3000</v>
      </c>
      <c r="E125" s="36">
        <f t="shared" si="16"/>
        <v>1110000</v>
      </c>
    </row>
    <row r="126" spans="1:5" x14ac:dyDescent="0.3">
      <c r="A126" s="12" t="s">
        <v>39</v>
      </c>
      <c r="B126" s="12" t="s">
        <v>3</v>
      </c>
      <c r="C126" s="13">
        <v>18</v>
      </c>
      <c r="D126" s="37">
        <f>VLOOKUP(A126,'[1]SỔ CHI TIẾT MUA HÀNG'!$A$5:$C$82,3,0)</f>
        <v>19000</v>
      </c>
      <c r="E126" s="36">
        <f t="shared" si="16"/>
        <v>342000</v>
      </c>
    </row>
    <row r="127" spans="1:5" customFormat="1" hidden="1" x14ac:dyDescent="0.3">
      <c r="A127" s="27" t="s">
        <v>105</v>
      </c>
      <c r="B127" s="27" t="s">
        <v>3</v>
      </c>
      <c r="C127" s="28">
        <v>0</v>
      </c>
    </row>
    <row r="128" spans="1:5" x14ac:dyDescent="0.3">
      <c r="A128" s="12" t="s">
        <v>41</v>
      </c>
      <c r="B128" s="12" t="s">
        <v>3</v>
      </c>
      <c r="C128" s="13">
        <v>14</v>
      </c>
      <c r="D128" s="37">
        <f>VLOOKUP(A128,'[1]SỔ CHI TIẾT MUA HÀNG'!$A$5:$C$82,3,0)</f>
        <v>14000</v>
      </c>
      <c r="E128" s="36">
        <f t="shared" ref="E128:E131" si="17">+D128*C128</f>
        <v>196000</v>
      </c>
    </row>
    <row r="129" spans="1:5" x14ac:dyDescent="0.3">
      <c r="A129" s="12" t="s">
        <v>44</v>
      </c>
      <c r="B129" s="12" t="s">
        <v>3</v>
      </c>
      <c r="C129" s="13">
        <v>20</v>
      </c>
      <c r="D129" s="37">
        <f>VLOOKUP(A129,'[1]SỔ CHI TIẾT MUA HÀNG'!$A$5:$C$82,3,0)</f>
        <v>7000</v>
      </c>
      <c r="E129" s="36">
        <f t="shared" si="17"/>
        <v>140000</v>
      </c>
    </row>
    <row r="130" spans="1:5" x14ac:dyDescent="0.3">
      <c r="A130" s="12" t="s">
        <v>45</v>
      </c>
      <c r="B130" s="12" t="s">
        <v>3</v>
      </c>
      <c r="C130" s="13">
        <v>3</v>
      </c>
      <c r="D130" s="37">
        <f>VLOOKUP(A130,'[1]SỔ CHI TIẾT MUA HÀNG'!$A$5:$C$82,3,0)</f>
        <v>11000</v>
      </c>
      <c r="E130" s="36">
        <f t="shared" si="17"/>
        <v>33000</v>
      </c>
    </row>
    <row r="131" spans="1:5" x14ac:dyDescent="0.3">
      <c r="A131" s="12" t="s">
        <v>47</v>
      </c>
      <c r="B131" s="12" t="s">
        <v>3</v>
      </c>
      <c r="C131" s="13">
        <v>30</v>
      </c>
      <c r="D131" s="37">
        <f>VLOOKUP(A131,'[1]SỔ CHI TIẾT MUA HÀNG'!$A$5:$C$82,3,0)</f>
        <v>9500</v>
      </c>
      <c r="E131" s="36">
        <f t="shared" si="17"/>
        <v>285000</v>
      </c>
    </row>
    <row r="132" spans="1:5" customFormat="1" hidden="1" x14ac:dyDescent="0.3">
      <c r="A132" s="27" t="s">
        <v>54</v>
      </c>
      <c r="B132" s="27" t="s">
        <v>3</v>
      </c>
      <c r="C132" s="28">
        <v>0</v>
      </c>
    </row>
    <row r="133" spans="1:5" customFormat="1" hidden="1" x14ac:dyDescent="0.3">
      <c r="A133" s="27" t="s">
        <v>59</v>
      </c>
      <c r="B133" s="27" t="s">
        <v>3</v>
      </c>
      <c r="C133" s="28">
        <v>0</v>
      </c>
    </row>
    <row r="134" spans="1:5" x14ac:dyDescent="0.3">
      <c r="A134" s="12" t="s">
        <v>61</v>
      </c>
      <c r="B134" s="12" t="s">
        <v>3</v>
      </c>
      <c r="C134" s="13">
        <v>5</v>
      </c>
      <c r="D134" s="37">
        <f>VLOOKUP(A134,'[1]SỔ CHI TIẾT MUA HÀNG'!$A$5:$C$82,3,0)</f>
        <v>13000</v>
      </c>
      <c r="E134" s="36">
        <f>+D134*C134</f>
        <v>65000</v>
      </c>
    </row>
    <row r="135" spans="1:5" customFormat="1" hidden="1" x14ac:dyDescent="0.3">
      <c r="A135" s="27" t="s">
        <v>62</v>
      </c>
      <c r="B135" s="27" t="s">
        <v>30</v>
      </c>
      <c r="C135" s="28">
        <v>0</v>
      </c>
    </row>
    <row r="136" spans="1:5" x14ac:dyDescent="0.3">
      <c r="A136" s="12" t="s">
        <v>63</v>
      </c>
      <c r="B136" s="12" t="s">
        <v>30</v>
      </c>
      <c r="C136" s="13">
        <v>15</v>
      </c>
      <c r="D136" s="37">
        <f>VLOOKUP(A136,'[1]SỔ CHI TIẾT MUA HÀNG'!$A$5:$C$82,3,0)</f>
        <v>13000</v>
      </c>
      <c r="E136" s="36">
        <f>+D136*C136</f>
        <v>195000</v>
      </c>
    </row>
    <row r="137" spans="1:5" customFormat="1" hidden="1" x14ac:dyDescent="0.3">
      <c r="A137" s="27" t="s">
        <v>68</v>
      </c>
      <c r="B137" s="27" t="s">
        <v>3</v>
      </c>
      <c r="C137" s="28">
        <v>0</v>
      </c>
    </row>
    <row r="138" spans="1:5" x14ac:dyDescent="0.3">
      <c r="A138" s="12" t="s">
        <v>68</v>
      </c>
      <c r="B138" s="12" t="s">
        <v>17</v>
      </c>
      <c r="C138" s="13">
        <v>60</v>
      </c>
      <c r="D138" s="37">
        <f>VLOOKUP(A138,'[1]SỔ CHI TIẾT MUA HÀNG'!$A$5:$C$82,3,0)</f>
        <v>6500</v>
      </c>
      <c r="E138" s="36">
        <f t="shared" ref="E138:E139" si="18">+D138*C138</f>
        <v>390000</v>
      </c>
    </row>
    <row r="139" spans="1:5" x14ac:dyDescent="0.3">
      <c r="A139" s="12" t="s">
        <v>71</v>
      </c>
      <c r="B139" s="12" t="s">
        <v>3</v>
      </c>
      <c r="C139" s="13">
        <v>20</v>
      </c>
      <c r="D139" s="37">
        <f>VLOOKUP(A139,'[1]SỔ CHI TIẾT MUA HÀNG'!$A$5:$C$82,3,0)</f>
        <v>17000</v>
      </c>
      <c r="E139" s="36">
        <f t="shared" si="18"/>
        <v>340000</v>
      </c>
    </row>
    <row r="140" spans="1:5" customFormat="1" hidden="1" x14ac:dyDescent="0.3">
      <c r="A140" s="27" t="s">
        <v>72</v>
      </c>
      <c r="B140" s="27" t="s">
        <v>3</v>
      </c>
      <c r="C140" s="28">
        <v>0</v>
      </c>
    </row>
    <row r="141" spans="1:5" customFormat="1" hidden="1" x14ac:dyDescent="0.3">
      <c r="A141" s="27" t="s">
        <v>73</v>
      </c>
      <c r="B141" s="27" t="s">
        <v>3</v>
      </c>
      <c r="C141" s="28">
        <v>0</v>
      </c>
    </row>
    <row r="142" spans="1:5" customFormat="1" hidden="1" x14ac:dyDescent="0.3">
      <c r="A142" s="27" t="s">
        <v>78</v>
      </c>
      <c r="B142" s="27" t="s">
        <v>3</v>
      </c>
      <c r="C142" s="28">
        <v>0</v>
      </c>
    </row>
    <row r="143" spans="1:5" customFormat="1" hidden="1" x14ac:dyDescent="0.3">
      <c r="A143" s="27" t="s">
        <v>80</v>
      </c>
      <c r="B143" s="27" t="s">
        <v>3</v>
      </c>
      <c r="C143" s="28">
        <v>0</v>
      </c>
    </row>
    <row r="144" spans="1:5" x14ac:dyDescent="0.3">
      <c r="A144" s="12" t="s">
        <v>82</v>
      </c>
      <c r="B144" s="12" t="s">
        <v>3</v>
      </c>
      <c r="C144" s="13">
        <v>3</v>
      </c>
      <c r="D144" s="37">
        <v>30000</v>
      </c>
      <c r="E144" s="36">
        <f t="shared" ref="E144:E145" si="19">+D144*C144</f>
        <v>90000</v>
      </c>
    </row>
    <row r="145" spans="1:5" x14ac:dyDescent="0.3">
      <c r="A145" s="12" t="s">
        <v>92</v>
      </c>
      <c r="B145" s="12" t="s">
        <v>3</v>
      </c>
      <c r="C145" s="13">
        <v>15</v>
      </c>
      <c r="D145" s="37">
        <f>VLOOKUP(A145,'[1]SỔ CHI TIẾT MUA HÀNG'!$A$5:$C$82,3,0)</f>
        <v>8000</v>
      </c>
      <c r="E145" s="36">
        <f t="shared" si="19"/>
        <v>120000</v>
      </c>
    </row>
    <row r="146" spans="1:5" customFormat="1" hidden="1" x14ac:dyDescent="0.3">
      <c r="A146" s="27" t="s">
        <v>94</v>
      </c>
      <c r="B146" s="27" t="s">
        <v>40</v>
      </c>
      <c r="C146" s="28">
        <v>0</v>
      </c>
    </row>
    <row r="147" spans="1:5" customFormat="1" hidden="1" x14ac:dyDescent="0.3">
      <c r="A147" s="27" t="s">
        <v>95</v>
      </c>
      <c r="B147" s="27" t="s">
        <v>40</v>
      </c>
      <c r="C147" s="28">
        <v>0</v>
      </c>
    </row>
    <row r="148" spans="1:5" customFormat="1" hidden="1" x14ac:dyDescent="0.3">
      <c r="A148" s="27" t="s">
        <v>97</v>
      </c>
      <c r="B148" s="27" t="s">
        <v>40</v>
      </c>
      <c r="C148" s="28">
        <v>0</v>
      </c>
    </row>
    <row r="149" spans="1:5" customFormat="1" hidden="1" x14ac:dyDescent="0.3">
      <c r="A149" s="27" t="s">
        <v>100</v>
      </c>
      <c r="B149" s="27" t="s">
        <v>40</v>
      </c>
      <c r="C149" s="28">
        <v>0</v>
      </c>
    </row>
    <row r="150" spans="1:5" customFormat="1" hidden="1" x14ac:dyDescent="0.3">
      <c r="A150" s="27" t="e">
        <v>#N/A</v>
      </c>
      <c r="B150" s="27" t="s">
        <v>169</v>
      </c>
      <c r="C150" s="28">
        <v>0</v>
      </c>
    </row>
    <row r="151" spans="1:5" customFormat="1" hidden="1" x14ac:dyDescent="0.3">
      <c r="A151" s="27" t="e">
        <v>#N/A</v>
      </c>
      <c r="B151" s="27">
        <v>0</v>
      </c>
      <c r="C151" s="28">
        <v>0</v>
      </c>
    </row>
    <row r="152" spans="1:5" x14ac:dyDescent="0.3">
      <c r="A152" s="19" t="e">
        <v>#N/A</v>
      </c>
      <c r="B152" s="19">
        <v>0</v>
      </c>
      <c r="C152" s="20">
        <v>1028</v>
      </c>
      <c r="D152" s="39"/>
      <c r="E152" s="42">
        <f>SUBTOTAL(9,E112:E145)</f>
        <v>8248000</v>
      </c>
    </row>
    <row r="153" spans="1:5" x14ac:dyDescent="0.3">
      <c r="E153" s="63">
        <f>+E152+E110</f>
        <v>243468370</v>
      </c>
    </row>
  </sheetData>
  <autoFilter ref="A1:C152" xr:uid="{FEF9C2C7-037A-4308-8860-3C8DBD69B06F}">
    <filterColumn colId="2">
      <filters>
        <filter val="1"/>
        <filter val="1,025"/>
        <filter val="1,214"/>
        <filter val="1,266"/>
        <filter val="10"/>
        <filter val="100"/>
        <filter val="1028"/>
        <filter val="105"/>
        <filter val="115"/>
        <filter val="12"/>
        <filter val="127"/>
        <filter val="135"/>
        <filter val="14"/>
        <filter val="15"/>
        <filter val="15,347"/>
        <filter val="150"/>
        <filter val="17"/>
        <filter val="170"/>
        <filter val="18"/>
        <filter val="190"/>
        <filter val="2"/>
        <filter val="2,205"/>
        <filter val="20"/>
        <filter val="21"/>
        <filter val="22"/>
        <filter val="220"/>
        <filter val="240"/>
        <filter val="25"/>
        <filter val="260"/>
        <filter val="270"/>
        <filter val="29"/>
        <filter val="3"/>
        <filter val="30"/>
        <filter val="32"/>
        <filter val="34"/>
        <filter val="363"/>
        <filter val="365"/>
        <filter val="37"/>
        <filter val="370"/>
        <filter val="4"/>
        <filter val="40"/>
        <filter val="45"/>
        <filter val="450"/>
        <filter val="5"/>
        <filter val="500"/>
        <filter val="53"/>
        <filter val="58"/>
        <filter val="595"/>
        <filter val="6"/>
        <filter val="60"/>
        <filter val="61"/>
        <filter val="62"/>
        <filter val="63"/>
        <filter val="640"/>
        <filter val="67"/>
        <filter val="7"/>
        <filter val="700"/>
        <filter val="740"/>
        <filter val="75"/>
        <filter val="8"/>
        <filter val="820"/>
        <filter val="85"/>
        <filter val="Tồn_x000a_ĐL_x000a__x000a_現在庫"/>
      </filters>
    </filterColumn>
  </autoFilter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F46C0-538C-4986-80CD-1E047530F793}">
  <sheetPr filterMode="1"/>
  <dimension ref="A1:E162"/>
  <sheetViews>
    <sheetView tabSelected="1" workbookViewId="0">
      <pane xSplit="1" ySplit="2" topLeftCell="B138" activePane="bottomRight" state="frozen"/>
      <selection pane="topRight" activeCell="B1" sqref="B1"/>
      <selection pane="bottomLeft" activeCell="A3" sqref="A3"/>
      <selection pane="bottomRight" activeCell="E162" sqref="E162"/>
    </sheetView>
  </sheetViews>
  <sheetFormatPr defaultRowHeight="15.6" x14ac:dyDescent="0.3"/>
  <cols>
    <col min="1" max="1" width="27.77734375" style="32" bestFit="1" customWidth="1"/>
    <col min="2" max="2" width="12.109375" style="32" bestFit="1" customWidth="1"/>
    <col min="3" max="3" width="8.88671875" style="32"/>
    <col min="4" max="4" width="15.5546875" style="38" bestFit="1" customWidth="1"/>
    <col min="5" max="5" width="17" style="32" bestFit="1" customWidth="1"/>
    <col min="6" max="16384" width="8.88671875" style="32"/>
  </cols>
  <sheetData>
    <row r="1" spans="1:5" ht="62.4" x14ac:dyDescent="0.3">
      <c r="A1" s="35" t="s">
        <v>127</v>
      </c>
      <c r="B1" s="16" t="s">
        <v>1</v>
      </c>
      <c r="C1" s="15" t="s">
        <v>137</v>
      </c>
      <c r="D1" s="31" t="s">
        <v>140</v>
      </c>
      <c r="E1" s="31" t="s">
        <v>141</v>
      </c>
    </row>
    <row r="2" spans="1:5" hidden="1" x14ac:dyDescent="0.3">
      <c r="A2" s="12" t="s">
        <v>2</v>
      </c>
      <c r="B2" s="12" t="s">
        <v>3</v>
      </c>
      <c r="C2" s="33">
        <v>0</v>
      </c>
      <c r="D2" s="34"/>
      <c r="E2" s="34"/>
    </row>
    <row r="3" spans="1:5" x14ac:dyDescent="0.3">
      <c r="A3" s="12" t="s">
        <v>4</v>
      </c>
      <c r="B3" s="12" t="s">
        <v>3</v>
      </c>
      <c r="C3" s="33">
        <v>570</v>
      </c>
      <c r="D3" s="37">
        <v>5000</v>
      </c>
      <c r="E3" s="36">
        <f>+D3*C3</f>
        <v>2850000</v>
      </c>
    </row>
    <row r="4" spans="1:5" x14ac:dyDescent="0.3">
      <c r="A4" s="12" t="s">
        <v>5</v>
      </c>
      <c r="B4" s="12" t="s">
        <v>3</v>
      </c>
      <c r="C4" s="33">
        <v>1320</v>
      </c>
      <c r="D4" s="37">
        <f>VLOOKUP(A4,'30.1'!A3:D109,4,0)</f>
        <v>6000</v>
      </c>
      <c r="E4" s="36">
        <f>+D4*C4</f>
        <v>7920000</v>
      </c>
    </row>
    <row r="5" spans="1:5" hidden="1" x14ac:dyDescent="0.3">
      <c r="A5" s="12" t="s">
        <v>119</v>
      </c>
      <c r="B5" s="12" t="s">
        <v>3</v>
      </c>
      <c r="C5" s="33">
        <v>0</v>
      </c>
      <c r="D5" s="34"/>
      <c r="E5" s="34"/>
    </row>
    <row r="6" spans="1:5" x14ac:dyDescent="0.3">
      <c r="A6" s="12" t="s">
        <v>6</v>
      </c>
      <c r="B6" s="12" t="s">
        <v>3</v>
      </c>
      <c r="C6" s="33">
        <v>48</v>
      </c>
      <c r="D6" s="37">
        <f>VLOOKUP(A6,'30.1'!A5:D111,4,0)</f>
        <v>9500</v>
      </c>
      <c r="E6" s="36">
        <f t="shared" ref="E6:E9" si="0">+D6*C6</f>
        <v>456000</v>
      </c>
    </row>
    <row r="7" spans="1:5" x14ac:dyDescent="0.3">
      <c r="A7" s="12" t="s">
        <v>7</v>
      </c>
      <c r="B7" s="12" t="s">
        <v>3</v>
      </c>
      <c r="C7" s="33">
        <v>848</v>
      </c>
      <c r="D7" s="37">
        <f>VLOOKUP(A7,'30.1'!A6:D112,4,0)</f>
        <v>11000</v>
      </c>
      <c r="E7" s="36">
        <f t="shared" si="0"/>
        <v>9328000</v>
      </c>
    </row>
    <row r="8" spans="1:5" x14ac:dyDescent="0.3">
      <c r="A8" s="12" t="s">
        <v>111</v>
      </c>
      <c r="B8" s="12" t="s">
        <v>3</v>
      </c>
      <c r="C8" s="33">
        <v>1</v>
      </c>
      <c r="D8" s="37">
        <f>VLOOKUP(A8,'30.1'!A7:D113,4,0)</f>
        <v>15000</v>
      </c>
      <c r="E8" s="36">
        <f t="shared" si="0"/>
        <v>15000</v>
      </c>
    </row>
    <row r="9" spans="1:5" x14ac:dyDescent="0.3">
      <c r="A9" s="12" t="s">
        <v>8</v>
      </c>
      <c r="B9" s="12" t="s">
        <v>3</v>
      </c>
      <c r="C9" s="33">
        <v>349</v>
      </c>
      <c r="D9" s="37">
        <f>VLOOKUP(A9,'30.1'!A8:D114,4,0)</f>
        <v>13000</v>
      </c>
      <c r="E9" s="36">
        <f t="shared" si="0"/>
        <v>4537000</v>
      </c>
    </row>
    <row r="10" spans="1:5" hidden="1" x14ac:dyDescent="0.3">
      <c r="A10" s="12" t="s">
        <v>8</v>
      </c>
      <c r="B10" s="12" t="s">
        <v>9</v>
      </c>
      <c r="C10" s="33">
        <v>0</v>
      </c>
      <c r="D10" s="34"/>
      <c r="E10" s="34"/>
    </row>
    <row r="11" spans="1:5" x14ac:dyDescent="0.3">
      <c r="A11" s="12" t="s">
        <v>10</v>
      </c>
      <c r="B11" s="12" t="s">
        <v>3</v>
      </c>
      <c r="C11" s="33">
        <v>110</v>
      </c>
      <c r="D11" s="37">
        <f>VLOOKUP(A11,'30.1'!A10:D116,4,0)</f>
        <v>15000</v>
      </c>
      <c r="E11" s="36">
        <f>+D11*C11</f>
        <v>1650000</v>
      </c>
    </row>
    <row r="12" spans="1:5" hidden="1" x14ac:dyDescent="0.3">
      <c r="A12" s="12" t="s">
        <v>10</v>
      </c>
      <c r="B12" s="12" t="s">
        <v>9</v>
      </c>
      <c r="C12" s="33">
        <v>0</v>
      </c>
      <c r="D12" s="34"/>
      <c r="E12" s="34"/>
    </row>
    <row r="13" spans="1:5" hidden="1" x14ac:dyDescent="0.3">
      <c r="A13" s="12" t="s">
        <v>11</v>
      </c>
      <c r="B13" s="12" t="s">
        <v>3</v>
      </c>
      <c r="C13" s="33">
        <v>0</v>
      </c>
      <c r="D13" s="34"/>
      <c r="E13" s="34"/>
    </row>
    <row r="14" spans="1:5" hidden="1" x14ac:dyDescent="0.3">
      <c r="A14" s="12" t="s">
        <v>12</v>
      </c>
      <c r="B14" s="12" t="s">
        <v>3</v>
      </c>
      <c r="C14" s="33">
        <v>0</v>
      </c>
      <c r="D14" s="34"/>
      <c r="E14" s="34"/>
    </row>
    <row r="15" spans="1:5" hidden="1" x14ac:dyDescent="0.3">
      <c r="A15" s="12" t="s">
        <v>13</v>
      </c>
      <c r="B15" s="12" t="s">
        <v>3</v>
      </c>
      <c r="C15" s="33">
        <v>0</v>
      </c>
      <c r="D15" s="34"/>
      <c r="E15" s="34"/>
    </row>
    <row r="16" spans="1:5" hidden="1" x14ac:dyDescent="0.3">
      <c r="A16" s="12" t="s">
        <v>14</v>
      </c>
      <c r="B16" s="12" t="s">
        <v>3</v>
      </c>
      <c r="C16" s="33">
        <v>0</v>
      </c>
      <c r="D16" s="34"/>
      <c r="E16" s="34"/>
    </row>
    <row r="17" spans="1:5" x14ac:dyDescent="0.3">
      <c r="A17" s="12" t="s">
        <v>15</v>
      </c>
      <c r="B17" s="12" t="s">
        <v>3</v>
      </c>
      <c r="C17" s="33">
        <v>100</v>
      </c>
      <c r="D17" s="37">
        <f>VLOOKUP(A17,'30.1'!A16:D122,4,0)</f>
        <v>25000</v>
      </c>
      <c r="E17" s="36">
        <f t="shared" ref="E17:E19" si="1">+D17*C17</f>
        <v>2500000</v>
      </c>
    </row>
    <row r="18" spans="1:5" x14ac:dyDescent="0.3">
      <c r="A18" s="12" t="s">
        <v>16</v>
      </c>
      <c r="B18" s="12" t="s">
        <v>17</v>
      </c>
      <c r="C18" s="33">
        <v>29</v>
      </c>
      <c r="D18" s="37">
        <f>VLOOKUP(A18,'30.1'!A17:D123,4,0)</f>
        <v>25000</v>
      </c>
      <c r="E18" s="36">
        <f t="shared" si="1"/>
        <v>725000</v>
      </c>
    </row>
    <row r="19" spans="1:5" x14ac:dyDescent="0.3">
      <c r="A19" s="12" t="s">
        <v>18</v>
      </c>
      <c r="B19" s="12" t="s">
        <v>3</v>
      </c>
      <c r="C19" s="33">
        <v>497</v>
      </c>
      <c r="D19" s="37">
        <f>VLOOKUP(A19,'30.1'!A18:D124,4,0)</f>
        <v>22000</v>
      </c>
      <c r="E19" s="36">
        <f t="shared" si="1"/>
        <v>10934000</v>
      </c>
    </row>
    <row r="20" spans="1:5" hidden="1" x14ac:dyDescent="0.3">
      <c r="A20" s="12" t="s">
        <v>18</v>
      </c>
      <c r="B20" s="12" t="s">
        <v>17</v>
      </c>
      <c r="C20" s="33">
        <v>0</v>
      </c>
      <c r="D20" s="34"/>
      <c r="E20" s="34"/>
    </row>
    <row r="21" spans="1:5" hidden="1" x14ac:dyDescent="0.3">
      <c r="A21" s="12" t="s">
        <v>18</v>
      </c>
      <c r="B21" s="12" t="s">
        <v>19</v>
      </c>
      <c r="C21" s="33">
        <v>0</v>
      </c>
      <c r="D21" s="34"/>
      <c r="E21" s="34"/>
    </row>
    <row r="22" spans="1:5" x14ac:dyDescent="0.3">
      <c r="A22" s="12" t="s">
        <v>20</v>
      </c>
      <c r="B22" s="12" t="s">
        <v>3</v>
      </c>
      <c r="C22" s="33">
        <v>95</v>
      </c>
      <c r="D22" s="37">
        <f>VLOOKUP(A22,'30.1'!A21:D127,4,0)</f>
        <v>17000</v>
      </c>
      <c r="E22" s="36">
        <f>+D22*C22</f>
        <v>1615000</v>
      </c>
    </row>
    <row r="23" spans="1:5" hidden="1" x14ac:dyDescent="0.3">
      <c r="A23" s="12" t="s">
        <v>20</v>
      </c>
      <c r="B23" s="12" t="s">
        <v>21</v>
      </c>
      <c r="C23" s="33">
        <v>0</v>
      </c>
      <c r="D23" s="34"/>
      <c r="E23" s="34"/>
    </row>
    <row r="24" spans="1:5" hidden="1" x14ac:dyDescent="0.3">
      <c r="A24" s="12" t="s">
        <v>22</v>
      </c>
      <c r="B24" s="12" t="s">
        <v>3</v>
      </c>
      <c r="C24" s="33">
        <v>0</v>
      </c>
      <c r="D24" s="34"/>
      <c r="E24" s="34"/>
    </row>
    <row r="25" spans="1:5" x14ac:dyDescent="0.3">
      <c r="A25" s="12" t="s">
        <v>22</v>
      </c>
      <c r="B25" s="12" t="s">
        <v>23</v>
      </c>
      <c r="C25" s="33">
        <v>190</v>
      </c>
      <c r="D25" s="37">
        <f>VLOOKUP(A25,'30.1'!A24:D130,4,0)</f>
        <v>5400</v>
      </c>
      <c r="E25" s="36">
        <f t="shared" ref="E25:E26" si="2">+D25*C25</f>
        <v>1026000</v>
      </c>
    </row>
    <row r="26" spans="1:5" x14ac:dyDescent="0.3">
      <c r="A26" s="12" t="s">
        <v>24</v>
      </c>
      <c r="B26" s="12" t="s">
        <v>25</v>
      </c>
      <c r="C26" s="33">
        <v>20</v>
      </c>
      <c r="D26" s="37">
        <f>VLOOKUP(A26,'30.1'!A25:D131,4,0)</f>
        <v>12000</v>
      </c>
      <c r="E26" s="36">
        <f t="shared" si="2"/>
        <v>240000</v>
      </c>
    </row>
    <row r="27" spans="1:5" hidden="1" x14ac:dyDescent="0.3">
      <c r="A27" s="12" t="s">
        <v>26</v>
      </c>
      <c r="B27" s="12" t="s">
        <v>3</v>
      </c>
      <c r="C27" s="33">
        <v>0</v>
      </c>
      <c r="D27" s="34"/>
      <c r="E27" s="34"/>
    </row>
    <row r="28" spans="1:5" x14ac:dyDescent="0.3">
      <c r="A28" s="12" t="s">
        <v>26</v>
      </c>
      <c r="B28" s="12" t="s">
        <v>27</v>
      </c>
      <c r="C28" s="33">
        <v>12</v>
      </c>
      <c r="D28" s="37">
        <v>11000</v>
      </c>
      <c r="E28" s="36">
        <f>+D28*C28</f>
        <v>132000</v>
      </c>
    </row>
    <row r="29" spans="1:5" hidden="1" x14ac:dyDescent="0.3">
      <c r="A29" s="12" t="s">
        <v>28</v>
      </c>
      <c r="B29" s="12" t="s">
        <v>3</v>
      </c>
      <c r="C29" s="33">
        <v>0</v>
      </c>
      <c r="D29" s="34"/>
      <c r="E29" s="34"/>
    </row>
    <row r="30" spans="1:5" hidden="1" x14ac:dyDescent="0.3">
      <c r="A30" s="12" t="s">
        <v>28</v>
      </c>
      <c r="B30" s="12" t="s">
        <v>17</v>
      </c>
      <c r="C30" s="33">
        <v>0</v>
      </c>
      <c r="D30" s="34"/>
      <c r="E30" s="34"/>
    </row>
    <row r="31" spans="1:5" x14ac:dyDescent="0.3">
      <c r="A31" s="12" t="s">
        <v>29</v>
      </c>
      <c r="B31" s="12" t="s">
        <v>30</v>
      </c>
      <c r="C31" s="33">
        <v>400</v>
      </c>
      <c r="D31" s="37">
        <f>VLOOKUP(A31,'30.1'!A30:D136,4,0)</f>
        <v>13000</v>
      </c>
      <c r="E31" s="36">
        <f t="shared" ref="E31:E32" si="3">+D31*C31</f>
        <v>5200000</v>
      </c>
    </row>
    <row r="32" spans="1:5" x14ac:dyDescent="0.3">
      <c r="A32" s="12" t="s">
        <v>31</v>
      </c>
      <c r="B32" s="12" t="s">
        <v>3</v>
      </c>
      <c r="C32" s="33">
        <v>216</v>
      </c>
      <c r="D32" s="37">
        <f>VLOOKUP(A32,'30.1'!A31:D137,4,0)</f>
        <v>10000</v>
      </c>
      <c r="E32" s="36">
        <f t="shared" si="3"/>
        <v>2160000</v>
      </c>
    </row>
    <row r="33" spans="1:5" hidden="1" x14ac:dyDescent="0.3">
      <c r="A33" s="12" t="s">
        <v>31</v>
      </c>
      <c r="B33" s="12" t="s">
        <v>30</v>
      </c>
      <c r="C33" s="33">
        <v>0</v>
      </c>
      <c r="D33" s="34"/>
      <c r="E33" s="34"/>
    </row>
    <row r="34" spans="1:5" hidden="1" x14ac:dyDescent="0.3">
      <c r="A34" s="12" t="s">
        <v>32</v>
      </c>
      <c r="B34" s="12" t="s">
        <v>3</v>
      </c>
      <c r="C34" s="33">
        <v>0</v>
      </c>
      <c r="D34" s="34"/>
      <c r="E34" s="34"/>
    </row>
    <row r="35" spans="1:5" hidden="1" x14ac:dyDescent="0.3">
      <c r="A35" s="12" t="s">
        <v>32</v>
      </c>
      <c r="B35" s="12" t="s">
        <v>17</v>
      </c>
      <c r="C35" s="33">
        <v>0</v>
      </c>
      <c r="D35" s="34"/>
      <c r="E35" s="34"/>
    </row>
    <row r="36" spans="1:5" x14ac:dyDescent="0.3">
      <c r="A36" s="12" t="s">
        <v>33</v>
      </c>
      <c r="B36" s="12" t="s">
        <v>3</v>
      </c>
      <c r="C36" s="33">
        <v>208</v>
      </c>
      <c r="D36" s="37">
        <v>8000</v>
      </c>
      <c r="E36" s="36">
        <f>+D36*C36</f>
        <v>1664000</v>
      </c>
    </row>
    <row r="37" spans="1:5" hidden="1" x14ac:dyDescent="0.3">
      <c r="A37" s="12" t="s">
        <v>33</v>
      </c>
      <c r="B37" s="12" t="s">
        <v>34</v>
      </c>
      <c r="C37" s="33">
        <v>0</v>
      </c>
      <c r="D37" s="34"/>
      <c r="E37" s="34"/>
    </row>
    <row r="38" spans="1:5" x14ac:dyDescent="0.3">
      <c r="A38" s="12" t="s">
        <v>35</v>
      </c>
      <c r="B38" s="12" t="s">
        <v>3</v>
      </c>
      <c r="C38" s="33">
        <v>22</v>
      </c>
      <c r="D38" s="37">
        <v>22000</v>
      </c>
      <c r="E38" s="36">
        <f>+D38*C38</f>
        <v>484000</v>
      </c>
    </row>
    <row r="39" spans="1:5" hidden="1" x14ac:dyDescent="0.3">
      <c r="A39" s="12" t="s">
        <v>35</v>
      </c>
      <c r="B39" s="12" t="s">
        <v>30</v>
      </c>
      <c r="C39" s="33">
        <v>0</v>
      </c>
      <c r="D39" s="34"/>
      <c r="E39" s="34"/>
    </row>
    <row r="40" spans="1:5" hidden="1" x14ac:dyDescent="0.3">
      <c r="A40" s="12" t="s">
        <v>36</v>
      </c>
      <c r="B40" s="12" t="s">
        <v>3</v>
      </c>
      <c r="C40" s="33">
        <v>0</v>
      </c>
      <c r="D40" s="34"/>
      <c r="E40" s="34"/>
    </row>
    <row r="41" spans="1:5" x14ac:dyDescent="0.3">
      <c r="A41" s="12" t="s">
        <v>36</v>
      </c>
      <c r="B41" s="12" t="s">
        <v>30</v>
      </c>
      <c r="C41" s="33">
        <v>31</v>
      </c>
      <c r="D41" s="37">
        <v>8000</v>
      </c>
      <c r="E41" s="36">
        <f t="shared" ref="E41:E43" si="4">+D41*C41</f>
        <v>248000</v>
      </c>
    </row>
    <row r="42" spans="1:5" x14ac:dyDescent="0.3">
      <c r="A42" s="12" t="s">
        <v>37</v>
      </c>
      <c r="B42" s="12" t="s">
        <v>3</v>
      </c>
      <c r="C42" s="33">
        <v>10</v>
      </c>
      <c r="D42" s="37">
        <f>VLOOKUP(A42,'[2]SỔ CHI TIẾT MUA HÀNG'!$A$5:$D$65,4,0)</f>
        <v>7500</v>
      </c>
      <c r="E42" s="36">
        <f t="shared" si="4"/>
        <v>75000</v>
      </c>
    </row>
    <row r="43" spans="1:5" x14ac:dyDescent="0.3">
      <c r="A43" s="12" t="s">
        <v>37</v>
      </c>
      <c r="B43" s="12" t="s">
        <v>30</v>
      </c>
      <c r="C43" s="33">
        <v>32</v>
      </c>
      <c r="D43" s="37">
        <f>VLOOKUP(A43,'[2]SỔ CHI TIẾT MUA HÀNG'!$A$5:$D$65,4,0)</f>
        <v>7500</v>
      </c>
      <c r="E43" s="36">
        <f t="shared" si="4"/>
        <v>240000</v>
      </c>
    </row>
    <row r="44" spans="1:5" hidden="1" x14ac:dyDescent="0.3">
      <c r="A44" s="12" t="s">
        <v>38</v>
      </c>
      <c r="B44" s="12" t="s">
        <v>3</v>
      </c>
      <c r="C44" s="33">
        <v>0</v>
      </c>
      <c r="D44" s="34"/>
      <c r="E44" s="34"/>
    </row>
    <row r="45" spans="1:5" x14ac:dyDescent="0.3">
      <c r="A45" s="12" t="s">
        <v>103</v>
      </c>
      <c r="B45" s="12" t="s">
        <v>3</v>
      </c>
      <c r="C45" s="33">
        <v>12</v>
      </c>
      <c r="D45" s="37">
        <f>VLOOKUP(A45,'[2]SỔ CHI TIẾT MUA HÀNG'!$A$5:$D$65,4,0)</f>
        <v>14000</v>
      </c>
      <c r="E45" s="36">
        <f>+D45*C45</f>
        <v>168000</v>
      </c>
    </row>
    <row r="46" spans="1:5" hidden="1" x14ac:dyDescent="0.3">
      <c r="A46" s="12" t="s">
        <v>39</v>
      </c>
      <c r="B46" s="12" t="s">
        <v>40</v>
      </c>
      <c r="C46" s="33">
        <v>0</v>
      </c>
      <c r="D46" s="34"/>
      <c r="E46" s="34"/>
    </row>
    <row r="47" spans="1:5" hidden="1" x14ac:dyDescent="0.3">
      <c r="A47" s="12" t="s">
        <v>39</v>
      </c>
      <c r="B47" s="12" t="s">
        <v>3</v>
      </c>
      <c r="C47" s="33">
        <v>0</v>
      </c>
      <c r="D47" s="34"/>
      <c r="E47" s="34"/>
    </row>
    <row r="48" spans="1:5" x14ac:dyDescent="0.3">
      <c r="A48" s="12" t="s">
        <v>41</v>
      </c>
      <c r="B48" s="12" t="s">
        <v>3</v>
      </c>
      <c r="C48" s="33">
        <v>44</v>
      </c>
      <c r="D48" s="37">
        <v>14000</v>
      </c>
      <c r="E48" s="36">
        <f t="shared" ref="E48:E49" si="5">+D48*C48</f>
        <v>616000</v>
      </c>
    </row>
    <row r="49" spans="1:5" x14ac:dyDescent="0.3">
      <c r="A49" s="12" t="s">
        <v>42</v>
      </c>
      <c r="B49" s="12" t="s">
        <v>25</v>
      </c>
      <c r="C49" s="33">
        <v>29</v>
      </c>
      <c r="D49" s="37">
        <v>11000</v>
      </c>
      <c r="E49" s="36">
        <f t="shared" si="5"/>
        <v>319000</v>
      </c>
    </row>
    <row r="50" spans="1:5" hidden="1" x14ac:dyDescent="0.3">
      <c r="A50" s="12" t="s">
        <v>42</v>
      </c>
      <c r="B50" s="12" t="s">
        <v>3</v>
      </c>
      <c r="C50" s="33">
        <v>0</v>
      </c>
      <c r="D50" s="34"/>
      <c r="E50" s="34"/>
    </row>
    <row r="51" spans="1:5" x14ac:dyDescent="0.3">
      <c r="A51" s="12" t="s">
        <v>43</v>
      </c>
      <c r="B51" s="12" t="s">
        <v>3</v>
      </c>
      <c r="C51" s="33">
        <v>2</v>
      </c>
      <c r="D51" s="37">
        <v>16000</v>
      </c>
      <c r="E51" s="36">
        <f t="shared" ref="E51:E53" si="6">+D51*C51</f>
        <v>32000</v>
      </c>
    </row>
    <row r="52" spans="1:5" x14ac:dyDescent="0.3">
      <c r="A52" s="12" t="s">
        <v>44</v>
      </c>
      <c r="B52" s="12" t="s">
        <v>3</v>
      </c>
      <c r="C52" s="33">
        <v>37</v>
      </c>
      <c r="D52" s="37">
        <f>VLOOKUP(A52,'[2]SỔ CHI TIẾT MUA HÀNG'!$A$5:$D$65,4,0)</f>
        <v>6500</v>
      </c>
      <c r="E52" s="36">
        <f t="shared" si="6"/>
        <v>240500</v>
      </c>
    </row>
    <row r="53" spans="1:5" x14ac:dyDescent="0.3">
      <c r="A53" s="12" t="s">
        <v>45</v>
      </c>
      <c r="B53" s="12" t="s">
        <v>3</v>
      </c>
      <c r="C53" s="33">
        <v>99</v>
      </c>
      <c r="D53" s="37">
        <f>VLOOKUP(A53,'[2]SỔ CHI TIẾT MUA HÀNG'!$A$5:$D$65,4,0)</f>
        <v>11000</v>
      </c>
      <c r="E53" s="36">
        <f t="shared" si="6"/>
        <v>1089000</v>
      </c>
    </row>
    <row r="54" spans="1:5" hidden="1" x14ac:dyDescent="0.3">
      <c r="A54" s="12" t="s">
        <v>45</v>
      </c>
      <c r="B54" s="12" t="s">
        <v>30</v>
      </c>
      <c r="C54" s="33">
        <v>0</v>
      </c>
      <c r="D54" s="34"/>
      <c r="E54" s="34"/>
    </row>
    <row r="55" spans="1:5" x14ac:dyDescent="0.3">
      <c r="A55" s="12" t="s">
        <v>46</v>
      </c>
      <c r="B55" s="12" t="s">
        <v>3</v>
      </c>
      <c r="C55" s="33">
        <v>10</v>
      </c>
      <c r="D55" s="37">
        <f>VLOOKUP(A55,'[2]SỔ CHI TIẾT MUA HÀNG'!$A$5:$D$65,4,0)</f>
        <v>18000</v>
      </c>
      <c r="E55" s="36">
        <f t="shared" ref="E55:E56" si="7">+D55*C55</f>
        <v>180000</v>
      </c>
    </row>
    <row r="56" spans="1:5" x14ac:dyDescent="0.3">
      <c r="A56" s="12" t="s">
        <v>47</v>
      </c>
      <c r="B56" s="12" t="s">
        <v>3</v>
      </c>
      <c r="C56" s="33">
        <v>602</v>
      </c>
      <c r="D56" s="37">
        <v>10000</v>
      </c>
      <c r="E56" s="36">
        <f t="shared" si="7"/>
        <v>6020000</v>
      </c>
    </row>
    <row r="57" spans="1:5" hidden="1" x14ac:dyDescent="0.3">
      <c r="A57" s="12" t="s">
        <v>47</v>
      </c>
      <c r="B57" s="12" t="s">
        <v>48</v>
      </c>
      <c r="C57" s="33">
        <v>0</v>
      </c>
      <c r="D57" s="34"/>
      <c r="E57" s="34"/>
    </row>
    <row r="58" spans="1:5" x14ac:dyDescent="0.3">
      <c r="A58" s="12" t="s">
        <v>50</v>
      </c>
      <c r="B58" s="12" t="s">
        <v>3</v>
      </c>
      <c r="C58" s="33">
        <v>260</v>
      </c>
      <c r="D58" s="37">
        <v>2100</v>
      </c>
      <c r="E58" s="36">
        <f>+D58*C58</f>
        <v>546000</v>
      </c>
    </row>
    <row r="59" spans="1:5" hidden="1" x14ac:dyDescent="0.3">
      <c r="A59" s="12" t="s">
        <v>50</v>
      </c>
      <c r="B59" s="12" t="s">
        <v>30</v>
      </c>
      <c r="C59" s="33">
        <v>0</v>
      </c>
      <c r="D59" s="34"/>
      <c r="E59" s="34"/>
    </row>
    <row r="60" spans="1:5" x14ac:dyDescent="0.3">
      <c r="A60" s="12" t="s">
        <v>51</v>
      </c>
      <c r="B60" s="12" t="s">
        <v>3</v>
      </c>
      <c r="C60" s="33">
        <v>550</v>
      </c>
      <c r="D60" s="37">
        <v>28000</v>
      </c>
      <c r="E60" s="36">
        <f t="shared" ref="E60:E61" si="8">+D60*C60</f>
        <v>15400000</v>
      </c>
    </row>
    <row r="61" spans="1:5" x14ac:dyDescent="0.3">
      <c r="A61" s="12" t="s">
        <v>52</v>
      </c>
      <c r="B61" s="12" t="s">
        <v>3</v>
      </c>
      <c r="C61" s="33">
        <v>2164</v>
      </c>
      <c r="D61" s="37">
        <v>27000</v>
      </c>
      <c r="E61" s="36">
        <f t="shared" si="8"/>
        <v>58428000</v>
      </c>
    </row>
    <row r="62" spans="1:5" hidden="1" x14ac:dyDescent="0.3">
      <c r="A62" s="12" t="s">
        <v>52</v>
      </c>
      <c r="B62" s="12" t="s">
        <v>30</v>
      </c>
      <c r="C62" s="33">
        <v>0</v>
      </c>
      <c r="D62" s="34"/>
      <c r="E62" s="34"/>
    </row>
    <row r="63" spans="1:5" x14ac:dyDescent="0.3">
      <c r="A63" s="12" t="s">
        <v>167</v>
      </c>
      <c r="B63" s="12" t="s">
        <v>3</v>
      </c>
      <c r="C63" s="33">
        <v>450</v>
      </c>
      <c r="D63" s="37">
        <v>27000</v>
      </c>
      <c r="E63" s="36">
        <f t="shared" ref="E63:E65" si="9">+D63*C63</f>
        <v>12150000</v>
      </c>
    </row>
    <row r="64" spans="1:5" x14ac:dyDescent="0.3">
      <c r="A64" s="12" t="s">
        <v>54</v>
      </c>
      <c r="B64" s="12" t="s">
        <v>3</v>
      </c>
      <c r="C64" s="33">
        <v>136</v>
      </c>
      <c r="D64" s="37">
        <f>VLOOKUP(A64,'[2]SỔ CHI TIẾT MUA HÀNG'!$A$5:$D$65,4,0)</f>
        <v>18000</v>
      </c>
      <c r="E64" s="36">
        <f t="shared" si="9"/>
        <v>2448000</v>
      </c>
    </row>
    <row r="65" spans="1:5" x14ac:dyDescent="0.3">
      <c r="A65" s="12" t="s">
        <v>55</v>
      </c>
      <c r="B65" s="12" t="s">
        <v>3</v>
      </c>
      <c r="C65" s="33">
        <v>7</v>
      </c>
      <c r="D65" s="37">
        <v>18000</v>
      </c>
      <c r="E65" s="36">
        <f t="shared" si="9"/>
        <v>126000</v>
      </c>
    </row>
    <row r="66" spans="1:5" hidden="1" x14ac:dyDescent="0.3">
      <c r="A66" s="12" t="s">
        <v>56</v>
      </c>
      <c r="B66" s="12" t="s">
        <v>3</v>
      </c>
      <c r="C66" s="33">
        <v>0</v>
      </c>
      <c r="D66" s="34"/>
      <c r="E66" s="34"/>
    </row>
    <row r="67" spans="1:5" hidden="1" x14ac:dyDescent="0.3">
      <c r="A67" s="12" t="s">
        <v>57</v>
      </c>
      <c r="B67" s="12" t="s">
        <v>3</v>
      </c>
      <c r="C67" s="33">
        <v>0</v>
      </c>
      <c r="D67" s="34"/>
      <c r="E67" s="34"/>
    </row>
    <row r="68" spans="1:5" hidden="1" x14ac:dyDescent="0.3">
      <c r="A68" s="12" t="s">
        <v>57</v>
      </c>
      <c r="B68" s="12" t="s">
        <v>30</v>
      </c>
      <c r="C68" s="33">
        <v>0</v>
      </c>
      <c r="D68" s="34"/>
      <c r="E68" s="34"/>
    </row>
    <row r="69" spans="1:5" hidden="1" x14ac:dyDescent="0.3">
      <c r="A69" s="12" t="s">
        <v>58</v>
      </c>
      <c r="B69" s="12" t="s">
        <v>3</v>
      </c>
      <c r="C69" s="33">
        <v>0</v>
      </c>
      <c r="D69" s="34"/>
      <c r="E69" s="34"/>
    </row>
    <row r="70" spans="1:5" hidden="1" x14ac:dyDescent="0.3">
      <c r="A70" s="12" t="s">
        <v>59</v>
      </c>
      <c r="B70" s="12" t="s">
        <v>3</v>
      </c>
      <c r="C70" s="33">
        <v>0</v>
      </c>
      <c r="D70" s="34"/>
      <c r="E70" s="34"/>
    </row>
    <row r="71" spans="1:5" hidden="1" x14ac:dyDescent="0.3">
      <c r="A71" s="12" t="s">
        <v>59</v>
      </c>
      <c r="B71" s="12" t="s">
        <v>30</v>
      </c>
      <c r="C71" s="33">
        <v>0</v>
      </c>
      <c r="D71" s="34"/>
      <c r="E71" s="34"/>
    </row>
    <row r="72" spans="1:5" x14ac:dyDescent="0.3">
      <c r="A72" s="12" t="s">
        <v>60</v>
      </c>
      <c r="B72" s="12" t="s">
        <v>30</v>
      </c>
      <c r="C72" s="33">
        <v>180</v>
      </c>
      <c r="D72" s="37">
        <v>7000</v>
      </c>
      <c r="E72" s="36">
        <f>+D72*C72</f>
        <v>1260000</v>
      </c>
    </row>
    <row r="73" spans="1:5" hidden="1" x14ac:dyDescent="0.3">
      <c r="A73" s="12" t="s">
        <v>61</v>
      </c>
      <c r="B73" s="12" t="s">
        <v>3</v>
      </c>
      <c r="C73" s="33">
        <v>0</v>
      </c>
      <c r="D73" s="34"/>
      <c r="E73" s="34"/>
    </row>
    <row r="74" spans="1:5" x14ac:dyDescent="0.3">
      <c r="A74" s="12" t="s">
        <v>62</v>
      </c>
      <c r="B74" s="12" t="s">
        <v>30</v>
      </c>
      <c r="C74" s="33">
        <v>24</v>
      </c>
      <c r="D74" s="37">
        <f>VLOOKUP(A74,'[2]SỔ CHI TIẾT MUA HÀNG'!$A$5:$D$65,4,0)</f>
        <v>11000</v>
      </c>
      <c r="E74" s="36">
        <f>+D74*C74</f>
        <v>264000</v>
      </c>
    </row>
    <row r="75" spans="1:5" hidden="1" x14ac:dyDescent="0.3">
      <c r="A75" s="12" t="s">
        <v>63</v>
      </c>
      <c r="B75" s="12" t="s">
        <v>3</v>
      </c>
      <c r="C75" s="33">
        <v>0</v>
      </c>
      <c r="D75" s="34"/>
      <c r="E75" s="34"/>
    </row>
    <row r="76" spans="1:5" x14ac:dyDescent="0.3">
      <c r="A76" s="12" t="s">
        <v>63</v>
      </c>
      <c r="B76" s="12" t="s">
        <v>64</v>
      </c>
      <c r="C76" s="33">
        <v>120</v>
      </c>
      <c r="D76" s="37">
        <f>VLOOKUP(A76,'[2]SỔ CHI TIẾT MUA HÀNG'!$A$5:$D$65,4,0)</f>
        <v>13000</v>
      </c>
      <c r="E76" s="36">
        <f t="shared" ref="E76:E77" si="10">+D76*C76</f>
        <v>1560000</v>
      </c>
    </row>
    <row r="77" spans="1:5" x14ac:dyDescent="0.3">
      <c r="A77" s="12" t="s">
        <v>65</v>
      </c>
      <c r="B77" s="12" t="s">
        <v>3</v>
      </c>
      <c r="C77" s="33">
        <v>3</v>
      </c>
      <c r="D77" s="37">
        <v>80000</v>
      </c>
      <c r="E77" s="36">
        <f t="shared" si="10"/>
        <v>240000</v>
      </c>
    </row>
    <row r="78" spans="1:5" hidden="1" x14ac:dyDescent="0.3">
      <c r="A78" s="12" t="s">
        <v>112</v>
      </c>
      <c r="B78" s="12" t="s">
        <v>3</v>
      </c>
      <c r="C78" s="33">
        <v>0</v>
      </c>
      <c r="D78" s="34"/>
      <c r="E78" s="34"/>
    </row>
    <row r="79" spans="1:5" x14ac:dyDescent="0.3">
      <c r="A79" s="12" t="s">
        <v>66</v>
      </c>
      <c r="B79" s="12" t="s">
        <v>3</v>
      </c>
      <c r="C79" s="33">
        <v>3</v>
      </c>
      <c r="D79" s="37">
        <v>70000</v>
      </c>
      <c r="E79" s="36">
        <f t="shared" ref="E79:E82" si="11">+D79*C79</f>
        <v>210000</v>
      </c>
    </row>
    <row r="80" spans="1:5" x14ac:dyDescent="0.3">
      <c r="A80" s="12" t="s">
        <v>67</v>
      </c>
      <c r="B80" s="12" t="s">
        <v>3</v>
      </c>
      <c r="C80" s="33">
        <v>3</v>
      </c>
      <c r="D80" s="37">
        <v>70000</v>
      </c>
      <c r="E80" s="36">
        <f t="shared" si="11"/>
        <v>210000</v>
      </c>
    </row>
    <row r="81" spans="1:5" x14ac:dyDescent="0.3">
      <c r="A81" s="12" t="s">
        <v>68</v>
      </c>
      <c r="B81" s="12" t="s">
        <v>3</v>
      </c>
      <c r="C81" s="33">
        <v>100</v>
      </c>
      <c r="D81" s="37">
        <f>VLOOKUP(A81,'[2]SỔ CHI TIẾT MUA HÀNG'!$A$5:$D$65,4,0)</f>
        <v>9500</v>
      </c>
      <c r="E81" s="36">
        <f t="shared" si="11"/>
        <v>950000</v>
      </c>
    </row>
    <row r="82" spans="1:5" x14ac:dyDescent="0.3">
      <c r="A82" s="12" t="s">
        <v>68</v>
      </c>
      <c r="B82" s="12" t="s">
        <v>17</v>
      </c>
      <c r="C82" s="33">
        <v>850</v>
      </c>
      <c r="D82" s="37">
        <f>VLOOKUP(A82,'[2]SỔ CHI TIẾT MUA HÀNG'!$A$5:$D$65,4,0)</f>
        <v>9500</v>
      </c>
      <c r="E82" s="36">
        <f t="shared" si="11"/>
        <v>8075000</v>
      </c>
    </row>
    <row r="83" spans="1:5" hidden="1" x14ac:dyDescent="0.3">
      <c r="A83" s="12" t="s">
        <v>69</v>
      </c>
      <c r="B83" s="12" t="s">
        <v>3</v>
      </c>
      <c r="C83" s="33">
        <v>0</v>
      </c>
      <c r="D83" s="34"/>
      <c r="E83" s="34"/>
    </row>
    <row r="84" spans="1:5" x14ac:dyDescent="0.3">
      <c r="A84" s="12" t="s">
        <v>70</v>
      </c>
      <c r="B84" s="12" t="s">
        <v>3</v>
      </c>
      <c r="C84" s="33">
        <v>110</v>
      </c>
      <c r="D84" s="37">
        <f>VLOOKUP(A84,'[2]SỔ CHI TIẾT MUA HÀNG'!$A$5:$D$65,4,0)</f>
        <v>13000</v>
      </c>
      <c r="E84" s="36">
        <f>+D84*C84</f>
        <v>1430000</v>
      </c>
    </row>
    <row r="85" spans="1:5" hidden="1" x14ac:dyDescent="0.3">
      <c r="A85" s="12" t="s">
        <v>71</v>
      </c>
      <c r="B85" s="12" t="s">
        <v>40</v>
      </c>
      <c r="C85" s="33">
        <v>0</v>
      </c>
      <c r="D85" s="34"/>
      <c r="E85" s="34"/>
    </row>
    <row r="86" spans="1:5" x14ac:dyDescent="0.3">
      <c r="A86" s="12" t="s">
        <v>71</v>
      </c>
      <c r="B86" s="12" t="s">
        <v>3</v>
      </c>
      <c r="C86" s="33">
        <v>22</v>
      </c>
      <c r="D86" s="37">
        <f>VLOOKUP(A86,'[2]SỔ CHI TIẾT MUA HÀNG'!$A$5:$D$65,4,0)</f>
        <v>17000</v>
      </c>
      <c r="E86" s="36">
        <f>+D86*C86</f>
        <v>374000</v>
      </c>
    </row>
    <row r="87" spans="1:5" hidden="1" x14ac:dyDescent="0.3">
      <c r="A87" s="12" t="s">
        <v>71</v>
      </c>
      <c r="B87" s="12" t="s">
        <v>168</v>
      </c>
      <c r="C87" s="33">
        <v>0</v>
      </c>
      <c r="D87" s="34"/>
      <c r="E87" s="34"/>
    </row>
    <row r="88" spans="1:5" x14ac:dyDescent="0.3">
      <c r="A88" s="12" t="s">
        <v>72</v>
      </c>
      <c r="B88" s="12" t="s">
        <v>3</v>
      </c>
      <c r="C88" s="33">
        <v>820</v>
      </c>
      <c r="D88" s="37">
        <v>27600</v>
      </c>
      <c r="E88" s="36">
        <f>+D88*C88</f>
        <v>22632000</v>
      </c>
    </row>
    <row r="89" spans="1:5" hidden="1" x14ac:dyDescent="0.3">
      <c r="A89" s="12" t="s">
        <v>74</v>
      </c>
      <c r="B89" s="12" t="s">
        <v>30</v>
      </c>
      <c r="C89" s="33">
        <v>0</v>
      </c>
      <c r="D89" s="34"/>
      <c r="E89" s="34"/>
    </row>
    <row r="90" spans="1:5" x14ac:dyDescent="0.3">
      <c r="A90" s="12" t="s">
        <v>75</v>
      </c>
      <c r="B90" s="12" t="s">
        <v>3</v>
      </c>
      <c r="C90" s="33">
        <v>15</v>
      </c>
      <c r="D90" s="37">
        <f>VLOOKUP(A90,'[2]SỔ CHI TIẾT MUA HÀNG'!$A$5:$D$65,4,0)</f>
        <v>14000</v>
      </c>
      <c r="E90" s="36">
        <f>+D90*C90</f>
        <v>210000</v>
      </c>
    </row>
    <row r="91" spans="1:5" hidden="1" x14ac:dyDescent="0.3">
      <c r="A91" s="12" t="s">
        <v>76</v>
      </c>
      <c r="B91" s="12" t="s">
        <v>17</v>
      </c>
      <c r="C91" s="33">
        <v>0</v>
      </c>
      <c r="D91" s="34"/>
      <c r="E91" s="34"/>
    </row>
    <row r="92" spans="1:5" hidden="1" x14ac:dyDescent="0.3">
      <c r="A92" s="12" t="s">
        <v>77</v>
      </c>
      <c r="B92" s="12" t="s">
        <v>25</v>
      </c>
      <c r="C92" s="33">
        <v>0</v>
      </c>
      <c r="D92" s="34"/>
      <c r="E92" s="34"/>
    </row>
    <row r="93" spans="1:5" hidden="1" x14ac:dyDescent="0.3">
      <c r="A93" s="12" t="s">
        <v>77</v>
      </c>
      <c r="B93" s="12" t="s">
        <v>3</v>
      </c>
      <c r="C93" s="33">
        <v>0</v>
      </c>
      <c r="D93" s="34"/>
      <c r="E93" s="34"/>
    </row>
    <row r="94" spans="1:5" hidden="1" x14ac:dyDescent="0.3">
      <c r="A94" s="12" t="s">
        <v>78</v>
      </c>
      <c r="B94" s="12" t="s">
        <v>3</v>
      </c>
      <c r="C94" s="33">
        <v>0</v>
      </c>
      <c r="D94" s="34"/>
      <c r="E94" s="34"/>
    </row>
    <row r="95" spans="1:5" hidden="1" x14ac:dyDescent="0.3">
      <c r="A95" s="12" t="s">
        <v>78</v>
      </c>
      <c r="B95" s="12" t="s">
        <v>9</v>
      </c>
      <c r="C95" s="33">
        <v>0</v>
      </c>
      <c r="D95" s="34"/>
      <c r="E95" s="34"/>
    </row>
    <row r="96" spans="1:5" hidden="1" x14ac:dyDescent="0.3">
      <c r="A96" s="12" t="s">
        <v>80</v>
      </c>
      <c r="B96" s="12" t="s">
        <v>3</v>
      </c>
      <c r="C96" s="33">
        <v>0</v>
      </c>
      <c r="D96" s="34"/>
      <c r="E96" s="34"/>
    </row>
    <row r="97" spans="1:5" hidden="1" x14ac:dyDescent="0.3">
      <c r="A97" s="12" t="s">
        <v>80</v>
      </c>
      <c r="B97" s="12" t="s">
        <v>9</v>
      </c>
      <c r="C97" s="33">
        <v>0</v>
      </c>
      <c r="D97" s="34"/>
      <c r="E97" s="34"/>
    </row>
    <row r="98" spans="1:5" x14ac:dyDescent="0.3">
      <c r="A98" s="12" t="s">
        <v>82</v>
      </c>
      <c r="B98" s="12" t="s">
        <v>3</v>
      </c>
      <c r="C98" s="33">
        <v>52</v>
      </c>
      <c r="D98" s="37">
        <v>30000</v>
      </c>
      <c r="E98" s="36">
        <f>+D98*C98</f>
        <v>1560000</v>
      </c>
    </row>
    <row r="99" spans="1:5" hidden="1" x14ac:dyDescent="0.3">
      <c r="A99" s="12" t="s">
        <v>82</v>
      </c>
      <c r="B99" s="12" t="s">
        <v>9</v>
      </c>
      <c r="C99" s="33">
        <v>0</v>
      </c>
      <c r="D99" s="34"/>
      <c r="E99" s="34"/>
    </row>
    <row r="100" spans="1:5" hidden="1" x14ac:dyDescent="0.3">
      <c r="A100" s="12" t="s">
        <v>84</v>
      </c>
      <c r="B100" s="12" t="s">
        <v>30</v>
      </c>
      <c r="C100" s="33">
        <v>0</v>
      </c>
      <c r="D100" s="34"/>
      <c r="E100" s="34"/>
    </row>
    <row r="101" spans="1:5" x14ac:dyDescent="0.3">
      <c r="A101" s="12" t="s">
        <v>85</v>
      </c>
      <c r="B101" s="12" t="s">
        <v>30</v>
      </c>
      <c r="C101" s="33">
        <v>4</v>
      </c>
      <c r="D101" s="37">
        <f>35000/4</f>
        <v>8750</v>
      </c>
      <c r="E101" s="36">
        <f>+D101*C101</f>
        <v>35000</v>
      </c>
    </row>
    <row r="102" spans="1:5" hidden="1" x14ac:dyDescent="0.3">
      <c r="A102" s="12" t="s">
        <v>123</v>
      </c>
      <c r="B102" s="12" t="s">
        <v>3</v>
      </c>
      <c r="C102" s="33">
        <v>0</v>
      </c>
      <c r="D102" s="34"/>
      <c r="E102" s="34"/>
    </row>
    <row r="103" spans="1:5" x14ac:dyDescent="0.3">
      <c r="A103" s="12" t="s">
        <v>106</v>
      </c>
      <c r="B103" s="12" t="s">
        <v>9</v>
      </c>
      <c r="C103" s="33">
        <v>370</v>
      </c>
      <c r="D103" s="37">
        <v>10000</v>
      </c>
      <c r="E103" s="36">
        <f t="shared" ref="E103:E105" si="12">+D103*C103</f>
        <v>3700000</v>
      </c>
    </row>
    <row r="104" spans="1:5" x14ac:dyDescent="0.3">
      <c r="A104" s="12" t="s">
        <v>88</v>
      </c>
      <c r="B104" s="12" t="s">
        <v>9</v>
      </c>
      <c r="C104" s="33">
        <v>270</v>
      </c>
      <c r="D104" s="37">
        <v>11361</v>
      </c>
      <c r="E104" s="36">
        <f t="shared" si="12"/>
        <v>3067470</v>
      </c>
    </row>
    <row r="105" spans="1:5" x14ac:dyDescent="0.3">
      <c r="A105" s="12" t="s">
        <v>146</v>
      </c>
      <c r="B105" s="12" t="s">
        <v>9</v>
      </c>
      <c r="C105" s="33">
        <v>53</v>
      </c>
      <c r="D105" s="37">
        <v>100000</v>
      </c>
      <c r="E105" s="36">
        <f t="shared" si="12"/>
        <v>5300000</v>
      </c>
    </row>
    <row r="106" spans="1:5" hidden="1" x14ac:dyDescent="0.3">
      <c r="A106" s="12" t="s">
        <v>89</v>
      </c>
      <c r="B106" s="12" t="s">
        <v>3</v>
      </c>
      <c r="C106" s="33">
        <v>0</v>
      </c>
      <c r="D106" s="34"/>
      <c r="E106" s="34"/>
    </row>
    <row r="107" spans="1:5" x14ac:dyDescent="0.3">
      <c r="A107" s="12" t="s">
        <v>90</v>
      </c>
      <c r="B107" s="12" t="s">
        <v>3</v>
      </c>
      <c r="C107" s="33">
        <v>22</v>
      </c>
      <c r="D107" s="37">
        <v>32000</v>
      </c>
      <c r="E107" s="36">
        <f t="shared" ref="E107:E109" si="13">+D107*C107</f>
        <v>704000</v>
      </c>
    </row>
    <row r="108" spans="1:5" x14ac:dyDescent="0.3">
      <c r="A108" s="12" t="s">
        <v>154</v>
      </c>
      <c r="B108" s="12" t="s">
        <v>9</v>
      </c>
      <c r="C108" s="33">
        <v>21</v>
      </c>
      <c r="D108" s="37">
        <v>26000</v>
      </c>
      <c r="E108" s="36">
        <f t="shared" si="13"/>
        <v>546000</v>
      </c>
    </row>
    <row r="109" spans="1:5" x14ac:dyDescent="0.3">
      <c r="A109" s="12" t="s">
        <v>92</v>
      </c>
      <c r="B109" s="12" t="s">
        <v>3</v>
      </c>
      <c r="C109" s="33">
        <v>306</v>
      </c>
      <c r="D109" s="37">
        <f>VLOOKUP(A109,'[2]SỔ CHI TIẾT MUA HÀNG'!$A$5:$D$65,4,0)</f>
        <v>6000</v>
      </c>
      <c r="E109" s="36">
        <f t="shared" si="13"/>
        <v>1836000</v>
      </c>
    </row>
    <row r="110" spans="1:5" hidden="1" x14ac:dyDescent="0.3">
      <c r="A110" s="12" t="s">
        <v>114</v>
      </c>
      <c r="B110" s="12" t="s">
        <v>3</v>
      </c>
      <c r="C110" s="33">
        <v>0</v>
      </c>
      <c r="D110" s="34"/>
      <c r="E110" s="34"/>
    </row>
    <row r="111" spans="1:5" hidden="1" x14ac:dyDescent="0.3">
      <c r="A111" s="12" t="s">
        <v>93</v>
      </c>
      <c r="B111" s="12" t="s">
        <v>3</v>
      </c>
      <c r="C111" s="33">
        <v>0</v>
      </c>
      <c r="D111" s="34"/>
      <c r="E111" s="34"/>
    </row>
    <row r="112" spans="1:5" hidden="1" x14ac:dyDescent="0.3">
      <c r="A112" s="12" t="s">
        <v>94</v>
      </c>
      <c r="B112" s="12" t="s">
        <v>3</v>
      </c>
      <c r="C112" s="33">
        <v>0</v>
      </c>
      <c r="D112" s="34"/>
      <c r="E112" s="34"/>
    </row>
    <row r="113" spans="1:5" hidden="1" x14ac:dyDescent="0.3">
      <c r="A113" s="12" t="s">
        <v>95</v>
      </c>
      <c r="B113" s="12" t="s">
        <v>40</v>
      </c>
      <c r="C113" s="33">
        <v>0</v>
      </c>
      <c r="D113" s="34"/>
      <c r="E113" s="34"/>
    </row>
    <row r="114" spans="1:5" hidden="1" x14ac:dyDescent="0.3">
      <c r="A114" s="12" t="s">
        <v>96</v>
      </c>
      <c r="B114" s="12" t="s">
        <v>3</v>
      </c>
      <c r="C114" s="33">
        <v>0</v>
      </c>
      <c r="D114" s="34"/>
      <c r="E114" s="34"/>
    </row>
    <row r="115" spans="1:5" hidden="1" x14ac:dyDescent="0.3">
      <c r="A115" s="12" t="s">
        <v>97</v>
      </c>
      <c r="B115" s="12" t="s">
        <v>40</v>
      </c>
      <c r="C115" s="33">
        <v>0</v>
      </c>
      <c r="D115" s="34"/>
      <c r="E115" s="34"/>
    </row>
    <row r="116" spans="1:5" hidden="1" x14ac:dyDescent="0.3">
      <c r="A116" s="12" t="s">
        <v>98</v>
      </c>
      <c r="B116" s="12" t="s">
        <v>3</v>
      </c>
      <c r="C116" s="33">
        <v>0</v>
      </c>
      <c r="D116" s="34"/>
      <c r="E116" s="34"/>
    </row>
    <row r="117" spans="1:5" hidden="1" x14ac:dyDescent="0.3">
      <c r="A117" s="12" t="s">
        <v>99</v>
      </c>
      <c r="B117" s="12" t="s">
        <v>3</v>
      </c>
      <c r="C117" s="33">
        <v>0</v>
      </c>
      <c r="D117" s="34"/>
      <c r="E117" s="34"/>
    </row>
    <row r="118" spans="1:5" x14ac:dyDescent="0.3">
      <c r="A118" s="12" t="s">
        <v>100</v>
      </c>
      <c r="B118" s="12" t="s">
        <v>40</v>
      </c>
      <c r="C118" s="33">
        <v>140</v>
      </c>
      <c r="D118" s="37">
        <f>VLOOKUP(A118,'[2]SỔ CHI TIẾT MUA HÀNG'!$A$5:$D$65,4,0)</f>
        <v>6800</v>
      </c>
      <c r="E118" s="36">
        <f t="shared" ref="E118" si="14">+D118*C118</f>
        <v>952000</v>
      </c>
    </row>
    <row r="119" spans="1:5" x14ac:dyDescent="0.3">
      <c r="A119" s="19" t="e">
        <v>#N/A</v>
      </c>
      <c r="B119" s="19">
        <v>0</v>
      </c>
      <c r="C119" s="41">
        <v>12998</v>
      </c>
      <c r="D119" s="41">
        <v>12998</v>
      </c>
      <c r="E119" s="42">
        <f>SUBTOTAL(9,E3:E118)</f>
        <v>206876970</v>
      </c>
    </row>
    <row r="120" spans="1:5" ht="62.4" x14ac:dyDescent="0.3">
      <c r="A120" s="35" t="s">
        <v>130</v>
      </c>
      <c r="B120" s="16" t="s">
        <v>1</v>
      </c>
      <c r="C120" s="15" t="s">
        <v>137</v>
      </c>
      <c r="D120" s="31" t="s">
        <v>140</v>
      </c>
      <c r="E120" s="31" t="s">
        <v>141</v>
      </c>
    </row>
    <row r="121" spans="1:5" hidden="1" x14ac:dyDescent="0.3">
      <c r="A121" s="12" t="s">
        <v>2</v>
      </c>
      <c r="B121" s="12" t="s">
        <v>3</v>
      </c>
      <c r="C121" s="61">
        <v>0</v>
      </c>
      <c r="D121" s="34"/>
      <c r="E121" s="34"/>
    </row>
    <row r="122" spans="1:5" x14ac:dyDescent="0.3">
      <c r="A122" s="12" t="s">
        <v>4</v>
      </c>
      <c r="B122" s="12" t="s">
        <v>3</v>
      </c>
      <c r="C122" s="61">
        <v>570</v>
      </c>
      <c r="D122" s="37">
        <f>VLOOKUP(A122,'[2]SỔ CHI TIẾT MUA HÀNG'!$A$5:$D$65,4,0)</f>
        <v>5000</v>
      </c>
      <c r="E122" s="36">
        <f>+D122*C122</f>
        <v>2850000</v>
      </c>
    </row>
    <row r="123" spans="1:5" hidden="1" x14ac:dyDescent="0.3">
      <c r="A123" s="12" t="s">
        <v>5</v>
      </c>
      <c r="B123" s="12" t="s">
        <v>3</v>
      </c>
      <c r="C123" s="61">
        <v>0</v>
      </c>
      <c r="D123" s="34"/>
      <c r="E123" s="34"/>
    </row>
    <row r="124" spans="1:5" x14ac:dyDescent="0.3">
      <c r="A124" s="12" t="s">
        <v>119</v>
      </c>
      <c r="B124" s="12" t="s">
        <v>3</v>
      </c>
      <c r="C124" s="61">
        <v>10</v>
      </c>
      <c r="D124" s="37">
        <v>10000</v>
      </c>
      <c r="E124" s="36">
        <f t="shared" ref="E124:E126" si="15">+D124*C124</f>
        <v>100000</v>
      </c>
    </row>
    <row r="125" spans="1:5" x14ac:dyDescent="0.3">
      <c r="A125" s="12" t="s">
        <v>7</v>
      </c>
      <c r="B125" s="12" t="s">
        <v>3</v>
      </c>
      <c r="C125" s="61">
        <v>22</v>
      </c>
      <c r="D125" s="37">
        <v>11000</v>
      </c>
      <c r="E125" s="36">
        <f t="shared" si="15"/>
        <v>242000</v>
      </c>
    </row>
    <row r="126" spans="1:5" x14ac:dyDescent="0.3">
      <c r="A126" s="12" t="s">
        <v>8</v>
      </c>
      <c r="B126" s="12" t="s">
        <v>3</v>
      </c>
      <c r="C126" s="61">
        <v>11</v>
      </c>
      <c r="D126" s="37">
        <f>VLOOKUP(A126,'[2]SỔ CHI TIẾT MUA HÀNG'!$A$5:$D$65,4,0)</f>
        <v>13000</v>
      </c>
      <c r="E126" s="36">
        <f t="shared" si="15"/>
        <v>143000</v>
      </c>
    </row>
    <row r="127" spans="1:5" hidden="1" x14ac:dyDescent="0.3">
      <c r="A127" s="12" t="s">
        <v>12</v>
      </c>
      <c r="B127" s="12" t="s">
        <v>3</v>
      </c>
      <c r="C127" s="61">
        <v>0</v>
      </c>
      <c r="D127" s="34"/>
      <c r="E127" s="34"/>
    </row>
    <row r="128" spans="1:5" x14ac:dyDescent="0.3">
      <c r="A128" s="12" t="s">
        <v>102</v>
      </c>
      <c r="B128" s="12" t="s">
        <v>3</v>
      </c>
      <c r="C128" s="61">
        <v>10</v>
      </c>
      <c r="D128" s="37">
        <v>12000</v>
      </c>
      <c r="E128" s="36">
        <f t="shared" ref="E128:E132" si="16">+D128*C128</f>
        <v>120000</v>
      </c>
    </row>
    <row r="129" spans="1:5" x14ac:dyDescent="0.3">
      <c r="A129" s="12" t="s">
        <v>18</v>
      </c>
      <c r="B129" s="12" t="s">
        <v>3</v>
      </c>
      <c r="C129" s="61">
        <v>33</v>
      </c>
      <c r="D129" s="37">
        <f>VLOOKUP(A129,'[2]SỔ CHI TIẾT MUA HÀNG'!$A$5:$D$65,4,0)</f>
        <v>16000</v>
      </c>
      <c r="E129" s="36">
        <f t="shared" si="16"/>
        <v>528000</v>
      </c>
    </row>
    <row r="130" spans="1:5" x14ac:dyDescent="0.3">
      <c r="A130" s="12" t="s">
        <v>28</v>
      </c>
      <c r="B130" s="12" t="s">
        <v>3</v>
      </c>
      <c r="C130" s="61">
        <v>65</v>
      </c>
      <c r="D130" s="37">
        <v>18000</v>
      </c>
      <c r="E130" s="36">
        <f t="shared" si="16"/>
        <v>1170000</v>
      </c>
    </row>
    <row r="131" spans="1:5" x14ac:dyDescent="0.3">
      <c r="A131" s="12" t="s">
        <v>31</v>
      </c>
      <c r="B131" s="12" t="s">
        <v>3</v>
      </c>
      <c r="C131" s="61">
        <v>93.5</v>
      </c>
      <c r="D131" s="37">
        <f>VLOOKUP(A131,'[2]SỔ CHI TIẾT MUA HÀNG'!$A$5:$D$65,4,0)</f>
        <v>10000</v>
      </c>
      <c r="E131" s="36">
        <f t="shared" si="16"/>
        <v>935000</v>
      </c>
    </row>
    <row r="132" spans="1:5" x14ac:dyDescent="0.3">
      <c r="A132" s="12" t="s">
        <v>33</v>
      </c>
      <c r="B132" s="12" t="s">
        <v>3</v>
      </c>
      <c r="C132" s="61">
        <v>16.5</v>
      </c>
      <c r="D132" s="37">
        <v>8000</v>
      </c>
      <c r="E132" s="36">
        <f t="shared" si="16"/>
        <v>132000</v>
      </c>
    </row>
    <row r="133" spans="1:5" hidden="1" x14ac:dyDescent="0.3">
      <c r="A133" s="12" t="s">
        <v>38</v>
      </c>
      <c r="B133" s="12" t="s">
        <v>3</v>
      </c>
      <c r="C133" s="61">
        <v>0</v>
      </c>
      <c r="D133" s="34"/>
      <c r="E133" s="34"/>
    </row>
    <row r="134" spans="1:5" x14ac:dyDescent="0.3">
      <c r="A134" s="12" t="s">
        <v>103</v>
      </c>
      <c r="B134" s="12" t="s">
        <v>3</v>
      </c>
      <c r="C134" s="61">
        <v>5.5</v>
      </c>
      <c r="D134" s="37">
        <f>VLOOKUP(A134,'[2]SỔ CHI TIẾT MUA HÀNG'!$A$5:$D$65,4,0)</f>
        <v>14000</v>
      </c>
      <c r="E134" s="36">
        <f t="shared" ref="E134:E135" si="17">+D134*C134</f>
        <v>77000</v>
      </c>
    </row>
    <row r="135" spans="1:5" x14ac:dyDescent="0.3">
      <c r="A135" s="12" t="s">
        <v>104</v>
      </c>
      <c r="B135" s="12" t="s">
        <v>3</v>
      </c>
      <c r="C135" s="61">
        <v>500</v>
      </c>
      <c r="D135" s="37">
        <f>VLOOKUP(A135,'[2]SỔ CHI TIẾT MUA HÀNG'!$A$5:$D$65,4,0)</f>
        <v>3000</v>
      </c>
      <c r="E135" s="36">
        <f t="shared" si="17"/>
        <v>1500000</v>
      </c>
    </row>
    <row r="136" spans="1:5" hidden="1" x14ac:dyDescent="0.3">
      <c r="A136" s="12" t="s">
        <v>39</v>
      </c>
      <c r="B136" s="12" t="s">
        <v>3</v>
      </c>
      <c r="C136" s="61">
        <v>0</v>
      </c>
      <c r="D136" s="34"/>
      <c r="E136" s="34"/>
    </row>
    <row r="137" spans="1:5" hidden="1" x14ac:dyDescent="0.3">
      <c r="A137" s="12" t="s">
        <v>105</v>
      </c>
      <c r="B137" s="12" t="s">
        <v>3</v>
      </c>
      <c r="C137" s="61">
        <v>0</v>
      </c>
      <c r="D137" s="34"/>
      <c r="E137" s="34"/>
    </row>
    <row r="138" spans="1:5" x14ac:dyDescent="0.3">
      <c r="A138" s="12" t="s">
        <v>41</v>
      </c>
      <c r="B138" s="12" t="s">
        <v>3</v>
      </c>
      <c r="C138" s="61">
        <v>11</v>
      </c>
      <c r="D138" s="37">
        <v>14000</v>
      </c>
      <c r="E138" s="36">
        <f t="shared" ref="E138:E143" si="18">+D138*C138</f>
        <v>154000</v>
      </c>
    </row>
    <row r="139" spans="1:5" x14ac:dyDescent="0.3">
      <c r="A139" s="12" t="s">
        <v>44</v>
      </c>
      <c r="B139" s="12" t="s">
        <v>3</v>
      </c>
      <c r="C139" s="61">
        <v>27.5</v>
      </c>
      <c r="D139" s="37">
        <f>VLOOKUP(A139,'[2]SỔ CHI TIẾT MUA HÀNG'!$A$5:$D$65,4,0)</f>
        <v>6500</v>
      </c>
      <c r="E139" s="36">
        <f t="shared" si="18"/>
        <v>178750</v>
      </c>
    </row>
    <row r="140" spans="1:5" x14ac:dyDescent="0.3">
      <c r="A140" s="12" t="s">
        <v>45</v>
      </c>
      <c r="B140" s="12" t="s">
        <v>3</v>
      </c>
      <c r="C140" s="61">
        <v>5.5</v>
      </c>
      <c r="D140" s="37">
        <f>VLOOKUP(A140,'[2]SỔ CHI TIẾT MUA HÀNG'!$A$5:$D$65,4,0)</f>
        <v>11000</v>
      </c>
      <c r="E140" s="36">
        <f t="shared" si="18"/>
        <v>60500</v>
      </c>
    </row>
    <row r="141" spans="1:5" x14ac:dyDescent="0.3">
      <c r="A141" s="12" t="s">
        <v>47</v>
      </c>
      <c r="B141" s="12" t="s">
        <v>3</v>
      </c>
      <c r="C141" s="61">
        <v>44</v>
      </c>
      <c r="D141" s="37">
        <v>10000</v>
      </c>
      <c r="E141" s="36">
        <f t="shared" si="18"/>
        <v>440000</v>
      </c>
    </row>
    <row r="142" spans="1:5" x14ac:dyDescent="0.3">
      <c r="A142" s="12" t="s">
        <v>52</v>
      </c>
      <c r="B142" s="12" t="s">
        <v>30</v>
      </c>
      <c r="C142" s="61">
        <v>8</v>
      </c>
      <c r="D142" s="37">
        <v>27000</v>
      </c>
      <c r="E142" s="36">
        <f t="shared" si="18"/>
        <v>216000</v>
      </c>
    </row>
    <row r="143" spans="1:5" x14ac:dyDescent="0.3">
      <c r="A143" s="12" t="s">
        <v>54</v>
      </c>
      <c r="B143" s="12" t="s">
        <v>3</v>
      </c>
      <c r="C143" s="61">
        <v>44</v>
      </c>
      <c r="D143" s="37">
        <f>VLOOKUP(A143,'[2]SỔ CHI TIẾT MUA HÀNG'!$A$5:$D$65,4,0)</f>
        <v>18000</v>
      </c>
      <c r="E143" s="36">
        <f t="shared" si="18"/>
        <v>792000</v>
      </c>
    </row>
    <row r="144" spans="1:5" hidden="1" x14ac:dyDescent="0.3">
      <c r="A144" s="12" t="s">
        <v>59</v>
      </c>
      <c r="B144" s="12" t="s">
        <v>3</v>
      </c>
      <c r="C144" s="61">
        <v>0</v>
      </c>
      <c r="D144" s="34"/>
      <c r="E144" s="34"/>
    </row>
    <row r="145" spans="1:5" hidden="1" x14ac:dyDescent="0.3">
      <c r="A145" s="12" t="s">
        <v>61</v>
      </c>
      <c r="B145" s="12" t="s">
        <v>3</v>
      </c>
      <c r="C145" s="61">
        <v>0</v>
      </c>
      <c r="D145" s="34"/>
      <c r="E145" s="34"/>
    </row>
    <row r="146" spans="1:5" hidden="1" x14ac:dyDescent="0.3">
      <c r="A146" s="12" t="s">
        <v>62</v>
      </c>
      <c r="B146" s="12" t="s">
        <v>30</v>
      </c>
      <c r="C146" s="61">
        <v>0</v>
      </c>
      <c r="D146" s="34"/>
      <c r="E146" s="34"/>
    </row>
    <row r="147" spans="1:5" x14ac:dyDescent="0.3">
      <c r="A147" s="12" t="s">
        <v>63</v>
      </c>
      <c r="B147" s="12" t="s">
        <v>30</v>
      </c>
      <c r="C147" s="61">
        <v>15</v>
      </c>
      <c r="D147" s="37">
        <f>VLOOKUP(A147,'[2]SỔ CHI TIẾT MUA HÀNG'!$A$5:$D$65,4,0)</f>
        <v>13000</v>
      </c>
      <c r="E147" s="36">
        <f>+D147*C147</f>
        <v>195000</v>
      </c>
    </row>
    <row r="148" spans="1:5" hidden="1" x14ac:dyDescent="0.3">
      <c r="A148" s="12" t="s">
        <v>68</v>
      </c>
      <c r="B148" s="12" t="s">
        <v>3</v>
      </c>
      <c r="C148" s="61">
        <v>0</v>
      </c>
      <c r="D148" s="34"/>
      <c r="E148" s="34"/>
    </row>
    <row r="149" spans="1:5" hidden="1" x14ac:dyDescent="0.3">
      <c r="A149" s="12" t="s">
        <v>68</v>
      </c>
      <c r="B149" s="12" t="s">
        <v>17</v>
      </c>
      <c r="C149" s="61">
        <v>0</v>
      </c>
      <c r="D149" s="34"/>
      <c r="E149" s="34"/>
    </row>
    <row r="150" spans="1:5" x14ac:dyDescent="0.3">
      <c r="A150" s="12" t="s">
        <v>71</v>
      </c>
      <c r="B150" s="12" t="s">
        <v>3</v>
      </c>
      <c r="C150" s="61">
        <v>13.2</v>
      </c>
      <c r="D150" s="37">
        <f>VLOOKUP(A150,'[2]SỔ CHI TIẾT MUA HÀNG'!$A$5:$D$65,4,0)</f>
        <v>17000</v>
      </c>
      <c r="E150" s="36">
        <f>+D150*C150</f>
        <v>224400</v>
      </c>
    </row>
    <row r="151" spans="1:5" hidden="1" x14ac:dyDescent="0.3">
      <c r="A151" s="12" t="s">
        <v>72</v>
      </c>
      <c r="B151" s="12" t="s">
        <v>3</v>
      </c>
      <c r="C151" s="61">
        <v>0</v>
      </c>
      <c r="D151" s="34"/>
      <c r="E151" s="34"/>
    </row>
    <row r="152" spans="1:5" hidden="1" x14ac:dyDescent="0.3">
      <c r="A152" s="12" t="s">
        <v>73</v>
      </c>
      <c r="B152" s="12" t="s">
        <v>3</v>
      </c>
      <c r="C152" s="61">
        <v>0</v>
      </c>
      <c r="D152" s="34"/>
      <c r="E152" s="34"/>
    </row>
    <row r="153" spans="1:5" hidden="1" x14ac:dyDescent="0.3">
      <c r="A153" s="12" t="s">
        <v>78</v>
      </c>
      <c r="B153" s="12" t="s">
        <v>3</v>
      </c>
      <c r="C153" s="61">
        <v>0</v>
      </c>
      <c r="D153" s="34"/>
      <c r="E153" s="34"/>
    </row>
    <row r="154" spans="1:5" hidden="1" x14ac:dyDescent="0.3">
      <c r="A154" s="12" t="s">
        <v>80</v>
      </c>
      <c r="B154" s="12" t="s">
        <v>3</v>
      </c>
      <c r="C154" s="61">
        <v>0</v>
      </c>
      <c r="D154" s="34"/>
      <c r="E154" s="34"/>
    </row>
    <row r="155" spans="1:5" x14ac:dyDescent="0.3">
      <c r="A155" s="12" t="s">
        <v>82</v>
      </c>
      <c r="B155" s="12" t="s">
        <v>3</v>
      </c>
      <c r="C155" s="61">
        <v>3.3</v>
      </c>
      <c r="D155" s="37">
        <v>30000</v>
      </c>
      <c r="E155" s="36">
        <f t="shared" ref="E155:E156" si="19">+D155*C155</f>
        <v>99000</v>
      </c>
    </row>
    <row r="156" spans="1:5" x14ac:dyDescent="0.3">
      <c r="A156" s="12" t="s">
        <v>92</v>
      </c>
      <c r="B156" s="12" t="s">
        <v>3</v>
      </c>
      <c r="C156" s="61">
        <v>24.2</v>
      </c>
      <c r="D156" s="37">
        <f>VLOOKUP(A156,'[2]SỔ CHI TIẾT MUA HÀNG'!$A$5:$D$65,4,0)</f>
        <v>6000</v>
      </c>
      <c r="E156" s="36">
        <f t="shared" si="19"/>
        <v>145200</v>
      </c>
    </row>
    <row r="157" spans="1:5" hidden="1" x14ac:dyDescent="0.3">
      <c r="A157" s="12" t="s">
        <v>94</v>
      </c>
      <c r="B157" s="12" t="s">
        <v>40</v>
      </c>
      <c r="C157" s="61">
        <v>0</v>
      </c>
      <c r="D157" s="34"/>
      <c r="E157" s="34"/>
    </row>
    <row r="158" spans="1:5" hidden="1" x14ac:dyDescent="0.3">
      <c r="A158" s="12" t="s">
        <v>95</v>
      </c>
      <c r="B158" s="12" t="s">
        <v>40</v>
      </c>
      <c r="C158" s="61">
        <v>0</v>
      </c>
      <c r="D158" s="34"/>
      <c r="E158" s="34"/>
    </row>
    <row r="159" spans="1:5" hidden="1" x14ac:dyDescent="0.3">
      <c r="A159" s="12" t="s">
        <v>97</v>
      </c>
      <c r="B159" s="12" t="s">
        <v>40</v>
      </c>
      <c r="C159" s="61">
        <v>0</v>
      </c>
      <c r="D159" s="34"/>
      <c r="E159" s="34"/>
    </row>
    <row r="160" spans="1:5" hidden="1" x14ac:dyDescent="0.3">
      <c r="A160" s="12" t="s">
        <v>100</v>
      </c>
      <c r="B160" s="12" t="s">
        <v>40</v>
      </c>
      <c r="C160" s="61">
        <v>0</v>
      </c>
      <c r="D160" s="34"/>
      <c r="E160" s="34"/>
    </row>
    <row r="161" spans="1:5" x14ac:dyDescent="0.3">
      <c r="A161" s="19" t="e">
        <v>#N/A</v>
      </c>
      <c r="B161" s="19">
        <v>0</v>
      </c>
      <c r="C161" s="62">
        <v>1532.2</v>
      </c>
      <c r="D161" s="39"/>
      <c r="E161" s="39">
        <f>SUBTOTAL(9,E122:E156)</f>
        <v>10301850</v>
      </c>
    </row>
    <row r="162" spans="1:5" x14ac:dyDescent="0.3">
      <c r="E162" s="63">
        <f>+E161+E119</f>
        <v>217178820</v>
      </c>
    </row>
  </sheetData>
  <autoFilter ref="A1:E161" xr:uid="{8F9F46C0-538C-4986-80CD-1E047530F793}">
    <filterColumn colId="2">
      <filters>
        <filter val="1"/>
        <filter val="1,320"/>
        <filter val="10"/>
        <filter val="100"/>
        <filter val="11"/>
        <filter val="110"/>
        <filter val="12"/>
        <filter val="12,998"/>
        <filter val="120"/>
        <filter val="13"/>
        <filter val="136"/>
        <filter val="140"/>
        <filter val="15"/>
        <filter val="1532"/>
        <filter val="17"/>
        <filter val="180"/>
        <filter val="190"/>
        <filter val="2"/>
        <filter val="2,164"/>
        <filter val="20"/>
        <filter val="208"/>
        <filter val="21"/>
        <filter val="216"/>
        <filter val="22"/>
        <filter val="24"/>
        <filter val="260"/>
        <filter val="270"/>
        <filter val="28"/>
        <filter val="29"/>
        <filter val="3"/>
        <filter val="306"/>
        <filter val="31"/>
        <filter val="32"/>
        <filter val="33"/>
        <filter val="349"/>
        <filter val="37"/>
        <filter val="370"/>
        <filter val="4"/>
        <filter val="400"/>
        <filter val="44"/>
        <filter val="450"/>
        <filter val="48"/>
        <filter val="497"/>
        <filter val="500"/>
        <filter val="52"/>
        <filter val="53"/>
        <filter val="550"/>
        <filter val="570"/>
        <filter val="6"/>
        <filter val="602"/>
        <filter val="65"/>
        <filter val="7"/>
        <filter val="8"/>
        <filter val="820"/>
        <filter val="848"/>
        <filter val="850"/>
        <filter val="94"/>
        <filter val="95"/>
        <filter val="99"/>
        <filter val="Tồn_x000a_ĐL_x000a__x000a_現在庫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1.1</vt:lpstr>
      <vt:lpstr>2.1</vt:lpstr>
      <vt:lpstr>3.1</vt:lpstr>
      <vt:lpstr>4.1</vt:lpstr>
      <vt:lpstr>5.1</vt:lpstr>
      <vt:lpstr>6.1</vt:lpstr>
      <vt:lpstr>7.1</vt:lpstr>
      <vt:lpstr>8.1</vt:lpstr>
      <vt:lpstr>9.1</vt:lpstr>
      <vt:lpstr>10.1</vt:lpstr>
      <vt:lpstr>11.11</vt:lpstr>
      <vt:lpstr>12.1</vt:lpstr>
      <vt:lpstr>13.1</vt:lpstr>
      <vt:lpstr>14.1</vt:lpstr>
      <vt:lpstr>15.1</vt:lpstr>
      <vt:lpstr>16.1</vt:lpstr>
      <vt:lpstr>17.1</vt:lpstr>
      <vt:lpstr>18.1</vt:lpstr>
      <vt:lpstr>19.1</vt:lpstr>
      <vt:lpstr>20.1</vt:lpstr>
      <vt:lpstr>21.1</vt:lpstr>
      <vt:lpstr>22.1</vt:lpstr>
      <vt:lpstr>23.1</vt:lpstr>
      <vt:lpstr>24.1</vt:lpstr>
      <vt:lpstr>25.1</vt:lpstr>
      <vt:lpstr>26.1</vt:lpstr>
      <vt:lpstr>27.1</vt:lpstr>
      <vt:lpstr>28.1</vt:lpstr>
      <vt:lpstr>29.1</vt:lpstr>
      <vt:lpstr>30.1</vt:lpstr>
      <vt:lpstr>31.1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Nguyren Nhat Linh</cp:lastModifiedBy>
  <dcterms:created xsi:type="dcterms:W3CDTF">2025-01-02T03:58:25Z</dcterms:created>
  <dcterms:modified xsi:type="dcterms:W3CDTF">2025-02-04T16:33:52Z</dcterms:modified>
</cp:coreProperties>
</file>